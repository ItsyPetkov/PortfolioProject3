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C:\Users\Hristo\Downloads\"/>
    </mc:Choice>
  </mc:AlternateContent>
  <xr:revisionPtr revIDLastSave="0" documentId="13_ncr:1_{DAB026FC-9835-4AA9-9BF8-4EA611A8E6E6}" xr6:coauthVersionLast="47" xr6:coauthVersionMax="47" xr10:uidLastSave="{00000000-0000-0000-0000-000000000000}"/>
  <bookViews>
    <workbookView xWindow="1170" yWindow="1170" windowWidth="21600" windowHeight="10920" firstSheet="3" activeTab="5" xr2:uid="{00000000-000D-0000-FFFF-FFFF00000000}"/>
  </bookViews>
  <sheets>
    <sheet name="orders" sheetId="17" r:id="rId1"/>
    <sheet name="customers" sheetId="13" r:id="rId2"/>
    <sheet name="products" sheetId="2" r:id="rId3"/>
    <sheet name="Working Sheet" sheetId="18" r:id="rId4"/>
    <sheet name="Pivot Tables" sheetId="20" r:id="rId5"/>
    <sheet name="Business Interactive Dashboard" sheetId="21" r:id="rId6"/>
  </sheets>
  <definedNames>
    <definedName name="_xlnm._FilterDatabase" localSheetId="0" hidden="1">orders!$A$1:$M$1001</definedName>
    <definedName name="_xlnm._FilterDatabase" localSheetId="2" hidden="1">products!$A$1:$G$49</definedName>
    <definedName name="NativeTimeline_Order_Date">#N/A</definedName>
    <definedName name="Slicer_Coffee_Type_Name">#N/A</definedName>
    <definedName name="Slicer_Country">#N/A</definedName>
    <definedName name="Slicer_Customer_Segment">#N/A</definedName>
    <definedName name="Slicer_Loyalty_Card1">#N/A</definedName>
    <definedName name="Slicer_Roast_Type_Name1">#N/A</definedName>
    <definedName name="Slicer_Size1">#N/A</definedName>
  </definedNames>
  <calcPr calcId="191028"/>
  <pivotCaches>
    <pivotCache cacheId="0" r:id="rId7"/>
  </pivotCaches>
  <extLst>
    <ext xmlns:x14="http://schemas.microsoft.com/office/spreadsheetml/2009/9/main" uri="{BBE1A952-AA13-448e-AADC-164F8A28A991}">
      <x14:slicerCaches>
        <x14:slicerCache r:id="rId8"/>
        <x14:slicerCache r:id="rId9"/>
        <x14:slicerCache r:id="rId10"/>
        <x14:slicerCache r:id="rId11"/>
        <x14:slicerCache r:id="rId12"/>
        <x14:slicerCache r:id="rId13"/>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4"/>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2" i="18" l="1"/>
  <c r="S3" i="18"/>
  <c r="S4" i="18"/>
  <c r="S5" i="18"/>
  <c r="S6" i="18"/>
  <c r="S7" i="18"/>
  <c r="S8" i="18"/>
  <c r="S9" i="18"/>
  <c r="S10" i="18"/>
  <c r="S11" i="18"/>
  <c r="S12" i="18"/>
  <c r="S13" i="18"/>
  <c r="S14" i="18"/>
  <c r="S15" i="18"/>
  <c r="S16" i="18"/>
  <c r="S17" i="18"/>
  <c r="S18" i="18"/>
  <c r="S19" i="18"/>
  <c r="S20" i="18"/>
  <c r="S21" i="18"/>
  <c r="S22" i="18"/>
  <c r="S23" i="18"/>
  <c r="S24" i="18"/>
  <c r="S25" i="18"/>
  <c r="S26" i="18"/>
  <c r="S27" i="18"/>
  <c r="S28" i="18"/>
  <c r="S29" i="18"/>
  <c r="S30" i="18"/>
  <c r="S31" i="18"/>
  <c r="S32" i="18"/>
  <c r="S33" i="18"/>
  <c r="S34" i="18"/>
  <c r="S35" i="18"/>
  <c r="S36" i="18"/>
  <c r="S37" i="18"/>
  <c r="S38" i="18"/>
  <c r="S39" i="18"/>
  <c r="S40" i="18"/>
  <c r="S41" i="18"/>
  <c r="S42" i="18"/>
  <c r="S43" i="18"/>
  <c r="S44" i="18"/>
  <c r="S45" i="18"/>
  <c r="S46" i="18"/>
  <c r="S47" i="18"/>
  <c r="S48" i="18"/>
  <c r="S49" i="18"/>
  <c r="S50" i="18"/>
  <c r="S51" i="18"/>
  <c r="S52" i="18"/>
  <c r="S53" i="18"/>
  <c r="S54" i="18"/>
  <c r="S55" i="18"/>
  <c r="S56" i="18"/>
  <c r="S57" i="18"/>
  <c r="S58" i="18"/>
  <c r="S59" i="18"/>
  <c r="S60" i="18"/>
  <c r="S61" i="18"/>
  <c r="S62" i="18"/>
  <c r="S63" i="18"/>
  <c r="S64" i="18"/>
  <c r="S65" i="18"/>
  <c r="S66" i="18"/>
  <c r="S67" i="18"/>
  <c r="S68" i="18"/>
  <c r="S69" i="18"/>
  <c r="S70" i="18"/>
  <c r="S71" i="18"/>
  <c r="S72" i="18"/>
  <c r="S73" i="18"/>
  <c r="S74" i="18"/>
  <c r="S75" i="18"/>
  <c r="S76" i="18"/>
  <c r="S77" i="18"/>
  <c r="S78" i="18"/>
  <c r="S79" i="18"/>
  <c r="S80" i="18"/>
  <c r="S81" i="18"/>
  <c r="S82" i="18"/>
  <c r="S83" i="18"/>
  <c r="S84" i="18"/>
  <c r="S85" i="18"/>
  <c r="S86" i="18"/>
  <c r="S87" i="18"/>
  <c r="S88" i="18"/>
  <c r="S89" i="18"/>
  <c r="S90" i="18"/>
  <c r="S91" i="18"/>
  <c r="S92" i="18"/>
  <c r="S93" i="18"/>
  <c r="S94" i="18"/>
  <c r="S95" i="18"/>
  <c r="S96" i="18"/>
  <c r="S97" i="18"/>
  <c r="S98" i="18"/>
  <c r="S99" i="18"/>
  <c r="S100" i="18"/>
  <c r="S101" i="18"/>
  <c r="S102" i="18"/>
  <c r="S103" i="18"/>
  <c r="S104" i="18"/>
  <c r="S105" i="18"/>
  <c r="S106" i="18"/>
  <c r="S107" i="18"/>
  <c r="S108" i="18"/>
  <c r="S109" i="18"/>
  <c r="S110" i="18"/>
  <c r="S111" i="18"/>
  <c r="S112" i="18"/>
  <c r="S113" i="18"/>
  <c r="S114" i="18"/>
  <c r="S115" i="18"/>
  <c r="S116" i="18"/>
  <c r="S117" i="18"/>
  <c r="S118" i="18"/>
  <c r="S119" i="18"/>
  <c r="S120" i="18"/>
  <c r="S121" i="18"/>
  <c r="S122" i="18"/>
  <c r="S123" i="18"/>
  <c r="S124" i="18"/>
  <c r="S125" i="18"/>
  <c r="S126" i="18"/>
  <c r="S127" i="18"/>
  <c r="S128" i="18"/>
  <c r="S129" i="18"/>
  <c r="S130" i="18"/>
  <c r="S131" i="18"/>
  <c r="S132" i="18"/>
  <c r="S133" i="18"/>
  <c r="S134" i="18"/>
  <c r="S135" i="18"/>
  <c r="S136" i="18"/>
  <c r="S137" i="18"/>
  <c r="S138" i="18"/>
  <c r="S139" i="18"/>
  <c r="S140" i="18"/>
  <c r="S141" i="18"/>
  <c r="S142" i="18"/>
  <c r="S143" i="18"/>
  <c r="S144" i="18"/>
  <c r="S145" i="18"/>
  <c r="S146" i="18"/>
  <c r="S147" i="18"/>
  <c r="S148" i="18"/>
  <c r="S149" i="18"/>
  <c r="S150" i="18"/>
  <c r="S151" i="18"/>
  <c r="S152" i="18"/>
  <c r="S153" i="18"/>
  <c r="S154" i="18"/>
  <c r="S155" i="18"/>
  <c r="S156" i="18"/>
  <c r="S157" i="18"/>
  <c r="S158" i="18"/>
  <c r="S159" i="18"/>
  <c r="S160" i="18"/>
  <c r="S161" i="18"/>
  <c r="S162" i="18"/>
  <c r="S163" i="18"/>
  <c r="S164" i="18"/>
  <c r="S165" i="18"/>
  <c r="S166" i="18"/>
  <c r="S167" i="18"/>
  <c r="S168" i="18"/>
  <c r="S169" i="18"/>
  <c r="S170" i="18"/>
  <c r="S171" i="18"/>
  <c r="S172" i="18"/>
  <c r="S173" i="18"/>
  <c r="S174" i="18"/>
  <c r="S175" i="18"/>
  <c r="S176" i="18"/>
  <c r="S177" i="18"/>
  <c r="S178" i="18"/>
  <c r="S179" i="18"/>
  <c r="S180" i="18"/>
  <c r="S181" i="18"/>
  <c r="S182" i="18"/>
  <c r="S183" i="18"/>
  <c r="S184" i="18"/>
  <c r="S185" i="18"/>
  <c r="S186" i="18"/>
  <c r="S187" i="18"/>
  <c r="S188" i="18"/>
  <c r="S189" i="18"/>
  <c r="S190" i="18"/>
  <c r="S191" i="18"/>
  <c r="S192" i="18"/>
  <c r="S193" i="18"/>
  <c r="S194" i="18"/>
  <c r="S195" i="18"/>
  <c r="S196" i="18"/>
  <c r="S197" i="18"/>
  <c r="S198" i="18"/>
  <c r="S199" i="18"/>
  <c r="S200" i="18"/>
  <c r="S201" i="18"/>
  <c r="S202" i="18"/>
  <c r="S203" i="18"/>
  <c r="S204" i="18"/>
  <c r="S205" i="18"/>
  <c r="S206" i="18"/>
  <c r="S207" i="18"/>
  <c r="S208" i="18"/>
  <c r="S209" i="18"/>
  <c r="S210" i="18"/>
  <c r="S211" i="18"/>
  <c r="S212" i="18"/>
  <c r="S213" i="18"/>
  <c r="S214" i="18"/>
  <c r="S215" i="18"/>
  <c r="S216" i="18"/>
  <c r="S217" i="18"/>
  <c r="S218" i="18"/>
  <c r="S219" i="18"/>
  <c r="S220" i="18"/>
  <c r="S221" i="18"/>
  <c r="S222" i="18"/>
  <c r="S223" i="18"/>
  <c r="S224" i="18"/>
  <c r="S225" i="18"/>
  <c r="S226" i="18"/>
  <c r="S227" i="18"/>
  <c r="S228" i="18"/>
  <c r="S229" i="18"/>
  <c r="S230" i="18"/>
  <c r="S231" i="18"/>
  <c r="S232" i="18"/>
  <c r="S233" i="18"/>
  <c r="S234" i="18"/>
  <c r="S235" i="18"/>
  <c r="S236" i="18"/>
  <c r="S237" i="18"/>
  <c r="S238" i="18"/>
  <c r="S239" i="18"/>
  <c r="S240" i="18"/>
  <c r="S241" i="18"/>
  <c r="S242" i="18"/>
  <c r="S243" i="18"/>
  <c r="S244" i="18"/>
  <c r="S245" i="18"/>
  <c r="S246" i="18"/>
  <c r="S247" i="18"/>
  <c r="S248" i="18"/>
  <c r="S249" i="18"/>
  <c r="S250" i="18"/>
  <c r="S251" i="18"/>
  <c r="S252" i="18"/>
  <c r="S253" i="18"/>
  <c r="S254" i="18"/>
  <c r="S255" i="18"/>
  <c r="S256" i="18"/>
  <c r="S257" i="18"/>
  <c r="S258" i="18"/>
  <c r="S259" i="18"/>
  <c r="S260" i="18"/>
  <c r="S261" i="18"/>
  <c r="S262" i="18"/>
  <c r="S263" i="18"/>
  <c r="S264" i="18"/>
  <c r="S265" i="18"/>
  <c r="S266" i="18"/>
  <c r="S267" i="18"/>
  <c r="S268" i="18"/>
  <c r="S269" i="18"/>
  <c r="S270" i="18"/>
  <c r="S271" i="18"/>
  <c r="S272" i="18"/>
  <c r="S273" i="18"/>
  <c r="S274" i="18"/>
  <c r="S275" i="18"/>
  <c r="S276" i="18"/>
  <c r="S277" i="18"/>
  <c r="S278" i="18"/>
  <c r="S279" i="18"/>
  <c r="S280" i="18"/>
  <c r="S281" i="18"/>
  <c r="S282" i="18"/>
  <c r="S283" i="18"/>
  <c r="S284" i="18"/>
  <c r="S285" i="18"/>
  <c r="S286" i="18"/>
  <c r="S287" i="18"/>
  <c r="S288" i="18"/>
  <c r="S289" i="18"/>
  <c r="S290" i="18"/>
  <c r="S291" i="18"/>
  <c r="S292" i="18"/>
  <c r="S293" i="18"/>
  <c r="S294" i="18"/>
  <c r="S295" i="18"/>
  <c r="S296" i="18"/>
  <c r="S297" i="18"/>
  <c r="S298" i="18"/>
  <c r="S299" i="18"/>
  <c r="S300" i="18"/>
  <c r="S301" i="18"/>
  <c r="S302" i="18"/>
  <c r="S303" i="18"/>
  <c r="S304" i="18"/>
  <c r="S305" i="18"/>
  <c r="S306" i="18"/>
  <c r="S307" i="18"/>
  <c r="S308" i="18"/>
  <c r="S309" i="18"/>
  <c r="S310" i="18"/>
  <c r="S311" i="18"/>
  <c r="S312" i="18"/>
  <c r="S313" i="18"/>
  <c r="S314" i="18"/>
  <c r="S315" i="18"/>
  <c r="S316" i="18"/>
  <c r="S317" i="18"/>
  <c r="S318" i="18"/>
  <c r="S319" i="18"/>
  <c r="S320" i="18"/>
  <c r="S321" i="18"/>
  <c r="S322" i="18"/>
  <c r="S323" i="18"/>
  <c r="S324" i="18"/>
  <c r="S325" i="18"/>
  <c r="S326" i="18"/>
  <c r="S327" i="18"/>
  <c r="S328" i="18"/>
  <c r="S329" i="18"/>
  <c r="S330" i="18"/>
  <c r="S331" i="18"/>
  <c r="S332" i="18"/>
  <c r="S333" i="18"/>
  <c r="S334" i="18"/>
  <c r="S335" i="18"/>
  <c r="S336" i="18"/>
  <c r="S337" i="18"/>
  <c r="S338" i="18"/>
  <c r="S339" i="18"/>
  <c r="S340" i="18"/>
  <c r="S341" i="18"/>
  <c r="S342" i="18"/>
  <c r="S343" i="18"/>
  <c r="S344" i="18"/>
  <c r="S345" i="18"/>
  <c r="S346" i="18"/>
  <c r="S347" i="18"/>
  <c r="S348" i="18"/>
  <c r="S349" i="18"/>
  <c r="S350" i="18"/>
  <c r="S351" i="18"/>
  <c r="S352" i="18"/>
  <c r="S353" i="18"/>
  <c r="S354" i="18"/>
  <c r="S355" i="18"/>
  <c r="S356" i="18"/>
  <c r="S357" i="18"/>
  <c r="S358" i="18"/>
  <c r="S359" i="18"/>
  <c r="S360" i="18"/>
  <c r="S361" i="18"/>
  <c r="S362" i="18"/>
  <c r="S363" i="18"/>
  <c r="S364" i="18"/>
  <c r="S365" i="18"/>
  <c r="S366" i="18"/>
  <c r="S367" i="18"/>
  <c r="S368" i="18"/>
  <c r="S369" i="18"/>
  <c r="S370" i="18"/>
  <c r="S371" i="18"/>
  <c r="S372" i="18"/>
  <c r="S373" i="18"/>
  <c r="S374" i="18"/>
  <c r="S375" i="18"/>
  <c r="S376" i="18"/>
  <c r="S377" i="18"/>
  <c r="S378" i="18"/>
  <c r="S379" i="18"/>
  <c r="S380" i="18"/>
  <c r="S381" i="18"/>
  <c r="S382" i="18"/>
  <c r="S383" i="18"/>
  <c r="S384" i="18"/>
  <c r="S385" i="18"/>
  <c r="S386" i="18"/>
  <c r="S387" i="18"/>
  <c r="S388" i="18"/>
  <c r="S389" i="18"/>
  <c r="S390" i="18"/>
  <c r="S391" i="18"/>
  <c r="S392" i="18"/>
  <c r="S393" i="18"/>
  <c r="S394" i="18"/>
  <c r="S395" i="18"/>
  <c r="S396" i="18"/>
  <c r="S397" i="18"/>
  <c r="S398" i="18"/>
  <c r="S399" i="18"/>
  <c r="S400" i="18"/>
  <c r="S401" i="18"/>
  <c r="S402" i="18"/>
  <c r="S403" i="18"/>
  <c r="S404" i="18"/>
  <c r="S405" i="18"/>
  <c r="S406" i="18"/>
  <c r="S407" i="18"/>
  <c r="S408" i="18"/>
  <c r="S409" i="18"/>
  <c r="S410" i="18"/>
  <c r="S411" i="18"/>
  <c r="S412" i="18"/>
  <c r="S413" i="18"/>
  <c r="S414" i="18"/>
  <c r="S415" i="18"/>
  <c r="S416" i="18"/>
  <c r="S417" i="18"/>
  <c r="S418" i="18"/>
  <c r="S419" i="18"/>
  <c r="S420" i="18"/>
  <c r="S421" i="18"/>
  <c r="S422" i="18"/>
  <c r="S423" i="18"/>
  <c r="S424" i="18"/>
  <c r="S425" i="18"/>
  <c r="S426" i="18"/>
  <c r="S427" i="18"/>
  <c r="S428" i="18"/>
  <c r="S429" i="18"/>
  <c r="S430" i="18"/>
  <c r="S431" i="18"/>
  <c r="S432" i="18"/>
  <c r="S433" i="18"/>
  <c r="S434" i="18"/>
  <c r="S435" i="18"/>
  <c r="S436" i="18"/>
  <c r="S437" i="18"/>
  <c r="S438" i="18"/>
  <c r="S439" i="18"/>
  <c r="S440" i="18"/>
  <c r="S441" i="18"/>
  <c r="S442" i="18"/>
  <c r="S443" i="18"/>
  <c r="S444" i="18"/>
  <c r="S445" i="18"/>
  <c r="S446" i="18"/>
  <c r="S447" i="18"/>
  <c r="S448" i="18"/>
  <c r="S449" i="18"/>
  <c r="S450" i="18"/>
  <c r="S451" i="18"/>
  <c r="S452" i="18"/>
  <c r="S453" i="18"/>
  <c r="S454" i="18"/>
  <c r="S455" i="18"/>
  <c r="S456" i="18"/>
  <c r="S457" i="18"/>
  <c r="S458" i="18"/>
  <c r="S459" i="18"/>
  <c r="S460" i="18"/>
  <c r="S461" i="18"/>
  <c r="S462" i="18"/>
  <c r="S463" i="18"/>
  <c r="S464" i="18"/>
  <c r="S465" i="18"/>
  <c r="S466" i="18"/>
  <c r="S467" i="18"/>
  <c r="S468" i="18"/>
  <c r="S469" i="18"/>
  <c r="S470" i="18"/>
  <c r="S471" i="18"/>
  <c r="S472" i="18"/>
  <c r="S473" i="18"/>
  <c r="S474" i="18"/>
  <c r="S475" i="18"/>
  <c r="S476" i="18"/>
  <c r="S477" i="18"/>
  <c r="S478" i="18"/>
  <c r="S479" i="18"/>
  <c r="S480" i="18"/>
  <c r="S481" i="18"/>
  <c r="S482" i="18"/>
  <c r="S483" i="18"/>
  <c r="S484" i="18"/>
  <c r="S485" i="18"/>
  <c r="S486" i="18"/>
  <c r="S487" i="18"/>
  <c r="S488" i="18"/>
  <c r="S489" i="18"/>
  <c r="S490" i="18"/>
  <c r="S491" i="18"/>
  <c r="S492" i="18"/>
  <c r="S493" i="18"/>
  <c r="S494" i="18"/>
  <c r="S495" i="18"/>
  <c r="S496" i="18"/>
  <c r="S497" i="18"/>
  <c r="S498" i="18"/>
  <c r="S499" i="18"/>
  <c r="S500" i="18"/>
  <c r="S501" i="18"/>
  <c r="S502" i="18"/>
  <c r="S503" i="18"/>
  <c r="S504" i="18"/>
  <c r="S505" i="18"/>
  <c r="S506" i="18"/>
  <c r="S507" i="18"/>
  <c r="S508" i="18"/>
  <c r="S509" i="18"/>
  <c r="S510" i="18"/>
  <c r="S511" i="18"/>
  <c r="S512" i="18"/>
  <c r="S513" i="18"/>
  <c r="S514" i="18"/>
  <c r="S515" i="18"/>
  <c r="S516" i="18"/>
  <c r="S517" i="18"/>
  <c r="S518" i="18"/>
  <c r="S519" i="18"/>
  <c r="S520" i="18"/>
  <c r="S521" i="18"/>
  <c r="S522" i="18"/>
  <c r="S523" i="18"/>
  <c r="S524" i="18"/>
  <c r="S525" i="18"/>
  <c r="S526" i="18"/>
  <c r="S527" i="18"/>
  <c r="S528" i="18"/>
  <c r="S529" i="18"/>
  <c r="S530" i="18"/>
  <c r="S531" i="18"/>
  <c r="S532" i="18"/>
  <c r="S533" i="18"/>
  <c r="S534" i="18"/>
  <c r="S535" i="18"/>
  <c r="S536" i="18"/>
  <c r="S537" i="18"/>
  <c r="S538" i="18"/>
  <c r="S539" i="18"/>
  <c r="S540" i="18"/>
  <c r="S541" i="18"/>
  <c r="S542" i="18"/>
  <c r="S543" i="18"/>
  <c r="S544" i="18"/>
  <c r="S545" i="18"/>
  <c r="S546" i="18"/>
  <c r="S547" i="18"/>
  <c r="S548" i="18"/>
  <c r="S549" i="18"/>
  <c r="S550" i="18"/>
  <c r="S551" i="18"/>
  <c r="S552" i="18"/>
  <c r="S553" i="18"/>
  <c r="S554" i="18"/>
  <c r="S555" i="18"/>
  <c r="S556" i="18"/>
  <c r="S557" i="18"/>
  <c r="S558" i="18"/>
  <c r="S559" i="18"/>
  <c r="S560" i="18"/>
  <c r="S561" i="18"/>
  <c r="S562" i="18"/>
  <c r="S563" i="18"/>
  <c r="S564" i="18"/>
  <c r="S565" i="18"/>
  <c r="S566" i="18"/>
  <c r="S567" i="18"/>
  <c r="S568" i="18"/>
  <c r="S569" i="18"/>
  <c r="S570" i="18"/>
  <c r="S571" i="18"/>
  <c r="S572" i="18"/>
  <c r="S573" i="18"/>
  <c r="S574" i="18"/>
  <c r="S575" i="18"/>
  <c r="S576" i="18"/>
  <c r="S577" i="18"/>
  <c r="S578" i="18"/>
  <c r="S579" i="18"/>
  <c r="S580" i="18"/>
  <c r="S581" i="18"/>
  <c r="S582" i="18"/>
  <c r="S583" i="18"/>
  <c r="S584" i="18"/>
  <c r="S585" i="18"/>
  <c r="S586" i="18"/>
  <c r="S587" i="18"/>
  <c r="S588" i="18"/>
  <c r="S589" i="18"/>
  <c r="S590" i="18"/>
  <c r="S591" i="18"/>
  <c r="S592" i="18"/>
  <c r="S593" i="18"/>
  <c r="S594" i="18"/>
  <c r="S595" i="18"/>
  <c r="S596" i="18"/>
  <c r="S597" i="18"/>
  <c r="S598" i="18"/>
  <c r="S599" i="18"/>
  <c r="S600" i="18"/>
  <c r="S601" i="18"/>
  <c r="S602" i="18"/>
  <c r="S603" i="18"/>
  <c r="S604" i="18"/>
  <c r="S605" i="18"/>
  <c r="S606" i="18"/>
  <c r="S607" i="18"/>
  <c r="S608" i="18"/>
  <c r="S609" i="18"/>
  <c r="S610" i="18"/>
  <c r="S611" i="18"/>
  <c r="S612" i="18"/>
  <c r="S613" i="18"/>
  <c r="S614" i="18"/>
  <c r="S615" i="18"/>
  <c r="S616" i="18"/>
  <c r="S617" i="18"/>
  <c r="S618" i="18"/>
  <c r="S619" i="18"/>
  <c r="S620" i="18"/>
  <c r="S621" i="18"/>
  <c r="S622" i="18"/>
  <c r="S623" i="18"/>
  <c r="S624" i="18"/>
  <c r="S625" i="18"/>
  <c r="S626" i="18"/>
  <c r="S627" i="18"/>
  <c r="S628" i="18"/>
  <c r="S629" i="18"/>
  <c r="S630" i="18"/>
  <c r="S631" i="18"/>
  <c r="S632" i="18"/>
  <c r="S633" i="18"/>
  <c r="S634" i="18"/>
  <c r="S635" i="18"/>
  <c r="S636" i="18"/>
  <c r="S637" i="18"/>
  <c r="S638" i="18"/>
  <c r="S639" i="18"/>
  <c r="S640" i="18"/>
  <c r="S641" i="18"/>
  <c r="S642" i="18"/>
  <c r="S643" i="18"/>
  <c r="S644" i="18"/>
  <c r="S645" i="18"/>
  <c r="S646" i="18"/>
  <c r="S647" i="18"/>
  <c r="S648" i="18"/>
  <c r="S649" i="18"/>
  <c r="S650" i="18"/>
  <c r="S651" i="18"/>
  <c r="S652" i="18"/>
  <c r="S653" i="18"/>
  <c r="S654" i="18"/>
  <c r="S655" i="18"/>
  <c r="S656" i="18"/>
  <c r="S657" i="18"/>
  <c r="S658" i="18"/>
  <c r="S659" i="18"/>
  <c r="S660" i="18"/>
  <c r="S661" i="18"/>
  <c r="S662" i="18"/>
  <c r="S663" i="18"/>
  <c r="S664" i="18"/>
  <c r="S665" i="18"/>
  <c r="S666" i="18"/>
  <c r="S667" i="18"/>
  <c r="S668" i="18"/>
  <c r="S669" i="18"/>
  <c r="S670" i="18"/>
  <c r="S671" i="18"/>
  <c r="S672" i="18"/>
  <c r="S673" i="18"/>
  <c r="S674" i="18"/>
  <c r="S675" i="18"/>
  <c r="S676" i="18"/>
  <c r="S677" i="18"/>
  <c r="S678" i="18"/>
  <c r="S679" i="18"/>
  <c r="S680" i="18"/>
  <c r="S681" i="18"/>
  <c r="S682" i="18"/>
  <c r="S683" i="18"/>
  <c r="S684" i="18"/>
  <c r="S685" i="18"/>
  <c r="S686" i="18"/>
  <c r="S687" i="18"/>
  <c r="S688" i="18"/>
  <c r="S689" i="18"/>
  <c r="S690" i="18"/>
  <c r="S691" i="18"/>
  <c r="S692" i="18"/>
  <c r="S693" i="18"/>
  <c r="S694" i="18"/>
  <c r="S695" i="18"/>
  <c r="S696" i="18"/>
  <c r="S697" i="18"/>
  <c r="S698" i="18"/>
  <c r="S699" i="18"/>
  <c r="S700" i="18"/>
  <c r="S701" i="18"/>
  <c r="S702" i="18"/>
  <c r="S703" i="18"/>
  <c r="S704" i="18"/>
  <c r="S705" i="18"/>
  <c r="S706" i="18"/>
  <c r="S707" i="18"/>
  <c r="S708" i="18"/>
  <c r="S709" i="18"/>
  <c r="S710" i="18"/>
  <c r="S711" i="18"/>
  <c r="S712" i="18"/>
  <c r="S713" i="18"/>
  <c r="S714" i="18"/>
  <c r="S715" i="18"/>
  <c r="S716" i="18"/>
  <c r="S717" i="18"/>
  <c r="S718" i="18"/>
  <c r="S719" i="18"/>
  <c r="S720" i="18"/>
  <c r="S721" i="18"/>
  <c r="S722" i="18"/>
  <c r="S723" i="18"/>
  <c r="S724" i="18"/>
  <c r="S725" i="18"/>
  <c r="S726" i="18"/>
  <c r="S727" i="18"/>
  <c r="S728" i="18"/>
  <c r="S729" i="18"/>
  <c r="S730" i="18"/>
  <c r="S731" i="18"/>
  <c r="S732" i="18"/>
  <c r="S733" i="18"/>
  <c r="S734" i="18"/>
  <c r="S735" i="18"/>
  <c r="S736" i="18"/>
  <c r="S737" i="18"/>
  <c r="S738" i="18"/>
  <c r="S739" i="18"/>
  <c r="S740" i="18"/>
  <c r="S741" i="18"/>
  <c r="S742" i="18"/>
  <c r="S743" i="18"/>
  <c r="S744" i="18"/>
  <c r="S745" i="18"/>
  <c r="S746" i="18"/>
  <c r="S747" i="18"/>
  <c r="S748" i="18"/>
  <c r="S749" i="18"/>
  <c r="S750" i="18"/>
  <c r="S751" i="18"/>
  <c r="S752" i="18"/>
  <c r="S753" i="18"/>
  <c r="S754" i="18"/>
  <c r="S755" i="18"/>
  <c r="S756" i="18"/>
  <c r="S757" i="18"/>
  <c r="S758" i="18"/>
  <c r="S759" i="18"/>
  <c r="S760" i="18"/>
  <c r="S761" i="18"/>
  <c r="S762" i="18"/>
  <c r="S763" i="18"/>
  <c r="S764" i="18"/>
  <c r="S765" i="18"/>
  <c r="S766" i="18"/>
  <c r="S767" i="18"/>
  <c r="S768" i="18"/>
  <c r="S769" i="18"/>
  <c r="S770" i="18"/>
  <c r="S771" i="18"/>
  <c r="S772" i="18"/>
  <c r="S773" i="18"/>
  <c r="S774" i="18"/>
  <c r="S775" i="18"/>
  <c r="S776" i="18"/>
  <c r="S777" i="18"/>
  <c r="S778" i="18"/>
  <c r="S779" i="18"/>
  <c r="S780" i="18"/>
  <c r="S781" i="18"/>
  <c r="S782" i="18"/>
  <c r="S783" i="18"/>
  <c r="S784" i="18"/>
  <c r="S785" i="18"/>
  <c r="S786" i="18"/>
  <c r="S787" i="18"/>
  <c r="S788" i="18"/>
  <c r="S789" i="18"/>
  <c r="S790" i="18"/>
  <c r="S791" i="18"/>
  <c r="S792" i="18"/>
  <c r="S793" i="18"/>
  <c r="S794" i="18"/>
  <c r="S795" i="18"/>
  <c r="S796" i="18"/>
  <c r="S797" i="18"/>
  <c r="S798" i="18"/>
  <c r="S799" i="18"/>
  <c r="S800" i="18"/>
  <c r="S801" i="18"/>
  <c r="S802" i="18"/>
  <c r="S803" i="18"/>
  <c r="S804" i="18"/>
  <c r="S805" i="18"/>
  <c r="S806" i="18"/>
  <c r="S807" i="18"/>
  <c r="S808" i="18"/>
  <c r="S809" i="18"/>
  <c r="S810" i="18"/>
  <c r="S811" i="18"/>
  <c r="S812" i="18"/>
  <c r="S813" i="18"/>
  <c r="S814" i="18"/>
  <c r="S815" i="18"/>
  <c r="S816" i="18"/>
  <c r="S817" i="18"/>
  <c r="S818" i="18"/>
  <c r="S819" i="18"/>
  <c r="S820" i="18"/>
  <c r="S821" i="18"/>
  <c r="S822" i="18"/>
  <c r="S823" i="18"/>
  <c r="S824" i="18"/>
  <c r="S825" i="18"/>
  <c r="S826" i="18"/>
  <c r="S827" i="18"/>
  <c r="S828" i="18"/>
  <c r="S829" i="18"/>
  <c r="S830" i="18"/>
  <c r="S831" i="18"/>
  <c r="S832" i="18"/>
  <c r="S833" i="18"/>
  <c r="S834" i="18"/>
  <c r="S835" i="18"/>
  <c r="S836" i="18"/>
  <c r="S837" i="18"/>
  <c r="S838" i="18"/>
  <c r="S839" i="18"/>
  <c r="S840" i="18"/>
  <c r="S841" i="18"/>
  <c r="S842" i="18"/>
  <c r="S843" i="18"/>
  <c r="S844" i="18"/>
  <c r="S845" i="18"/>
  <c r="S846" i="18"/>
  <c r="S847" i="18"/>
  <c r="S848" i="18"/>
  <c r="S849" i="18"/>
  <c r="S850" i="18"/>
  <c r="S851" i="18"/>
  <c r="S852" i="18"/>
  <c r="S853" i="18"/>
  <c r="S854" i="18"/>
  <c r="S855" i="18"/>
  <c r="S856" i="18"/>
  <c r="S857" i="18"/>
  <c r="S858" i="18"/>
  <c r="S859" i="18"/>
  <c r="S860" i="18"/>
  <c r="S861" i="18"/>
  <c r="S862" i="18"/>
  <c r="S863" i="18"/>
  <c r="S864" i="18"/>
  <c r="S865" i="18"/>
  <c r="S866" i="18"/>
  <c r="S867" i="18"/>
  <c r="S868" i="18"/>
  <c r="S869" i="18"/>
  <c r="S870" i="18"/>
  <c r="S871" i="18"/>
  <c r="S872" i="18"/>
  <c r="S873" i="18"/>
  <c r="S874" i="18"/>
  <c r="S875" i="18"/>
  <c r="S876" i="18"/>
  <c r="S877" i="18"/>
  <c r="S878" i="18"/>
  <c r="S879" i="18"/>
  <c r="S880" i="18"/>
  <c r="S881" i="18"/>
  <c r="S882" i="18"/>
  <c r="S883" i="18"/>
  <c r="S884" i="18"/>
  <c r="S885" i="18"/>
  <c r="S886" i="18"/>
  <c r="S887" i="18"/>
  <c r="S888" i="18"/>
  <c r="S889" i="18"/>
  <c r="S890" i="18"/>
  <c r="S891" i="18"/>
  <c r="S892" i="18"/>
  <c r="S893" i="18"/>
  <c r="S894" i="18"/>
  <c r="S895" i="18"/>
  <c r="S896" i="18"/>
  <c r="S897" i="18"/>
  <c r="S898" i="18"/>
  <c r="S899" i="18"/>
  <c r="S900" i="18"/>
  <c r="S901" i="18"/>
  <c r="S902" i="18"/>
  <c r="S903" i="18"/>
  <c r="S904" i="18"/>
  <c r="S905" i="18"/>
  <c r="S906" i="18"/>
  <c r="S907" i="18"/>
  <c r="S908" i="18"/>
  <c r="S909" i="18"/>
  <c r="S910" i="18"/>
  <c r="S911" i="18"/>
  <c r="S912" i="18"/>
  <c r="S913" i="18"/>
  <c r="S914" i="18"/>
  <c r="S915" i="18"/>
  <c r="S916" i="18"/>
  <c r="S917" i="18"/>
  <c r="S918" i="18"/>
  <c r="S919" i="18"/>
  <c r="S920" i="18"/>
  <c r="S921" i="18"/>
  <c r="S922" i="18"/>
  <c r="S923" i="18"/>
  <c r="S924" i="18"/>
  <c r="S925" i="18"/>
  <c r="S926" i="18"/>
  <c r="S927" i="18"/>
  <c r="S928" i="18"/>
  <c r="S929" i="18"/>
  <c r="S930" i="18"/>
  <c r="S931" i="18"/>
  <c r="S932" i="18"/>
  <c r="S933" i="18"/>
  <c r="S934" i="18"/>
  <c r="S935" i="18"/>
  <c r="S936" i="18"/>
  <c r="S937" i="18"/>
  <c r="S938" i="18"/>
  <c r="S939" i="18"/>
  <c r="S940" i="18"/>
  <c r="S941" i="18"/>
  <c r="S942" i="18"/>
  <c r="S943" i="18"/>
  <c r="S944" i="18"/>
  <c r="S945" i="18"/>
  <c r="S946" i="18"/>
  <c r="S947" i="18"/>
  <c r="S948" i="18"/>
  <c r="S949" i="18"/>
  <c r="S950" i="18"/>
  <c r="S951" i="18"/>
  <c r="S952" i="18"/>
  <c r="S953" i="18"/>
  <c r="S954" i="18"/>
  <c r="S955" i="18"/>
  <c r="S956" i="18"/>
  <c r="S957" i="18"/>
  <c r="S958" i="18"/>
  <c r="S959" i="18"/>
  <c r="S960" i="18"/>
  <c r="S961" i="18"/>
  <c r="S962" i="18"/>
  <c r="S963" i="18"/>
  <c r="S964" i="18"/>
  <c r="S965" i="18"/>
  <c r="S966" i="18"/>
  <c r="S967" i="18"/>
  <c r="S968" i="18"/>
  <c r="S969" i="18"/>
  <c r="S970" i="18"/>
  <c r="S971" i="18"/>
  <c r="S972" i="18"/>
  <c r="S973" i="18"/>
  <c r="S974" i="18"/>
  <c r="S975" i="18"/>
  <c r="S976" i="18"/>
  <c r="S977" i="18"/>
  <c r="S978" i="18"/>
  <c r="S979" i="18"/>
  <c r="S980" i="18"/>
  <c r="S981" i="18"/>
  <c r="S982" i="18"/>
  <c r="S983" i="18"/>
  <c r="S984" i="18"/>
  <c r="S985" i="18"/>
  <c r="S986" i="18"/>
  <c r="S987" i="18"/>
  <c r="S988" i="18"/>
  <c r="S989" i="18"/>
  <c r="S990" i="18"/>
  <c r="S991" i="18"/>
  <c r="S992" i="18"/>
  <c r="S993" i="18"/>
  <c r="S994" i="18"/>
  <c r="S995" i="18"/>
  <c r="S996" i="18"/>
  <c r="S997" i="18"/>
  <c r="S998" i="18"/>
  <c r="S999" i="18"/>
  <c r="S1000" i="18"/>
  <c r="S1001" i="18"/>
  <c r="AB2" i="18"/>
  <c r="AB3" i="18"/>
  <c r="AB4" i="18"/>
  <c r="AB5" i="18"/>
  <c r="AB6" i="18"/>
  <c r="AB7" i="18"/>
  <c r="AB8" i="18"/>
  <c r="AB9" i="18"/>
  <c r="AB10" i="18"/>
  <c r="AB11" i="18"/>
  <c r="AB12" i="18"/>
  <c r="AB13" i="18"/>
  <c r="AB14" i="18"/>
  <c r="AB15" i="18"/>
  <c r="AB16" i="18"/>
  <c r="AB17" i="18"/>
  <c r="AB18" i="18"/>
  <c r="AB19" i="18"/>
  <c r="AB20" i="18"/>
  <c r="AB21" i="18"/>
  <c r="AB22" i="18"/>
  <c r="AB23" i="18"/>
  <c r="AB24" i="18"/>
  <c r="AB25" i="18"/>
  <c r="AB26" i="18"/>
  <c r="AB27" i="18"/>
  <c r="AB28" i="18"/>
  <c r="AB29" i="18"/>
  <c r="AB30" i="18"/>
  <c r="AB31" i="18"/>
  <c r="AB32" i="18"/>
  <c r="AB33" i="18"/>
  <c r="AB34" i="18"/>
  <c r="AB35" i="18"/>
  <c r="AB36" i="18"/>
  <c r="AB37" i="18"/>
  <c r="AB38" i="18"/>
  <c r="AB39" i="18"/>
  <c r="AB40" i="18"/>
  <c r="AB41" i="18"/>
  <c r="AB42" i="18"/>
  <c r="AB43" i="18"/>
  <c r="AB44" i="18"/>
  <c r="AB45" i="18"/>
  <c r="AB46" i="18"/>
  <c r="AB47" i="18"/>
  <c r="AB48" i="18"/>
  <c r="AB49" i="18"/>
  <c r="AB50" i="18"/>
  <c r="AB51" i="18"/>
  <c r="AB52" i="18"/>
  <c r="AB53" i="18"/>
  <c r="AB54" i="18"/>
  <c r="AB55" i="18"/>
  <c r="AB56" i="18"/>
  <c r="AB57" i="18"/>
  <c r="AB58" i="18"/>
  <c r="AB59" i="18"/>
  <c r="AB60" i="18"/>
  <c r="AB61" i="18"/>
  <c r="AB62" i="18"/>
  <c r="AB63" i="18"/>
  <c r="AB64" i="18"/>
  <c r="AB65" i="18"/>
  <c r="AB66" i="18"/>
  <c r="AB67" i="18"/>
  <c r="AB68" i="18"/>
  <c r="AB69" i="18"/>
  <c r="AB70" i="18"/>
  <c r="AB71" i="18"/>
  <c r="AB72" i="18"/>
  <c r="AB73" i="18"/>
  <c r="AB74" i="18"/>
  <c r="AB75" i="18"/>
  <c r="AB76" i="18"/>
  <c r="AB77" i="18"/>
  <c r="AB78" i="18"/>
  <c r="AB79" i="18"/>
  <c r="AB80" i="18"/>
  <c r="AB81" i="18"/>
  <c r="AB82" i="18"/>
  <c r="AB83" i="18"/>
  <c r="AB84" i="18"/>
  <c r="AB85" i="18"/>
  <c r="AB86" i="18"/>
  <c r="AB87" i="18"/>
  <c r="AB88" i="18"/>
  <c r="AB89" i="18"/>
  <c r="AB90" i="18"/>
  <c r="AB91" i="18"/>
  <c r="AB92" i="18"/>
  <c r="AB93" i="18"/>
  <c r="AB94" i="18"/>
  <c r="AB95" i="18"/>
  <c r="AB96" i="18"/>
  <c r="AB97" i="18"/>
  <c r="AB98" i="18"/>
  <c r="AB99" i="18"/>
  <c r="AB100" i="18"/>
  <c r="AB101" i="18"/>
  <c r="AB102" i="18"/>
  <c r="AB103" i="18"/>
  <c r="AB104" i="18"/>
  <c r="AB105" i="18"/>
  <c r="AB106" i="18"/>
  <c r="AB107" i="18"/>
  <c r="AB108" i="18"/>
  <c r="AB109" i="18"/>
  <c r="AB110" i="18"/>
  <c r="AB111" i="18"/>
  <c r="AB112" i="18"/>
  <c r="AB113" i="18"/>
  <c r="AB114" i="18"/>
  <c r="AB115" i="18"/>
  <c r="AB116" i="18"/>
  <c r="AB117" i="18"/>
  <c r="AB118" i="18"/>
  <c r="AB119" i="18"/>
  <c r="AB120" i="18"/>
  <c r="AB121" i="18"/>
  <c r="AB122" i="18"/>
  <c r="AB123" i="18"/>
  <c r="AB124" i="18"/>
  <c r="AB125" i="18"/>
  <c r="AB126" i="18"/>
  <c r="AB127" i="18"/>
  <c r="AB128" i="18"/>
  <c r="AB129" i="18"/>
  <c r="AB130" i="18"/>
  <c r="AB131" i="18"/>
  <c r="AB132" i="18"/>
  <c r="AB133" i="18"/>
  <c r="AB134" i="18"/>
  <c r="AB135" i="18"/>
  <c r="AB136" i="18"/>
  <c r="AB137" i="18"/>
  <c r="AB138" i="18"/>
  <c r="AB139" i="18"/>
  <c r="AB140" i="18"/>
  <c r="AB141" i="18"/>
  <c r="AB142" i="18"/>
  <c r="AB143" i="18"/>
  <c r="AB144" i="18"/>
  <c r="AB145" i="18"/>
  <c r="AB146" i="18"/>
  <c r="AB147" i="18"/>
  <c r="AB148" i="18"/>
  <c r="AB149" i="18"/>
  <c r="AB150" i="18"/>
  <c r="AB151" i="18"/>
  <c r="AB152" i="18"/>
  <c r="AB153" i="18"/>
  <c r="AB154" i="18"/>
  <c r="AB155" i="18"/>
  <c r="AB156" i="18"/>
  <c r="AB157" i="18"/>
  <c r="AB158" i="18"/>
  <c r="AB159" i="18"/>
  <c r="AB160" i="18"/>
  <c r="AB161" i="18"/>
  <c r="AB162" i="18"/>
  <c r="AB163" i="18"/>
  <c r="AB164" i="18"/>
  <c r="AB165" i="18"/>
  <c r="AB166" i="18"/>
  <c r="AB167" i="18"/>
  <c r="AB168" i="18"/>
  <c r="AB169" i="18"/>
  <c r="AB170" i="18"/>
  <c r="AB171" i="18"/>
  <c r="AB172" i="18"/>
  <c r="AB173" i="18"/>
  <c r="AB174" i="18"/>
  <c r="AB175" i="18"/>
  <c r="AB176" i="18"/>
  <c r="AB177" i="18"/>
  <c r="AB178" i="18"/>
  <c r="AB179" i="18"/>
  <c r="AB180" i="18"/>
  <c r="AB181" i="18"/>
  <c r="AB182" i="18"/>
  <c r="AB183" i="18"/>
  <c r="AB184" i="18"/>
  <c r="AB185" i="18"/>
  <c r="AB186" i="18"/>
  <c r="AB187" i="18"/>
  <c r="AB188" i="18"/>
  <c r="AB189" i="18"/>
  <c r="AB190" i="18"/>
  <c r="AB191" i="18"/>
  <c r="AB192" i="18"/>
  <c r="AB193" i="18"/>
  <c r="AB194" i="18"/>
  <c r="AB195" i="18"/>
  <c r="AB196" i="18"/>
  <c r="AB197" i="18"/>
  <c r="AB198" i="18"/>
  <c r="AB199" i="18"/>
  <c r="AB200" i="18"/>
  <c r="AB201" i="18"/>
  <c r="AB202" i="18"/>
  <c r="AB203" i="18"/>
  <c r="AB204" i="18"/>
  <c r="AB205" i="18"/>
  <c r="AB206" i="18"/>
  <c r="AB207" i="18"/>
  <c r="AB208" i="18"/>
  <c r="AB209" i="18"/>
  <c r="AB210" i="18"/>
  <c r="AB211" i="18"/>
  <c r="AB212" i="18"/>
  <c r="AB213" i="18"/>
  <c r="AB214" i="18"/>
  <c r="AB215" i="18"/>
  <c r="AB216" i="18"/>
  <c r="AB217" i="18"/>
  <c r="AB218" i="18"/>
  <c r="AB219" i="18"/>
  <c r="AB220" i="18"/>
  <c r="AB221" i="18"/>
  <c r="AB222" i="18"/>
  <c r="AB223" i="18"/>
  <c r="AB224" i="18"/>
  <c r="AB225" i="18"/>
  <c r="AB226" i="18"/>
  <c r="AB227" i="18"/>
  <c r="AB228" i="18"/>
  <c r="AB229" i="18"/>
  <c r="AB230" i="18"/>
  <c r="AB231" i="18"/>
  <c r="AB232" i="18"/>
  <c r="AB233" i="18"/>
  <c r="AB234" i="18"/>
  <c r="AB235" i="18"/>
  <c r="AB236" i="18"/>
  <c r="AB237" i="18"/>
  <c r="AB238" i="18"/>
  <c r="AB239" i="18"/>
  <c r="AB240" i="18"/>
  <c r="AB241" i="18"/>
  <c r="AB242" i="18"/>
  <c r="AB243" i="18"/>
  <c r="AB244" i="18"/>
  <c r="AB245" i="18"/>
  <c r="AB246" i="18"/>
  <c r="AB247" i="18"/>
  <c r="AB248" i="18"/>
  <c r="AB249" i="18"/>
  <c r="AB250" i="18"/>
  <c r="AB251" i="18"/>
  <c r="AB252" i="18"/>
  <c r="AB253" i="18"/>
  <c r="AB254" i="18"/>
  <c r="AB255" i="18"/>
  <c r="AB256" i="18"/>
  <c r="AB257" i="18"/>
  <c r="AB258" i="18"/>
  <c r="AB259" i="18"/>
  <c r="AB260" i="18"/>
  <c r="AB261" i="18"/>
  <c r="AB262" i="18"/>
  <c r="AB263" i="18"/>
  <c r="AB264" i="18"/>
  <c r="AB265" i="18"/>
  <c r="AB266" i="18"/>
  <c r="AB267" i="18"/>
  <c r="AB268" i="18"/>
  <c r="AB269" i="18"/>
  <c r="AB270" i="18"/>
  <c r="AB271" i="18"/>
  <c r="AB272" i="18"/>
  <c r="AB273" i="18"/>
  <c r="AB274" i="18"/>
  <c r="AB275" i="18"/>
  <c r="AB276" i="18"/>
  <c r="AB277" i="18"/>
  <c r="AB278" i="18"/>
  <c r="AB279" i="18"/>
  <c r="AB280" i="18"/>
  <c r="AB281" i="18"/>
  <c r="AB282" i="18"/>
  <c r="AB283" i="18"/>
  <c r="AB284" i="18"/>
  <c r="AB285" i="18"/>
  <c r="AB286" i="18"/>
  <c r="AB287" i="18"/>
  <c r="AB288" i="18"/>
  <c r="AB289" i="18"/>
  <c r="AB290" i="18"/>
  <c r="AB291" i="18"/>
  <c r="AB292" i="18"/>
  <c r="AB293" i="18"/>
  <c r="AB294" i="18"/>
  <c r="AB295" i="18"/>
  <c r="AB296" i="18"/>
  <c r="AB297" i="18"/>
  <c r="AB298" i="18"/>
  <c r="AB299" i="18"/>
  <c r="AB300" i="18"/>
  <c r="AB301" i="18"/>
  <c r="AB302" i="18"/>
  <c r="AB303" i="18"/>
  <c r="AB304" i="18"/>
  <c r="AB305" i="18"/>
  <c r="AB306" i="18"/>
  <c r="AB307" i="18"/>
  <c r="AB308" i="18"/>
  <c r="AB309" i="18"/>
  <c r="AB310" i="18"/>
  <c r="AB311" i="18"/>
  <c r="AB312" i="18"/>
  <c r="AB313" i="18"/>
  <c r="AB314" i="18"/>
  <c r="AB315" i="18"/>
  <c r="AB316" i="18"/>
  <c r="AB317" i="18"/>
  <c r="AB318" i="18"/>
  <c r="AB319" i="18"/>
  <c r="AB320" i="18"/>
  <c r="AB321" i="18"/>
  <c r="AB322" i="18"/>
  <c r="AB323" i="18"/>
  <c r="AB324" i="18"/>
  <c r="AB325" i="18"/>
  <c r="AB326" i="18"/>
  <c r="AB327" i="18"/>
  <c r="AB328" i="18"/>
  <c r="AB329" i="18"/>
  <c r="AB330" i="18"/>
  <c r="AB331" i="18"/>
  <c r="AB332" i="18"/>
  <c r="AB333" i="18"/>
  <c r="AB334" i="18"/>
  <c r="AB335" i="18"/>
  <c r="AB336" i="18"/>
  <c r="AB337" i="18"/>
  <c r="AB338" i="18"/>
  <c r="AB339" i="18"/>
  <c r="AB340" i="18"/>
  <c r="AB341" i="18"/>
  <c r="AB342" i="18"/>
  <c r="AB343" i="18"/>
  <c r="AB344" i="18"/>
  <c r="AB345" i="18"/>
  <c r="AB346" i="18"/>
  <c r="AB347" i="18"/>
  <c r="AB348" i="18"/>
  <c r="AB349" i="18"/>
  <c r="AB350" i="18"/>
  <c r="AB351" i="18"/>
  <c r="AB352" i="18"/>
  <c r="AB353" i="18"/>
  <c r="AB354" i="18"/>
  <c r="AB355" i="18"/>
  <c r="AB356" i="18"/>
  <c r="AB357" i="18"/>
  <c r="AB358" i="18"/>
  <c r="AB359" i="18"/>
  <c r="AB360" i="18"/>
  <c r="AB361" i="18"/>
  <c r="AB362" i="18"/>
  <c r="AB363" i="18"/>
  <c r="AB364" i="18"/>
  <c r="AB365" i="18"/>
  <c r="AB366" i="18"/>
  <c r="AB367" i="18"/>
  <c r="AB368" i="18"/>
  <c r="AB369" i="18"/>
  <c r="AB370" i="18"/>
  <c r="AB371" i="18"/>
  <c r="AB372" i="18"/>
  <c r="AB373" i="18"/>
  <c r="AB374" i="18"/>
  <c r="AB375" i="18"/>
  <c r="AB376" i="18"/>
  <c r="AB377" i="18"/>
  <c r="AB378" i="18"/>
  <c r="AB379" i="18"/>
  <c r="AB380" i="18"/>
  <c r="AB381" i="18"/>
  <c r="AB382" i="18"/>
  <c r="AB383" i="18"/>
  <c r="AB384" i="18"/>
  <c r="AB385" i="18"/>
  <c r="AB386" i="18"/>
  <c r="AB387" i="18"/>
  <c r="AB388" i="18"/>
  <c r="AB389" i="18"/>
  <c r="AB390" i="18"/>
  <c r="AB391" i="18"/>
  <c r="AB392" i="18"/>
  <c r="AB393" i="18"/>
  <c r="AB394" i="18"/>
  <c r="AB395" i="18"/>
  <c r="AB396" i="18"/>
  <c r="AB397" i="18"/>
  <c r="AB398" i="18"/>
  <c r="AB399" i="18"/>
  <c r="AB400" i="18"/>
  <c r="AB401" i="18"/>
  <c r="AB402" i="18"/>
  <c r="AB403" i="18"/>
  <c r="AB404" i="18"/>
  <c r="AB405" i="18"/>
  <c r="AB406" i="18"/>
  <c r="AB407" i="18"/>
  <c r="AB408" i="18"/>
  <c r="AB409" i="18"/>
  <c r="AB410" i="18"/>
  <c r="AB411" i="18"/>
  <c r="AB412" i="18"/>
  <c r="AB413" i="18"/>
  <c r="AB414" i="18"/>
  <c r="AB415" i="18"/>
  <c r="AB416" i="18"/>
  <c r="AB417" i="18"/>
  <c r="AB418" i="18"/>
  <c r="AB419" i="18"/>
  <c r="AB420" i="18"/>
  <c r="AB421" i="18"/>
  <c r="AB422" i="18"/>
  <c r="AB423" i="18"/>
  <c r="AB424" i="18"/>
  <c r="AB425" i="18"/>
  <c r="AB426" i="18"/>
  <c r="AB427" i="18"/>
  <c r="AB428" i="18"/>
  <c r="AB429" i="18"/>
  <c r="AB430" i="18"/>
  <c r="AB431" i="18"/>
  <c r="AB432" i="18"/>
  <c r="AB433" i="18"/>
  <c r="AB434" i="18"/>
  <c r="AB435" i="18"/>
  <c r="AB436" i="18"/>
  <c r="AB437" i="18"/>
  <c r="AB438" i="18"/>
  <c r="AB439" i="18"/>
  <c r="AB440" i="18"/>
  <c r="AB441" i="18"/>
  <c r="AB442" i="18"/>
  <c r="AB443" i="18"/>
  <c r="AB444" i="18"/>
  <c r="AB445" i="18"/>
  <c r="AB446" i="18"/>
  <c r="AB447" i="18"/>
  <c r="AB448" i="18"/>
  <c r="AB449" i="18"/>
  <c r="AB450" i="18"/>
  <c r="AB451" i="18"/>
  <c r="AB452" i="18"/>
  <c r="AB453" i="18"/>
  <c r="AB454" i="18"/>
  <c r="AB455" i="18"/>
  <c r="AB456" i="18"/>
  <c r="AB457" i="18"/>
  <c r="AB458" i="18"/>
  <c r="AB459" i="18"/>
  <c r="AB460" i="18"/>
  <c r="AB461" i="18"/>
  <c r="AB462" i="18"/>
  <c r="AB463" i="18"/>
  <c r="AB464" i="18"/>
  <c r="AB465" i="18"/>
  <c r="AB466" i="18"/>
  <c r="AB467" i="18"/>
  <c r="AB468" i="18"/>
  <c r="AB469" i="18"/>
  <c r="AB470" i="18"/>
  <c r="AB471" i="18"/>
  <c r="AB472" i="18"/>
  <c r="AB473" i="18"/>
  <c r="AB474" i="18"/>
  <c r="AB475" i="18"/>
  <c r="AB476" i="18"/>
  <c r="AB477" i="18"/>
  <c r="AB478" i="18"/>
  <c r="AB479" i="18"/>
  <c r="AB480" i="18"/>
  <c r="AB481" i="18"/>
  <c r="AB482" i="18"/>
  <c r="AB483" i="18"/>
  <c r="AB484" i="18"/>
  <c r="AB485" i="18"/>
  <c r="AB486" i="18"/>
  <c r="AB487" i="18"/>
  <c r="AB488" i="18"/>
  <c r="AB489" i="18"/>
  <c r="AB490" i="18"/>
  <c r="AB491" i="18"/>
  <c r="AB492" i="18"/>
  <c r="AB493" i="18"/>
  <c r="AB494" i="18"/>
  <c r="AB495" i="18"/>
  <c r="AB496" i="18"/>
  <c r="AB497" i="18"/>
  <c r="AB498" i="18"/>
  <c r="AB499" i="18"/>
  <c r="AB500" i="18"/>
  <c r="AB501" i="18"/>
  <c r="AB502" i="18"/>
  <c r="AB503" i="18"/>
  <c r="AB504" i="18"/>
  <c r="AB505" i="18"/>
  <c r="AB506" i="18"/>
  <c r="AB507" i="18"/>
  <c r="AB508" i="18"/>
  <c r="AB509" i="18"/>
  <c r="AB510" i="18"/>
  <c r="AB511" i="18"/>
  <c r="AB512" i="18"/>
  <c r="AB513" i="18"/>
  <c r="AB514" i="18"/>
  <c r="AB515" i="18"/>
  <c r="AB516" i="18"/>
  <c r="AB517" i="18"/>
  <c r="AB518" i="18"/>
  <c r="AB519" i="18"/>
  <c r="AB520" i="18"/>
  <c r="AB521" i="18"/>
  <c r="AB522" i="18"/>
  <c r="AB523" i="18"/>
  <c r="AB524" i="18"/>
  <c r="AB525" i="18"/>
  <c r="AB526" i="18"/>
  <c r="AB527" i="18"/>
  <c r="AB528" i="18"/>
  <c r="AB529" i="18"/>
  <c r="AB530" i="18"/>
  <c r="AB531" i="18"/>
  <c r="AB532" i="18"/>
  <c r="AB533" i="18"/>
  <c r="AB534" i="18"/>
  <c r="AB535" i="18"/>
  <c r="AB536" i="18"/>
  <c r="AB537" i="18"/>
  <c r="AB538" i="18"/>
  <c r="AB539" i="18"/>
  <c r="AB540" i="18"/>
  <c r="AB541" i="18"/>
  <c r="AB542" i="18"/>
  <c r="AB543" i="18"/>
  <c r="AB544" i="18"/>
  <c r="AB545" i="18"/>
  <c r="AB546" i="18"/>
  <c r="AB547" i="18"/>
  <c r="AB548" i="18"/>
  <c r="AB549" i="18"/>
  <c r="AB550" i="18"/>
  <c r="AB551" i="18"/>
  <c r="AB552" i="18"/>
  <c r="AB553" i="18"/>
  <c r="AB554" i="18"/>
  <c r="AB555" i="18"/>
  <c r="AB556" i="18"/>
  <c r="AB557" i="18"/>
  <c r="AB558" i="18"/>
  <c r="AB559" i="18"/>
  <c r="AB560" i="18"/>
  <c r="AB561" i="18"/>
  <c r="AB562" i="18"/>
  <c r="AB563" i="18"/>
  <c r="AB564" i="18"/>
  <c r="AB565" i="18"/>
  <c r="AB566" i="18"/>
  <c r="AB567" i="18"/>
  <c r="AB568" i="18"/>
  <c r="AB569" i="18"/>
  <c r="AB570" i="18"/>
  <c r="AB571" i="18"/>
  <c r="AB572" i="18"/>
  <c r="AB573" i="18"/>
  <c r="AB574" i="18"/>
  <c r="AB575" i="18"/>
  <c r="AB576" i="18"/>
  <c r="AB577" i="18"/>
  <c r="AB578" i="18"/>
  <c r="AB579" i="18"/>
  <c r="AB580" i="18"/>
  <c r="AB581" i="18"/>
  <c r="AB582" i="18"/>
  <c r="AB583" i="18"/>
  <c r="AB584" i="18"/>
  <c r="AB585" i="18"/>
  <c r="AB586" i="18"/>
  <c r="AB587" i="18"/>
  <c r="AB588" i="18"/>
  <c r="AB589" i="18"/>
  <c r="AB590" i="18"/>
  <c r="AB591" i="18"/>
  <c r="AB592" i="18"/>
  <c r="AB593" i="18"/>
  <c r="AB594" i="18"/>
  <c r="AB595" i="18"/>
  <c r="AB596" i="18"/>
  <c r="AB597" i="18"/>
  <c r="AB598" i="18"/>
  <c r="AB599" i="18"/>
  <c r="AB600" i="18"/>
  <c r="AB601" i="18"/>
  <c r="AB602" i="18"/>
  <c r="AB603" i="18"/>
  <c r="AB604" i="18"/>
  <c r="AB605" i="18"/>
  <c r="AB606" i="18"/>
  <c r="AB607" i="18"/>
  <c r="AB608" i="18"/>
  <c r="AB609" i="18"/>
  <c r="AB610" i="18"/>
  <c r="AB611" i="18"/>
  <c r="AB612" i="18"/>
  <c r="AB613" i="18"/>
  <c r="AB614" i="18"/>
  <c r="AB615" i="18"/>
  <c r="AB616" i="18"/>
  <c r="AB617" i="18"/>
  <c r="AB618" i="18"/>
  <c r="AB619" i="18"/>
  <c r="AB620" i="18"/>
  <c r="AB621" i="18"/>
  <c r="AB622" i="18"/>
  <c r="AB623" i="18"/>
  <c r="AB624" i="18"/>
  <c r="AB625" i="18"/>
  <c r="AB626" i="18"/>
  <c r="AB627" i="18"/>
  <c r="AB628" i="18"/>
  <c r="AB629" i="18"/>
  <c r="AB630" i="18"/>
  <c r="AB631" i="18"/>
  <c r="AB632" i="18"/>
  <c r="AB633" i="18"/>
  <c r="AB634" i="18"/>
  <c r="AB635" i="18"/>
  <c r="AB636" i="18"/>
  <c r="AB637" i="18"/>
  <c r="AB638" i="18"/>
  <c r="AB639" i="18"/>
  <c r="AB640" i="18"/>
  <c r="AB641" i="18"/>
  <c r="AB642" i="18"/>
  <c r="AB643" i="18"/>
  <c r="AB644" i="18"/>
  <c r="AB645" i="18"/>
  <c r="AB646" i="18"/>
  <c r="AB647" i="18"/>
  <c r="AB648" i="18"/>
  <c r="AB649" i="18"/>
  <c r="AB650" i="18"/>
  <c r="AB651" i="18"/>
  <c r="AB652" i="18"/>
  <c r="AB653" i="18"/>
  <c r="AB654" i="18"/>
  <c r="AB655" i="18"/>
  <c r="AB656" i="18"/>
  <c r="AB657" i="18"/>
  <c r="AB658" i="18"/>
  <c r="AB659" i="18"/>
  <c r="AB660" i="18"/>
  <c r="AB661" i="18"/>
  <c r="AB662" i="18"/>
  <c r="AB663" i="18"/>
  <c r="AB664" i="18"/>
  <c r="AB665" i="18"/>
  <c r="AB666" i="18"/>
  <c r="AB667" i="18"/>
  <c r="AB668" i="18"/>
  <c r="AB669" i="18"/>
  <c r="AB670" i="18"/>
  <c r="AB671" i="18"/>
  <c r="AB672" i="18"/>
  <c r="AB673" i="18"/>
  <c r="AB674" i="18"/>
  <c r="AB675" i="18"/>
  <c r="AB676" i="18"/>
  <c r="AB677" i="18"/>
  <c r="AB678" i="18"/>
  <c r="AB679" i="18"/>
  <c r="AB680" i="18"/>
  <c r="AB681" i="18"/>
  <c r="AB682" i="18"/>
  <c r="AB683" i="18"/>
  <c r="AB684" i="18"/>
  <c r="AB685" i="18"/>
  <c r="AB686" i="18"/>
  <c r="AB687" i="18"/>
  <c r="AB688" i="18"/>
  <c r="AB689" i="18"/>
  <c r="AB690" i="18"/>
  <c r="AB691" i="18"/>
  <c r="AB692" i="18"/>
  <c r="AB693" i="18"/>
  <c r="AB694" i="18"/>
  <c r="AB695" i="18"/>
  <c r="AB696" i="18"/>
  <c r="AB697" i="18"/>
  <c r="AB698" i="18"/>
  <c r="AB699" i="18"/>
  <c r="AB700" i="18"/>
  <c r="AB701" i="18"/>
  <c r="AB702" i="18"/>
  <c r="AB703" i="18"/>
  <c r="AB704" i="18"/>
  <c r="AB705" i="18"/>
  <c r="AB706" i="18"/>
  <c r="AB707" i="18"/>
  <c r="AB708" i="18"/>
  <c r="AB709" i="18"/>
  <c r="AB710" i="18"/>
  <c r="AB711" i="18"/>
  <c r="AB712" i="18"/>
  <c r="AB713" i="18"/>
  <c r="AB714" i="18"/>
  <c r="AB715" i="18"/>
  <c r="AB716" i="18"/>
  <c r="AB717" i="18"/>
  <c r="AB718" i="18"/>
  <c r="AB719" i="18"/>
  <c r="AB720" i="18"/>
  <c r="AB721" i="18"/>
  <c r="AB722" i="18"/>
  <c r="AB723" i="18"/>
  <c r="AB724" i="18"/>
  <c r="AB725" i="18"/>
  <c r="AB726" i="18"/>
  <c r="AB727" i="18"/>
  <c r="AB728" i="18"/>
  <c r="AB729" i="18"/>
  <c r="AB730" i="18"/>
  <c r="AB731" i="18"/>
  <c r="AB732" i="18"/>
  <c r="AB733" i="18"/>
  <c r="AB734" i="18"/>
  <c r="AB735" i="18"/>
  <c r="AB736" i="18"/>
  <c r="AB737" i="18"/>
  <c r="AB738" i="18"/>
  <c r="AB739" i="18"/>
  <c r="AB740" i="18"/>
  <c r="AB741" i="18"/>
  <c r="AB742" i="18"/>
  <c r="AB743" i="18"/>
  <c r="AB744" i="18"/>
  <c r="AB745" i="18"/>
  <c r="AB746" i="18"/>
  <c r="AB747" i="18"/>
  <c r="AB748" i="18"/>
  <c r="AB749" i="18"/>
  <c r="AB750" i="18"/>
  <c r="AB751" i="18"/>
  <c r="AB752" i="18"/>
  <c r="AB753" i="18"/>
  <c r="AB754" i="18"/>
  <c r="AB755" i="18"/>
  <c r="AB756" i="18"/>
  <c r="AB757" i="18"/>
  <c r="AB758" i="18"/>
  <c r="AB759" i="18"/>
  <c r="AB760" i="18"/>
  <c r="AB761" i="18"/>
  <c r="AB762" i="18"/>
  <c r="AB763" i="18"/>
  <c r="AB764" i="18"/>
  <c r="AB765" i="18"/>
  <c r="AB766" i="18"/>
  <c r="AB767" i="18"/>
  <c r="AB768" i="18"/>
  <c r="AB769" i="18"/>
  <c r="AB770" i="18"/>
  <c r="AB771" i="18"/>
  <c r="AB772" i="18"/>
  <c r="AB773" i="18"/>
  <c r="AB774" i="18"/>
  <c r="AB775" i="18"/>
  <c r="AB776" i="18"/>
  <c r="AB777" i="18"/>
  <c r="AB778" i="18"/>
  <c r="AB779" i="18"/>
  <c r="AB780" i="18"/>
  <c r="AB781" i="18"/>
  <c r="AB782" i="18"/>
  <c r="AB783" i="18"/>
  <c r="AB784" i="18"/>
  <c r="AB785" i="18"/>
  <c r="AB786" i="18"/>
  <c r="AB787" i="18"/>
  <c r="AB788" i="18"/>
  <c r="AB789" i="18"/>
  <c r="AB790" i="18"/>
  <c r="AB791" i="18"/>
  <c r="AB792" i="18"/>
  <c r="AB793" i="18"/>
  <c r="AB794" i="18"/>
  <c r="AB795" i="18"/>
  <c r="AB796" i="18"/>
  <c r="AB797" i="18"/>
  <c r="AB798" i="18"/>
  <c r="AB799" i="18"/>
  <c r="AB800" i="18"/>
  <c r="AB801" i="18"/>
  <c r="AB802" i="18"/>
  <c r="AB803" i="18"/>
  <c r="AB804" i="18"/>
  <c r="AB805" i="18"/>
  <c r="AB806" i="18"/>
  <c r="AB807" i="18"/>
  <c r="AB808" i="18"/>
  <c r="AB809" i="18"/>
  <c r="AB810" i="18"/>
  <c r="AB811" i="18"/>
  <c r="AB812" i="18"/>
  <c r="AB813" i="18"/>
  <c r="AB814" i="18"/>
  <c r="AB815" i="18"/>
  <c r="AB816" i="18"/>
  <c r="AB817" i="18"/>
  <c r="AB818" i="18"/>
  <c r="AB819" i="18"/>
  <c r="AB820" i="18"/>
  <c r="AB821" i="18"/>
  <c r="AB822" i="18"/>
  <c r="AB823" i="18"/>
  <c r="AB824" i="18"/>
  <c r="AB825" i="18"/>
  <c r="AB826" i="18"/>
  <c r="AB827" i="18"/>
  <c r="AB828" i="18"/>
  <c r="AB829" i="18"/>
  <c r="AB830" i="18"/>
  <c r="AB831" i="18"/>
  <c r="AB832" i="18"/>
  <c r="AB833" i="18"/>
  <c r="AB834" i="18"/>
  <c r="AB835" i="18"/>
  <c r="AB836" i="18"/>
  <c r="AB837" i="18"/>
  <c r="AB838" i="18"/>
  <c r="AB839" i="18"/>
  <c r="AB840" i="18"/>
  <c r="AB841" i="18"/>
  <c r="AB842" i="18"/>
  <c r="AB843" i="18"/>
  <c r="AB844" i="18"/>
  <c r="AB845" i="18"/>
  <c r="AB846" i="18"/>
  <c r="AB847" i="18"/>
  <c r="AB848" i="18"/>
  <c r="AB849" i="18"/>
  <c r="AB850" i="18"/>
  <c r="AB851" i="18"/>
  <c r="AB852" i="18"/>
  <c r="AB853" i="18"/>
  <c r="AB854" i="18"/>
  <c r="AB855" i="18"/>
  <c r="AB856" i="18"/>
  <c r="AB857" i="18"/>
  <c r="AB858" i="18"/>
  <c r="AB859" i="18"/>
  <c r="AB860" i="18"/>
  <c r="AB861" i="18"/>
  <c r="AB862" i="18"/>
  <c r="AB863" i="18"/>
  <c r="AB864" i="18"/>
  <c r="AB865" i="18"/>
  <c r="AB866" i="18"/>
  <c r="AB867" i="18"/>
  <c r="AB868" i="18"/>
  <c r="AB869" i="18"/>
  <c r="AB870" i="18"/>
  <c r="AB871" i="18"/>
  <c r="AB872" i="18"/>
  <c r="AB873" i="18"/>
  <c r="AB874" i="18"/>
  <c r="AB875" i="18"/>
  <c r="AB876" i="18"/>
  <c r="AB877" i="18"/>
  <c r="AB878" i="18"/>
  <c r="AB879" i="18"/>
  <c r="AB880" i="18"/>
  <c r="AB881" i="18"/>
  <c r="AB882" i="18"/>
  <c r="AB883" i="18"/>
  <c r="AB884" i="18"/>
  <c r="AB885" i="18"/>
  <c r="AB886" i="18"/>
  <c r="AB887" i="18"/>
  <c r="AB888" i="18"/>
  <c r="AB889" i="18"/>
  <c r="AB890" i="18"/>
  <c r="AB891" i="18"/>
  <c r="AB892" i="18"/>
  <c r="AB893" i="18"/>
  <c r="AB894" i="18"/>
  <c r="AB895" i="18"/>
  <c r="AB896" i="18"/>
  <c r="AB897" i="18"/>
  <c r="AB898" i="18"/>
  <c r="AB899" i="18"/>
  <c r="AB900" i="18"/>
  <c r="AB901" i="18"/>
  <c r="AB902" i="18"/>
  <c r="AB903" i="18"/>
  <c r="AB904" i="18"/>
  <c r="AB905" i="18"/>
  <c r="AB906" i="18"/>
  <c r="AB907" i="18"/>
  <c r="AB908" i="18"/>
  <c r="AB909" i="18"/>
  <c r="AB910" i="18"/>
  <c r="AB911" i="18"/>
  <c r="AB912" i="18"/>
  <c r="AB913" i="18"/>
  <c r="AB914" i="18"/>
  <c r="AB915" i="18"/>
  <c r="AB916" i="18"/>
  <c r="AB917" i="18"/>
  <c r="AB918" i="18"/>
  <c r="AB919" i="18"/>
  <c r="AB920" i="18"/>
  <c r="AB921" i="18"/>
  <c r="AB922" i="18"/>
  <c r="AB923" i="18"/>
  <c r="AB924" i="18"/>
  <c r="AB925" i="18"/>
  <c r="AB926" i="18"/>
  <c r="AB927" i="18"/>
  <c r="AB928" i="18"/>
  <c r="AB929" i="18"/>
  <c r="AB930" i="18"/>
  <c r="AB931" i="18"/>
  <c r="AB932" i="18"/>
  <c r="AB933" i="18"/>
  <c r="AB934" i="18"/>
  <c r="AB935" i="18"/>
  <c r="AB936" i="18"/>
  <c r="AB937" i="18"/>
  <c r="AB938" i="18"/>
  <c r="AB939" i="18"/>
  <c r="AB940" i="18"/>
  <c r="AB941" i="18"/>
  <c r="AB942" i="18"/>
  <c r="AB943" i="18"/>
  <c r="AB944" i="18"/>
  <c r="AB945" i="18"/>
  <c r="AB946" i="18"/>
  <c r="AB947" i="18"/>
  <c r="AB948" i="18"/>
  <c r="AB949" i="18"/>
  <c r="AB950" i="18"/>
  <c r="AB951" i="18"/>
  <c r="AB952" i="18"/>
  <c r="AB953" i="18"/>
  <c r="AB954" i="18"/>
  <c r="AB955" i="18"/>
  <c r="AB956" i="18"/>
  <c r="AB957" i="18"/>
  <c r="AB958" i="18"/>
  <c r="AB959" i="18"/>
  <c r="AB960" i="18"/>
  <c r="AB961" i="18"/>
  <c r="AB962" i="18"/>
  <c r="AB963" i="18"/>
  <c r="AB964" i="18"/>
  <c r="AB965" i="18"/>
  <c r="AB966" i="18"/>
  <c r="AB967" i="18"/>
  <c r="AB968" i="18"/>
  <c r="AB969" i="18"/>
  <c r="AB970" i="18"/>
  <c r="AB971" i="18"/>
  <c r="AB972" i="18"/>
  <c r="AB973" i="18"/>
  <c r="AB974" i="18"/>
  <c r="AB975" i="18"/>
  <c r="AB976" i="18"/>
  <c r="AB977" i="18"/>
  <c r="AB978" i="18"/>
  <c r="AB979" i="18"/>
  <c r="AB980" i="18"/>
  <c r="AB981" i="18"/>
  <c r="AB982" i="18"/>
  <c r="AB983" i="18"/>
  <c r="AB984" i="18"/>
  <c r="AB985" i="18"/>
  <c r="AB986" i="18"/>
  <c r="AB987" i="18"/>
  <c r="AB988" i="18"/>
  <c r="AB989" i="18"/>
  <c r="AB990" i="18"/>
  <c r="AB991" i="18"/>
  <c r="AB992" i="18"/>
  <c r="AB993" i="18"/>
  <c r="AB994" i="18"/>
  <c r="AB995" i="18"/>
  <c r="AB996" i="18"/>
  <c r="AB997" i="18"/>
  <c r="AB998" i="18"/>
  <c r="AB999" i="18"/>
  <c r="AB1000" i="18"/>
  <c r="AB1001" i="18"/>
  <c r="Z2" i="18"/>
  <c r="Z3" i="18"/>
  <c r="Z4" i="18"/>
  <c r="Z5" i="18"/>
  <c r="Z6" i="18"/>
  <c r="Z7" i="18"/>
  <c r="Z8" i="18"/>
  <c r="Z9" i="18"/>
  <c r="Z10" i="18"/>
  <c r="Z11" i="18"/>
  <c r="Z12" i="18"/>
  <c r="Z13" i="18"/>
  <c r="Z14" i="18"/>
  <c r="Z15" i="18"/>
  <c r="Z16" i="18"/>
  <c r="Z17" i="18"/>
  <c r="Z18" i="18"/>
  <c r="Z19" i="18"/>
  <c r="Z20" i="18"/>
  <c r="Z21" i="18"/>
  <c r="Z22" i="18"/>
  <c r="Z23" i="18"/>
  <c r="Z24" i="18"/>
  <c r="Z25" i="18"/>
  <c r="Z26" i="18"/>
  <c r="Z27" i="18"/>
  <c r="Z28" i="18"/>
  <c r="Z29" i="18"/>
  <c r="Z30" i="18"/>
  <c r="Z31" i="18"/>
  <c r="Z32" i="18"/>
  <c r="Z33" i="18"/>
  <c r="Z34" i="18"/>
  <c r="Z35" i="18"/>
  <c r="Z36" i="18"/>
  <c r="Z37" i="18"/>
  <c r="Z38" i="18"/>
  <c r="Z39" i="18"/>
  <c r="Z40" i="18"/>
  <c r="Z41" i="18"/>
  <c r="Z42" i="18"/>
  <c r="Z43" i="18"/>
  <c r="Z44" i="18"/>
  <c r="Z45" i="18"/>
  <c r="Z46" i="18"/>
  <c r="Z47" i="18"/>
  <c r="Z48" i="18"/>
  <c r="Z49" i="18"/>
  <c r="Z50" i="18"/>
  <c r="Z51" i="18"/>
  <c r="Z52" i="18"/>
  <c r="Z53" i="18"/>
  <c r="Z54" i="18"/>
  <c r="Z55" i="18"/>
  <c r="Z56" i="18"/>
  <c r="Z57" i="18"/>
  <c r="Z58" i="18"/>
  <c r="Z59" i="18"/>
  <c r="Z60" i="18"/>
  <c r="Z61" i="18"/>
  <c r="Z62" i="18"/>
  <c r="Z63" i="18"/>
  <c r="Z64" i="18"/>
  <c r="Z65" i="18"/>
  <c r="Z66" i="18"/>
  <c r="Z67" i="18"/>
  <c r="Z68" i="18"/>
  <c r="Z69" i="18"/>
  <c r="Z70" i="18"/>
  <c r="Z71" i="18"/>
  <c r="Z72" i="18"/>
  <c r="Z73" i="18"/>
  <c r="Z74" i="18"/>
  <c r="Z75" i="18"/>
  <c r="Z76" i="18"/>
  <c r="Z77" i="18"/>
  <c r="Z78" i="18"/>
  <c r="Z79" i="18"/>
  <c r="Z80" i="18"/>
  <c r="Z81" i="18"/>
  <c r="Z82" i="18"/>
  <c r="Z83" i="18"/>
  <c r="Z84" i="18"/>
  <c r="Z85" i="18"/>
  <c r="Z86" i="18"/>
  <c r="Z87" i="18"/>
  <c r="Z88" i="18"/>
  <c r="Z89" i="18"/>
  <c r="Z90" i="18"/>
  <c r="Z91" i="18"/>
  <c r="Z92" i="18"/>
  <c r="Z93" i="18"/>
  <c r="Z94" i="18"/>
  <c r="Z95" i="18"/>
  <c r="Z96" i="18"/>
  <c r="Z97" i="18"/>
  <c r="Z98" i="18"/>
  <c r="Z99" i="18"/>
  <c r="Z100" i="18"/>
  <c r="Z101" i="18"/>
  <c r="Z102" i="18"/>
  <c r="Z103" i="18"/>
  <c r="Z104" i="18"/>
  <c r="Z105" i="18"/>
  <c r="Z106" i="18"/>
  <c r="Z107" i="18"/>
  <c r="Z108" i="18"/>
  <c r="Z109" i="18"/>
  <c r="Z110" i="18"/>
  <c r="Z111" i="18"/>
  <c r="Z112" i="18"/>
  <c r="Z113" i="18"/>
  <c r="Z114" i="18"/>
  <c r="Z115" i="18"/>
  <c r="Z116" i="18"/>
  <c r="Z117" i="18"/>
  <c r="Z118" i="18"/>
  <c r="Z119" i="18"/>
  <c r="Z120" i="18"/>
  <c r="Z121" i="18"/>
  <c r="Z122" i="18"/>
  <c r="Z123" i="18"/>
  <c r="Z124" i="18"/>
  <c r="Z125" i="18"/>
  <c r="Z126" i="18"/>
  <c r="Z127" i="18"/>
  <c r="Z128" i="18"/>
  <c r="Z129" i="18"/>
  <c r="Z130" i="18"/>
  <c r="Z131" i="18"/>
  <c r="Z132" i="18"/>
  <c r="Z133" i="18"/>
  <c r="Z134" i="18"/>
  <c r="Z135" i="18"/>
  <c r="Z136" i="18"/>
  <c r="Z137" i="18"/>
  <c r="Z138" i="18"/>
  <c r="Z139" i="18"/>
  <c r="Z140" i="18"/>
  <c r="Z141" i="18"/>
  <c r="Z142" i="18"/>
  <c r="Z143" i="18"/>
  <c r="Z144" i="18"/>
  <c r="Z145" i="18"/>
  <c r="Z146" i="18"/>
  <c r="Z147" i="18"/>
  <c r="Z148" i="18"/>
  <c r="Z149" i="18"/>
  <c r="Z150" i="18"/>
  <c r="Z151" i="18"/>
  <c r="Z152" i="18"/>
  <c r="Z153" i="18"/>
  <c r="Z154" i="18"/>
  <c r="Z155" i="18"/>
  <c r="Z156" i="18"/>
  <c r="Z157" i="18"/>
  <c r="Z158" i="18"/>
  <c r="Z159" i="18"/>
  <c r="Z160" i="18"/>
  <c r="Z161" i="18"/>
  <c r="Z162" i="18"/>
  <c r="Z163" i="18"/>
  <c r="Z164" i="18"/>
  <c r="Z165" i="18"/>
  <c r="Z166" i="18"/>
  <c r="Z167" i="18"/>
  <c r="Z168" i="18"/>
  <c r="Z169" i="18"/>
  <c r="Z170" i="18"/>
  <c r="Z171" i="18"/>
  <c r="Z172" i="18"/>
  <c r="Z173" i="18"/>
  <c r="Z174" i="18"/>
  <c r="Z175" i="18"/>
  <c r="Z176" i="18"/>
  <c r="Z177" i="18"/>
  <c r="Z178" i="18"/>
  <c r="Z179" i="18"/>
  <c r="Z180" i="18"/>
  <c r="Z181" i="18"/>
  <c r="Z182" i="18"/>
  <c r="Z183" i="18"/>
  <c r="Z184" i="18"/>
  <c r="Z185" i="18"/>
  <c r="Z186" i="18"/>
  <c r="Z187" i="18"/>
  <c r="Z188" i="18"/>
  <c r="Z189" i="18"/>
  <c r="Z190" i="18"/>
  <c r="Z191" i="18"/>
  <c r="Z192" i="18"/>
  <c r="Z193" i="18"/>
  <c r="Z194" i="18"/>
  <c r="Z195" i="18"/>
  <c r="Z196" i="18"/>
  <c r="Z197" i="18"/>
  <c r="Z198" i="18"/>
  <c r="Z199" i="18"/>
  <c r="Z200" i="18"/>
  <c r="Z201" i="18"/>
  <c r="Z202" i="18"/>
  <c r="Z203" i="18"/>
  <c r="Z204" i="18"/>
  <c r="Z205" i="18"/>
  <c r="Z206" i="18"/>
  <c r="Z207" i="18"/>
  <c r="Z208" i="18"/>
  <c r="Z209" i="18"/>
  <c r="Z210" i="18"/>
  <c r="Z211" i="18"/>
  <c r="Z212" i="18"/>
  <c r="Z213" i="18"/>
  <c r="Z214" i="18"/>
  <c r="Z215" i="18"/>
  <c r="Z216" i="18"/>
  <c r="Z217" i="18"/>
  <c r="Z218" i="18"/>
  <c r="Z219" i="18"/>
  <c r="Z220" i="18"/>
  <c r="Z221" i="18"/>
  <c r="Z222" i="18"/>
  <c r="Z223" i="18"/>
  <c r="Z224" i="18"/>
  <c r="Z225" i="18"/>
  <c r="Z226" i="18"/>
  <c r="Z227" i="18"/>
  <c r="Z228" i="18"/>
  <c r="Z229" i="18"/>
  <c r="Z230" i="18"/>
  <c r="Z231" i="18"/>
  <c r="Z232" i="18"/>
  <c r="Z233" i="18"/>
  <c r="Z234" i="18"/>
  <c r="Z235" i="18"/>
  <c r="Z236" i="18"/>
  <c r="Z237" i="18"/>
  <c r="Z238" i="18"/>
  <c r="Z239" i="18"/>
  <c r="Z240" i="18"/>
  <c r="Z241" i="18"/>
  <c r="Z242" i="18"/>
  <c r="Z243" i="18"/>
  <c r="Z244" i="18"/>
  <c r="Z245" i="18"/>
  <c r="Z246" i="18"/>
  <c r="Z247" i="18"/>
  <c r="Z248" i="18"/>
  <c r="Z249" i="18"/>
  <c r="Z250" i="18"/>
  <c r="Z251" i="18"/>
  <c r="Z252" i="18"/>
  <c r="Z253" i="18"/>
  <c r="Z254" i="18"/>
  <c r="Z255" i="18"/>
  <c r="Z256" i="18"/>
  <c r="Z257" i="18"/>
  <c r="Z258" i="18"/>
  <c r="Z259" i="18"/>
  <c r="Z260" i="18"/>
  <c r="Z261" i="18"/>
  <c r="Z262" i="18"/>
  <c r="Z263" i="18"/>
  <c r="Z264" i="18"/>
  <c r="Z265" i="18"/>
  <c r="Z266" i="18"/>
  <c r="Z267" i="18"/>
  <c r="Z268" i="18"/>
  <c r="Z269" i="18"/>
  <c r="Z270" i="18"/>
  <c r="Z271" i="18"/>
  <c r="Z272" i="18"/>
  <c r="Z273" i="18"/>
  <c r="Z274" i="18"/>
  <c r="Z275" i="18"/>
  <c r="Z276" i="18"/>
  <c r="Z277" i="18"/>
  <c r="Z278" i="18"/>
  <c r="Z279" i="18"/>
  <c r="Z280" i="18"/>
  <c r="Z281" i="18"/>
  <c r="Z282" i="18"/>
  <c r="Z283" i="18"/>
  <c r="Z284" i="18"/>
  <c r="Z285" i="18"/>
  <c r="Z286" i="18"/>
  <c r="Z287" i="18"/>
  <c r="Z288" i="18"/>
  <c r="Z289" i="18"/>
  <c r="Z290" i="18"/>
  <c r="Z291" i="18"/>
  <c r="Z292" i="18"/>
  <c r="Z293" i="18"/>
  <c r="Z294" i="18"/>
  <c r="Z295" i="18"/>
  <c r="Z296" i="18"/>
  <c r="Z297" i="18"/>
  <c r="Z298" i="18"/>
  <c r="Z299" i="18"/>
  <c r="Z300" i="18"/>
  <c r="Z301" i="18"/>
  <c r="Z302" i="18"/>
  <c r="Z303" i="18"/>
  <c r="Z304" i="18"/>
  <c r="Z305" i="18"/>
  <c r="Z306" i="18"/>
  <c r="Z307" i="18"/>
  <c r="Z308" i="18"/>
  <c r="Z309" i="18"/>
  <c r="Z310" i="18"/>
  <c r="Z311" i="18"/>
  <c r="Z312" i="18"/>
  <c r="Z313" i="18"/>
  <c r="Z314" i="18"/>
  <c r="Z315" i="18"/>
  <c r="Z316" i="18"/>
  <c r="Z317" i="18"/>
  <c r="Z318" i="18"/>
  <c r="Z319" i="18"/>
  <c r="Z320" i="18"/>
  <c r="Z321" i="18"/>
  <c r="Z322" i="18"/>
  <c r="Z323" i="18"/>
  <c r="Z324" i="18"/>
  <c r="Z325" i="18"/>
  <c r="Z326" i="18"/>
  <c r="Z327" i="18"/>
  <c r="Z328" i="18"/>
  <c r="Z329" i="18"/>
  <c r="Z330" i="18"/>
  <c r="Z331" i="18"/>
  <c r="Z332" i="18"/>
  <c r="Z333" i="18"/>
  <c r="Z334" i="18"/>
  <c r="Z335" i="18"/>
  <c r="Z336" i="18"/>
  <c r="Z337" i="18"/>
  <c r="Z338" i="18"/>
  <c r="Z339" i="18"/>
  <c r="Z340" i="18"/>
  <c r="Z341" i="18"/>
  <c r="Z342" i="18"/>
  <c r="Z343" i="18"/>
  <c r="Z344" i="18"/>
  <c r="Z345" i="18"/>
  <c r="Z346" i="18"/>
  <c r="Z347" i="18"/>
  <c r="Z348" i="18"/>
  <c r="Z349" i="18"/>
  <c r="Z350" i="18"/>
  <c r="Z351" i="18"/>
  <c r="Z352" i="18"/>
  <c r="Z353" i="18"/>
  <c r="Z354" i="18"/>
  <c r="Z355" i="18"/>
  <c r="Z356" i="18"/>
  <c r="Z357" i="18"/>
  <c r="Z358" i="18"/>
  <c r="Z359" i="18"/>
  <c r="Z360" i="18"/>
  <c r="Z361" i="18"/>
  <c r="Z362" i="18"/>
  <c r="Z363" i="18"/>
  <c r="Z364" i="18"/>
  <c r="Z365" i="18"/>
  <c r="Z366" i="18"/>
  <c r="Z367" i="18"/>
  <c r="Z368" i="18"/>
  <c r="Z369" i="18"/>
  <c r="Z370" i="18"/>
  <c r="Z371" i="18"/>
  <c r="Z372" i="18"/>
  <c r="Z373" i="18"/>
  <c r="Z374" i="18"/>
  <c r="Z375" i="18"/>
  <c r="Z376" i="18"/>
  <c r="Z377" i="18"/>
  <c r="Z378" i="18"/>
  <c r="Z379" i="18"/>
  <c r="Z380" i="18"/>
  <c r="Z381" i="18"/>
  <c r="Z382" i="18"/>
  <c r="Z383" i="18"/>
  <c r="Z384" i="18"/>
  <c r="Z385" i="18"/>
  <c r="Z386" i="18"/>
  <c r="Z387" i="18"/>
  <c r="Z388" i="18"/>
  <c r="Z389" i="18"/>
  <c r="Z390" i="18"/>
  <c r="Z391" i="18"/>
  <c r="Z392" i="18"/>
  <c r="Z393" i="18"/>
  <c r="Z394" i="18"/>
  <c r="Z395" i="18"/>
  <c r="Z396" i="18"/>
  <c r="Z397" i="18"/>
  <c r="Z398" i="18"/>
  <c r="Z399" i="18"/>
  <c r="Z400" i="18"/>
  <c r="Z401" i="18"/>
  <c r="Z402" i="18"/>
  <c r="Z403" i="18"/>
  <c r="Z404" i="18"/>
  <c r="Z405" i="18"/>
  <c r="Z406" i="18"/>
  <c r="Z407" i="18"/>
  <c r="Z408" i="18"/>
  <c r="Z409" i="18"/>
  <c r="Z410" i="18"/>
  <c r="Z411" i="18"/>
  <c r="Z412" i="18"/>
  <c r="Z413" i="18"/>
  <c r="Z414" i="18"/>
  <c r="Z415" i="18"/>
  <c r="Z416" i="18"/>
  <c r="Z417" i="18"/>
  <c r="Z418" i="18"/>
  <c r="Z419" i="18"/>
  <c r="Z420" i="18"/>
  <c r="Z421" i="18"/>
  <c r="Z422" i="18"/>
  <c r="Z423" i="18"/>
  <c r="Z424" i="18"/>
  <c r="Z425" i="18"/>
  <c r="Z426" i="18"/>
  <c r="Z427" i="18"/>
  <c r="Z428" i="18"/>
  <c r="Z429" i="18"/>
  <c r="Z430" i="18"/>
  <c r="Z431" i="18"/>
  <c r="Z432" i="18"/>
  <c r="Z433" i="18"/>
  <c r="Z434" i="18"/>
  <c r="Z435" i="18"/>
  <c r="Z436" i="18"/>
  <c r="Z437" i="18"/>
  <c r="Z438" i="18"/>
  <c r="Z439" i="18"/>
  <c r="Z440" i="18"/>
  <c r="Z441" i="18"/>
  <c r="Z442" i="18"/>
  <c r="Z443" i="18"/>
  <c r="Z444" i="18"/>
  <c r="Z445" i="18"/>
  <c r="Z446" i="18"/>
  <c r="Z447" i="18"/>
  <c r="Z448" i="18"/>
  <c r="Z449" i="18"/>
  <c r="Z450" i="18"/>
  <c r="Z451" i="18"/>
  <c r="Z452" i="18"/>
  <c r="Z453" i="18"/>
  <c r="Z454" i="18"/>
  <c r="Z455" i="18"/>
  <c r="Z456" i="18"/>
  <c r="Z457" i="18"/>
  <c r="Z458" i="18"/>
  <c r="Z459" i="18"/>
  <c r="Z460" i="18"/>
  <c r="Z461" i="18"/>
  <c r="Z462" i="18"/>
  <c r="Z463" i="18"/>
  <c r="Z464" i="18"/>
  <c r="Z465" i="18"/>
  <c r="Z466" i="18"/>
  <c r="Z467" i="18"/>
  <c r="Z468" i="18"/>
  <c r="Z469" i="18"/>
  <c r="Z470" i="18"/>
  <c r="Z471" i="18"/>
  <c r="Z472" i="18"/>
  <c r="Z473" i="18"/>
  <c r="Z474" i="18"/>
  <c r="Z475" i="18"/>
  <c r="Z476" i="18"/>
  <c r="Z477" i="18"/>
  <c r="Z478" i="18"/>
  <c r="Z479" i="18"/>
  <c r="Z480" i="18"/>
  <c r="Z481" i="18"/>
  <c r="Z482" i="18"/>
  <c r="Z483" i="18"/>
  <c r="Z484" i="18"/>
  <c r="Z485" i="18"/>
  <c r="Z486" i="18"/>
  <c r="Z487" i="18"/>
  <c r="Z488" i="18"/>
  <c r="Z489" i="18"/>
  <c r="Z490" i="18"/>
  <c r="Z491" i="18"/>
  <c r="Z492" i="18"/>
  <c r="Z493" i="18"/>
  <c r="Z494" i="18"/>
  <c r="Z495" i="18"/>
  <c r="Z496" i="18"/>
  <c r="Z497" i="18"/>
  <c r="Z498" i="18"/>
  <c r="Z499" i="18"/>
  <c r="Z500" i="18"/>
  <c r="Z501" i="18"/>
  <c r="Z502" i="18"/>
  <c r="Z503" i="18"/>
  <c r="Z504" i="18"/>
  <c r="Z505" i="18"/>
  <c r="Z506" i="18"/>
  <c r="Z507" i="18"/>
  <c r="Z508" i="18"/>
  <c r="Z509" i="18"/>
  <c r="Z510" i="18"/>
  <c r="Z511" i="18"/>
  <c r="Z512" i="18"/>
  <c r="Z513" i="18"/>
  <c r="Z514" i="18"/>
  <c r="Z515" i="18"/>
  <c r="Z516" i="18"/>
  <c r="Z517" i="18"/>
  <c r="Z518" i="18"/>
  <c r="Z519" i="18"/>
  <c r="Z520" i="18"/>
  <c r="Z521" i="18"/>
  <c r="Z522" i="18"/>
  <c r="Z523" i="18"/>
  <c r="Z524" i="18"/>
  <c r="Z525" i="18"/>
  <c r="Z526" i="18"/>
  <c r="Z527" i="18"/>
  <c r="Z528" i="18"/>
  <c r="Z529" i="18"/>
  <c r="Z530" i="18"/>
  <c r="Z531" i="18"/>
  <c r="Z532" i="18"/>
  <c r="Z533" i="18"/>
  <c r="Z534" i="18"/>
  <c r="Z535" i="18"/>
  <c r="Z536" i="18"/>
  <c r="Z537" i="18"/>
  <c r="Z538" i="18"/>
  <c r="Z539" i="18"/>
  <c r="Z540" i="18"/>
  <c r="Z541" i="18"/>
  <c r="Z542" i="18"/>
  <c r="Z543" i="18"/>
  <c r="Z544" i="18"/>
  <c r="Z545" i="18"/>
  <c r="Z546" i="18"/>
  <c r="Z547" i="18"/>
  <c r="Z548" i="18"/>
  <c r="Z549" i="18"/>
  <c r="Z550" i="18"/>
  <c r="Z551" i="18"/>
  <c r="Z552" i="18"/>
  <c r="Z553" i="18"/>
  <c r="Z554" i="18"/>
  <c r="Z555" i="18"/>
  <c r="Z556" i="18"/>
  <c r="Z557" i="18"/>
  <c r="Z558" i="18"/>
  <c r="Z559" i="18"/>
  <c r="Z560" i="18"/>
  <c r="Z561" i="18"/>
  <c r="Z562" i="18"/>
  <c r="Z563" i="18"/>
  <c r="Z564" i="18"/>
  <c r="Z565" i="18"/>
  <c r="Z566" i="18"/>
  <c r="Z567" i="18"/>
  <c r="Z568" i="18"/>
  <c r="Z569" i="18"/>
  <c r="Z570" i="18"/>
  <c r="Z571" i="18"/>
  <c r="Z572" i="18"/>
  <c r="Z573" i="18"/>
  <c r="Z574" i="18"/>
  <c r="Z575" i="18"/>
  <c r="Z576" i="18"/>
  <c r="Z577" i="18"/>
  <c r="Z578" i="18"/>
  <c r="Z579" i="18"/>
  <c r="Z580" i="18"/>
  <c r="Z581" i="18"/>
  <c r="Z582" i="18"/>
  <c r="Z583" i="18"/>
  <c r="Z584" i="18"/>
  <c r="Z585" i="18"/>
  <c r="Z586" i="18"/>
  <c r="Z587" i="18"/>
  <c r="Z588" i="18"/>
  <c r="Z589" i="18"/>
  <c r="Z590" i="18"/>
  <c r="Z591" i="18"/>
  <c r="Z592" i="18"/>
  <c r="Z593" i="18"/>
  <c r="Z594" i="18"/>
  <c r="Z595" i="18"/>
  <c r="Z596" i="18"/>
  <c r="Z597" i="18"/>
  <c r="Z598" i="18"/>
  <c r="Z599" i="18"/>
  <c r="Z600" i="18"/>
  <c r="Z601" i="18"/>
  <c r="Z602" i="18"/>
  <c r="Z603" i="18"/>
  <c r="Z604" i="18"/>
  <c r="Z605" i="18"/>
  <c r="Z606" i="18"/>
  <c r="Z607" i="18"/>
  <c r="Z608" i="18"/>
  <c r="Z609" i="18"/>
  <c r="Z610" i="18"/>
  <c r="Z611" i="18"/>
  <c r="Z612" i="18"/>
  <c r="Z613" i="18"/>
  <c r="Z614" i="18"/>
  <c r="Z615" i="18"/>
  <c r="Z616" i="18"/>
  <c r="Z617" i="18"/>
  <c r="Z618" i="18"/>
  <c r="Z619" i="18"/>
  <c r="Z620" i="18"/>
  <c r="Z621" i="18"/>
  <c r="Z622" i="18"/>
  <c r="Z623" i="18"/>
  <c r="Z624" i="18"/>
  <c r="Z625" i="18"/>
  <c r="Z626" i="18"/>
  <c r="Z627" i="18"/>
  <c r="Z628" i="18"/>
  <c r="Z629" i="18"/>
  <c r="Z630" i="18"/>
  <c r="Z631" i="18"/>
  <c r="Z632" i="18"/>
  <c r="Z633" i="18"/>
  <c r="Z634" i="18"/>
  <c r="Z635" i="18"/>
  <c r="Z636" i="18"/>
  <c r="Z637" i="18"/>
  <c r="Z638" i="18"/>
  <c r="Z639" i="18"/>
  <c r="Z640" i="18"/>
  <c r="Z641" i="18"/>
  <c r="Z642" i="18"/>
  <c r="Z643" i="18"/>
  <c r="Z644" i="18"/>
  <c r="Z645" i="18"/>
  <c r="Z646" i="18"/>
  <c r="Z647" i="18"/>
  <c r="Z648" i="18"/>
  <c r="Z649" i="18"/>
  <c r="Z650" i="18"/>
  <c r="Z651" i="18"/>
  <c r="Z652" i="18"/>
  <c r="Z653" i="18"/>
  <c r="Z654" i="18"/>
  <c r="Z655" i="18"/>
  <c r="Z656" i="18"/>
  <c r="Z657" i="18"/>
  <c r="Z658" i="18"/>
  <c r="Z659" i="18"/>
  <c r="Z660" i="18"/>
  <c r="Z661" i="18"/>
  <c r="Z662" i="18"/>
  <c r="Z663" i="18"/>
  <c r="Z664" i="18"/>
  <c r="Z665" i="18"/>
  <c r="Z666" i="18"/>
  <c r="Z667" i="18"/>
  <c r="Z668" i="18"/>
  <c r="Z669" i="18"/>
  <c r="Z670" i="18"/>
  <c r="Z671" i="18"/>
  <c r="Z672" i="18"/>
  <c r="Z673" i="18"/>
  <c r="Z674" i="18"/>
  <c r="Z675" i="18"/>
  <c r="Z676" i="18"/>
  <c r="Z677" i="18"/>
  <c r="Z678" i="18"/>
  <c r="Z679" i="18"/>
  <c r="Z680" i="18"/>
  <c r="Z681" i="18"/>
  <c r="Z682" i="18"/>
  <c r="Z683" i="18"/>
  <c r="Z684" i="18"/>
  <c r="Z685" i="18"/>
  <c r="Z686" i="18"/>
  <c r="Z687" i="18"/>
  <c r="Z688" i="18"/>
  <c r="Z689" i="18"/>
  <c r="Z690" i="18"/>
  <c r="Z691" i="18"/>
  <c r="Z692" i="18"/>
  <c r="Z693" i="18"/>
  <c r="Z694" i="18"/>
  <c r="Z695" i="18"/>
  <c r="Z696" i="18"/>
  <c r="Z697" i="18"/>
  <c r="Z698" i="18"/>
  <c r="Z699" i="18"/>
  <c r="Z700" i="18"/>
  <c r="Z701" i="18"/>
  <c r="Z702" i="18"/>
  <c r="Z703" i="18"/>
  <c r="Z704" i="18"/>
  <c r="Z705" i="18"/>
  <c r="Z706" i="18"/>
  <c r="Z707" i="18"/>
  <c r="Z708" i="18"/>
  <c r="Z709" i="18"/>
  <c r="Z710" i="18"/>
  <c r="Z711" i="18"/>
  <c r="Z712" i="18"/>
  <c r="Z713" i="18"/>
  <c r="Z714" i="18"/>
  <c r="Z715" i="18"/>
  <c r="Z716" i="18"/>
  <c r="Z717" i="18"/>
  <c r="Z718" i="18"/>
  <c r="Z719" i="18"/>
  <c r="Z720" i="18"/>
  <c r="Z721" i="18"/>
  <c r="Z722" i="18"/>
  <c r="Z723" i="18"/>
  <c r="Z724" i="18"/>
  <c r="Z725" i="18"/>
  <c r="Z726" i="18"/>
  <c r="Z727" i="18"/>
  <c r="Z728" i="18"/>
  <c r="Z729" i="18"/>
  <c r="Z730" i="18"/>
  <c r="Z731" i="18"/>
  <c r="Z732" i="18"/>
  <c r="Z733" i="18"/>
  <c r="Z734" i="18"/>
  <c r="Z735" i="18"/>
  <c r="Z736" i="18"/>
  <c r="Z737" i="18"/>
  <c r="Z738" i="18"/>
  <c r="Z739" i="18"/>
  <c r="Z740" i="18"/>
  <c r="Z741" i="18"/>
  <c r="Z742" i="18"/>
  <c r="Z743" i="18"/>
  <c r="Z744" i="18"/>
  <c r="Z745" i="18"/>
  <c r="Z746" i="18"/>
  <c r="Z747" i="18"/>
  <c r="Z748" i="18"/>
  <c r="Z749" i="18"/>
  <c r="Z750" i="18"/>
  <c r="Z751" i="18"/>
  <c r="Z752" i="18"/>
  <c r="Z753" i="18"/>
  <c r="Z754" i="18"/>
  <c r="Z755" i="18"/>
  <c r="Z756" i="18"/>
  <c r="Z757" i="18"/>
  <c r="Z758" i="18"/>
  <c r="Z759" i="18"/>
  <c r="Z760" i="18"/>
  <c r="Z761" i="18"/>
  <c r="Z762" i="18"/>
  <c r="Z763" i="18"/>
  <c r="Z764" i="18"/>
  <c r="Z765" i="18"/>
  <c r="Z766" i="18"/>
  <c r="Z767" i="18"/>
  <c r="Z768" i="18"/>
  <c r="Z769" i="18"/>
  <c r="Z770" i="18"/>
  <c r="Z771" i="18"/>
  <c r="Z772" i="18"/>
  <c r="Z773" i="18"/>
  <c r="Z774" i="18"/>
  <c r="Z775" i="18"/>
  <c r="Z776" i="18"/>
  <c r="Z777" i="18"/>
  <c r="Z778" i="18"/>
  <c r="Z779" i="18"/>
  <c r="Z780" i="18"/>
  <c r="Z781" i="18"/>
  <c r="Z782" i="18"/>
  <c r="Z783" i="18"/>
  <c r="Z784" i="18"/>
  <c r="Z785" i="18"/>
  <c r="Z786" i="18"/>
  <c r="Z787" i="18"/>
  <c r="Z788" i="18"/>
  <c r="Z789" i="18"/>
  <c r="Z790" i="18"/>
  <c r="Z791" i="18"/>
  <c r="Z792" i="18"/>
  <c r="Z793" i="18"/>
  <c r="Z794" i="18"/>
  <c r="Z795" i="18"/>
  <c r="Z796" i="18"/>
  <c r="Z797" i="18"/>
  <c r="Z798" i="18"/>
  <c r="Z799" i="18"/>
  <c r="Z800" i="18"/>
  <c r="Z801" i="18"/>
  <c r="Z802" i="18"/>
  <c r="Z803" i="18"/>
  <c r="Z804" i="18"/>
  <c r="Z805" i="18"/>
  <c r="Z806" i="18"/>
  <c r="Z807" i="18"/>
  <c r="Z808" i="18"/>
  <c r="Z809" i="18"/>
  <c r="Z810" i="18"/>
  <c r="Z811" i="18"/>
  <c r="Z812" i="18"/>
  <c r="Z813" i="18"/>
  <c r="Z814" i="18"/>
  <c r="Z815" i="18"/>
  <c r="Z816" i="18"/>
  <c r="Z817" i="18"/>
  <c r="Z818" i="18"/>
  <c r="Z819" i="18"/>
  <c r="Z820" i="18"/>
  <c r="Z821" i="18"/>
  <c r="Z822" i="18"/>
  <c r="Z823" i="18"/>
  <c r="Z824" i="18"/>
  <c r="Z825" i="18"/>
  <c r="Z826" i="18"/>
  <c r="Z827" i="18"/>
  <c r="Z828" i="18"/>
  <c r="Z829" i="18"/>
  <c r="Z830" i="18"/>
  <c r="Z831" i="18"/>
  <c r="Z832" i="18"/>
  <c r="Z833" i="18"/>
  <c r="Z834" i="18"/>
  <c r="Z835" i="18"/>
  <c r="Z836" i="18"/>
  <c r="Z837" i="18"/>
  <c r="Z838" i="18"/>
  <c r="Z839" i="18"/>
  <c r="Z840" i="18"/>
  <c r="Z841" i="18"/>
  <c r="Z842" i="18"/>
  <c r="Z843" i="18"/>
  <c r="Z844" i="18"/>
  <c r="Z845" i="18"/>
  <c r="Z846" i="18"/>
  <c r="Z847" i="18"/>
  <c r="Z848" i="18"/>
  <c r="Z849" i="18"/>
  <c r="Z850" i="18"/>
  <c r="Z851" i="18"/>
  <c r="Z852" i="18"/>
  <c r="Z853" i="18"/>
  <c r="Z854" i="18"/>
  <c r="Z855" i="18"/>
  <c r="Z856" i="18"/>
  <c r="Z857" i="18"/>
  <c r="Z858" i="18"/>
  <c r="Z859" i="18"/>
  <c r="Z860" i="18"/>
  <c r="Z861" i="18"/>
  <c r="Z862" i="18"/>
  <c r="Z863" i="18"/>
  <c r="Z864" i="18"/>
  <c r="Z865" i="18"/>
  <c r="Z866" i="18"/>
  <c r="Z867" i="18"/>
  <c r="Z868" i="18"/>
  <c r="Z869" i="18"/>
  <c r="Z870" i="18"/>
  <c r="Z871" i="18"/>
  <c r="Z872" i="18"/>
  <c r="Z873" i="18"/>
  <c r="Z874" i="18"/>
  <c r="Z875" i="18"/>
  <c r="Z876" i="18"/>
  <c r="Z877" i="18"/>
  <c r="Z878" i="18"/>
  <c r="Z879" i="18"/>
  <c r="Z880" i="18"/>
  <c r="Z881" i="18"/>
  <c r="Z882" i="18"/>
  <c r="Z883" i="18"/>
  <c r="Z884" i="18"/>
  <c r="Z885" i="18"/>
  <c r="Z886" i="18"/>
  <c r="Z887" i="18"/>
  <c r="Z888" i="18"/>
  <c r="Z889" i="18"/>
  <c r="Z890" i="18"/>
  <c r="Z891" i="18"/>
  <c r="Z892" i="18"/>
  <c r="Z893" i="18"/>
  <c r="Z894" i="18"/>
  <c r="Z895" i="18"/>
  <c r="Z896" i="18"/>
  <c r="Z897" i="18"/>
  <c r="Z898" i="18"/>
  <c r="Z899" i="18"/>
  <c r="Z900" i="18"/>
  <c r="Z901" i="18"/>
  <c r="Z902" i="18"/>
  <c r="Z903" i="18"/>
  <c r="Z904" i="18"/>
  <c r="Z905" i="18"/>
  <c r="Z906" i="18"/>
  <c r="Z907" i="18"/>
  <c r="Z908" i="18"/>
  <c r="Z909" i="18"/>
  <c r="Z910" i="18"/>
  <c r="Z911" i="18"/>
  <c r="Z912" i="18"/>
  <c r="Z913" i="18"/>
  <c r="Z914" i="18"/>
  <c r="Z915" i="18"/>
  <c r="Z916" i="18"/>
  <c r="Z917" i="18"/>
  <c r="Z918" i="18"/>
  <c r="Z919" i="18"/>
  <c r="Z920" i="18"/>
  <c r="Z921" i="18"/>
  <c r="Z922" i="18"/>
  <c r="Z923" i="18"/>
  <c r="Z924" i="18"/>
  <c r="Z925" i="18"/>
  <c r="Z926" i="18"/>
  <c r="Z927" i="18"/>
  <c r="Z928" i="18"/>
  <c r="Z929" i="18"/>
  <c r="Z930" i="18"/>
  <c r="Z931" i="18"/>
  <c r="Z932" i="18"/>
  <c r="Z933" i="18"/>
  <c r="Z934" i="18"/>
  <c r="Z935" i="18"/>
  <c r="Z936" i="18"/>
  <c r="Z937" i="18"/>
  <c r="Z938" i="18"/>
  <c r="Z939" i="18"/>
  <c r="Z940" i="18"/>
  <c r="Z941" i="18"/>
  <c r="Z942" i="18"/>
  <c r="Z943" i="18"/>
  <c r="Z944" i="18"/>
  <c r="Z945" i="18"/>
  <c r="Z946" i="18"/>
  <c r="Z947" i="18"/>
  <c r="Z948" i="18"/>
  <c r="Z949" i="18"/>
  <c r="Z950" i="18"/>
  <c r="Z951" i="18"/>
  <c r="Z952" i="18"/>
  <c r="Z953" i="18"/>
  <c r="Z954" i="18"/>
  <c r="Z955" i="18"/>
  <c r="Z956" i="18"/>
  <c r="Z957" i="18"/>
  <c r="Z958" i="18"/>
  <c r="Z959" i="18"/>
  <c r="Z960" i="18"/>
  <c r="Z961" i="18"/>
  <c r="Z962" i="18"/>
  <c r="Z963" i="18"/>
  <c r="Z964" i="18"/>
  <c r="Z965" i="18"/>
  <c r="Z966" i="18"/>
  <c r="Z967" i="18"/>
  <c r="Z968" i="18"/>
  <c r="Z969" i="18"/>
  <c r="Z970" i="18"/>
  <c r="Z971" i="18"/>
  <c r="Z972" i="18"/>
  <c r="Z973" i="18"/>
  <c r="Z974" i="18"/>
  <c r="Z975" i="18"/>
  <c r="Z976" i="18"/>
  <c r="Z977" i="18"/>
  <c r="Z978" i="18"/>
  <c r="Z979" i="18"/>
  <c r="Z980" i="18"/>
  <c r="Z981" i="18"/>
  <c r="Z982" i="18"/>
  <c r="Z983" i="18"/>
  <c r="Z984" i="18"/>
  <c r="Z985" i="18"/>
  <c r="Z986" i="18"/>
  <c r="Z987" i="18"/>
  <c r="Z988" i="18"/>
  <c r="Z989" i="18"/>
  <c r="Z990" i="18"/>
  <c r="Z991" i="18"/>
  <c r="Z992" i="18"/>
  <c r="Z993" i="18"/>
  <c r="Z994" i="18"/>
  <c r="Z995" i="18"/>
  <c r="Z996" i="18"/>
  <c r="Z997" i="18"/>
  <c r="Z998" i="18"/>
  <c r="Z999" i="18"/>
  <c r="Z1000" i="18"/>
  <c r="Z1001" i="18"/>
  <c r="AA6" i="18"/>
  <c r="AA7" i="18"/>
  <c r="AA11" i="18"/>
  <c r="AA23" i="18"/>
  <c r="AA24" i="18"/>
  <c r="AA25" i="18"/>
  <c r="AA31" i="18"/>
  <c r="AA32" i="18"/>
  <c r="AA38" i="18"/>
  <c r="AA44" i="18"/>
  <c r="AA45" i="18"/>
  <c r="AA63" i="18"/>
  <c r="AA66" i="18"/>
  <c r="AA68" i="18"/>
  <c r="AA79" i="18"/>
  <c r="AA86" i="18"/>
  <c r="AA92" i="18"/>
  <c r="AA95" i="18"/>
  <c r="AA112" i="18"/>
  <c r="AA118" i="18"/>
  <c r="AA135" i="18"/>
  <c r="AA140" i="18"/>
  <c r="AA155" i="18"/>
  <c r="AA175" i="18"/>
  <c r="AA187" i="18"/>
  <c r="AA188" i="18"/>
  <c r="AA191" i="18"/>
  <c r="AA197" i="18"/>
  <c r="AA203" i="18"/>
  <c r="AA218" i="18"/>
  <c r="AA220" i="18"/>
  <c r="AA225" i="18"/>
  <c r="AA227" i="18"/>
  <c r="AA231" i="18"/>
  <c r="AA237" i="18"/>
  <c r="AA248" i="18"/>
  <c r="AA274" i="18"/>
  <c r="AA276" i="18"/>
  <c r="AA281" i="18"/>
  <c r="AA293" i="18"/>
  <c r="AA296" i="18"/>
  <c r="AA297" i="18"/>
  <c r="AA304" i="18"/>
  <c r="AA306" i="18"/>
  <c r="AA313" i="18"/>
  <c r="AA315" i="18"/>
  <c r="AA316" i="18"/>
  <c r="AA321" i="18"/>
  <c r="AA344" i="18"/>
  <c r="AA345" i="18"/>
  <c r="AA346" i="18"/>
  <c r="AA354" i="18"/>
  <c r="AA360" i="18"/>
  <c r="AA367" i="18"/>
  <c r="AA371" i="18"/>
  <c r="AA373" i="18"/>
  <c r="AA378" i="18"/>
  <c r="AA398" i="18"/>
  <c r="AA399" i="18"/>
  <c r="AA400" i="18"/>
  <c r="AA407" i="18"/>
  <c r="AA416" i="18"/>
  <c r="AA421" i="18"/>
  <c r="AA425" i="18"/>
  <c r="AA431" i="18"/>
  <c r="AA433" i="18"/>
  <c r="AA439" i="18"/>
  <c r="AA446" i="18"/>
  <c r="AA447" i="18"/>
  <c r="AA456" i="18"/>
  <c r="AA468" i="18"/>
  <c r="AA472" i="18"/>
  <c r="AA473" i="18"/>
  <c r="AA477" i="18"/>
  <c r="AA485" i="18"/>
  <c r="AA486" i="18"/>
  <c r="AA488" i="18"/>
  <c r="AA492" i="18"/>
  <c r="AA494" i="18"/>
  <c r="AA503" i="18"/>
  <c r="AA504" i="18"/>
  <c r="AA507" i="18"/>
  <c r="AA512" i="18"/>
  <c r="AA519" i="18"/>
  <c r="AA535" i="18"/>
  <c r="AA537" i="18"/>
  <c r="AA543" i="18"/>
  <c r="AA552" i="18"/>
  <c r="AA572" i="18"/>
  <c r="AA575" i="18"/>
  <c r="AA578" i="18"/>
  <c r="AA581" i="18"/>
  <c r="AA584" i="18"/>
  <c r="AA587" i="18"/>
  <c r="AA603" i="18"/>
  <c r="AA604" i="18"/>
  <c r="AA611" i="18"/>
  <c r="AA613" i="18"/>
  <c r="AA614" i="18"/>
  <c r="AA620" i="18"/>
  <c r="AA625" i="18"/>
  <c r="AA631" i="18"/>
  <c r="AA643" i="18"/>
  <c r="AA657" i="18"/>
  <c r="AA666" i="18"/>
  <c r="AA675" i="18"/>
  <c r="AA676" i="18"/>
  <c r="AA677" i="18"/>
  <c r="AA684" i="18"/>
  <c r="AA696" i="18"/>
  <c r="AA700" i="18"/>
  <c r="AA701" i="18"/>
  <c r="AA703" i="18"/>
  <c r="AA704" i="18"/>
  <c r="AA713" i="18"/>
  <c r="AA715" i="18"/>
  <c r="AA718" i="18"/>
  <c r="AA730" i="18"/>
  <c r="AA744" i="18"/>
  <c r="AA746" i="18"/>
  <c r="AA757" i="18"/>
  <c r="AA778" i="18"/>
  <c r="AA779" i="18"/>
  <c r="AA785" i="18"/>
  <c r="AA788" i="18"/>
  <c r="AA790" i="18"/>
  <c r="AA794" i="18"/>
  <c r="AA800" i="18"/>
  <c r="AA801" i="18"/>
  <c r="AA804" i="18"/>
  <c r="AA815" i="18"/>
  <c r="AA825" i="18"/>
  <c r="AA845" i="18"/>
  <c r="AA852" i="18"/>
  <c r="AA854" i="18"/>
  <c r="AA857" i="18"/>
  <c r="AA858" i="18"/>
  <c r="AA861" i="18"/>
  <c r="AA871" i="18"/>
  <c r="AA874" i="18"/>
  <c r="AA876" i="18"/>
  <c r="AA878" i="18"/>
  <c r="AA884" i="18"/>
  <c r="AA893" i="18"/>
  <c r="AA897" i="18"/>
  <c r="AA898" i="18"/>
  <c r="AA900" i="18"/>
  <c r="AA905" i="18"/>
  <c r="AA914" i="18"/>
  <c r="AA928" i="18"/>
  <c r="AA930" i="18"/>
  <c r="AA937" i="18"/>
  <c r="AA940" i="18"/>
  <c r="AA958" i="18"/>
  <c r="AA966" i="18"/>
  <c r="AA972" i="18"/>
  <c r="AA979" i="18"/>
  <c r="AA986" i="18"/>
  <c r="Y2" i="18"/>
  <c r="Y3" i="18"/>
  <c r="Y4" i="18"/>
  <c r="Y5" i="18"/>
  <c r="Y6" i="18"/>
  <c r="Y7" i="18"/>
  <c r="Y8" i="18"/>
  <c r="Y9" i="18"/>
  <c r="Y10" i="18"/>
  <c r="Y11" i="18"/>
  <c r="Y12" i="18"/>
  <c r="Y13" i="18"/>
  <c r="Y14" i="18"/>
  <c r="Y15" i="18"/>
  <c r="Y16" i="18"/>
  <c r="Y17" i="18"/>
  <c r="Y18" i="18"/>
  <c r="Y19" i="18"/>
  <c r="Y20" i="18"/>
  <c r="Y21" i="18"/>
  <c r="Y22" i="18"/>
  <c r="Y23" i="18"/>
  <c r="Y24" i="18"/>
  <c r="Y25" i="18"/>
  <c r="Y26" i="18"/>
  <c r="Y27" i="18"/>
  <c r="Y28" i="18"/>
  <c r="Y29" i="18"/>
  <c r="Y30" i="18"/>
  <c r="Y31" i="18"/>
  <c r="Y32" i="18"/>
  <c r="Y33" i="18"/>
  <c r="Y34" i="18"/>
  <c r="Y35" i="18"/>
  <c r="Y36" i="18"/>
  <c r="Y37" i="18"/>
  <c r="Y38" i="18"/>
  <c r="Y39" i="18"/>
  <c r="Y40" i="18"/>
  <c r="Y41" i="18"/>
  <c r="Y42" i="18"/>
  <c r="Y43" i="18"/>
  <c r="Y44" i="18"/>
  <c r="Y45" i="18"/>
  <c r="Y46" i="18"/>
  <c r="Y47" i="18"/>
  <c r="Y48" i="18"/>
  <c r="Y49" i="18"/>
  <c r="Y50" i="18"/>
  <c r="Y51" i="18"/>
  <c r="Y52" i="18"/>
  <c r="Y53" i="18"/>
  <c r="Y54" i="18"/>
  <c r="Y55" i="18"/>
  <c r="Y56" i="18"/>
  <c r="Y57" i="18"/>
  <c r="Y58" i="18"/>
  <c r="Y59" i="18"/>
  <c r="Y60" i="18"/>
  <c r="Y61" i="18"/>
  <c r="Y62" i="18"/>
  <c r="Y63" i="18"/>
  <c r="Y64" i="18"/>
  <c r="Y65" i="18"/>
  <c r="Y66" i="18"/>
  <c r="Y67" i="18"/>
  <c r="Y68" i="18"/>
  <c r="Y69" i="18"/>
  <c r="Y70" i="18"/>
  <c r="Y71" i="18"/>
  <c r="Y72" i="18"/>
  <c r="Y73" i="18"/>
  <c r="Y74" i="18"/>
  <c r="Y75" i="18"/>
  <c r="Y76" i="18"/>
  <c r="Y77" i="18"/>
  <c r="Y78" i="18"/>
  <c r="Y79" i="18"/>
  <c r="Y80" i="18"/>
  <c r="Y81" i="18"/>
  <c r="Y82" i="18"/>
  <c r="Y83" i="18"/>
  <c r="Y84" i="18"/>
  <c r="Y85" i="18"/>
  <c r="Y86" i="18"/>
  <c r="Y87" i="18"/>
  <c r="Y88" i="18"/>
  <c r="Y89" i="18"/>
  <c r="Y90" i="18"/>
  <c r="Y91" i="18"/>
  <c r="Y92" i="18"/>
  <c r="Y93" i="18"/>
  <c r="Y94" i="18"/>
  <c r="Y95" i="18"/>
  <c r="Y96" i="18"/>
  <c r="Y97" i="18"/>
  <c r="Y98" i="18"/>
  <c r="Y99" i="18"/>
  <c r="Y100" i="18"/>
  <c r="Y101" i="18"/>
  <c r="Y102" i="18"/>
  <c r="Y103" i="18"/>
  <c r="Y104" i="18"/>
  <c r="Y105" i="18"/>
  <c r="Y106" i="18"/>
  <c r="Y107" i="18"/>
  <c r="Y108" i="18"/>
  <c r="Y109" i="18"/>
  <c r="Y110" i="18"/>
  <c r="Y111" i="18"/>
  <c r="Y112" i="18"/>
  <c r="Y113" i="18"/>
  <c r="Y114" i="18"/>
  <c r="Y115" i="18"/>
  <c r="Y116" i="18"/>
  <c r="Y117" i="18"/>
  <c r="Y118" i="18"/>
  <c r="Y119" i="18"/>
  <c r="Y120" i="18"/>
  <c r="Y121" i="18"/>
  <c r="Y122" i="18"/>
  <c r="Y123" i="18"/>
  <c r="Y124" i="18"/>
  <c r="Y125" i="18"/>
  <c r="Y126" i="18"/>
  <c r="Y127" i="18"/>
  <c r="Y128" i="18"/>
  <c r="Y129" i="18"/>
  <c r="Y130" i="18"/>
  <c r="Y131" i="18"/>
  <c r="Y132" i="18"/>
  <c r="Y133" i="18"/>
  <c r="Y134" i="18"/>
  <c r="Y135" i="18"/>
  <c r="Y136" i="18"/>
  <c r="Y137" i="18"/>
  <c r="Y138" i="18"/>
  <c r="Y139" i="18"/>
  <c r="Y140" i="18"/>
  <c r="Y141" i="18"/>
  <c r="Y142" i="18"/>
  <c r="Y143" i="18"/>
  <c r="Y144" i="18"/>
  <c r="Y145" i="18"/>
  <c r="Y146" i="18"/>
  <c r="Y147" i="18"/>
  <c r="Y148" i="18"/>
  <c r="Y149" i="18"/>
  <c r="Y150" i="18"/>
  <c r="Y151" i="18"/>
  <c r="Y152" i="18"/>
  <c r="Y153" i="18"/>
  <c r="Y154" i="18"/>
  <c r="Y155" i="18"/>
  <c r="Y156" i="18"/>
  <c r="Y157" i="18"/>
  <c r="Y158" i="18"/>
  <c r="Y159" i="18"/>
  <c r="Y160" i="18"/>
  <c r="Y161" i="18"/>
  <c r="Y162" i="18"/>
  <c r="Y163" i="18"/>
  <c r="Y164" i="18"/>
  <c r="Y165" i="18"/>
  <c r="Y166" i="18"/>
  <c r="Y167" i="18"/>
  <c r="Y168" i="18"/>
  <c r="Y169" i="18"/>
  <c r="Y170" i="18"/>
  <c r="Y171" i="18"/>
  <c r="Y172" i="18"/>
  <c r="Y173" i="18"/>
  <c r="Y174" i="18"/>
  <c r="Y175" i="18"/>
  <c r="Y176" i="18"/>
  <c r="Y177" i="18"/>
  <c r="Y178" i="18"/>
  <c r="Y179" i="18"/>
  <c r="Y180" i="18"/>
  <c r="Y181" i="18"/>
  <c r="Y182" i="18"/>
  <c r="Y183" i="18"/>
  <c r="Y184" i="18"/>
  <c r="Y185" i="18"/>
  <c r="Y186" i="18"/>
  <c r="Y187" i="18"/>
  <c r="Y188" i="18"/>
  <c r="Y189" i="18"/>
  <c r="Y190" i="18"/>
  <c r="Y191" i="18"/>
  <c r="Y192" i="18"/>
  <c r="Y193" i="18"/>
  <c r="Y194" i="18"/>
  <c r="Y195" i="18"/>
  <c r="Y196" i="18"/>
  <c r="Y197" i="18"/>
  <c r="Y198" i="18"/>
  <c r="Y199" i="18"/>
  <c r="Y200" i="18"/>
  <c r="Y201" i="18"/>
  <c r="Y202" i="18"/>
  <c r="Y203" i="18"/>
  <c r="Y204" i="18"/>
  <c r="Y205" i="18"/>
  <c r="Y206" i="18"/>
  <c r="Y207" i="18"/>
  <c r="Y208" i="18"/>
  <c r="Y209" i="18"/>
  <c r="Y210" i="18"/>
  <c r="Y211" i="18"/>
  <c r="Y212" i="18"/>
  <c r="Y213" i="18"/>
  <c r="Y214" i="18"/>
  <c r="Y215" i="18"/>
  <c r="Y216" i="18"/>
  <c r="Y217" i="18"/>
  <c r="Y218" i="18"/>
  <c r="Y219" i="18"/>
  <c r="Y220" i="18"/>
  <c r="Y221" i="18"/>
  <c r="Y222" i="18"/>
  <c r="Y223" i="18"/>
  <c r="Y224" i="18"/>
  <c r="Y225" i="18"/>
  <c r="Y226" i="18"/>
  <c r="Y227" i="18"/>
  <c r="Y228" i="18"/>
  <c r="Y229" i="18"/>
  <c r="Y230" i="18"/>
  <c r="Y231" i="18"/>
  <c r="Y232" i="18"/>
  <c r="Y233" i="18"/>
  <c r="Y234" i="18"/>
  <c r="Y235" i="18"/>
  <c r="Y236" i="18"/>
  <c r="Y237" i="18"/>
  <c r="Y238" i="18"/>
  <c r="Y239" i="18"/>
  <c r="Y240" i="18"/>
  <c r="Y241" i="18"/>
  <c r="Y242" i="18"/>
  <c r="Y243" i="18"/>
  <c r="Y244" i="18"/>
  <c r="Y245" i="18"/>
  <c r="Y246" i="18"/>
  <c r="Y247" i="18"/>
  <c r="Y248" i="18"/>
  <c r="Y249" i="18"/>
  <c r="Y250" i="18"/>
  <c r="Y251" i="18"/>
  <c r="Y252" i="18"/>
  <c r="Y253" i="18"/>
  <c r="Y254" i="18"/>
  <c r="Y255" i="18"/>
  <c r="Y256" i="18"/>
  <c r="Y257" i="18"/>
  <c r="Y258" i="18"/>
  <c r="Y259" i="18"/>
  <c r="Y260" i="18"/>
  <c r="Y261" i="18"/>
  <c r="Y262" i="18"/>
  <c r="Y263" i="18"/>
  <c r="Y264" i="18"/>
  <c r="Y265" i="18"/>
  <c r="Y266" i="18"/>
  <c r="Y267" i="18"/>
  <c r="Y268" i="18"/>
  <c r="Y269" i="18"/>
  <c r="Y270" i="18"/>
  <c r="Y271" i="18"/>
  <c r="Y272" i="18"/>
  <c r="Y273" i="18"/>
  <c r="Y274" i="18"/>
  <c r="Y275" i="18"/>
  <c r="Y276" i="18"/>
  <c r="Y277" i="18"/>
  <c r="Y278" i="18"/>
  <c r="Y279" i="18"/>
  <c r="Y280" i="18"/>
  <c r="Y281" i="18"/>
  <c r="Y282" i="18"/>
  <c r="Y283" i="18"/>
  <c r="Y284" i="18"/>
  <c r="Y285" i="18"/>
  <c r="Y286" i="18"/>
  <c r="Y287" i="18"/>
  <c r="Y288" i="18"/>
  <c r="Y289" i="18"/>
  <c r="Y290" i="18"/>
  <c r="Y291" i="18"/>
  <c r="Y292" i="18"/>
  <c r="Y293" i="18"/>
  <c r="Y294" i="18"/>
  <c r="Y295" i="18"/>
  <c r="Y296" i="18"/>
  <c r="Y297" i="18"/>
  <c r="Y298" i="18"/>
  <c r="Y299" i="18"/>
  <c r="Y300" i="18"/>
  <c r="Y301" i="18"/>
  <c r="Y302" i="18"/>
  <c r="Y303" i="18"/>
  <c r="Y304" i="18"/>
  <c r="Y305" i="18"/>
  <c r="Y306" i="18"/>
  <c r="Y307" i="18"/>
  <c r="Y308" i="18"/>
  <c r="Y309" i="18"/>
  <c r="Y310" i="18"/>
  <c r="Y311" i="18"/>
  <c r="Y312" i="18"/>
  <c r="Y313" i="18"/>
  <c r="Y314" i="18"/>
  <c r="Y315" i="18"/>
  <c r="Y316" i="18"/>
  <c r="Y317" i="18"/>
  <c r="Y318" i="18"/>
  <c r="Y319" i="18"/>
  <c r="Y320" i="18"/>
  <c r="Y321" i="18"/>
  <c r="Y322" i="18"/>
  <c r="Y323" i="18"/>
  <c r="Y324" i="18"/>
  <c r="Y325" i="18"/>
  <c r="Y326" i="18"/>
  <c r="Y327" i="18"/>
  <c r="Y328" i="18"/>
  <c r="Y329" i="18"/>
  <c r="Y330" i="18"/>
  <c r="Y331" i="18"/>
  <c r="Y332" i="18"/>
  <c r="Y333" i="18"/>
  <c r="Y334" i="18"/>
  <c r="Y335" i="18"/>
  <c r="Y336" i="18"/>
  <c r="Y337" i="18"/>
  <c r="Y338" i="18"/>
  <c r="Y339" i="18"/>
  <c r="Y340" i="18"/>
  <c r="Y341" i="18"/>
  <c r="Y342" i="18"/>
  <c r="Y343" i="18"/>
  <c r="Y344" i="18"/>
  <c r="Y345" i="18"/>
  <c r="Y346" i="18"/>
  <c r="Y347" i="18"/>
  <c r="Y348" i="18"/>
  <c r="Y349" i="18"/>
  <c r="Y350" i="18"/>
  <c r="Y351" i="18"/>
  <c r="Y352" i="18"/>
  <c r="Y353" i="18"/>
  <c r="Y354" i="18"/>
  <c r="Y355" i="18"/>
  <c r="Y356" i="18"/>
  <c r="Y357" i="18"/>
  <c r="Y358" i="18"/>
  <c r="Y359" i="18"/>
  <c r="Y360" i="18"/>
  <c r="Y361" i="18"/>
  <c r="Y362" i="18"/>
  <c r="Y363" i="18"/>
  <c r="Y364" i="18"/>
  <c r="Y365" i="18"/>
  <c r="Y366" i="18"/>
  <c r="Y367" i="18"/>
  <c r="Y368" i="18"/>
  <c r="Y369" i="18"/>
  <c r="Y370" i="18"/>
  <c r="Y371" i="18"/>
  <c r="Y372" i="18"/>
  <c r="Y373" i="18"/>
  <c r="Y374" i="18"/>
  <c r="Y375" i="18"/>
  <c r="Y376" i="18"/>
  <c r="Y377" i="18"/>
  <c r="Y378" i="18"/>
  <c r="Y379" i="18"/>
  <c r="Y380" i="18"/>
  <c r="Y381" i="18"/>
  <c r="Y382" i="18"/>
  <c r="Y383" i="18"/>
  <c r="Y384" i="18"/>
  <c r="Y385" i="18"/>
  <c r="Y386" i="18"/>
  <c r="Y387" i="18"/>
  <c r="Y388" i="18"/>
  <c r="Y389" i="18"/>
  <c r="Y390" i="18"/>
  <c r="Y391" i="18"/>
  <c r="Y392" i="18"/>
  <c r="Y393" i="18"/>
  <c r="Y394" i="18"/>
  <c r="Y395" i="18"/>
  <c r="Y396" i="18"/>
  <c r="Y397" i="18"/>
  <c r="Y398" i="18"/>
  <c r="Y399" i="18"/>
  <c r="Y400" i="18"/>
  <c r="Y401" i="18"/>
  <c r="Y402" i="18"/>
  <c r="Y403" i="18"/>
  <c r="Y404" i="18"/>
  <c r="Y405" i="18"/>
  <c r="Y406" i="18"/>
  <c r="Y407" i="18"/>
  <c r="Y408" i="18"/>
  <c r="Y409" i="18"/>
  <c r="Y410" i="18"/>
  <c r="Y411" i="18"/>
  <c r="Y412" i="18"/>
  <c r="Y413" i="18"/>
  <c r="Y414" i="18"/>
  <c r="Y415" i="18"/>
  <c r="Y416" i="18"/>
  <c r="Y417" i="18"/>
  <c r="Y418" i="18"/>
  <c r="Y419" i="18"/>
  <c r="Y420" i="18"/>
  <c r="Y421" i="18"/>
  <c r="Y422" i="18"/>
  <c r="Y423" i="18"/>
  <c r="Y424" i="18"/>
  <c r="Y425" i="18"/>
  <c r="Y426" i="18"/>
  <c r="Y427" i="18"/>
  <c r="Y428" i="18"/>
  <c r="Y429" i="18"/>
  <c r="Y430" i="18"/>
  <c r="Y431" i="18"/>
  <c r="Y432" i="18"/>
  <c r="Y433" i="18"/>
  <c r="Y434" i="18"/>
  <c r="Y435" i="18"/>
  <c r="Y436" i="18"/>
  <c r="Y437" i="18"/>
  <c r="Y438" i="18"/>
  <c r="Y439" i="18"/>
  <c r="Y440" i="18"/>
  <c r="Y441" i="18"/>
  <c r="Y442" i="18"/>
  <c r="Y443" i="18"/>
  <c r="Y444" i="18"/>
  <c r="Y445" i="18"/>
  <c r="Y446" i="18"/>
  <c r="Y447" i="18"/>
  <c r="Y448" i="18"/>
  <c r="Y449" i="18"/>
  <c r="Y450" i="18"/>
  <c r="Y451" i="18"/>
  <c r="Y452" i="18"/>
  <c r="Y453" i="18"/>
  <c r="Y454" i="18"/>
  <c r="Y455" i="18"/>
  <c r="Y456" i="18"/>
  <c r="Y457" i="18"/>
  <c r="Y458" i="18"/>
  <c r="Y459" i="18"/>
  <c r="Y460" i="18"/>
  <c r="Y461" i="18"/>
  <c r="Y462" i="18"/>
  <c r="Y463" i="18"/>
  <c r="Y464" i="18"/>
  <c r="Y465" i="18"/>
  <c r="Y466" i="18"/>
  <c r="Y467" i="18"/>
  <c r="Y468" i="18"/>
  <c r="Y469" i="18"/>
  <c r="Y470" i="18"/>
  <c r="Y471" i="18"/>
  <c r="Y472" i="18"/>
  <c r="Y473" i="18"/>
  <c r="Y474" i="18"/>
  <c r="Y475" i="18"/>
  <c r="Y476" i="18"/>
  <c r="Y477" i="18"/>
  <c r="Y478" i="18"/>
  <c r="Y479" i="18"/>
  <c r="Y480" i="18"/>
  <c r="Y481" i="18"/>
  <c r="Y482" i="18"/>
  <c r="Y483" i="18"/>
  <c r="Y484" i="18"/>
  <c r="Y485" i="18"/>
  <c r="Y486" i="18"/>
  <c r="Y487" i="18"/>
  <c r="Y488" i="18"/>
  <c r="Y489" i="18"/>
  <c r="Y490" i="18"/>
  <c r="Y491" i="18"/>
  <c r="Y492" i="18"/>
  <c r="Y493" i="18"/>
  <c r="Y494" i="18"/>
  <c r="Y495" i="18"/>
  <c r="Y496" i="18"/>
  <c r="Y497" i="18"/>
  <c r="Y498" i="18"/>
  <c r="Y499" i="18"/>
  <c r="Y500" i="18"/>
  <c r="Y501" i="18"/>
  <c r="Y502" i="18"/>
  <c r="Y503" i="18"/>
  <c r="Y504" i="18"/>
  <c r="Y505" i="18"/>
  <c r="Y506" i="18"/>
  <c r="Y507" i="18"/>
  <c r="Y508" i="18"/>
  <c r="Y509" i="18"/>
  <c r="Y510" i="18"/>
  <c r="Y511" i="18"/>
  <c r="Y512" i="18"/>
  <c r="Y513" i="18"/>
  <c r="Y514" i="18"/>
  <c r="Y515" i="18"/>
  <c r="Y516" i="18"/>
  <c r="Y517" i="18"/>
  <c r="Y518" i="18"/>
  <c r="Y519" i="18"/>
  <c r="Y520" i="18"/>
  <c r="Y521" i="18"/>
  <c r="Y522" i="18"/>
  <c r="Y523" i="18"/>
  <c r="Y524" i="18"/>
  <c r="Y525" i="18"/>
  <c r="Y526" i="18"/>
  <c r="Y527" i="18"/>
  <c r="Y528" i="18"/>
  <c r="Y529" i="18"/>
  <c r="Y530" i="18"/>
  <c r="Y531" i="18"/>
  <c r="Y532" i="18"/>
  <c r="Y533" i="18"/>
  <c r="Y534" i="18"/>
  <c r="Y535" i="18"/>
  <c r="Y536" i="18"/>
  <c r="Y537" i="18"/>
  <c r="Y538" i="18"/>
  <c r="Y539" i="18"/>
  <c r="Y540" i="18"/>
  <c r="Y541" i="18"/>
  <c r="Y542" i="18"/>
  <c r="Y543" i="18"/>
  <c r="Y544" i="18"/>
  <c r="Y545" i="18"/>
  <c r="Y546" i="18"/>
  <c r="Y547" i="18"/>
  <c r="Y548" i="18"/>
  <c r="Y549" i="18"/>
  <c r="Y550" i="18"/>
  <c r="Y551" i="18"/>
  <c r="Y552" i="18"/>
  <c r="Y553" i="18"/>
  <c r="Y554" i="18"/>
  <c r="Y555" i="18"/>
  <c r="Y556" i="18"/>
  <c r="Y557" i="18"/>
  <c r="Y558" i="18"/>
  <c r="Y559" i="18"/>
  <c r="Y560" i="18"/>
  <c r="Y561" i="18"/>
  <c r="Y562" i="18"/>
  <c r="Y563" i="18"/>
  <c r="Y564" i="18"/>
  <c r="Y565" i="18"/>
  <c r="Y566" i="18"/>
  <c r="Y567" i="18"/>
  <c r="Y568" i="18"/>
  <c r="Y569" i="18"/>
  <c r="Y570" i="18"/>
  <c r="Y571" i="18"/>
  <c r="Y572" i="18"/>
  <c r="Y573" i="18"/>
  <c r="Y574" i="18"/>
  <c r="Y575" i="18"/>
  <c r="Y576" i="18"/>
  <c r="Y577" i="18"/>
  <c r="Y578" i="18"/>
  <c r="Y579" i="18"/>
  <c r="Y580" i="18"/>
  <c r="Y581" i="18"/>
  <c r="Y582" i="18"/>
  <c r="Y583" i="18"/>
  <c r="Y584" i="18"/>
  <c r="Y585" i="18"/>
  <c r="Y586" i="18"/>
  <c r="Y587" i="18"/>
  <c r="Y588" i="18"/>
  <c r="Y589" i="18"/>
  <c r="Y590" i="18"/>
  <c r="Y591" i="18"/>
  <c r="Y592" i="18"/>
  <c r="Y593" i="18"/>
  <c r="Y594" i="18"/>
  <c r="Y595" i="18"/>
  <c r="Y596" i="18"/>
  <c r="Y597" i="18"/>
  <c r="Y598" i="18"/>
  <c r="Y599" i="18"/>
  <c r="Y600" i="18"/>
  <c r="Y601" i="18"/>
  <c r="Y602" i="18"/>
  <c r="Y603" i="18"/>
  <c r="Y604" i="18"/>
  <c r="Y605" i="18"/>
  <c r="Y606" i="18"/>
  <c r="Y607" i="18"/>
  <c r="Y608" i="18"/>
  <c r="Y609" i="18"/>
  <c r="Y610" i="18"/>
  <c r="Y611" i="18"/>
  <c r="Y612" i="18"/>
  <c r="Y613" i="18"/>
  <c r="Y614" i="18"/>
  <c r="Y615" i="18"/>
  <c r="Y616" i="18"/>
  <c r="Y617" i="18"/>
  <c r="Y618" i="18"/>
  <c r="Y619" i="18"/>
  <c r="Y620" i="18"/>
  <c r="Y621" i="18"/>
  <c r="Y622" i="18"/>
  <c r="Y623" i="18"/>
  <c r="Y624" i="18"/>
  <c r="Y625" i="18"/>
  <c r="Y626" i="18"/>
  <c r="Y627" i="18"/>
  <c r="Y628" i="18"/>
  <c r="Y629" i="18"/>
  <c r="Y630" i="18"/>
  <c r="Y631" i="18"/>
  <c r="Y632" i="18"/>
  <c r="Y633" i="18"/>
  <c r="Y634" i="18"/>
  <c r="Y635" i="18"/>
  <c r="Y636" i="18"/>
  <c r="Y637" i="18"/>
  <c r="Y638" i="18"/>
  <c r="Y639" i="18"/>
  <c r="Y640" i="18"/>
  <c r="Y641" i="18"/>
  <c r="Y642" i="18"/>
  <c r="Y643" i="18"/>
  <c r="Y644" i="18"/>
  <c r="Y645" i="18"/>
  <c r="Y646" i="18"/>
  <c r="Y647" i="18"/>
  <c r="Y648" i="18"/>
  <c r="Y649" i="18"/>
  <c r="Y650" i="18"/>
  <c r="Y651" i="18"/>
  <c r="Y652" i="18"/>
  <c r="Y653" i="18"/>
  <c r="Y654" i="18"/>
  <c r="Y655" i="18"/>
  <c r="Y656" i="18"/>
  <c r="Y657" i="18"/>
  <c r="Y658" i="18"/>
  <c r="Y659" i="18"/>
  <c r="Y660" i="18"/>
  <c r="Y661" i="18"/>
  <c r="Y662" i="18"/>
  <c r="Y663" i="18"/>
  <c r="Y664" i="18"/>
  <c r="Y665" i="18"/>
  <c r="Y666" i="18"/>
  <c r="Y667" i="18"/>
  <c r="Y668" i="18"/>
  <c r="Y669" i="18"/>
  <c r="Y670" i="18"/>
  <c r="Y671" i="18"/>
  <c r="Y672" i="18"/>
  <c r="Y673" i="18"/>
  <c r="Y674" i="18"/>
  <c r="Y675" i="18"/>
  <c r="Y676" i="18"/>
  <c r="Y677" i="18"/>
  <c r="Y678" i="18"/>
  <c r="Y679" i="18"/>
  <c r="Y680" i="18"/>
  <c r="Y681" i="18"/>
  <c r="Y682" i="18"/>
  <c r="Y683" i="18"/>
  <c r="Y684" i="18"/>
  <c r="Y685" i="18"/>
  <c r="Y686" i="18"/>
  <c r="Y687" i="18"/>
  <c r="Y688" i="18"/>
  <c r="Y689" i="18"/>
  <c r="Y690" i="18"/>
  <c r="Y691" i="18"/>
  <c r="Y692" i="18"/>
  <c r="Y693" i="18"/>
  <c r="Y694" i="18"/>
  <c r="Y695" i="18"/>
  <c r="Y696" i="18"/>
  <c r="Y697" i="18"/>
  <c r="Y698" i="18"/>
  <c r="Y699" i="18"/>
  <c r="Y700" i="18"/>
  <c r="Y701" i="18"/>
  <c r="Y702" i="18"/>
  <c r="Y703" i="18"/>
  <c r="Y704" i="18"/>
  <c r="Y705" i="18"/>
  <c r="Y706" i="18"/>
  <c r="Y707" i="18"/>
  <c r="Y708" i="18"/>
  <c r="Y709" i="18"/>
  <c r="Y710" i="18"/>
  <c r="Y711" i="18"/>
  <c r="Y712" i="18"/>
  <c r="Y713" i="18"/>
  <c r="Y714" i="18"/>
  <c r="Y715" i="18"/>
  <c r="Y716" i="18"/>
  <c r="Y717" i="18"/>
  <c r="Y718" i="18"/>
  <c r="Y719" i="18"/>
  <c r="Y720" i="18"/>
  <c r="Y721" i="18"/>
  <c r="Y722" i="18"/>
  <c r="Y723" i="18"/>
  <c r="Y724" i="18"/>
  <c r="Y725" i="18"/>
  <c r="Y726" i="18"/>
  <c r="Y727" i="18"/>
  <c r="Y728" i="18"/>
  <c r="Y729" i="18"/>
  <c r="Y730" i="18"/>
  <c r="Y731" i="18"/>
  <c r="Y732" i="18"/>
  <c r="Y733" i="18"/>
  <c r="Y734" i="18"/>
  <c r="Y735" i="18"/>
  <c r="Y736" i="18"/>
  <c r="Y737" i="18"/>
  <c r="Y738" i="18"/>
  <c r="Y739" i="18"/>
  <c r="Y740" i="18"/>
  <c r="Y741" i="18"/>
  <c r="Y742" i="18"/>
  <c r="Y743" i="18"/>
  <c r="Y744" i="18"/>
  <c r="Y745" i="18"/>
  <c r="Y746" i="18"/>
  <c r="Y747" i="18"/>
  <c r="Y748" i="18"/>
  <c r="Y749" i="18"/>
  <c r="Y750" i="18"/>
  <c r="Y751" i="18"/>
  <c r="Y752" i="18"/>
  <c r="Y753" i="18"/>
  <c r="Y754" i="18"/>
  <c r="Y755" i="18"/>
  <c r="Y756" i="18"/>
  <c r="Y757" i="18"/>
  <c r="Y758" i="18"/>
  <c r="Y759" i="18"/>
  <c r="Y760" i="18"/>
  <c r="Y761" i="18"/>
  <c r="Y762" i="18"/>
  <c r="Y763" i="18"/>
  <c r="Y764" i="18"/>
  <c r="Y765" i="18"/>
  <c r="Y766" i="18"/>
  <c r="Y767" i="18"/>
  <c r="Y768" i="18"/>
  <c r="Y769" i="18"/>
  <c r="Y770" i="18"/>
  <c r="Y771" i="18"/>
  <c r="Y772" i="18"/>
  <c r="Y773" i="18"/>
  <c r="Y774" i="18"/>
  <c r="Y775" i="18"/>
  <c r="Y776" i="18"/>
  <c r="Y777" i="18"/>
  <c r="Y778" i="18"/>
  <c r="Y779" i="18"/>
  <c r="Y780" i="18"/>
  <c r="Y781" i="18"/>
  <c r="Y782" i="18"/>
  <c r="Y783" i="18"/>
  <c r="Y784" i="18"/>
  <c r="Y785" i="18"/>
  <c r="Y786" i="18"/>
  <c r="Y787" i="18"/>
  <c r="Y788" i="18"/>
  <c r="Y789" i="18"/>
  <c r="Y790" i="18"/>
  <c r="Y791" i="18"/>
  <c r="Y792" i="18"/>
  <c r="Y793" i="18"/>
  <c r="Y794" i="18"/>
  <c r="Y795" i="18"/>
  <c r="Y796" i="18"/>
  <c r="Y797" i="18"/>
  <c r="Y798" i="18"/>
  <c r="Y799" i="18"/>
  <c r="Y800" i="18"/>
  <c r="Y801" i="18"/>
  <c r="Y802" i="18"/>
  <c r="Y803" i="18"/>
  <c r="Y804" i="18"/>
  <c r="Y805" i="18"/>
  <c r="Y806" i="18"/>
  <c r="Y807" i="18"/>
  <c r="Y808" i="18"/>
  <c r="Y809" i="18"/>
  <c r="Y810" i="18"/>
  <c r="Y811" i="18"/>
  <c r="Y812" i="18"/>
  <c r="Y813" i="18"/>
  <c r="Y814" i="18"/>
  <c r="Y815" i="18"/>
  <c r="Y816" i="18"/>
  <c r="Y817" i="18"/>
  <c r="Y818" i="18"/>
  <c r="Y819" i="18"/>
  <c r="Y820" i="18"/>
  <c r="Y821" i="18"/>
  <c r="Y822" i="18"/>
  <c r="Y823" i="18"/>
  <c r="Y824" i="18"/>
  <c r="Y825" i="18"/>
  <c r="Y826" i="18"/>
  <c r="Y827" i="18"/>
  <c r="Y828" i="18"/>
  <c r="Y829" i="18"/>
  <c r="Y830" i="18"/>
  <c r="Y831" i="18"/>
  <c r="Y832" i="18"/>
  <c r="Y833" i="18"/>
  <c r="Y834" i="18"/>
  <c r="Y835" i="18"/>
  <c r="Y836" i="18"/>
  <c r="Y837" i="18"/>
  <c r="Y838" i="18"/>
  <c r="Y839" i="18"/>
  <c r="Y840" i="18"/>
  <c r="Y841" i="18"/>
  <c r="Y842" i="18"/>
  <c r="Y843" i="18"/>
  <c r="Y844" i="18"/>
  <c r="Y845" i="18"/>
  <c r="Y846" i="18"/>
  <c r="Y847" i="18"/>
  <c r="Y848" i="18"/>
  <c r="Y849" i="18"/>
  <c r="Y850" i="18"/>
  <c r="Y851" i="18"/>
  <c r="Y852" i="18"/>
  <c r="Y853" i="18"/>
  <c r="Y854" i="18"/>
  <c r="Y855" i="18"/>
  <c r="Y856" i="18"/>
  <c r="Y857" i="18"/>
  <c r="Y858" i="18"/>
  <c r="Y859" i="18"/>
  <c r="Y860" i="18"/>
  <c r="Y861" i="18"/>
  <c r="Y862" i="18"/>
  <c r="Y863" i="18"/>
  <c r="Y864" i="18"/>
  <c r="Y865" i="18"/>
  <c r="Y866" i="18"/>
  <c r="Y867" i="18"/>
  <c r="Y868" i="18"/>
  <c r="Y869" i="18"/>
  <c r="Y870" i="18"/>
  <c r="Y871" i="18"/>
  <c r="Y872" i="18"/>
  <c r="Y873" i="18"/>
  <c r="Y874" i="18"/>
  <c r="Y875" i="18"/>
  <c r="Y876" i="18"/>
  <c r="Y877" i="18"/>
  <c r="Y878" i="18"/>
  <c r="Y879" i="18"/>
  <c r="Y880" i="18"/>
  <c r="Y881" i="18"/>
  <c r="Y882" i="18"/>
  <c r="Y883" i="18"/>
  <c r="Y884" i="18"/>
  <c r="Y885" i="18"/>
  <c r="Y886" i="18"/>
  <c r="Y887" i="18"/>
  <c r="Y888" i="18"/>
  <c r="Y889" i="18"/>
  <c r="Y890" i="18"/>
  <c r="Y891" i="18"/>
  <c r="Y892" i="18"/>
  <c r="Y893" i="18"/>
  <c r="Y894" i="18"/>
  <c r="Y895" i="18"/>
  <c r="Y896" i="18"/>
  <c r="Y897" i="18"/>
  <c r="Y898" i="18"/>
  <c r="Y899" i="18"/>
  <c r="Y900" i="18"/>
  <c r="Y901" i="18"/>
  <c r="Y902" i="18"/>
  <c r="Y903" i="18"/>
  <c r="Y904" i="18"/>
  <c r="Y905" i="18"/>
  <c r="Y906" i="18"/>
  <c r="Y907" i="18"/>
  <c r="Y908" i="18"/>
  <c r="Y909" i="18"/>
  <c r="Y910" i="18"/>
  <c r="Y911" i="18"/>
  <c r="Y912" i="18"/>
  <c r="Y913" i="18"/>
  <c r="Y914" i="18"/>
  <c r="Y915" i="18"/>
  <c r="Y916" i="18"/>
  <c r="Y917" i="18"/>
  <c r="Y918" i="18"/>
  <c r="Y919" i="18"/>
  <c r="Y920" i="18"/>
  <c r="Y921" i="18"/>
  <c r="Y922" i="18"/>
  <c r="Y923" i="18"/>
  <c r="Y924" i="18"/>
  <c r="Y925" i="18"/>
  <c r="Y926" i="18"/>
  <c r="Y927" i="18"/>
  <c r="Y928" i="18"/>
  <c r="Y929" i="18"/>
  <c r="Y930" i="18"/>
  <c r="Y931" i="18"/>
  <c r="Y932" i="18"/>
  <c r="Y933" i="18"/>
  <c r="Y934" i="18"/>
  <c r="Y935" i="18"/>
  <c r="Y936" i="18"/>
  <c r="Y937" i="18"/>
  <c r="Y938" i="18"/>
  <c r="Y939" i="18"/>
  <c r="Y940" i="18"/>
  <c r="Y941" i="18"/>
  <c r="Y942" i="18"/>
  <c r="Y943" i="18"/>
  <c r="Y944" i="18"/>
  <c r="Y945" i="18"/>
  <c r="Y946" i="18"/>
  <c r="Y947" i="18"/>
  <c r="Y948" i="18"/>
  <c r="Y949" i="18"/>
  <c r="Y950" i="18"/>
  <c r="Y951" i="18"/>
  <c r="Y952" i="18"/>
  <c r="Y953" i="18"/>
  <c r="Y954" i="18"/>
  <c r="Y955" i="18"/>
  <c r="Y956" i="18"/>
  <c r="Y957" i="18"/>
  <c r="Y958" i="18"/>
  <c r="Y959" i="18"/>
  <c r="Y960" i="18"/>
  <c r="Y961" i="18"/>
  <c r="Y962" i="18"/>
  <c r="Y963" i="18"/>
  <c r="Y964" i="18"/>
  <c r="Y965" i="18"/>
  <c r="Y966" i="18"/>
  <c r="Y967" i="18"/>
  <c r="Y968" i="18"/>
  <c r="Y969" i="18"/>
  <c r="Y970" i="18"/>
  <c r="Y971" i="18"/>
  <c r="Y972" i="18"/>
  <c r="Y973" i="18"/>
  <c r="Y974" i="18"/>
  <c r="Y975" i="18"/>
  <c r="Y976" i="18"/>
  <c r="Y977" i="18"/>
  <c r="Y978" i="18"/>
  <c r="Y979" i="18"/>
  <c r="Y980" i="18"/>
  <c r="Y981" i="18"/>
  <c r="Y982" i="18"/>
  <c r="Y983" i="18"/>
  <c r="Y984" i="18"/>
  <c r="Y985" i="18"/>
  <c r="Y986" i="18"/>
  <c r="Y987" i="18"/>
  <c r="Y988" i="18"/>
  <c r="Y989" i="18"/>
  <c r="Y990" i="18"/>
  <c r="Y991" i="18"/>
  <c r="Y992" i="18"/>
  <c r="Y993" i="18"/>
  <c r="Y994" i="18"/>
  <c r="Y995" i="18"/>
  <c r="Y996" i="18"/>
  <c r="Y997" i="18"/>
  <c r="Y998" i="18"/>
  <c r="Y999" i="18"/>
  <c r="Y1000" i="18"/>
  <c r="Y1001" i="18"/>
  <c r="W2" i="18"/>
  <c r="W3" i="18"/>
  <c r="W4" i="18"/>
  <c r="W5" i="18"/>
  <c r="W6" i="18"/>
  <c r="W7" i="18"/>
  <c r="W8" i="18"/>
  <c r="W9" i="18"/>
  <c r="W10" i="18"/>
  <c r="W11" i="18"/>
  <c r="W12" i="18"/>
  <c r="W13" i="18"/>
  <c r="W14" i="18"/>
  <c r="W15" i="18"/>
  <c r="W16" i="18"/>
  <c r="W17" i="18"/>
  <c r="W18" i="18"/>
  <c r="W19" i="18"/>
  <c r="W20" i="18"/>
  <c r="W21" i="18"/>
  <c r="W22" i="18"/>
  <c r="W23" i="18"/>
  <c r="W24" i="18"/>
  <c r="W25" i="18"/>
  <c r="W26" i="18"/>
  <c r="W27" i="18"/>
  <c r="W28" i="18"/>
  <c r="W29" i="18"/>
  <c r="W30" i="18"/>
  <c r="W31" i="18"/>
  <c r="W32" i="18"/>
  <c r="W33" i="18"/>
  <c r="W34" i="18"/>
  <c r="W35" i="18"/>
  <c r="W36" i="18"/>
  <c r="W37" i="18"/>
  <c r="W38" i="18"/>
  <c r="W39" i="18"/>
  <c r="W40" i="18"/>
  <c r="W41" i="18"/>
  <c r="W42" i="18"/>
  <c r="W43" i="18"/>
  <c r="W44" i="18"/>
  <c r="W45" i="18"/>
  <c r="W46" i="18"/>
  <c r="W47" i="18"/>
  <c r="W48" i="18"/>
  <c r="W49" i="18"/>
  <c r="W50" i="18"/>
  <c r="W51" i="18"/>
  <c r="W52" i="18"/>
  <c r="W53" i="18"/>
  <c r="W54" i="18"/>
  <c r="W55" i="18"/>
  <c r="W56" i="18"/>
  <c r="W57" i="18"/>
  <c r="W58" i="18"/>
  <c r="W59" i="18"/>
  <c r="W60" i="18"/>
  <c r="W61" i="18"/>
  <c r="W62" i="18"/>
  <c r="W63" i="18"/>
  <c r="W64" i="18"/>
  <c r="W65" i="18"/>
  <c r="W66" i="18"/>
  <c r="W67" i="18"/>
  <c r="W68" i="18"/>
  <c r="W69" i="18"/>
  <c r="W70" i="18"/>
  <c r="W71" i="18"/>
  <c r="W72" i="18"/>
  <c r="W73" i="18"/>
  <c r="W74" i="18"/>
  <c r="W75" i="18"/>
  <c r="W76" i="18"/>
  <c r="W77" i="18"/>
  <c r="W78" i="18"/>
  <c r="W79" i="18"/>
  <c r="W80" i="18"/>
  <c r="W81" i="18"/>
  <c r="W82" i="18"/>
  <c r="W83" i="18"/>
  <c r="W84" i="18"/>
  <c r="W85" i="18"/>
  <c r="W86" i="18"/>
  <c r="W87" i="18"/>
  <c r="W88" i="18"/>
  <c r="W89" i="18"/>
  <c r="W90" i="18"/>
  <c r="W91" i="18"/>
  <c r="W92" i="18"/>
  <c r="W93" i="18"/>
  <c r="W94" i="18"/>
  <c r="W95" i="18"/>
  <c r="W96" i="18"/>
  <c r="W97" i="18"/>
  <c r="W98" i="18"/>
  <c r="W99" i="18"/>
  <c r="W100" i="18"/>
  <c r="W101" i="18"/>
  <c r="W102" i="18"/>
  <c r="W103" i="18"/>
  <c r="W104" i="18"/>
  <c r="W105" i="18"/>
  <c r="W106" i="18"/>
  <c r="W107" i="18"/>
  <c r="W108" i="18"/>
  <c r="W109" i="18"/>
  <c r="W110" i="18"/>
  <c r="W111" i="18"/>
  <c r="W112" i="18"/>
  <c r="W113" i="18"/>
  <c r="W114" i="18"/>
  <c r="W115" i="18"/>
  <c r="W116" i="18"/>
  <c r="W117" i="18"/>
  <c r="W118" i="18"/>
  <c r="W119" i="18"/>
  <c r="W120" i="18"/>
  <c r="W121" i="18"/>
  <c r="W122" i="18"/>
  <c r="W123" i="18"/>
  <c r="W124" i="18"/>
  <c r="W125" i="18"/>
  <c r="W126" i="18"/>
  <c r="W127" i="18"/>
  <c r="W128" i="18"/>
  <c r="W129" i="18"/>
  <c r="W130" i="18"/>
  <c r="W131" i="18"/>
  <c r="W132" i="18"/>
  <c r="W133" i="18"/>
  <c r="W134" i="18"/>
  <c r="W135" i="18"/>
  <c r="W136" i="18"/>
  <c r="W137" i="18"/>
  <c r="W138" i="18"/>
  <c r="W139" i="18"/>
  <c r="W140" i="18"/>
  <c r="W141" i="18"/>
  <c r="W142" i="18"/>
  <c r="W143" i="18"/>
  <c r="W144" i="18"/>
  <c r="W145" i="18"/>
  <c r="W146" i="18"/>
  <c r="W147" i="18"/>
  <c r="W148" i="18"/>
  <c r="W149" i="18"/>
  <c r="W150" i="18"/>
  <c r="W151" i="18"/>
  <c r="W152" i="18"/>
  <c r="W153" i="18"/>
  <c r="W154" i="18"/>
  <c r="W155" i="18"/>
  <c r="W156" i="18"/>
  <c r="W157" i="18"/>
  <c r="W158" i="18"/>
  <c r="W159" i="18"/>
  <c r="W160" i="18"/>
  <c r="W161" i="18"/>
  <c r="W162" i="18"/>
  <c r="W163" i="18"/>
  <c r="W164" i="18"/>
  <c r="W165" i="18"/>
  <c r="W166" i="18"/>
  <c r="W167" i="18"/>
  <c r="W168" i="18"/>
  <c r="W169" i="18"/>
  <c r="W170" i="18"/>
  <c r="W171" i="18"/>
  <c r="W172" i="18"/>
  <c r="W173" i="18"/>
  <c r="W174" i="18"/>
  <c r="W175" i="18"/>
  <c r="W176" i="18"/>
  <c r="W177" i="18"/>
  <c r="W178" i="18"/>
  <c r="W179" i="18"/>
  <c r="W180" i="18"/>
  <c r="W181" i="18"/>
  <c r="W182" i="18"/>
  <c r="W183" i="18"/>
  <c r="W184" i="18"/>
  <c r="W185" i="18"/>
  <c r="W186" i="18"/>
  <c r="W187" i="18"/>
  <c r="W188" i="18"/>
  <c r="W189" i="18"/>
  <c r="W190" i="18"/>
  <c r="W191" i="18"/>
  <c r="W192" i="18"/>
  <c r="W193" i="18"/>
  <c r="W194" i="18"/>
  <c r="W195" i="18"/>
  <c r="W196" i="18"/>
  <c r="W197" i="18"/>
  <c r="W198" i="18"/>
  <c r="W199" i="18"/>
  <c r="W200" i="18"/>
  <c r="W201" i="18"/>
  <c r="W202" i="18"/>
  <c r="W203" i="18"/>
  <c r="W204" i="18"/>
  <c r="W205" i="18"/>
  <c r="W206" i="18"/>
  <c r="W207" i="18"/>
  <c r="W208" i="18"/>
  <c r="W209" i="18"/>
  <c r="W210" i="18"/>
  <c r="W211" i="18"/>
  <c r="W212" i="18"/>
  <c r="W213" i="18"/>
  <c r="W214" i="18"/>
  <c r="W215" i="18"/>
  <c r="W216" i="18"/>
  <c r="W217" i="18"/>
  <c r="W218" i="18"/>
  <c r="W219" i="18"/>
  <c r="W220" i="18"/>
  <c r="W221" i="18"/>
  <c r="W222" i="18"/>
  <c r="W223" i="18"/>
  <c r="W224" i="18"/>
  <c r="W225" i="18"/>
  <c r="W226" i="18"/>
  <c r="W227" i="18"/>
  <c r="W228" i="18"/>
  <c r="W229" i="18"/>
  <c r="W230" i="18"/>
  <c r="W231" i="18"/>
  <c r="W232" i="18"/>
  <c r="W233" i="18"/>
  <c r="W234" i="18"/>
  <c r="W235" i="18"/>
  <c r="W236" i="18"/>
  <c r="W237" i="18"/>
  <c r="W238" i="18"/>
  <c r="W239" i="18"/>
  <c r="W240" i="18"/>
  <c r="W241" i="18"/>
  <c r="W242" i="18"/>
  <c r="W243" i="18"/>
  <c r="W244" i="18"/>
  <c r="W245" i="18"/>
  <c r="W246" i="18"/>
  <c r="W247" i="18"/>
  <c r="W248" i="18"/>
  <c r="W249" i="18"/>
  <c r="W250" i="18"/>
  <c r="W251" i="18"/>
  <c r="W252" i="18"/>
  <c r="W253" i="18"/>
  <c r="W254" i="18"/>
  <c r="W255" i="18"/>
  <c r="W256" i="18"/>
  <c r="W257" i="18"/>
  <c r="W258" i="18"/>
  <c r="W259" i="18"/>
  <c r="W260" i="18"/>
  <c r="W261" i="18"/>
  <c r="W262" i="18"/>
  <c r="W263" i="18"/>
  <c r="W264" i="18"/>
  <c r="W265" i="18"/>
  <c r="W266" i="18"/>
  <c r="W267" i="18"/>
  <c r="W268" i="18"/>
  <c r="W269" i="18"/>
  <c r="W270" i="18"/>
  <c r="W271" i="18"/>
  <c r="W272" i="18"/>
  <c r="W273" i="18"/>
  <c r="W274" i="18"/>
  <c r="W275" i="18"/>
  <c r="W276" i="18"/>
  <c r="W277" i="18"/>
  <c r="W278" i="18"/>
  <c r="W279" i="18"/>
  <c r="W280" i="18"/>
  <c r="W281" i="18"/>
  <c r="W282" i="18"/>
  <c r="W283" i="18"/>
  <c r="W284" i="18"/>
  <c r="W285" i="18"/>
  <c r="W286" i="18"/>
  <c r="W287" i="18"/>
  <c r="W288" i="18"/>
  <c r="W289" i="18"/>
  <c r="W290" i="18"/>
  <c r="W291" i="18"/>
  <c r="W292" i="18"/>
  <c r="W293" i="18"/>
  <c r="W294" i="18"/>
  <c r="W295" i="18"/>
  <c r="W296" i="18"/>
  <c r="W297" i="18"/>
  <c r="W298" i="18"/>
  <c r="W299" i="18"/>
  <c r="W300" i="18"/>
  <c r="W301" i="18"/>
  <c r="W302" i="18"/>
  <c r="W303" i="18"/>
  <c r="W304" i="18"/>
  <c r="W305" i="18"/>
  <c r="W306" i="18"/>
  <c r="W307" i="18"/>
  <c r="W308" i="18"/>
  <c r="W309" i="18"/>
  <c r="W310" i="18"/>
  <c r="W311" i="18"/>
  <c r="W312" i="18"/>
  <c r="W313" i="18"/>
  <c r="W314" i="18"/>
  <c r="W315" i="18"/>
  <c r="W316" i="18"/>
  <c r="W317" i="18"/>
  <c r="W318" i="18"/>
  <c r="W319" i="18"/>
  <c r="W320" i="18"/>
  <c r="W321" i="18"/>
  <c r="W322" i="18"/>
  <c r="W323" i="18"/>
  <c r="W324" i="18"/>
  <c r="W325" i="18"/>
  <c r="W326" i="18"/>
  <c r="W327" i="18"/>
  <c r="W328" i="18"/>
  <c r="W329" i="18"/>
  <c r="W330" i="18"/>
  <c r="W331" i="18"/>
  <c r="W332" i="18"/>
  <c r="W333" i="18"/>
  <c r="W334" i="18"/>
  <c r="W335" i="18"/>
  <c r="W336" i="18"/>
  <c r="W337" i="18"/>
  <c r="W338" i="18"/>
  <c r="W339" i="18"/>
  <c r="W340" i="18"/>
  <c r="W341" i="18"/>
  <c r="W342" i="18"/>
  <c r="W343" i="18"/>
  <c r="W344" i="18"/>
  <c r="W345" i="18"/>
  <c r="W346" i="18"/>
  <c r="W347" i="18"/>
  <c r="W348" i="18"/>
  <c r="W349" i="18"/>
  <c r="W350" i="18"/>
  <c r="W351" i="18"/>
  <c r="W352" i="18"/>
  <c r="W353" i="18"/>
  <c r="W354" i="18"/>
  <c r="W355" i="18"/>
  <c r="W356" i="18"/>
  <c r="W357" i="18"/>
  <c r="W358" i="18"/>
  <c r="W359" i="18"/>
  <c r="W360" i="18"/>
  <c r="W361" i="18"/>
  <c r="W362" i="18"/>
  <c r="W363" i="18"/>
  <c r="W364" i="18"/>
  <c r="W365" i="18"/>
  <c r="W366" i="18"/>
  <c r="W367" i="18"/>
  <c r="W368" i="18"/>
  <c r="W369" i="18"/>
  <c r="W370" i="18"/>
  <c r="W371" i="18"/>
  <c r="W372" i="18"/>
  <c r="W373" i="18"/>
  <c r="W374" i="18"/>
  <c r="W375" i="18"/>
  <c r="W376" i="18"/>
  <c r="W377" i="18"/>
  <c r="W378" i="18"/>
  <c r="W379" i="18"/>
  <c r="W380" i="18"/>
  <c r="W381" i="18"/>
  <c r="W382" i="18"/>
  <c r="W383" i="18"/>
  <c r="W384" i="18"/>
  <c r="W385" i="18"/>
  <c r="W386" i="18"/>
  <c r="W387" i="18"/>
  <c r="W388" i="18"/>
  <c r="W389" i="18"/>
  <c r="W390" i="18"/>
  <c r="W391" i="18"/>
  <c r="W392" i="18"/>
  <c r="W393" i="18"/>
  <c r="W394" i="18"/>
  <c r="W395" i="18"/>
  <c r="W396" i="18"/>
  <c r="W397" i="18"/>
  <c r="W398" i="18"/>
  <c r="W399" i="18"/>
  <c r="W400" i="18"/>
  <c r="W401" i="18"/>
  <c r="W402" i="18"/>
  <c r="W403" i="18"/>
  <c r="W404" i="18"/>
  <c r="W405" i="18"/>
  <c r="W406" i="18"/>
  <c r="W407" i="18"/>
  <c r="W408" i="18"/>
  <c r="W409" i="18"/>
  <c r="W410" i="18"/>
  <c r="W411" i="18"/>
  <c r="W412" i="18"/>
  <c r="W413" i="18"/>
  <c r="W414" i="18"/>
  <c r="W415" i="18"/>
  <c r="W416" i="18"/>
  <c r="W417" i="18"/>
  <c r="W418" i="18"/>
  <c r="W419" i="18"/>
  <c r="W420" i="18"/>
  <c r="W421" i="18"/>
  <c r="W422" i="18"/>
  <c r="W423" i="18"/>
  <c r="W424" i="18"/>
  <c r="W425" i="18"/>
  <c r="W426" i="18"/>
  <c r="W427" i="18"/>
  <c r="W428" i="18"/>
  <c r="W429" i="18"/>
  <c r="W430" i="18"/>
  <c r="W431" i="18"/>
  <c r="W432" i="18"/>
  <c r="W433" i="18"/>
  <c r="W434" i="18"/>
  <c r="W435" i="18"/>
  <c r="W436" i="18"/>
  <c r="W437" i="18"/>
  <c r="W438" i="18"/>
  <c r="W439" i="18"/>
  <c r="W440" i="18"/>
  <c r="W441" i="18"/>
  <c r="W442" i="18"/>
  <c r="W443" i="18"/>
  <c r="W444" i="18"/>
  <c r="W445" i="18"/>
  <c r="W446" i="18"/>
  <c r="W447" i="18"/>
  <c r="W448" i="18"/>
  <c r="W449" i="18"/>
  <c r="W450" i="18"/>
  <c r="W451" i="18"/>
  <c r="W452" i="18"/>
  <c r="W453" i="18"/>
  <c r="W454" i="18"/>
  <c r="W455" i="18"/>
  <c r="W456" i="18"/>
  <c r="W457" i="18"/>
  <c r="W458" i="18"/>
  <c r="W459" i="18"/>
  <c r="W460" i="18"/>
  <c r="W461" i="18"/>
  <c r="W462" i="18"/>
  <c r="W463" i="18"/>
  <c r="W464" i="18"/>
  <c r="W465" i="18"/>
  <c r="W466" i="18"/>
  <c r="W467" i="18"/>
  <c r="W468" i="18"/>
  <c r="W469" i="18"/>
  <c r="W470" i="18"/>
  <c r="W471" i="18"/>
  <c r="W472" i="18"/>
  <c r="W473" i="18"/>
  <c r="W474" i="18"/>
  <c r="W475" i="18"/>
  <c r="W476" i="18"/>
  <c r="W477" i="18"/>
  <c r="W478" i="18"/>
  <c r="W479" i="18"/>
  <c r="W480" i="18"/>
  <c r="W481" i="18"/>
  <c r="W482" i="18"/>
  <c r="W483" i="18"/>
  <c r="W484" i="18"/>
  <c r="W485" i="18"/>
  <c r="W486" i="18"/>
  <c r="W487" i="18"/>
  <c r="W488" i="18"/>
  <c r="W489" i="18"/>
  <c r="W490" i="18"/>
  <c r="W491" i="18"/>
  <c r="W492" i="18"/>
  <c r="W493" i="18"/>
  <c r="W494" i="18"/>
  <c r="W495" i="18"/>
  <c r="W496" i="18"/>
  <c r="W497" i="18"/>
  <c r="W498" i="18"/>
  <c r="W499" i="18"/>
  <c r="W500" i="18"/>
  <c r="W501" i="18"/>
  <c r="W502" i="18"/>
  <c r="W503" i="18"/>
  <c r="W504" i="18"/>
  <c r="W505" i="18"/>
  <c r="W506" i="18"/>
  <c r="W507" i="18"/>
  <c r="W508" i="18"/>
  <c r="W509" i="18"/>
  <c r="W510" i="18"/>
  <c r="W511" i="18"/>
  <c r="W512" i="18"/>
  <c r="W513" i="18"/>
  <c r="W514" i="18"/>
  <c r="W515" i="18"/>
  <c r="W516" i="18"/>
  <c r="W517" i="18"/>
  <c r="W518" i="18"/>
  <c r="W519" i="18"/>
  <c r="W520" i="18"/>
  <c r="W521" i="18"/>
  <c r="W522" i="18"/>
  <c r="W523" i="18"/>
  <c r="W524" i="18"/>
  <c r="W525" i="18"/>
  <c r="W526" i="18"/>
  <c r="W527" i="18"/>
  <c r="W528" i="18"/>
  <c r="W529" i="18"/>
  <c r="W530" i="18"/>
  <c r="W531" i="18"/>
  <c r="W532" i="18"/>
  <c r="W533" i="18"/>
  <c r="W534" i="18"/>
  <c r="W535" i="18"/>
  <c r="W536" i="18"/>
  <c r="W537" i="18"/>
  <c r="W538" i="18"/>
  <c r="W539" i="18"/>
  <c r="W540" i="18"/>
  <c r="W541" i="18"/>
  <c r="W542" i="18"/>
  <c r="W543" i="18"/>
  <c r="W544" i="18"/>
  <c r="W545" i="18"/>
  <c r="W546" i="18"/>
  <c r="W547" i="18"/>
  <c r="W548" i="18"/>
  <c r="W549" i="18"/>
  <c r="W550" i="18"/>
  <c r="W551" i="18"/>
  <c r="W552" i="18"/>
  <c r="W553" i="18"/>
  <c r="W554" i="18"/>
  <c r="W555" i="18"/>
  <c r="W556" i="18"/>
  <c r="W557" i="18"/>
  <c r="W558" i="18"/>
  <c r="W559" i="18"/>
  <c r="W560" i="18"/>
  <c r="W561" i="18"/>
  <c r="W562" i="18"/>
  <c r="W563" i="18"/>
  <c r="W564" i="18"/>
  <c r="W565" i="18"/>
  <c r="W566" i="18"/>
  <c r="W567" i="18"/>
  <c r="W568" i="18"/>
  <c r="W569" i="18"/>
  <c r="W570" i="18"/>
  <c r="W571" i="18"/>
  <c r="W572" i="18"/>
  <c r="W573" i="18"/>
  <c r="W574" i="18"/>
  <c r="W575" i="18"/>
  <c r="W576" i="18"/>
  <c r="W577" i="18"/>
  <c r="W578" i="18"/>
  <c r="W579" i="18"/>
  <c r="W580" i="18"/>
  <c r="W581" i="18"/>
  <c r="W582" i="18"/>
  <c r="W583" i="18"/>
  <c r="W584" i="18"/>
  <c r="W585" i="18"/>
  <c r="W586" i="18"/>
  <c r="W587" i="18"/>
  <c r="W588" i="18"/>
  <c r="W589" i="18"/>
  <c r="W590" i="18"/>
  <c r="W591" i="18"/>
  <c r="W592" i="18"/>
  <c r="W593" i="18"/>
  <c r="W594" i="18"/>
  <c r="W595" i="18"/>
  <c r="W596" i="18"/>
  <c r="W597" i="18"/>
  <c r="W598" i="18"/>
  <c r="W599" i="18"/>
  <c r="W600" i="18"/>
  <c r="W601" i="18"/>
  <c r="W602" i="18"/>
  <c r="W603" i="18"/>
  <c r="W604" i="18"/>
  <c r="W605" i="18"/>
  <c r="W606" i="18"/>
  <c r="W607" i="18"/>
  <c r="W608" i="18"/>
  <c r="W609" i="18"/>
  <c r="W610" i="18"/>
  <c r="W611" i="18"/>
  <c r="W612" i="18"/>
  <c r="W613" i="18"/>
  <c r="W614" i="18"/>
  <c r="W615" i="18"/>
  <c r="W616" i="18"/>
  <c r="W617" i="18"/>
  <c r="W618" i="18"/>
  <c r="W619" i="18"/>
  <c r="W620" i="18"/>
  <c r="W621" i="18"/>
  <c r="W622" i="18"/>
  <c r="W623" i="18"/>
  <c r="W624" i="18"/>
  <c r="W625" i="18"/>
  <c r="W626" i="18"/>
  <c r="W627" i="18"/>
  <c r="W628" i="18"/>
  <c r="W629" i="18"/>
  <c r="W630" i="18"/>
  <c r="W631" i="18"/>
  <c r="W632" i="18"/>
  <c r="W633" i="18"/>
  <c r="W634" i="18"/>
  <c r="W635" i="18"/>
  <c r="W636" i="18"/>
  <c r="W637" i="18"/>
  <c r="W638" i="18"/>
  <c r="W639" i="18"/>
  <c r="W640" i="18"/>
  <c r="W641" i="18"/>
  <c r="W642" i="18"/>
  <c r="W643" i="18"/>
  <c r="W644" i="18"/>
  <c r="W645" i="18"/>
  <c r="W646" i="18"/>
  <c r="W647" i="18"/>
  <c r="W648" i="18"/>
  <c r="W649" i="18"/>
  <c r="W650" i="18"/>
  <c r="W651" i="18"/>
  <c r="W652" i="18"/>
  <c r="W653" i="18"/>
  <c r="W654" i="18"/>
  <c r="W655" i="18"/>
  <c r="W656" i="18"/>
  <c r="W657" i="18"/>
  <c r="W658" i="18"/>
  <c r="W659" i="18"/>
  <c r="W660" i="18"/>
  <c r="W661" i="18"/>
  <c r="W662" i="18"/>
  <c r="W663" i="18"/>
  <c r="W664" i="18"/>
  <c r="W665" i="18"/>
  <c r="W666" i="18"/>
  <c r="W667" i="18"/>
  <c r="W668" i="18"/>
  <c r="W669" i="18"/>
  <c r="W670" i="18"/>
  <c r="W671" i="18"/>
  <c r="W672" i="18"/>
  <c r="W673" i="18"/>
  <c r="W674" i="18"/>
  <c r="W675" i="18"/>
  <c r="W676" i="18"/>
  <c r="W677" i="18"/>
  <c r="W678" i="18"/>
  <c r="W679" i="18"/>
  <c r="W680" i="18"/>
  <c r="W681" i="18"/>
  <c r="W682" i="18"/>
  <c r="W683" i="18"/>
  <c r="W684" i="18"/>
  <c r="W685" i="18"/>
  <c r="W686" i="18"/>
  <c r="W687" i="18"/>
  <c r="W688" i="18"/>
  <c r="W689" i="18"/>
  <c r="W690" i="18"/>
  <c r="W691" i="18"/>
  <c r="W692" i="18"/>
  <c r="W693" i="18"/>
  <c r="W694" i="18"/>
  <c r="W695" i="18"/>
  <c r="W696" i="18"/>
  <c r="W697" i="18"/>
  <c r="W698" i="18"/>
  <c r="W699" i="18"/>
  <c r="W700" i="18"/>
  <c r="W701" i="18"/>
  <c r="W702" i="18"/>
  <c r="W703" i="18"/>
  <c r="W704" i="18"/>
  <c r="W705" i="18"/>
  <c r="W706" i="18"/>
  <c r="W707" i="18"/>
  <c r="W708" i="18"/>
  <c r="W709" i="18"/>
  <c r="W710" i="18"/>
  <c r="W711" i="18"/>
  <c r="W712" i="18"/>
  <c r="W713" i="18"/>
  <c r="W714" i="18"/>
  <c r="W715" i="18"/>
  <c r="W716" i="18"/>
  <c r="W717" i="18"/>
  <c r="W718" i="18"/>
  <c r="W719" i="18"/>
  <c r="W720" i="18"/>
  <c r="W721" i="18"/>
  <c r="W722" i="18"/>
  <c r="W723" i="18"/>
  <c r="W724" i="18"/>
  <c r="W725" i="18"/>
  <c r="W726" i="18"/>
  <c r="W727" i="18"/>
  <c r="W728" i="18"/>
  <c r="W729" i="18"/>
  <c r="W730" i="18"/>
  <c r="W731" i="18"/>
  <c r="W732" i="18"/>
  <c r="W733" i="18"/>
  <c r="W734" i="18"/>
  <c r="W735" i="18"/>
  <c r="W736" i="18"/>
  <c r="W737" i="18"/>
  <c r="W738" i="18"/>
  <c r="W739" i="18"/>
  <c r="W740" i="18"/>
  <c r="W741" i="18"/>
  <c r="W742" i="18"/>
  <c r="W743" i="18"/>
  <c r="W744" i="18"/>
  <c r="W745" i="18"/>
  <c r="W746" i="18"/>
  <c r="W747" i="18"/>
  <c r="W748" i="18"/>
  <c r="W749" i="18"/>
  <c r="W750" i="18"/>
  <c r="W751" i="18"/>
  <c r="W752" i="18"/>
  <c r="W753" i="18"/>
  <c r="W754" i="18"/>
  <c r="W755" i="18"/>
  <c r="W756" i="18"/>
  <c r="W757" i="18"/>
  <c r="W758" i="18"/>
  <c r="W759" i="18"/>
  <c r="W760" i="18"/>
  <c r="W761" i="18"/>
  <c r="W762" i="18"/>
  <c r="W763" i="18"/>
  <c r="W764" i="18"/>
  <c r="W765" i="18"/>
  <c r="W766" i="18"/>
  <c r="W767" i="18"/>
  <c r="W768" i="18"/>
  <c r="W769" i="18"/>
  <c r="W770" i="18"/>
  <c r="W771" i="18"/>
  <c r="W772" i="18"/>
  <c r="W773" i="18"/>
  <c r="W774" i="18"/>
  <c r="W775" i="18"/>
  <c r="W776" i="18"/>
  <c r="W777" i="18"/>
  <c r="W778" i="18"/>
  <c r="W779" i="18"/>
  <c r="W780" i="18"/>
  <c r="W781" i="18"/>
  <c r="W782" i="18"/>
  <c r="W783" i="18"/>
  <c r="W784" i="18"/>
  <c r="W785" i="18"/>
  <c r="W786" i="18"/>
  <c r="W787" i="18"/>
  <c r="W788" i="18"/>
  <c r="W789" i="18"/>
  <c r="W790" i="18"/>
  <c r="W791" i="18"/>
  <c r="W792" i="18"/>
  <c r="W793" i="18"/>
  <c r="W794" i="18"/>
  <c r="W795" i="18"/>
  <c r="W796" i="18"/>
  <c r="W797" i="18"/>
  <c r="W798" i="18"/>
  <c r="W799" i="18"/>
  <c r="W800" i="18"/>
  <c r="W801" i="18"/>
  <c r="W802" i="18"/>
  <c r="W803" i="18"/>
  <c r="W804" i="18"/>
  <c r="W805" i="18"/>
  <c r="W806" i="18"/>
  <c r="W807" i="18"/>
  <c r="W808" i="18"/>
  <c r="W809" i="18"/>
  <c r="W810" i="18"/>
  <c r="W811" i="18"/>
  <c r="W812" i="18"/>
  <c r="W813" i="18"/>
  <c r="W814" i="18"/>
  <c r="W815" i="18"/>
  <c r="W816" i="18"/>
  <c r="W817" i="18"/>
  <c r="W818" i="18"/>
  <c r="W819" i="18"/>
  <c r="W820" i="18"/>
  <c r="W821" i="18"/>
  <c r="W822" i="18"/>
  <c r="W823" i="18"/>
  <c r="W824" i="18"/>
  <c r="W825" i="18"/>
  <c r="W826" i="18"/>
  <c r="W827" i="18"/>
  <c r="W828" i="18"/>
  <c r="W829" i="18"/>
  <c r="W830" i="18"/>
  <c r="W831" i="18"/>
  <c r="W832" i="18"/>
  <c r="W833" i="18"/>
  <c r="W834" i="18"/>
  <c r="W835" i="18"/>
  <c r="W836" i="18"/>
  <c r="W837" i="18"/>
  <c r="W838" i="18"/>
  <c r="W839" i="18"/>
  <c r="W840" i="18"/>
  <c r="W841" i="18"/>
  <c r="W842" i="18"/>
  <c r="W843" i="18"/>
  <c r="W844" i="18"/>
  <c r="W845" i="18"/>
  <c r="W846" i="18"/>
  <c r="W847" i="18"/>
  <c r="W848" i="18"/>
  <c r="W849" i="18"/>
  <c r="W850" i="18"/>
  <c r="W851" i="18"/>
  <c r="W852" i="18"/>
  <c r="W853" i="18"/>
  <c r="W854" i="18"/>
  <c r="W855" i="18"/>
  <c r="W856" i="18"/>
  <c r="W857" i="18"/>
  <c r="W858" i="18"/>
  <c r="W859" i="18"/>
  <c r="W860" i="18"/>
  <c r="W861" i="18"/>
  <c r="W862" i="18"/>
  <c r="W863" i="18"/>
  <c r="W864" i="18"/>
  <c r="W865" i="18"/>
  <c r="W866" i="18"/>
  <c r="W867" i="18"/>
  <c r="W868" i="18"/>
  <c r="W869" i="18"/>
  <c r="W870" i="18"/>
  <c r="W871" i="18"/>
  <c r="W872" i="18"/>
  <c r="W873" i="18"/>
  <c r="W874" i="18"/>
  <c r="W875" i="18"/>
  <c r="W876" i="18"/>
  <c r="W877" i="18"/>
  <c r="W878" i="18"/>
  <c r="W879" i="18"/>
  <c r="W880" i="18"/>
  <c r="W881" i="18"/>
  <c r="W882" i="18"/>
  <c r="W883" i="18"/>
  <c r="W884" i="18"/>
  <c r="W885" i="18"/>
  <c r="W886" i="18"/>
  <c r="W887" i="18"/>
  <c r="W888" i="18"/>
  <c r="W889" i="18"/>
  <c r="W890" i="18"/>
  <c r="W891" i="18"/>
  <c r="W892" i="18"/>
  <c r="W893" i="18"/>
  <c r="W894" i="18"/>
  <c r="W895" i="18"/>
  <c r="W896" i="18"/>
  <c r="W897" i="18"/>
  <c r="W898" i="18"/>
  <c r="W899" i="18"/>
  <c r="W900" i="18"/>
  <c r="W901" i="18"/>
  <c r="W902" i="18"/>
  <c r="W903" i="18"/>
  <c r="W904" i="18"/>
  <c r="W905" i="18"/>
  <c r="W906" i="18"/>
  <c r="W907" i="18"/>
  <c r="W908" i="18"/>
  <c r="W909" i="18"/>
  <c r="W910" i="18"/>
  <c r="W911" i="18"/>
  <c r="W912" i="18"/>
  <c r="W913" i="18"/>
  <c r="W914" i="18"/>
  <c r="W915" i="18"/>
  <c r="W916" i="18"/>
  <c r="W917" i="18"/>
  <c r="W918" i="18"/>
  <c r="W919" i="18"/>
  <c r="W920" i="18"/>
  <c r="W921" i="18"/>
  <c r="W922" i="18"/>
  <c r="W923" i="18"/>
  <c r="W924" i="18"/>
  <c r="W925" i="18"/>
  <c r="W926" i="18"/>
  <c r="W927" i="18"/>
  <c r="W928" i="18"/>
  <c r="W929" i="18"/>
  <c r="W930" i="18"/>
  <c r="W931" i="18"/>
  <c r="W932" i="18"/>
  <c r="W933" i="18"/>
  <c r="W934" i="18"/>
  <c r="W935" i="18"/>
  <c r="W936" i="18"/>
  <c r="W937" i="18"/>
  <c r="W938" i="18"/>
  <c r="W939" i="18"/>
  <c r="W940" i="18"/>
  <c r="W941" i="18"/>
  <c r="W942" i="18"/>
  <c r="W943" i="18"/>
  <c r="W944" i="18"/>
  <c r="W945" i="18"/>
  <c r="W946" i="18"/>
  <c r="W947" i="18"/>
  <c r="W948" i="18"/>
  <c r="W949" i="18"/>
  <c r="W950" i="18"/>
  <c r="W951" i="18"/>
  <c r="W952" i="18"/>
  <c r="W953" i="18"/>
  <c r="W954" i="18"/>
  <c r="W955" i="18"/>
  <c r="W956" i="18"/>
  <c r="W957" i="18"/>
  <c r="W958" i="18"/>
  <c r="W959" i="18"/>
  <c r="W960" i="18"/>
  <c r="W961" i="18"/>
  <c r="W962" i="18"/>
  <c r="W963" i="18"/>
  <c r="W964" i="18"/>
  <c r="W965" i="18"/>
  <c r="W966" i="18"/>
  <c r="W967" i="18"/>
  <c r="W968" i="18"/>
  <c r="W969" i="18"/>
  <c r="W970" i="18"/>
  <c r="W971" i="18"/>
  <c r="W972" i="18"/>
  <c r="W973" i="18"/>
  <c r="W974" i="18"/>
  <c r="W975" i="18"/>
  <c r="W976" i="18"/>
  <c r="W977" i="18"/>
  <c r="W978" i="18"/>
  <c r="W979" i="18"/>
  <c r="W980" i="18"/>
  <c r="W981" i="18"/>
  <c r="W982" i="18"/>
  <c r="W983" i="18"/>
  <c r="W984" i="18"/>
  <c r="W985" i="18"/>
  <c r="W986" i="18"/>
  <c r="W987" i="18"/>
  <c r="W988" i="18"/>
  <c r="W989" i="18"/>
  <c r="W990" i="18"/>
  <c r="W991" i="18"/>
  <c r="W992" i="18"/>
  <c r="W993" i="18"/>
  <c r="W994" i="18"/>
  <c r="W995" i="18"/>
  <c r="W996" i="18"/>
  <c r="W997" i="18"/>
  <c r="W998" i="18"/>
  <c r="W999" i="18"/>
  <c r="W1000" i="18"/>
  <c r="W1001" i="18"/>
  <c r="Q52" i="18"/>
  <c r="Q616" i="18"/>
  <c r="Q617" i="18"/>
  <c r="Q207" i="18"/>
  <c r="T207" i="18" s="1"/>
  <c r="Q384" i="18"/>
  <c r="T384" i="18" s="1"/>
  <c r="Q385" i="18"/>
  <c r="T385" i="18" s="1"/>
  <c r="Q112" i="18"/>
  <c r="T112" i="18" s="1"/>
  <c r="Q331" i="18"/>
  <c r="T331" i="18" s="1"/>
  <c r="Q708" i="18"/>
  <c r="T708" i="18" s="1"/>
  <c r="Q206" i="18"/>
  <c r="Q532" i="18"/>
  <c r="T532" i="18" s="1"/>
  <c r="Q49" i="18"/>
  <c r="T49" i="18" s="1"/>
  <c r="Q834" i="18"/>
  <c r="T834" i="18" s="1"/>
  <c r="Q724" i="18"/>
  <c r="Q338" i="18"/>
  <c r="T338" i="18" s="1"/>
  <c r="Q253" i="18"/>
  <c r="Q237" i="18"/>
  <c r="T237" i="18" s="1"/>
  <c r="Q815" i="18"/>
  <c r="T815" i="18" s="1"/>
  <c r="Q644" i="18"/>
  <c r="Q733" i="18"/>
  <c r="Q314" i="18"/>
  <c r="Q313" i="18"/>
  <c r="Q529" i="18"/>
  <c r="Q808" i="18"/>
  <c r="T808" i="18" s="1"/>
  <c r="Q214" i="18"/>
  <c r="T214" i="18" s="1"/>
  <c r="Q750" i="18"/>
  <c r="T750" i="18" s="1"/>
  <c r="Q575" i="18"/>
  <c r="T575" i="18" s="1"/>
  <c r="Q200" i="18"/>
  <c r="T200" i="18" s="1"/>
  <c r="Q851" i="18"/>
  <c r="T851" i="18" s="1"/>
  <c r="Q87" i="18"/>
  <c r="Q678" i="18"/>
  <c r="T678" i="18" s="1"/>
  <c r="Q878" i="18"/>
  <c r="T878" i="18" s="1"/>
  <c r="Q879" i="18"/>
  <c r="T879" i="18" s="1"/>
  <c r="Q880" i="18"/>
  <c r="T880" i="18" s="1"/>
  <c r="Q687" i="18"/>
  <c r="T687" i="18" s="1"/>
  <c r="Q243" i="18"/>
  <c r="Q23" i="18"/>
  <c r="T23" i="18" s="1"/>
  <c r="Q635" i="18"/>
  <c r="T635" i="18" s="1"/>
  <c r="Q427" i="18"/>
  <c r="Q278" i="18"/>
  <c r="T278" i="18" s="1"/>
  <c r="Q545" i="18"/>
  <c r="Q447" i="18"/>
  <c r="Q926" i="18"/>
  <c r="Q260" i="18"/>
  <c r="T260" i="18" s="1"/>
  <c r="Q795" i="18"/>
  <c r="T795" i="18" s="1"/>
  <c r="Q290" i="18"/>
  <c r="T290" i="18" s="1"/>
  <c r="Q905" i="18"/>
  <c r="T905" i="18" s="1"/>
  <c r="Q143" i="18"/>
  <c r="T143" i="18" s="1"/>
  <c r="Q830" i="18"/>
  <c r="T830" i="18" s="1"/>
  <c r="Q128" i="18"/>
  <c r="T128" i="18" s="1"/>
  <c r="Q600" i="18"/>
  <c r="T600" i="18" s="1"/>
  <c r="Q908" i="18"/>
  <c r="T908" i="18" s="1"/>
  <c r="Q159" i="18"/>
  <c r="T159" i="18" s="1"/>
  <c r="Q942" i="18"/>
  <c r="T942" i="18" s="1"/>
  <c r="Q943" i="18"/>
  <c r="T943" i="18" s="1"/>
  <c r="Q406" i="18"/>
  <c r="Q439" i="18"/>
  <c r="T439" i="18" s="1"/>
  <c r="Q113" i="18"/>
  <c r="T113" i="18" s="1"/>
  <c r="Q169" i="18"/>
  <c r="T169" i="18" s="1"/>
  <c r="Q775" i="18"/>
  <c r="T775" i="18" s="1"/>
  <c r="Q298" i="18"/>
  <c r="Q897" i="18"/>
  <c r="Q999" i="18"/>
  <c r="Q170" i="18"/>
  <c r="T170" i="18" s="1"/>
  <c r="Q671" i="18"/>
  <c r="T671" i="18" s="1"/>
  <c r="Q429" i="18"/>
  <c r="T429" i="18" s="1"/>
  <c r="Q742" i="18"/>
  <c r="T742" i="18" s="1"/>
  <c r="Q672" i="18"/>
  <c r="T672" i="18" s="1"/>
  <c r="Q26" i="18"/>
  <c r="T26" i="18" s="1"/>
  <c r="Q896" i="18"/>
  <c r="T896" i="18" s="1"/>
  <c r="Q359" i="18"/>
  <c r="T359" i="18" s="1"/>
  <c r="Q416" i="18"/>
  <c r="T416" i="18" s="1"/>
  <c r="Q239" i="18"/>
  <c r="T239" i="18" s="1"/>
  <c r="Q662" i="18"/>
  <c r="T662" i="18" s="1"/>
  <c r="Q426" i="18"/>
  <c r="T426" i="18" s="1"/>
  <c r="Q663" i="18"/>
  <c r="Q871" i="18"/>
  <c r="T871" i="18" s="1"/>
  <c r="Q38" i="18"/>
  <c r="T38" i="18" s="1"/>
  <c r="Q624" i="18"/>
  <c r="T624" i="18" s="1"/>
  <c r="Q300" i="18"/>
  <c r="T300" i="18" s="1"/>
  <c r="Q885" i="18"/>
  <c r="Q715" i="18"/>
  <c r="T715" i="18" s="1"/>
  <c r="Q100" i="18"/>
  <c r="T100" i="18" s="1"/>
  <c r="Q414" i="18"/>
  <c r="T414" i="18" s="1"/>
  <c r="Q915" i="18"/>
  <c r="T915" i="18" s="1"/>
  <c r="Q305" i="18"/>
  <c r="T305" i="18" s="1"/>
  <c r="Q929" i="18"/>
  <c r="T929" i="18" s="1"/>
  <c r="Q928" i="18"/>
  <c r="T928" i="18" s="1"/>
  <c r="Q973" i="18"/>
  <c r="T973" i="18" s="1"/>
  <c r="Q318" i="18"/>
  <c r="T318" i="18" s="1"/>
  <c r="Q829" i="18"/>
  <c r="T829" i="18" s="1"/>
  <c r="Q507" i="18"/>
  <c r="T507" i="18" s="1"/>
  <c r="Q661" i="18"/>
  <c r="T661" i="18" s="1"/>
  <c r="Q138" i="18"/>
  <c r="T138" i="18" s="1"/>
  <c r="Q963" i="18"/>
  <c r="T963" i="18" s="1"/>
  <c r="Q337" i="18"/>
  <c r="Q421" i="18"/>
  <c r="T421" i="18" s="1"/>
  <c r="Q198" i="18"/>
  <c r="T198" i="18" s="1"/>
  <c r="Q50" i="18"/>
  <c r="T50" i="18" s="1"/>
  <c r="Q564" i="18"/>
  <c r="T564" i="18" s="1"/>
  <c r="Q127" i="18"/>
  <c r="Q218" i="18"/>
  <c r="T218" i="18" s="1"/>
  <c r="Q292" i="18"/>
  <c r="T292" i="18" s="1"/>
  <c r="Q438" i="18"/>
  <c r="T438" i="18" s="1"/>
  <c r="Q850" i="18"/>
  <c r="T850" i="18" s="1"/>
  <c r="Q476" i="18"/>
  <c r="T476" i="18" s="1"/>
  <c r="Q801" i="18"/>
  <c r="T801" i="18" s="1"/>
  <c r="Q15" i="18"/>
  <c r="T15" i="18" s="1"/>
  <c r="Q920" i="18"/>
  <c r="T920" i="18" s="1"/>
  <c r="Q528" i="18"/>
  <c r="T528" i="18" s="1"/>
  <c r="Q17" i="18"/>
  <c r="T17" i="18" s="1"/>
  <c r="Q68" i="18"/>
  <c r="T68" i="18" s="1"/>
  <c r="Q257" i="18"/>
  <c r="T257" i="18" s="1"/>
  <c r="Q907" i="18"/>
  <c r="T907" i="18" s="1"/>
  <c r="Q941" i="18"/>
  <c r="T941" i="18" s="1"/>
  <c r="Q481" i="18"/>
  <c r="T481" i="18" s="1"/>
  <c r="Q858" i="18"/>
  <c r="T858" i="18" s="1"/>
  <c r="Q490" i="18"/>
  <c r="T490" i="18" s="1"/>
  <c r="Q465" i="18"/>
  <c r="T465" i="18" s="1"/>
  <c r="Q647" i="18"/>
  <c r="T647" i="18" s="1"/>
  <c r="Q747" i="18"/>
  <c r="Q746" i="18"/>
  <c r="T746" i="18" s="1"/>
  <c r="Q748" i="18"/>
  <c r="T748" i="18" s="1"/>
  <c r="Q255" i="18"/>
  <c r="T255" i="18" s="1"/>
  <c r="Q621" i="18"/>
  <c r="T621" i="18" s="1"/>
  <c r="Q489" i="18"/>
  <c r="T489" i="18" s="1"/>
  <c r="Q615" i="18"/>
  <c r="T615" i="18" s="1"/>
  <c r="Q256" i="18"/>
  <c r="T256" i="18" s="1"/>
  <c r="Q368" i="18"/>
  <c r="T368" i="18" s="1"/>
  <c r="Q553" i="18"/>
  <c r="T553" i="18" s="1"/>
  <c r="Q119" i="18"/>
  <c r="T119" i="18" s="1"/>
  <c r="Q884" i="18"/>
  <c r="T884" i="18" s="1"/>
  <c r="Q817" i="18"/>
  <c r="T817" i="18" s="1"/>
  <c r="Q843" i="18"/>
  <c r="T843" i="18" s="1"/>
  <c r="Q245" i="18"/>
  <c r="T245" i="18" s="1"/>
  <c r="Q978" i="18"/>
  <c r="T978" i="18" s="1"/>
  <c r="Q976" i="18"/>
  <c r="T976" i="18" s="1"/>
  <c r="Q636" i="18"/>
  <c r="T636" i="18" s="1"/>
  <c r="Q608" i="18"/>
  <c r="T608" i="18" s="1"/>
  <c r="Q599" i="18"/>
  <c r="T599" i="18" s="1"/>
  <c r="Q377" i="18"/>
  <c r="Q982" i="18"/>
  <c r="T982" i="18" s="1"/>
  <c r="Q435" i="18"/>
  <c r="T435" i="18" s="1"/>
  <c r="Q353" i="18"/>
  <c r="T353" i="18" s="1"/>
  <c r="Q177" i="18"/>
  <c r="T177" i="18" s="1"/>
  <c r="Q894" i="18"/>
  <c r="T894" i="18" s="1"/>
  <c r="Q625" i="18"/>
  <c r="T625" i="18" s="1"/>
  <c r="Q997" i="18"/>
  <c r="T997" i="18" s="1"/>
  <c r="Q996" i="18"/>
  <c r="T996" i="18" s="1"/>
  <c r="Q134" i="18"/>
  <c r="T134" i="18" s="1"/>
  <c r="Q848" i="18"/>
  <c r="T848" i="18" s="1"/>
  <c r="Q24" i="18"/>
  <c r="T24" i="18" s="1"/>
  <c r="Q504" i="18"/>
  <c r="T504" i="18" s="1"/>
  <c r="Q370" i="18"/>
  <c r="T370" i="18" s="1"/>
  <c r="Q938" i="18"/>
  <c r="T938" i="18" s="1"/>
  <c r="Q510" i="18"/>
  <c r="T510" i="18" s="1"/>
  <c r="Q827" i="18"/>
  <c r="T827" i="18" s="1"/>
  <c r="Q739" i="18"/>
  <c r="T739" i="18" s="1"/>
  <c r="Q461" i="18"/>
  <c r="T461" i="18" s="1"/>
  <c r="Q350" i="18"/>
  <c r="T350" i="18" s="1"/>
  <c r="Q751" i="18"/>
  <c r="Q777" i="18"/>
  <c r="T777" i="18" s="1"/>
  <c r="Q186" i="18"/>
  <c r="T186" i="18" s="1"/>
  <c r="Q83" i="18"/>
  <c r="T83" i="18" s="1"/>
  <c r="Q500" i="18"/>
  <c r="T500" i="18" s="1"/>
  <c r="Q78" i="18"/>
  <c r="T78" i="18" s="1"/>
  <c r="Q175" i="18"/>
  <c r="T175" i="18" s="1"/>
  <c r="Q178" i="18"/>
  <c r="T178" i="18" s="1"/>
  <c r="Q277" i="18"/>
  <c r="T277" i="18" s="1"/>
  <c r="Q4" i="18"/>
  <c r="T4" i="18" s="1"/>
  <c r="Q749" i="18"/>
  <c r="T749" i="18" s="1"/>
  <c r="Q642" i="18"/>
  <c r="T642" i="18" s="1"/>
  <c r="Q332" i="18"/>
  <c r="T332" i="18" s="1"/>
  <c r="Q818" i="18"/>
  <c r="T818" i="18" s="1"/>
  <c r="Q43" i="18"/>
  <c r="T43" i="18" s="1"/>
  <c r="Q881" i="18"/>
  <c r="T881" i="18" s="1"/>
  <c r="Q998" i="18"/>
  <c r="T998" i="18" s="1"/>
  <c r="Q89" i="18"/>
  <c r="T89" i="18" s="1"/>
  <c r="Q659" i="18"/>
  <c r="T659" i="18" s="1"/>
  <c r="Q222" i="18"/>
  <c r="T222" i="18" s="1"/>
  <c r="Q533" i="18"/>
  <c r="Q187" i="18"/>
  <c r="T187" i="18" s="1"/>
  <c r="Q188" i="18"/>
  <c r="T188" i="18" s="1"/>
  <c r="Q774" i="18"/>
  <c r="T774" i="18" s="1"/>
  <c r="Q682" i="18"/>
  <c r="T682" i="18" s="1"/>
  <c r="Q630" i="18"/>
  <c r="T630" i="18" s="1"/>
  <c r="Q191" i="18"/>
  <c r="T191" i="18" s="1"/>
  <c r="Q628" i="18"/>
  <c r="T628" i="18" s="1"/>
  <c r="Q859" i="18"/>
  <c r="T859" i="18" s="1"/>
  <c r="Q594" i="18"/>
  <c r="T594" i="18" s="1"/>
  <c r="Q73" i="18"/>
  <c r="T73" i="18" s="1"/>
  <c r="Q940" i="18"/>
  <c r="T940" i="18" s="1"/>
  <c r="Q131" i="18"/>
  <c r="T131" i="18" s="1"/>
  <c r="Q325" i="18"/>
  <c r="T325" i="18" s="1"/>
  <c r="Q408" i="18"/>
  <c r="T408" i="18" s="1"/>
  <c r="Q837" i="18"/>
  <c r="T837" i="18" s="1"/>
  <c r="Q304" i="18"/>
  <c r="T304" i="18" s="1"/>
  <c r="Q520" i="18"/>
  <c r="T520" i="18" s="1"/>
  <c r="Q521" i="18"/>
  <c r="T521" i="18" s="1"/>
  <c r="Q522" i="18"/>
  <c r="T522" i="18" s="1"/>
  <c r="Q518" i="18"/>
  <c r="Q519" i="18"/>
  <c r="T519" i="18" s="1"/>
  <c r="Q229" i="18"/>
  <c r="T229" i="18" s="1"/>
  <c r="Q60" i="18"/>
  <c r="T60" i="18" s="1"/>
  <c r="Q873" i="18"/>
  <c r="T873" i="18" s="1"/>
  <c r="Q752" i="18"/>
  <c r="T752" i="18" s="1"/>
  <c r="Q744" i="18"/>
  <c r="T744" i="18" s="1"/>
  <c r="Q563" i="18"/>
  <c r="T563" i="18" s="1"/>
  <c r="Q658" i="18"/>
  <c r="T658" i="18" s="1"/>
  <c r="Q691" i="18"/>
  <c r="T691" i="18" s="1"/>
  <c r="Q33" i="18"/>
  <c r="T33" i="18" s="1"/>
  <c r="Q958" i="18"/>
  <c r="T958" i="18" s="1"/>
  <c r="Q601" i="18"/>
  <c r="T601" i="18" s="1"/>
  <c r="Q267" i="18"/>
  <c r="T267" i="18" s="1"/>
  <c r="Q957" i="18"/>
  <c r="T957" i="18" s="1"/>
  <c r="Q629" i="18"/>
  <c r="T629" i="18" s="1"/>
  <c r="Q58" i="18"/>
  <c r="T58" i="18" s="1"/>
  <c r="Q607" i="18"/>
  <c r="T607" i="18" s="1"/>
  <c r="Q94" i="18"/>
  <c r="T94" i="18" s="1"/>
  <c r="Q420" i="18"/>
  <c r="T420" i="18" s="1"/>
  <c r="Q53" i="18"/>
  <c r="Q821" i="18"/>
  <c r="T821" i="18" s="1"/>
  <c r="Q869" i="18"/>
  <c r="T869" i="18" s="1"/>
  <c r="Q753" i="18"/>
  <c r="T753" i="18" s="1"/>
  <c r="Q348" i="18"/>
  <c r="T348" i="18" s="1"/>
  <c r="Q603" i="18"/>
  <c r="T603" i="18" s="1"/>
  <c r="Q645" i="18"/>
  <c r="T645" i="18" s="1"/>
  <c r="Q18" i="18"/>
  <c r="T18" i="18" s="1"/>
  <c r="Q202" i="18"/>
  <c r="T202" i="18" s="1"/>
  <c r="Q84" i="18"/>
  <c r="T84" i="18" s="1"/>
  <c r="Q63" i="18"/>
  <c r="T63" i="18" s="1"/>
  <c r="Q939" i="18"/>
  <c r="T939" i="18" s="1"/>
  <c r="Q365" i="18"/>
  <c r="T365" i="18" s="1"/>
  <c r="Q379" i="18"/>
  <c r="T379" i="18" s="1"/>
  <c r="Q418" i="18"/>
  <c r="T418" i="18" s="1"/>
  <c r="Q70" i="18"/>
  <c r="T70" i="18" s="1"/>
  <c r="Q648" i="18"/>
  <c r="T648" i="18" s="1"/>
  <c r="Q361" i="18"/>
  <c r="T361" i="18" s="1"/>
  <c r="Q48" i="18"/>
  <c r="T48" i="18" s="1"/>
  <c r="Q183" i="18"/>
  <c r="T183" i="18" s="1"/>
  <c r="Q696" i="18"/>
  <c r="Q12" i="18"/>
  <c r="T12" i="18" s="1"/>
  <c r="Q336" i="18"/>
  <c r="T336" i="18" s="1"/>
  <c r="Q228" i="18"/>
  <c r="T228" i="18" s="1"/>
  <c r="Q841" i="18"/>
  <c r="T841" i="18" s="1"/>
  <c r="Q302" i="18"/>
  <c r="T302" i="18" s="1"/>
  <c r="Q483" i="18"/>
  <c r="T483" i="18" s="1"/>
  <c r="Q814" i="18"/>
  <c r="T814" i="18" s="1"/>
  <c r="Q947" i="18"/>
  <c r="T947" i="18" s="1"/>
  <c r="Q831" i="18"/>
  <c r="T831" i="18" s="1"/>
  <c r="Q546" i="18"/>
  <c r="T546" i="18" s="1"/>
  <c r="Q65" i="18"/>
  <c r="T65" i="18" s="1"/>
  <c r="Q328" i="18"/>
  <c r="T328" i="18" s="1"/>
  <c r="Q244" i="18"/>
  <c r="T244" i="18" s="1"/>
  <c r="Q444" i="18"/>
  <c r="T444" i="18" s="1"/>
  <c r="Q316" i="18"/>
  <c r="T316" i="18" s="1"/>
  <c r="Q703" i="18"/>
  <c r="T703" i="18" s="1"/>
  <c r="Q224" i="18"/>
  <c r="T224" i="18" s="1"/>
  <c r="Q482" i="18"/>
  <c r="T482" i="18" s="1"/>
  <c r="Q144" i="18"/>
  <c r="T144" i="18" s="1"/>
  <c r="Q135" i="18"/>
  <c r="T135" i="18" s="1"/>
  <c r="Q569" i="18"/>
  <c r="T569" i="18" s="1"/>
  <c r="Q266" i="18"/>
  <c r="T266" i="18" s="1"/>
  <c r="Q536" i="18"/>
  <c r="T536" i="18" s="1"/>
  <c r="Q849" i="18"/>
  <c r="T849" i="18" s="1"/>
  <c r="Q399" i="18"/>
  <c r="T399" i="18" s="1"/>
  <c r="Q40" i="18"/>
  <c r="T40" i="18" s="1"/>
  <c r="Q319" i="18"/>
  <c r="T319" i="18" s="1"/>
  <c r="Q634" i="18"/>
  <c r="T634" i="18" s="1"/>
  <c r="Q855" i="18"/>
  <c r="T855" i="18" s="1"/>
  <c r="Q549" i="18"/>
  <c r="T549" i="18" s="1"/>
  <c r="Q196" i="18"/>
  <c r="T196" i="18" s="1"/>
  <c r="Q99" i="18"/>
  <c r="T99" i="18" s="1"/>
  <c r="Q459" i="18"/>
  <c r="T459" i="18" s="1"/>
  <c r="Q694" i="18"/>
  <c r="T694" i="18" s="1"/>
  <c r="Q684" i="18"/>
  <c r="T684" i="18" s="1"/>
  <c r="Q301" i="18"/>
  <c r="T301" i="18" s="1"/>
  <c r="Q925" i="18"/>
  <c r="T925" i="18" s="1"/>
  <c r="Q927" i="18"/>
  <c r="T927" i="18" s="1"/>
  <c r="Q289" i="18"/>
  <c r="T289" i="18" s="1"/>
  <c r="Q356" i="18"/>
  <c r="T356" i="18" s="1"/>
  <c r="Q514" i="18"/>
  <c r="T514" i="18" s="1"/>
  <c r="Q441" i="18"/>
  <c r="T441" i="18" s="1"/>
  <c r="Q479" i="18"/>
  <c r="T479" i="18" s="1"/>
  <c r="Q347" i="18"/>
  <c r="T347" i="18" s="1"/>
  <c r="Q79" i="18"/>
  <c r="T79" i="18" s="1"/>
  <c r="Q171" i="18"/>
  <c r="T171" i="18" s="1"/>
  <c r="Q249" i="18"/>
  <c r="T249" i="18" s="1"/>
  <c r="Q454" i="18"/>
  <c r="T454" i="18" s="1"/>
  <c r="Q133" i="18"/>
  <c r="T133" i="18" s="1"/>
  <c r="Q898" i="18"/>
  <c r="T898" i="18" s="1"/>
  <c r="Q622" i="18"/>
  <c r="T622" i="18" s="1"/>
  <c r="Q974" i="18"/>
  <c r="T974" i="18" s="1"/>
  <c r="Q853" i="18"/>
  <c r="T853" i="18" s="1"/>
  <c r="Q417" i="18"/>
  <c r="T417" i="18" s="1"/>
  <c r="Q794" i="18"/>
  <c r="T794" i="18" s="1"/>
  <c r="Q701" i="18"/>
  <c r="T701" i="18" s="1"/>
  <c r="Q516" i="18"/>
  <c r="T516" i="18" s="1"/>
  <c r="Q945" i="18"/>
  <c r="T945" i="18" s="1"/>
  <c r="Q116" i="18"/>
  <c r="T116" i="18" s="1"/>
  <c r="Q349" i="18"/>
  <c r="T349" i="18" s="1"/>
  <c r="Q865" i="18"/>
  <c r="T865" i="18" s="1"/>
  <c r="Q602" i="18"/>
  <c r="T602" i="18" s="1"/>
  <c r="Q254" i="18"/>
  <c r="T254" i="18" s="1"/>
  <c r="Q411" i="18"/>
  <c r="T411" i="18" s="1"/>
  <c r="Q643" i="18"/>
  <c r="T643" i="18" s="1"/>
  <c r="Q375" i="18"/>
  <c r="T375" i="18" s="1"/>
  <c r="Q102" i="18"/>
  <c r="T102" i="18" s="1"/>
  <c r="Q475" i="18"/>
  <c r="T475" i="18" s="1"/>
  <c r="Q8" i="18"/>
  <c r="T8" i="18" s="1"/>
  <c r="Q979" i="18"/>
  <c r="T979" i="18" s="1"/>
  <c r="Q352" i="18"/>
  <c r="T352" i="18" s="1"/>
  <c r="Q660" i="18"/>
  <c r="T660" i="18" s="1"/>
  <c r="Q355" i="18"/>
  <c r="T355" i="18" s="1"/>
  <c r="Q722" i="18"/>
  <c r="T722" i="18" s="1"/>
  <c r="Q977" i="18"/>
  <c r="T977" i="18" s="1"/>
  <c r="Q125" i="18"/>
  <c r="T125" i="18" s="1"/>
  <c r="Q654" i="18"/>
  <c r="T654" i="18" s="1"/>
  <c r="Q182" i="18"/>
  <c r="T182" i="18" s="1"/>
  <c r="Q789" i="18"/>
  <c r="T789" i="18" s="1"/>
  <c r="Q790" i="18"/>
  <c r="T790" i="18" s="1"/>
  <c r="Q574" i="18"/>
  <c r="T574" i="18" s="1"/>
  <c r="Q252" i="18"/>
  <c r="T252" i="18" s="1"/>
  <c r="Q93" i="18"/>
  <c r="T93" i="18" s="1"/>
  <c r="Q566" i="18"/>
  <c r="T566" i="18" s="1"/>
  <c r="Q308" i="18"/>
  <c r="T308" i="18" s="1"/>
  <c r="Q139" i="18"/>
  <c r="T139" i="18" s="1"/>
  <c r="Q437" i="18"/>
  <c r="T437" i="18" s="1"/>
  <c r="Q480" i="18"/>
  <c r="T480" i="18" s="1"/>
  <c r="Q924" i="18"/>
  <c r="T924" i="18" s="1"/>
  <c r="Q571" i="18"/>
  <c r="T571" i="18" s="1"/>
  <c r="Q698" i="18"/>
  <c r="T698" i="18" s="1"/>
  <c r="Q212" i="18"/>
  <c r="T212" i="18" s="1"/>
  <c r="Q895" i="18"/>
  <c r="T895" i="18" s="1"/>
  <c r="Q626" i="18"/>
  <c r="T626" i="18" s="1"/>
  <c r="Q150" i="18"/>
  <c r="T150" i="18" s="1"/>
  <c r="Q283" i="18"/>
  <c r="T283" i="18" s="1"/>
  <c r="Q955" i="18"/>
  <c r="T955" i="18" s="1"/>
  <c r="Q576" i="18"/>
  <c r="T576" i="18" s="1"/>
  <c r="Q157" i="18"/>
  <c r="T157" i="18" s="1"/>
  <c r="Q86" i="18"/>
  <c r="T86" i="18" s="1"/>
  <c r="Q736" i="18"/>
  <c r="T736" i="18" s="1"/>
  <c r="Q737" i="18"/>
  <c r="T737" i="18" s="1"/>
  <c r="Q538" i="18"/>
  <c r="T538" i="18" s="1"/>
  <c r="Q619" i="18"/>
  <c r="T619" i="18" s="1"/>
  <c r="Q247" i="18"/>
  <c r="T247" i="18" s="1"/>
  <c r="Q327" i="18"/>
  <c r="T327" i="18" s="1"/>
  <c r="Q935" i="18"/>
  <c r="T935" i="18" s="1"/>
  <c r="Q913" i="18"/>
  <c r="T913" i="18" s="1"/>
  <c r="Q369" i="18"/>
  <c r="T369" i="18" s="1"/>
  <c r="Q477" i="18"/>
  <c r="T477" i="18" s="1"/>
  <c r="Q140" i="18"/>
  <c r="T140" i="18" s="1"/>
  <c r="Q145" i="18"/>
  <c r="T145" i="18" s="1"/>
  <c r="Q782" i="18"/>
  <c r="T782" i="18" s="1"/>
  <c r="Q568" i="18"/>
  <c r="T568" i="18" s="1"/>
  <c r="Q380" i="18"/>
  <c r="T380" i="18" s="1"/>
  <c r="Q893" i="18"/>
  <c r="T893" i="18" s="1"/>
  <c r="Q221" i="18"/>
  <c r="T221" i="18" s="1"/>
  <c r="Q22" i="18"/>
  <c r="T22" i="18" s="1"/>
  <c r="Q215" i="18"/>
  <c r="T215" i="18" s="1"/>
  <c r="Q676" i="18"/>
  <c r="T676" i="18" s="1"/>
  <c r="Q675" i="18"/>
  <c r="T675" i="18" s="1"/>
  <c r="Q688" i="18"/>
  <c r="T688" i="18" s="1"/>
  <c r="Q680" i="18"/>
  <c r="T680" i="18" s="1"/>
  <c r="Q279" i="18"/>
  <c r="T279" i="18" s="1"/>
  <c r="Q966" i="18"/>
  <c r="T966" i="18" s="1"/>
  <c r="Q705" i="18"/>
  <c r="T705" i="18" s="1"/>
  <c r="Q137" i="18"/>
  <c r="T137" i="18" s="1"/>
  <c r="Q259" i="18"/>
  <c r="T259" i="18" s="1"/>
  <c r="Q555" i="18"/>
  <c r="T555" i="18" s="1"/>
  <c r="Q274" i="18"/>
  <c r="T274" i="18" s="1"/>
  <c r="Q195" i="18"/>
  <c r="T195" i="18" s="1"/>
  <c r="Q547" i="18"/>
  <c r="T547" i="18" s="1"/>
  <c r="Q232" i="18"/>
  <c r="T232" i="18" s="1"/>
  <c r="Q59" i="18"/>
  <c r="T59" i="18" s="1"/>
  <c r="Q231" i="18"/>
  <c r="T231" i="18" s="1"/>
  <c r="Q967" i="18"/>
  <c r="T967" i="18" s="1"/>
  <c r="Q835" i="18"/>
  <c r="T835" i="18" s="1"/>
  <c r="Q357" i="18"/>
  <c r="T357" i="18" s="1"/>
  <c r="Q847" i="18"/>
  <c r="T847" i="18" s="1"/>
  <c r="Q889" i="18"/>
  <c r="T889" i="18" s="1"/>
  <c r="Q655" i="18"/>
  <c r="T655" i="18" s="1"/>
  <c r="Q595" i="18"/>
  <c r="T595" i="18" s="1"/>
  <c r="Q911" i="18"/>
  <c r="T911" i="18" s="1"/>
  <c r="Q773" i="18"/>
  <c r="T773" i="18" s="1"/>
  <c r="Q611" i="18"/>
  <c r="T611" i="18" s="1"/>
  <c r="Q190" i="18"/>
  <c r="T190" i="18" s="1"/>
  <c r="Q141" i="18"/>
  <c r="T141" i="18" s="1"/>
  <c r="Q148" i="18"/>
  <c r="T148" i="18" s="1"/>
  <c r="Q457" i="18"/>
  <c r="T457" i="18" s="1"/>
  <c r="Q757" i="18"/>
  <c r="T757" i="18" s="1"/>
  <c r="Q857" i="18"/>
  <c r="T857" i="18" s="1"/>
  <c r="Q180" i="18"/>
  <c r="T180" i="18" s="1"/>
  <c r="Q179" i="18"/>
  <c r="T179" i="18" s="1"/>
  <c r="Q1001" i="18"/>
  <c r="T1001" i="18" s="1"/>
  <c r="Q248" i="18"/>
  <c r="T248" i="18" s="1"/>
  <c r="Q732" i="18"/>
  <c r="T732" i="18" s="1"/>
  <c r="Q72" i="18"/>
  <c r="T72" i="18" s="1"/>
  <c r="Q422" i="18"/>
  <c r="T422" i="18" s="1"/>
  <c r="Q770" i="18"/>
  <c r="T770" i="18" s="1"/>
  <c r="Q778" i="18"/>
  <c r="T778" i="18" s="1"/>
  <c r="Q312" i="18"/>
  <c r="T312" i="18" s="1"/>
  <c r="Q142" i="18"/>
  <c r="T142" i="18" s="1"/>
  <c r="Q156" i="18"/>
  <c r="T156" i="18" s="1"/>
  <c r="Q226" i="18"/>
  <c r="T226" i="18" s="1"/>
  <c r="Q954" i="18"/>
  <c r="T954" i="18" s="1"/>
  <c r="Q172" i="18"/>
  <c r="T172" i="18" s="1"/>
  <c r="Q419" i="18"/>
  <c r="T419" i="18" s="1"/>
  <c r="Q870" i="18"/>
  <c r="T870" i="18" s="1"/>
  <c r="Q838" i="18"/>
  <c r="T838" i="18" s="1"/>
  <c r="Q631" i="18"/>
  <c r="T631" i="18" s="1"/>
  <c r="Q756" i="18"/>
  <c r="T756" i="18" s="1"/>
  <c r="Q383" i="18"/>
  <c r="T383" i="18" s="1"/>
  <c r="Q310" i="18"/>
  <c r="T310" i="18" s="1"/>
  <c r="Q56" i="18"/>
  <c r="T56" i="18" s="1"/>
  <c r="Q296" i="18"/>
  <c r="T296" i="18" s="1"/>
  <c r="Q949" i="18"/>
  <c r="T949" i="18" s="1"/>
  <c r="Q401" i="18"/>
  <c r="T401" i="18" s="1"/>
  <c r="Q650" i="18"/>
  <c r="T650" i="18" s="1"/>
  <c r="Q372" i="18"/>
  <c r="T372" i="18" s="1"/>
  <c r="Q876" i="18"/>
  <c r="T876" i="18" s="1"/>
  <c r="Q877" i="18"/>
  <c r="T877" i="18" s="1"/>
  <c r="Q288" i="18"/>
  <c r="T288" i="18" s="1"/>
  <c r="Q117" i="18"/>
  <c r="T117" i="18" s="1"/>
  <c r="Q717" i="18"/>
  <c r="T717" i="18" s="1"/>
  <c r="Q531" i="18"/>
  <c r="T531" i="18" s="1"/>
  <c r="Q376" i="18"/>
  <c r="T376" i="18" s="1"/>
  <c r="Q5" i="18"/>
  <c r="T5" i="18" s="1"/>
  <c r="Q612" i="18"/>
  <c r="T612" i="18" s="1"/>
  <c r="Q364" i="18"/>
  <c r="T364" i="18" s="1"/>
  <c r="Q281" i="18"/>
  <c r="T281" i="18" s="1"/>
  <c r="Q723" i="18"/>
  <c r="T723" i="18" s="1"/>
  <c r="Q323" i="18"/>
  <c r="T323" i="18" s="1"/>
  <c r="Q904" i="18"/>
  <c r="T904" i="18" s="1"/>
  <c r="Q712" i="18"/>
  <c r="T712" i="18" s="1"/>
  <c r="Q614" i="18"/>
  <c r="T614" i="18" s="1"/>
  <c r="Q667" i="18"/>
  <c r="T667" i="18" s="1"/>
  <c r="Q886" i="18"/>
  <c r="T886" i="18" s="1"/>
  <c r="Q826" i="18"/>
  <c r="T826" i="18" s="1"/>
  <c r="Q115" i="18"/>
  <c r="T115" i="18" s="1"/>
  <c r="Q7" i="18"/>
  <c r="T7" i="18" s="1"/>
  <c r="Q664" i="18"/>
  <c r="T664" i="18" s="1"/>
  <c r="Q588" i="18"/>
  <c r="T588" i="18" s="1"/>
  <c r="Q238" i="18"/>
  <c r="T238" i="18" s="1"/>
  <c r="Q811" i="18"/>
  <c r="T811" i="18" s="1"/>
  <c r="Q344" i="18"/>
  <c r="T344" i="18" s="1"/>
  <c r="Q82" i="18"/>
  <c r="T82" i="18" s="1"/>
  <c r="Q593" i="18"/>
  <c r="T593" i="18" s="1"/>
  <c r="Q901" i="18"/>
  <c r="T901" i="18" s="1"/>
  <c r="Q508" i="18"/>
  <c r="T508" i="18" s="1"/>
  <c r="Q718" i="18"/>
  <c r="T718" i="18" s="1"/>
  <c r="Q670" i="18"/>
  <c r="T670" i="18" s="1"/>
  <c r="Q271" i="18"/>
  <c r="T271" i="18" s="1"/>
  <c r="Q685" i="18"/>
  <c r="T685" i="18" s="1"/>
  <c r="Q793" i="18"/>
  <c r="T793" i="18" s="1"/>
  <c r="Q189" i="18"/>
  <c r="T189" i="18" s="1"/>
  <c r="Q16" i="18"/>
  <c r="T16" i="18" s="1"/>
  <c r="Q989" i="18"/>
  <c r="T989" i="18" s="1"/>
  <c r="Q971" i="18"/>
  <c r="T971" i="18" s="1"/>
  <c r="Q618" i="18"/>
  <c r="T618" i="18" s="1"/>
  <c r="Q604" i="18"/>
  <c r="T604" i="18" s="1"/>
  <c r="Q44" i="18"/>
  <c r="T44" i="18" s="1"/>
  <c r="Q71" i="18"/>
  <c r="T71" i="18" s="1"/>
  <c r="Q743" i="18"/>
  <c r="T743" i="18" s="1"/>
  <c r="Q432" i="18"/>
  <c r="T432" i="18" s="1"/>
  <c r="Q825" i="18"/>
  <c r="T825" i="18" s="1"/>
  <c r="Q994" i="18"/>
  <c r="T994" i="18" s="1"/>
  <c r="Q393" i="18"/>
  <c r="T393" i="18" s="1"/>
  <c r="Q109" i="18"/>
  <c r="T109" i="18" s="1"/>
  <c r="Q174" i="18"/>
  <c r="T174" i="18" s="1"/>
  <c r="Q666" i="18"/>
  <c r="T666" i="18" s="1"/>
  <c r="Q268" i="18"/>
  <c r="T268" i="18" s="1"/>
  <c r="Q163" i="18"/>
  <c r="T163" i="18" s="1"/>
  <c r="Q295" i="18"/>
  <c r="T295" i="18" s="1"/>
  <c r="Q415" i="18"/>
  <c r="T415" i="18" s="1"/>
  <c r="Q512" i="18"/>
  <c r="T512" i="18" s="1"/>
  <c r="Q213" i="18"/>
  <c r="T213" i="18" s="1"/>
  <c r="Q36" i="18"/>
  <c r="T36" i="18" s="1"/>
  <c r="Q987" i="18"/>
  <c r="T987" i="18" s="1"/>
  <c r="Q988" i="18"/>
  <c r="T988" i="18" s="1"/>
  <c r="Q986" i="18"/>
  <c r="T986" i="18" s="1"/>
  <c r="Q772" i="18"/>
  <c r="T772" i="18" s="1"/>
  <c r="Q824" i="18"/>
  <c r="T824" i="18" s="1"/>
  <c r="Q388" i="18"/>
  <c r="T388" i="18" s="1"/>
  <c r="Q335" i="18"/>
  <c r="T335" i="18" s="1"/>
  <c r="Q468" i="18"/>
  <c r="T468" i="18" s="1"/>
  <c r="Q98" i="18"/>
  <c r="T98" i="18" s="1"/>
  <c r="Q673" i="18"/>
  <c r="T673" i="18" s="1"/>
  <c r="Q434" i="18"/>
  <c r="T434" i="18" s="1"/>
  <c r="Q440" i="18"/>
  <c r="T440" i="18" s="1"/>
  <c r="Q315" i="18"/>
  <c r="T315" i="18" s="1"/>
  <c r="Q970" i="18"/>
  <c r="T970" i="18" s="1"/>
  <c r="Q184" i="18"/>
  <c r="T184" i="18" s="1"/>
  <c r="Q209" i="18"/>
  <c r="T209" i="18" s="1"/>
  <c r="Q763" i="18"/>
  <c r="T763" i="18" s="1"/>
  <c r="Q456" i="18"/>
  <c r="T456" i="18" s="1"/>
  <c r="Q199" i="18"/>
  <c r="T199" i="18" s="1"/>
  <c r="Q273" i="18"/>
  <c r="T273" i="18" s="1"/>
  <c r="Q755" i="18"/>
  <c r="T755" i="18" s="1"/>
  <c r="Q21" i="18"/>
  <c r="T21" i="18" s="1"/>
  <c r="Q360" i="18"/>
  <c r="T360" i="18" s="1"/>
  <c r="Q104" i="18"/>
  <c r="T104" i="18" s="1"/>
  <c r="Q106" i="18"/>
  <c r="T106" i="18" s="1"/>
  <c r="Q107" i="18"/>
  <c r="T107" i="18" s="1"/>
  <c r="Q105" i="18"/>
  <c r="T105" i="18" s="1"/>
  <c r="Q704" i="18"/>
  <c r="T704" i="18" s="1"/>
  <c r="Q76" i="18"/>
  <c r="T76" i="18" s="1"/>
  <c r="Q903" i="18"/>
  <c r="T903" i="18" s="1"/>
  <c r="Q992" i="18"/>
  <c r="T992" i="18" s="1"/>
  <c r="Q891" i="18"/>
  <c r="T891" i="18" s="1"/>
  <c r="Q330" i="18"/>
  <c r="T330" i="18" s="1"/>
  <c r="Q956" i="18"/>
  <c r="T956" i="18" s="1"/>
  <c r="Q656" i="18"/>
  <c r="T656" i="18" s="1"/>
  <c r="Q458" i="18"/>
  <c r="T458" i="18" s="1"/>
  <c r="Q241" i="18"/>
  <c r="T241" i="18" s="1"/>
  <c r="Q407" i="18"/>
  <c r="T407" i="18" s="1"/>
  <c r="Q28" i="18"/>
  <c r="T28" i="18" s="1"/>
  <c r="Q136" i="18"/>
  <c r="T136" i="18" s="1"/>
  <c r="Q351" i="18"/>
  <c r="T351" i="18" s="1"/>
  <c r="Q981" i="18"/>
  <c r="T981" i="18" s="1"/>
  <c r="Q373" i="18"/>
  <c r="T373" i="18" s="1"/>
  <c r="Q374" i="18"/>
  <c r="T374" i="18" s="1"/>
  <c r="Q833" i="18"/>
  <c r="T833" i="18" s="1"/>
  <c r="Q842" i="18"/>
  <c r="T842" i="18" s="1"/>
  <c r="Q149" i="18"/>
  <c r="T149" i="18" s="1"/>
  <c r="Q340" i="18"/>
  <c r="T340" i="18" s="1"/>
  <c r="Q936" i="18"/>
  <c r="T936" i="18" s="1"/>
  <c r="Q62" i="18"/>
  <c r="T62" i="18" s="1"/>
  <c r="Q933" i="18"/>
  <c r="T933" i="18" s="1"/>
  <c r="Q386" i="18"/>
  <c r="T386" i="18" s="1"/>
  <c r="Q225" i="18"/>
  <c r="T225" i="18" s="1"/>
  <c r="Q46" i="18"/>
  <c r="T46" i="18" s="1"/>
  <c r="Q912" i="18"/>
  <c r="T912" i="18" s="1"/>
  <c r="Q991" i="18"/>
  <c r="T991" i="18" s="1"/>
  <c r="Q448" i="18"/>
  <c r="T448" i="18" s="1"/>
  <c r="Q220" i="18"/>
  <c r="T220" i="18" s="1"/>
  <c r="Q96" i="18"/>
  <c r="T96" i="18" s="1"/>
  <c r="Q548" i="18"/>
  <c r="T548" i="18" s="1"/>
  <c r="Q132" i="18"/>
  <c r="T132" i="18" s="1"/>
  <c r="Q856" i="18"/>
  <c r="T856" i="18" s="1"/>
  <c r="Q216" i="18"/>
  <c r="T216" i="18" s="1"/>
  <c r="Q42" i="18"/>
  <c r="T42" i="18" s="1"/>
  <c r="Q460" i="18"/>
  <c r="T460" i="18" s="1"/>
  <c r="Q544" i="18"/>
  <c r="T544" i="18" s="1"/>
  <c r="Q502" i="18"/>
  <c r="T502" i="18" s="1"/>
  <c r="Q118" i="18"/>
  <c r="T118" i="18" s="1"/>
  <c r="Q888" i="18"/>
  <c r="T888" i="18" s="1"/>
  <c r="Q151" i="18"/>
  <c r="T151" i="18" s="1"/>
  <c r="Q495" i="18"/>
  <c r="T495" i="18" s="1"/>
  <c r="Q577" i="18"/>
  <c r="T577" i="18" s="1"/>
  <c r="Q900" i="18"/>
  <c r="T900" i="18" s="1"/>
  <c r="Q968" i="18"/>
  <c r="T968" i="18" s="1"/>
  <c r="Q557" i="18"/>
  <c r="T557" i="18" s="1"/>
  <c r="Q463" i="18"/>
  <c r="T463" i="18" s="1"/>
  <c r="Q523" i="18"/>
  <c r="T523" i="18" s="1"/>
  <c r="Q730" i="18"/>
  <c r="T730" i="18" s="1"/>
  <c r="Q959" i="18"/>
  <c r="T959" i="18" s="1"/>
  <c r="Q917" i="18"/>
  <c r="T917" i="18" s="1"/>
  <c r="Q108" i="18"/>
  <c r="T108" i="18" s="1"/>
  <c r="Q309" i="18"/>
  <c r="T309" i="18" s="1"/>
  <c r="Q6" i="18"/>
  <c r="T6" i="18" s="1"/>
  <c r="Q597" i="18"/>
  <c r="T597" i="18" s="1"/>
  <c r="Q840" i="18"/>
  <c r="T840" i="18" s="1"/>
  <c r="Q711" i="18"/>
  <c r="T711" i="18" s="1"/>
  <c r="Q501" i="18"/>
  <c r="T501" i="18" s="1"/>
  <c r="Q916" i="18"/>
  <c r="T916" i="18" s="1"/>
  <c r="Q526" i="18"/>
  <c r="T526" i="18" s="1"/>
  <c r="Q918" i="18"/>
  <c r="T918" i="18" s="1"/>
  <c r="Q864" i="18"/>
  <c r="T864" i="18" s="1"/>
  <c r="Q287" i="18"/>
  <c r="T287" i="18" s="1"/>
  <c r="Q922" i="18"/>
  <c r="T922" i="18" s="1"/>
  <c r="Q937" i="18"/>
  <c r="T937" i="18" s="1"/>
  <c r="Q167" i="18"/>
  <c r="T167" i="18" s="1"/>
  <c r="Q329" i="18"/>
  <c r="T329" i="18" s="1"/>
  <c r="Q208" i="18"/>
  <c r="T208" i="18" s="1"/>
  <c r="Q95" i="18"/>
  <c r="T95" i="18" s="1"/>
  <c r="Q960" i="18"/>
  <c r="T960" i="18" s="1"/>
  <c r="Q579" i="18"/>
  <c r="T579" i="18" s="1"/>
  <c r="Q54" i="18"/>
  <c r="T54" i="18" s="1"/>
  <c r="Q55" i="18"/>
  <c r="T55" i="18" s="1"/>
  <c r="Q640" i="18"/>
  <c r="T640" i="18" s="1"/>
  <c r="Q552" i="18"/>
  <c r="T552" i="18" s="1"/>
  <c r="Q697" i="18"/>
  <c r="T697" i="18" s="1"/>
  <c r="Q264" i="18"/>
  <c r="T264" i="18" s="1"/>
  <c r="Q803" i="18"/>
  <c r="T803" i="18" s="1"/>
  <c r="Q197" i="18"/>
  <c r="T197" i="18" s="1"/>
  <c r="Q805" i="18"/>
  <c r="T805" i="18" s="1"/>
  <c r="Q524" i="18"/>
  <c r="T524" i="18" s="1"/>
  <c r="Q464" i="18"/>
  <c r="T464" i="18" s="1"/>
  <c r="Q812" i="18"/>
  <c r="T812" i="18" s="1"/>
  <c r="Q820" i="18"/>
  <c r="T820" i="18" s="1"/>
  <c r="Q930" i="18"/>
  <c r="T930" i="18" s="1"/>
  <c r="Q64" i="18"/>
  <c r="T64" i="18" s="1"/>
  <c r="Q836" i="18"/>
  <c r="T836" i="18" s="1"/>
  <c r="Q559" i="18"/>
  <c r="T559" i="18" s="1"/>
  <c r="Q485" i="18"/>
  <c r="T485" i="18" s="1"/>
  <c r="Q802" i="18"/>
  <c r="T802" i="18" s="1"/>
  <c r="Q152" i="18"/>
  <c r="T152" i="18" s="1"/>
  <c r="Q570" i="18"/>
  <c r="T570" i="18" s="1"/>
  <c r="Q428" i="18"/>
  <c r="T428" i="18" s="1"/>
  <c r="Q729" i="18"/>
  <c r="T729" i="18" s="1"/>
  <c r="Q758" i="18"/>
  <c r="T758" i="18" s="1"/>
  <c r="Q491" i="18"/>
  <c r="T491" i="18" s="1"/>
  <c r="Q39" i="18"/>
  <c r="T39" i="18" s="1"/>
  <c r="Q582" i="18"/>
  <c r="T582" i="18" s="1"/>
  <c r="Q446" i="18"/>
  <c r="T446" i="18" s="1"/>
  <c r="Q799" i="18"/>
  <c r="T799" i="18" s="1"/>
  <c r="Q474" i="18"/>
  <c r="T474" i="18" s="1"/>
  <c r="Q787" i="18"/>
  <c r="T787" i="18" s="1"/>
  <c r="Q651" i="18"/>
  <c r="T651" i="18" s="1"/>
  <c r="Q311" i="18"/>
  <c r="T311" i="18" s="1"/>
  <c r="Q550" i="18"/>
  <c r="T550" i="18" s="1"/>
  <c r="Q761" i="18"/>
  <c r="T761" i="18" s="1"/>
  <c r="Q164" i="18"/>
  <c r="T164" i="18" s="1"/>
  <c r="Q556" i="18"/>
  <c r="T556" i="18" s="1"/>
  <c r="Q346" i="18"/>
  <c r="T346" i="18" s="1"/>
  <c r="Q505" i="18"/>
  <c r="T505" i="18" s="1"/>
  <c r="Q382" i="18"/>
  <c r="T382" i="18" s="1"/>
  <c r="Q985" i="18"/>
  <c r="T985" i="18" s="1"/>
  <c r="Q250" i="18"/>
  <c r="T250" i="18" s="1"/>
  <c r="Q677" i="18"/>
  <c r="T677" i="18" s="1"/>
  <c r="Q110" i="18"/>
  <c r="T110" i="18" s="1"/>
  <c r="Q921" i="18"/>
  <c r="T921" i="18" s="1"/>
  <c r="Q609" i="18"/>
  <c r="T609" i="18" s="1"/>
  <c r="Q919" i="18"/>
  <c r="T919" i="18" s="1"/>
  <c r="Q779" i="18"/>
  <c r="T779" i="18" s="1"/>
  <c r="Q201" i="18"/>
  <c r="T201" i="18" s="1"/>
  <c r="Q823" i="18"/>
  <c r="T823" i="18" s="1"/>
  <c r="Q590" i="18"/>
  <c r="T590" i="18" s="1"/>
  <c r="Q591" i="18"/>
  <c r="T591" i="18" s="1"/>
  <c r="Q589" i="18"/>
  <c r="T589" i="18" s="1"/>
  <c r="Q592" i="18"/>
  <c r="T592" i="18" s="1"/>
  <c r="Q161" i="18"/>
  <c r="T161" i="18" s="1"/>
  <c r="Q61" i="18"/>
  <c r="T61" i="18" s="1"/>
  <c r="Q409" i="18"/>
  <c r="T409" i="18" s="1"/>
  <c r="Q25" i="18"/>
  <c r="T25" i="18" s="1"/>
  <c r="Q41" i="18"/>
  <c r="T41" i="18" s="1"/>
  <c r="Q103" i="18"/>
  <c r="T103" i="18" s="1"/>
  <c r="Q341" i="18"/>
  <c r="T341" i="18" s="1"/>
  <c r="Q317" i="18"/>
  <c r="T317" i="18" s="1"/>
  <c r="Q433" i="18"/>
  <c r="T433" i="18" s="1"/>
  <c r="Q74" i="18"/>
  <c r="T74" i="18" s="1"/>
  <c r="Q681" i="18"/>
  <c r="T681" i="18" s="1"/>
  <c r="Q883" i="18"/>
  <c r="T883" i="18" s="1"/>
  <c r="Q769" i="18"/>
  <c r="T769" i="18" s="1"/>
  <c r="Q378" i="18"/>
  <c r="T378" i="18" s="1"/>
  <c r="Q484" i="18"/>
  <c r="T484" i="18" s="1"/>
  <c r="Q90" i="18"/>
  <c r="T90" i="18" s="1"/>
  <c r="Q541" i="18"/>
  <c r="T541" i="18" s="1"/>
  <c r="Q20" i="18"/>
  <c r="T20" i="18" s="1"/>
  <c r="Q874" i="18"/>
  <c r="T874" i="18" s="1"/>
  <c r="Q810" i="18"/>
  <c r="T810" i="18" s="1"/>
  <c r="Q969" i="18"/>
  <c r="T969" i="18" s="1"/>
  <c r="Q294" i="18"/>
  <c r="T294" i="18" s="1"/>
  <c r="Q236" i="18"/>
  <c r="T236" i="18" s="1"/>
  <c r="Q193" i="18"/>
  <c r="T193" i="18" s="1"/>
  <c r="Q494" i="18"/>
  <c r="T494" i="18" s="1"/>
  <c r="Q381" i="18"/>
  <c r="T381" i="18" s="1"/>
  <c r="Q910" i="18"/>
  <c r="T910" i="18" s="1"/>
  <c r="Q303" i="18"/>
  <c r="T303" i="18" s="1"/>
  <c r="Q473" i="18"/>
  <c r="T473" i="18" s="1"/>
  <c r="Q242" i="18"/>
  <c r="T242" i="18" s="1"/>
  <c r="Q867" i="18"/>
  <c r="T867" i="18" s="1"/>
  <c r="Q699" i="18"/>
  <c r="T699" i="18" s="1"/>
  <c r="Q307" i="18"/>
  <c r="T307" i="18" s="1"/>
  <c r="Q306" i="18"/>
  <c r="T306" i="18" s="1"/>
  <c r="Q299" i="18"/>
  <c r="T299" i="18" s="1"/>
  <c r="Q126" i="18"/>
  <c r="T126" i="18" s="1"/>
  <c r="Q819" i="18"/>
  <c r="T819" i="18" s="1"/>
  <c r="Q573" i="18"/>
  <c r="T573" i="18" s="1"/>
  <c r="Q800" i="18"/>
  <c r="T800" i="18" s="1"/>
  <c r="Q362" i="18"/>
  <c r="T362" i="18" s="1"/>
  <c r="Q796" i="18"/>
  <c r="T796" i="18" s="1"/>
  <c r="Q517" i="18"/>
  <c r="T517" i="18" s="1"/>
  <c r="Q539" i="18"/>
  <c r="T539" i="18" s="1"/>
  <c r="Q872" i="18"/>
  <c r="T872" i="18" s="1"/>
  <c r="Q205" i="18"/>
  <c r="T205" i="18" s="1"/>
  <c r="Q1000" i="18"/>
  <c r="T1000" i="18" s="1"/>
  <c r="Q97" i="18"/>
  <c r="T97" i="18" s="1"/>
  <c r="Q525" i="18"/>
  <c r="T525" i="18" s="1"/>
  <c r="Q354" i="18"/>
  <c r="T354" i="18" s="1"/>
  <c r="Q13" i="18"/>
  <c r="T13" i="18" s="1"/>
  <c r="Q990" i="18"/>
  <c r="T990" i="18" s="1"/>
  <c r="Q875" i="18"/>
  <c r="T875" i="18" s="1"/>
  <c r="Q204" i="18"/>
  <c r="T204" i="18" s="1"/>
  <c r="Q572" i="18"/>
  <c r="T572" i="18" s="1"/>
  <c r="Q765" i="18"/>
  <c r="T765" i="18" s="1"/>
  <c r="Q120" i="18"/>
  <c r="T120" i="18" s="1"/>
  <c r="Q10" i="18"/>
  <c r="T10" i="18" s="1"/>
  <c r="Q637" i="18"/>
  <c r="T637" i="18" s="1"/>
  <c r="Q442" i="18"/>
  <c r="T442" i="18" s="1"/>
  <c r="Q689" i="18"/>
  <c r="T689" i="18" s="1"/>
  <c r="Q467" i="18"/>
  <c r="T467" i="18" s="1"/>
  <c r="Q392" i="18"/>
  <c r="T392" i="18" s="1"/>
  <c r="Q679" i="18"/>
  <c r="T679" i="18" s="1"/>
  <c r="Q203" i="18"/>
  <c r="T203" i="18" s="1"/>
  <c r="Q537" i="18"/>
  <c r="T537" i="18" s="1"/>
  <c r="Q868" i="18"/>
  <c r="T868" i="18" s="1"/>
  <c r="Q740" i="18"/>
  <c r="T740" i="18" s="1"/>
  <c r="Q605" i="18"/>
  <c r="T605" i="18" s="1"/>
  <c r="Q620" i="18"/>
  <c r="T620" i="18" s="1"/>
  <c r="Q470" i="18"/>
  <c r="T470" i="18" s="1"/>
  <c r="Q726" i="18"/>
  <c r="T726" i="18" s="1"/>
  <c r="Q623" i="18"/>
  <c r="T623" i="18" s="1"/>
  <c r="Q114" i="18"/>
  <c r="T114" i="18" s="1"/>
  <c r="Q31" i="18"/>
  <c r="T31" i="18" s="1"/>
  <c r="Q173" i="18"/>
  <c r="T173" i="18" s="1"/>
  <c r="Q390" i="18"/>
  <c r="T390" i="18" s="1"/>
  <c r="Q51" i="18"/>
  <c r="T51" i="18" s="1"/>
  <c r="Q391" i="18"/>
  <c r="T391" i="18" s="1"/>
  <c r="Q709" i="18"/>
  <c r="T709" i="18" s="1"/>
  <c r="Q923" i="18"/>
  <c r="T923" i="18" s="1"/>
  <c r="Q122" i="18"/>
  <c r="T122" i="18" s="1"/>
  <c r="Q14" i="18"/>
  <c r="T14" i="18" s="1"/>
  <c r="Q342" i="18"/>
  <c r="T342" i="18" s="1"/>
  <c r="Q953" i="18"/>
  <c r="T953" i="18" s="1"/>
  <c r="Q451" i="18"/>
  <c r="T451" i="18" s="1"/>
  <c r="Q101" i="18"/>
  <c r="T101" i="18" s="1"/>
  <c r="Q710" i="18"/>
  <c r="T710" i="18" s="1"/>
  <c r="Q832" i="18"/>
  <c r="T832" i="18" s="1"/>
  <c r="Q578" i="18"/>
  <c r="T578" i="18" s="1"/>
  <c r="Q690" i="18"/>
  <c r="T690" i="18" s="1"/>
  <c r="Q728" i="18"/>
  <c r="T728" i="18" s="1"/>
  <c r="Q735" i="18"/>
  <c r="T735" i="18" s="1"/>
  <c r="Q455" i="18"/>
  <c r="T455" i="18" s="1"/>
  <c r="Q32" i="18"/>
  <c r="T32" i="18" s="1"/>
  <c r="Q719" i="18"/>
  <c r="T719" i="18" s="1"/>
  <c r="Q816" i="18"/>
  <c r="T816" i="18" s="1"/>
  <c r="Q233" i="18"/>
  <c r="T233" i="18" s="1"/>
  <c r="Q85" i="18"/>
  <c r="T85" i="18" s="1"/>
  <c r="Q425" i="18"/>
  <c r="T425" i="18" s="1"/>
  <c r="Q168" i="18"/>
  <c r="T168" i="18" s="1"/>
  <c r="Q809" i="18"/>
  <c r="T809" i="18" s="1"/>
  <c r="Q706" i="18"/>
  <c r="T706" i="18" s="1"/>
  <c r="Q716" i="18"/>
  <c r="T716" i="18" s="1"/>
  <c r="Q649" i="18"/>
  <c r="T649" i="18" s="1"/>
  <c r="Q123" i="18"/>
  <c r="T123" i="18" s="1"/>
  <c r="Q402" i="18"/>
  <c r="T402" i="18" s="1"/>
  <c r="Q67" i="18"/>
  <c r="T67" i="18" s="1"/>
  <c r="Q731" i="18"/>
  <c r="T731" i="18" s="1"/>
  <c r="Q431" i="18"/>
  <c r="T431" i="18" s="1"/>
  <c r="Q596" i="18"/>
  <c r="T596" i="18" s="1"/>
  <c r="Q702" i="18"/>
  <c r="T702" i="18" s="1"/>
  <c r="Q745" i="18"/>
  <c r="T745" i="18" s="1"/>
  <c r="Q965" i="18"/>
  <c r="T965" i="18" s="1"/>
  <c r="Q587" i="18"/>
  <c r="T587" i="18" s="1"/>
  <c r="Q887" i="18"/>
  <c r="T887" i="18" s="1"/>
  <c r="Q759" i="18"/>
  <c r="T759" i="18" s="1"/>
  <c r="Q776" i="18"/>
  <c r="T776" i="18" s="1"/>
  <c r="Q176" i="18"/>
  <c r="T176" i="18" s="1"/>
  <c r="Q975" i="18"/>
  <c r="T975" i="18" s="1"/>
  <c r="Q530" i="18"/>
  <c r="T530" i="18" s="1"/>
  <c r="Q272" i="18"/>
  <c r="T272" i="18" s="1"/>
  <c r="Q951" i="18"/>
  <c r="T951" i="18" s="1"/>
  <c r="Q130" i="18"/>
  <c r="T130" i="18" s="1"/>
  <c r="Q398" i="18"/>
  <c r="T398" i="18" s="1"/>
  <c r="Q2" i="18"/>
  <c r="T2" i="18" s="1"/>
  <c r="Q449" i="18"/>
  <c r="T449" i="18" s="1"/>
  <c r="Q371" i="18"/>
  <c r="T371" i="18" s="1"/>
  <c r="Q57" i="18"/>
  <c r="T57" i="18" s="1"/>
  <c r="Q345" i="18"/>
  <c r="T345" i="18" s="1"/>
  <c r="Q339" i="18"/>
  <c r="T339" i="18" s="1"/>
  <c r="Q980" i="18"/>
  <c r="T980" i="18" s="1"/>
  <c r="Q445" i="18"/>
  <c r="T445" i="18" s="1"/>
  <c r="Q995" i="18"/>
  <c r="T995" i="18" s="1"/>
  <c r="Q472" i="18"/>
  <c r="T472" i="18" s="1"/>
  <c r="Q471" i="18"/>
  <c r="T471" i="18" s="1"/>
  <c r="Q781" i="18"/>
  <c r="T781" i="18" s="1"/>
  <c r="Q111" i="18"/>
  <c r="T111" i="18" s="1"/>
  <c r="Q181" i="18"/>
  <c r="T181" i="18" s="1"/>
  <c r="Q11" i="18"/>
  <c r="T11" i="18" s="1"/>
  <c r="Q741" i="18"/>
  <c r="T741" i="18" s="1"/>
  <c r="Q665" i="18"/>
  <c r="T665" i="18" s="1"/>
  <c r="Q80" i="18"/>
  <c r="T80" i="18" s="1"/>
  <c r="Q436" i="18"/>
  <c r="T436" i="18" s="1"/>
  <c r="Q223" i="18"/>
  <c r="T223" i="18" s="1"/>
  <c r="Q30" i="18"/>
  <c r="T30" i="18" s="1"/>
  <c r="Q948" i="18"/>
  <c r="T948" i="18" s="1"/>
  <c r="Q227" i="18"/>
  <c r="T227" i="18" s="1"/>
  <c r="Q993" i="18"/>
  <c r="T993" i="18" s="1"/>
  <c r="Q230" i="18"/>
  <c r="T230" i="18" s="1"/>
  <c r="Q961" i="18"/>
  <c r="T961" i="18" s="1"/>
  <c r="Q513" i="18"/>
  <c r="T513" i="18" s="1"/>
  <c r="Q653" i="18"/>
  <c r="T653" i="18" s="1"/>
  <c r="Q813" i="18"/>
  <c r="T813" i="18" s="1"/>
  <c r="Q29" i="18"/>
  <c r="T29" i="18" s="1"/>
  <c r="Q768" i="18"/>
  <c r="T768" i="18" s="1"/>
  <c r="Q727" i="18"/>
  <c r="T727" i="18" s="1"/>
  <c r="Q767" i="18"/>
  <c r="T767" i="18" s="1"/>
  <c r="Q269" i="18"/>
  <c r="T269" i="18" s="1"/>
  <c r="Q852" i="18"/>
  <c r="T852" i="18" s="1"/>
  <c r="Q554" i="18"/>
  <c r="T554" i="18" s="1"/>
  <c r="Q822" i="18"/>
  <c r="T822" i="18" s="1"/>
  <c r="Q580" i="18"/>
  <c r="T580" i="18" s="1"/>
  <c r="Q686" i="18"/>
  <c r="T686" i="18" s="1"/>
  <c r="Q45" i="18"/>
  <c r="T45" i="18" s="1"/>
  <c r="Q791" i="18"/>
  <c r="T791" i="18" s="1"/>
  <c r="Q219" i="18"/>
  <c r="T219" i="18" s="1"/>
  <c r="Q343" i="18"/>
  <c r="T343" i="18" s="1"/>
  <c r="Q540" i="18"/>
  <c r="T540" i="18" s="1"/>
  <c r="Q797" i="18"/>
  <c r="T797" i="18" s="1"/>
  <c r="Q452" i="18"/>
  <c r="T452" i="18" s="1"/>
  <c r="Q639" i="18"/>
  <c r="T639" i="18" s="1"/>
  <c r="Q890" i="18"/>
  <c r="T890" i="18" s="1"/>
  <c r="Q91" i="18"/>
  <c r="T91" i="18" s="1"/>
  <c r="Q914" i="18"/>
  <c r="T914" i="18" s="1"/>
  <c r="Q952" i="18"/>
  <c r="T952" i="18" s="1"/>
  <c r="Q394" i="18"/>
  <c r="T394" i="18" s="1"/>
  <c r="Q466" i="18"/>
  <c r="T466" i="18" s="1"/>
  <c r="Q275" i="18"/>
  <c r="T275" i="18" s="1"/>
  <c r="Q92" i="18"/>
  <c r="T92" i="18" s="1"/>
  <c r="Q396" i="18"/>
  <c r="T396" i="18" s="1"/>
  <c r="Q397" i="18"/>
  <c r="T397" i="18" s="1"/>
  <c r="Q934" i="18"/>
  <c r="T934" i="18" s="1"/>
  <c r="Q846" i="18"/>
  <c r="T846" i="18" s="1"/>
  <c r="Q845" i="18"/>
  <c r="T845" i="18" s="1"/>
  <c r="Q692" i="18"/>
  <c r="T692" i="18" s="1"/>
  <c r="Q780" i="18"/>
  <c r="T780" i="18" s="1"/>
  <c r="Q235" i="18"/>
  <c r="T235" i="18" s="1"/>
  <c r="Q641" i="18"/>
  <c r="T641" i="18" s="1"/>
  <c r="Q27" i="18"/>
  <c r="T27" i="18" s="1"/>
  <c r="Q515" i="18"/>
  <c r="T515" i="18" s="1"/>
  <c r="Q404" i="18"/>
  <c r="T404" i="18" s="1"/>
  <c r="Q3" i="18"/>
  <c r="T3" i="18" s="1"/>
  <c r="Q258" i="18"/>
  <c r="T258" i="18" s="1"/>
  <c r="Q367" i="18"/>
  <c r="T367" i="18" s="1"/>
  <c r="Q478" i="18"/>
  <c r="T478" i="18" s="1"/>
  <c r="Q511" i="18"/>
  <c r="T511" i="18" s="1"/>
  <c r="Q284" i="18"/>
  <c r="T284" i="18" s="1"/>
  <c r="Q683" i="18"/>
  <c r="T683" i="18" s="1"/>
  <c r="Q932" i="18"/>
  <c r="T932" i="18" s="1"/>
  <c r="Q931" i="18"/>
  <c r="T931" i="18" s="1"/>
  <c r="Q324" i="18"/>
  <c r="T324" i="18" s="1"/>
  <c r="Q403" i="18"/>
  <c r="T403" i="18" s="1"/>
  <c r="Q638" i="18"/>
  <c r="T638" i="18" s="1"/>
  <c r="Q713" i="18"/>
  <c r="T713" i="18" s="1"/>
  <c r="Q839" i="18"/>
  <c r="T839" i="18" s="1"/>
  <c r="Q783" i="18"/>
  <c r="T783" i="18" s="1"/>
  <c r="Q792" i="18"/>
  <c r="T792" i="18" s="1"/>
  <c r="Q34" i="18"/>
  <c r="T34" i="18" s="1"/>
  <c r="Q282" i="18"/>
  <c r="T282" i="18" s="1"/>
  <c r="Q854" i="18"/>
  <c r="T854" i="18" s="1"/>
  <c r="Q165" i="18"/>
  <c r="T165" i="18" s="1"/>
  <c r="Q906" i="18"/>
  <c r="T906" i="18" s="1"/>
  <c r="Q844" i="18"/>
  <c r="T844" i="18" s="1"/>
  <c r="Q66" i="18"/>
  <c r="T66" i="18" s="1"/>
  <c r="Q363" i="18"/>
  <c r="T363" i="18" s="1"/>
  <c r="Q983" i="18"/>
  <c r="T983" i="18" s="1"/>
  <c r="Q326" i="18"/>
  <c r="T326" i="18" s="1"/>
  <c r="Q493" i="18"/>
  <c r="T493" i="18" s="1"/>
  <c r="Q492" i="18"/>
  <c r="T492" i="18" s="1"/>
  <c r="Q760" i="18"/>
  <c r="T760" i="18" s="1"/>
  <c r="Q669" i="18"/>
  <c r="T669" i="18" s="1"/>
  <c r="Q35" i="18"/>
  <c r="T35" i="18" s="1"/>
  <c r="Q652" i="18"/>
  <c r="T652" i="18" s="1"/>
  <c r="Q861" i="18"/>
  <c r="T861" i="18" s="1"/>
  <c r="Q693" i="18"/>
  <c r="T693" i="18" s="1"/>
  <c r="Q720" i="18"/>
  <c r="T720" i="18" s="1"/>
  <c r="Q944" i="18"/>
  <c r="T944" i="18" s="1"/>
  <c r="Q291" i="18"/>
  <c r="T291" i="18" s="1"/>
  <c r="Q788" i="18"/>
  <c r="T788" i="18" s="1"/>
  <c r="Q762" i="18"/>
  <c r="T762" i="18" s="1"/>
  <c r="Q88" i="18"/>
  <c r="T88" i="18" s="1"/>
  <c r="Q146" i="18"/>
  <c r="T146" i="18" s="1"/>
  <c r="Q674" i="18"/>
  <c r="T674" i="18" s="1"/>
  <c r="Q785" i="18"/>
  <c r="T785" i="18" s="1"/>
  <c r="Q583" i="18"/>
  <c r="T583" i="18" s="1"/>
  <c r="Q285" i="18"/>
  <c r="T285" i="18" s="1"/>
  <c r="Q964" i="18"/>
  <c r="T964" i="18" s="1"/>
  <c r="Q217" i="18"/>
  <c r="T217" i="18" s="1"/>
  <c r="Q882" i="18"/>
  <c r="T882" i="18" s="1"/>
  <c r="Q160" i="18"/>
  <c r="T160" i="18" s="1"/>
  <c r="Q562" i="18"/>
  <c r="T562" i="18" s="1"/>
  <c r="Q69" i="18"/>
  <c r="T69" i="18" s="1"/>
  <c r="Q469" i="18"/>
  <c r="T469" i="18" s="1"/>
  <c r="Q486" i="18"/>
  <c r="T486" i="18" s="1"/>
  <c r="Q487" i="18"/>
  <c r="T487" i="18" s="1"/>
  <c r="Q527" i="18"/>
  <c r="T527" i="18" s="1"/>
  <c r="Q424" i="18"/>
  <c r="T424" i="18" s="1"/>
  <c r="Q234" i="18"/>
  <c r="T234" i="18" s="1"/>
  <c r="Q410" i="18"/>
  <c r="T410" i="18" s="1"/>
  <c r="Q543" i="18"/>
  <c r="T543" i="18" s="1"/>
  <c r="Q262" i="18"/>
  <c r="T262" i="18" s="1"/>
  <c r="Q81" i="18"/>
  <c r="T81" i="18" s="1"/>
  <c r="Q860" i="18"/>
  <c r="T860" i="18" s="1"/>
  <c r="Q293" i="18"/>
  <c r="T293" i="18" s="1"/>
  <c r="Q185" i="18"/>
  <c r="T185" i="18" s="1"/>
  <c r="Q47" i="18"/>
  <c r="T47" i="18" s="1"/>
  <c r="Q725" i="18"/>
  <c r="T725" i="18" s="1"/>
  <c r="Q423" i="18"/>
  <c r="T423" i="18" s="1"/>
  <c r="Q804" i="18"/>
  <c r="T804" i="18" s="1"/>
  <c r="Q584" i="18"/>
  <c r="T584" i="18" s="1"/>
  <c r="Q902" i="18"/>
  <c r="T902" i="18" s="1"/>
  <c r="Q322" i="18"/>
  <c r="T322" i="18" s="1"/>
  <c r="Q387" i="18"/>
  <c r="T387" i="18" s="1"/>
  <c r="Q613" i="18"/>
  <c r="T613" i="18" s="1"/>
  <c r="Q320" i="18"/>
  <c r="T320" i="18" s="1"/>
  <c r="Q37" i="18"/>
  <c r="T37" i="18" s="1"/>
  <c r="Q413" i="18"/>
  <c r="T413" i="18" s="1"/>
  <c r="Q828" i="18"/>
  <c r="T828" i="18" s="1"/>
  <c r="Q581" i="18"/>
  <c r="T581" i="18" s="1"/>
  <c r="Q721" i="18"/>
  <c r="T721" i="18" s="1"/>
  <c r="Q627" i="18"/>
  <c r="T627" i="18" s="1"/>
  <c r="Q738" i="18"/>
  <c r="T738" i="18" s="1"/>
  <c r="Q166" i="18"/>
  <c r="T166" i="18" s="1"/>
  <c r="Q321" i="18"/>
  <c r="T321" i="18" s="1"/>
  <c r="Q984" i="18"/>
  <c r="T984" i="18" s="1"/>
  <c r="Q806" i="18"/>
  <c r="T806" i="18" s="1"/>
  <c r="Q147" i="18"/>
  <c r="T147" i="18" s="1"/>
  <c r="Q462" i="18"/>
  <c r="T462" i="18" s="1"/>
  <c r="Q503" i="18"/>
  <c r="T503" i="18" s="1"/>
  <c r="Q75" i="18"/>
  <c r="T75" i="18" s="1"/>
  <c r="Q950" i="18"/>
  <c r="T950" i="18" s="1"/>
  <c r="Q162" i="18"/>
  <c r="T162" i="18" s="1"/>
  <c r="Q786" i="18"/>
  <c r="T786" i="18" s="1"/>
  <c r="Q276" i="18"/>
  <c r="T276" i="18" s="1"/>
  <c r="Q129" i="18"/>
  <c r="T129" i="18" s="1"/>
  <c r="Q632" i="18"/>
  <c r="T632" i="18" s="1"/>
  <c r="Q633" i="18"/>
  <c r="T633" i="18" s="1"/>
  <c r="Q862" i="18"/>
  <c r="T862" i="18" s="1"/>
  <c r="Q194" i="18"/>
  <c r="T194" i="18" s="1"/>
  <c r="Q668" i="18"/>
  <c r="T668" i="18" s="1"/>
  <c r="Q395" i="18"/>
  <c r="T395" i="18" s="1"/>
  <c r="Q509" i="18"/>
  <c r="T509" i="18" s="1"/>
  <c r="Q586" i="18"/>
  <c r="T586" i="18" s="1"/>
  <c r="Q784" i="18"/>
  <c r="T784" i="18" s="1"/>
  <c r="Q558" i="18"/>
  <c r="T558" i="18" s="1"/>
  <c r="Q754" i="18"/>
  <c r="T754" i="18" s="1"/>
  <c r="Q210" i="18"/>
  <c r="T210" i="18" s="1"/>
  <c r="Q542" i="18"/>
  <c r="T542" i="18" s="1"/>
  <c r="Q535" i="18"/>
  <c r="T535" i="18" s="1"/>
  <c r="Q506" i="18"/>
  <c r="T506" i="18" s="1"/>
  <c r="Q192" i="18"/>
  <c r="T192" i="18" s="1"/>
  <c r="Q909" i="18"/>
  <c r="T909" i="18" s="1"/>
  <c r="Q77" i="18"/>
  <c r="T77" i="18" s="1"/>
  <c r="Q450" i="18"/>
  <c r="T450" i="18" s="1"/>
  <c r="Q560" i="18"/>
  <c r="T560" i="18" s="1"/>
  <c r="Q561" i="18"/>
  <c r="T561" i="18" s="1"/>
  <c r="Q389" i="18"/>
  <c r="T389" i="18" s="1"/>
  <c r="Q358" i="18"/>
  <c r="T358" i="18" s="1"/>
  <c r="Q453" i="18"/>
  <c r="T453" i="18" s="1"/>
  <c r="Q124" i="18"/>
  <c r="T124" i="18" s="1"/>
  <c r="Q863" i="18"/>
  <c r="T863" i="18" s="1"/>
  <c r="Q646" i="18"/>
  <c r="T646" i="18" s="1"/>
  <c r="Q610" i="18"/>
  <c r="T610" i="18" s="1"/>
  <c r="Q121" i="18"/>
  <c r="T121" i="18" s="1"/>
  <c r="Q771" i="18"/>
  <c r="T771" i="18" s="1"/>
  <c r="Q866" i="18"/>
  <c r="T866" i="18" s="1"/>
  <c r="Q567" i="18"/>
  <c r="T567" i="18" s="1"/>
  <c r="Q265" i="18"/>
  <c r="T265" i="18" s="1"/>
  <c r="Q700" i="18"/>
  <c r="T700" i="18" s="1"/>
  <c r="Q807" i="18"/>
  <c r="T807" i="18" s="1"/>
  <c r="Q551" i="18"/>
  <c r="T551" i="18" s="1"/>
  <c r="Q585" i="18"/>
  <c r="T585" i="18" s="1"/>
  <c r="Q280" i="18"/>
  <c r="T280" i="18" s="1"/>
  <c r="Q499" i="18"/>
  <c r="T499" i="18" s="1"/>
  <c r="Q498" i="18"/>
  <c r="T498" i="18" s="1"/>
  <c r="Q497" i="18"/>
  <c r="T497" i="18" s="1"/>
  <c r="Q496" i="18"/>
  <c r="T496" i="18" s="1"/>
  <c r="Q270" i="18"/>
  <c r="T270" i="18" s="1"/>
  <c r="Q400" i="18"/>
  <c r="T400" i="18" s="1"/>
  <c r="Q366" i="18"/>
  <c r="T366" i="18" s="1"/>
  <c r="Q946" i="18"/>
  <c r="T946" i="18" s="1"/>
  <c r="Q962" i="18"/>
  <c r="T962" i="18" s="1"/>
  <c r="Q766" i="18"/>
  <c r="T766" i="18" s="1"/>
  <c r="Q297" i="18"/>
  <c r="T297" i="18" s="1"/>
  <c r="Q261" i="18"/>
  <c r="T261" i="18" s="1"/>
  <c r="Q158" i="18"/>
  <c r="T158" i="18" s="1"/>
  <c r="Q606" i="18"/>
  <c r="T606" i="18" s="1"/>
  <c r="Q153" i="18"/>
  <c r="T153" i="18" s="1"/>
  <c r="Q972" i="18"/>
  <c r="T972" i="18" s="1"/>
  <c r="Q734" i="18"/>
  <c r="T734" i="18" s="1"/>
  <c r="Q211" i="18"/>
  <c r="T211" i="18" s="1"/>
  <c r="Q286" i="18"/>
  <c r="T286" i="18" s="1"/>
  <c r="Q598" i="18"/>
  <c r="T598" i="18" s="1"/>
  <c r="Q334" i="18"/>
  <c r="T334" i="18" s="1"/>
  <c r="Q443" i="18"/>
  <c r="T443" i="18" s="1"/>
  <c r="Q764" i="18"/>
  <c r="T764" i="18" s="1"/>
  <c r="Q19" i="18"/>
  <c r="T19" i="18" s="1"/>
  <c r="Q534" i="18"/>
  <c r="T534" i="18" s="1"/>
  <c r="Q488" i="18"/>
  <c r="T488" i="18" s="1"/>
  <c r="Q412" i="18"/>
  <c r="T412" i="18" s="1"/>
  <c r="Q707" i="18"/>
  <c r="T707" i="18" s="1"/>
  <c r="Q263" i="18"/>
  <c r="T263" i="18" s="1"/>
  <c r="Q892" i="18"/>
  <c r="T892" i="18" s="1"/>
  <c r="Q430" i="18"/>
  <c r="T430" i="18" s="1"/>
  <c r="Q240" i="18"/>
  <c r="T240" i="18" s="1"/>
  <c r="Q695" i="18"/>
  <c r="T695" i="18" s="1"/>
  <c r="Q251" i="18"/>
  <c r="T251" i="18" s="1"/>
  <c r="Q565" i="18"/>
  <c r="T565" i="18" s="1"/>
  <c r="Q155" i="18"/>
  <c r="T155" i="18" s="1"/>
  <c r="Q154" i="18"/>
  <c r="T154" i="18" s="1"/>
  <c r="Q405" i="18"/>
  <c r="T405" i="18" s="1"/>
  <c r="Q714" i="18"/>
  <c r="T714" i="18" s="1"/>
  <c r="Q899" i="18"/>
  <c r="T899" i="18" s="1"/>
  <c r="Q657" i="18"/>
  <c r="T657" i="18" s="1"/>
  <c r="Q9" i="18"/>
  <c r="T9" i="18" s="1"/>
  <c r="Q798" i="18"/>
  <c r="T798" i="18" s="1"/>
  <c r="Q246" i="18"/>
  <c r="T246" i="18" s="1"/>
  <c r="Q333" i="18"/>
  <c r="T333" i="18" s="1"/>
  <c r="P616" i="18"/>
  <c r="P617" i="18"/>
  <c r="P207" i="18"/>
  <c r="P384" i="18"/>
  <c r="P385" i="18"/>
  <c r="P112" i="18"/>
  <c r="P331" i="18"/>
  <c r="P708" i="18"/>
  <c r="P206" i="18"/>
  <c r="P532" i="18"/>
  <c r="P49" i="18"/>
  <c r="P834" i="18"/>
  <c r="P724" i="18"/>
  <c r="P338" i="18"/>
  <c r="P253" i="18"/>
  <c r="P237" i="18"/>
  <c r="P815" i="18"/>
  <c r="P644" i="18"/>
  <c r="P733" i="18"/>
  <c r="P314" i="18"/>
  <c r="P313" i="18"/>
  <c r="P529" i="18"/>
  <c r="P808" i="18"/>
  <c r="P214" i="18"/>
  <c r="P750" i="18"/>
  <c r="P575" i="18"/>
  <c r="P200" i="18"/>
  <c r="P851" i="18"/>
  <c r="P87" i="18"/>
  <c r="P678" i="18"/>
  <c r="P878" i="18"/>
  <c r="P879" i="18"/>
  <c r="P880" i="18"/>
  <c r="P687" i="18"/>
  <c r="P243" i="18"/>
  <c r="P23" i="18"/>
  <c r="P635" i="18"/>
  <c r="P427" i="18"/>
  <c r="P278" i="18"/>
  <c r="P545" i="18"/>
  <c r="P447" i="18"/>
  <c r="P926" i="18"/>
  <c r="P260" i="18"/>
  <c r="P795" i="18"/>
  <c r="P290" i="18"/>
  <c r="P905" i="18"/>
  <c r="P143" i="18"/>
  <c r="P830" i="18"/>
  <c r="P128" i="18"/>
  <c r="P600" i="18"/>
  <c r="P908" i="18"/>
  <c r="P159" i="18"/>
  <c r="P942" i="18"/>
  <c r="P943" i="18"/>
  <c r="P406" i="18"/>
  <c r="P439" i="18"/>
  <c r="P113" i="18"/>
  <c r="P169" i="18"/>
  <c r="P775" i="18"/>
  <c r="P298" i="18"/>
  <c r="P897" i="18"/>
  <c r="P999" i="18"/>
  <c r="P170" i="18"/>
  <c r="P671" i="18"/>
  <c r="P429" i="18"/>
  <c r="P742" i="18"/>
  <c r="P672" i="18"/>
  <c r="P26" i="18"/>
  <c r="P896" i="18"/>
  <c r="P359" i="18"/>
  <c r="P416" i="18"/>
  <c r="P239" i="18"/>
  <c r="P662" i="18"/>
  <c r="P426" i="18"/>
  <c r="P663" i="18"/>
  <c r="P871" i="18"/>
  <c r="P38" i="18"/>
  <c r="P624" i="18"/>
  <c r="P300" i="18"/>
  <c r="P885" i="18"/>
  <c r="P715" i="18"/>
  <c r="P100" i="18"/>
  <c r="P414" i="18"/>
  <c r="P915" i="18"/>
  <c r="P305" i="18"/>
  <c r="P929" i="18"/>
  <c r="P928" i="18"/>
  <c r="P973" i="18"/>
  <c r="P318" i="18"/>
  <c r="P829" i="18"/>
  <c r="P507" i="18"/>
  <c r="P661" i="18"/>
  <c r="P138" i="18"/>
  <c r="P963" i="18"/>
  <c r="P337" i="18"/>
  <c r="P421" i="18"/>
  <c r="P198" i="18"/>
  <c r="P50" i="18"/>
  <c r="P564" i="18"/>
  <c r="P127" i="18"/>
  <c r="P218" i="18"/>
  <c r="P292" i="18"/>
  <c r="P438" i="18"/>
  <c r="P850" i="18"/>
  <c r="P476" i="18"/>
  <c r="P801" i="18"/>
  <c r="P15" i="18"/>
  <c r="P920" i="18"/>
  <c r="P528" i="18"/>
  <c r="P17" i="18"/>
  <c r="P68" i="18"/>
  <c r="P257" i="18"/>
  <c r="P907" i="18"/>
  <c r="P941" i="18"/>
  <c r="P481" i="18"/>
  <c r="P858" i="18"/>
  <c r="P490" i="18"/>
  <c r="P465" i="18"/>
  <c r="P647" i="18"/>
  <c r="P747" i="18"/>
  <c r="P746" i="18"/>
  <c r="P748" i="18"/>
  <c r="P255" i="18"/>
  <c r="P621" i="18"/>
  <c r="P489" i="18"/>
  <c r="P615" i="18"/>
  <c r="P256" i="18"/>
  <c r="P368" i="18"/>
  <c r="P553" i="18"/>
  <c r="P119" i="18"/>
  <c r="P884" i="18"/>
  <c r="P817" i="18"/>
  <c r="P843" i="18"/>
  <c r="P245" i="18"/>
  <c r="P978" i="18"/>
  <c r="P976" i="18"/>
  <c r="P636" i="18"/>
  <c r="P608" i="18"/>
  <c r="P599" i="18"/>
  <c r="P377" i="18"/>
  <c r="P982" i="18"/>
  <c r="P435" i="18"/>
  <c r="P353" i="18"/>
  <c r="P177" i="18"/>
  <c r="P894" i="18"/>
  <c r="P625" i="18"/>
  <c r="P997" i="18"/>
  <c r="P996" i="18"/>
  <c r="P134" i="18"/>
  <c r="P848" i="18"/>
  <c r="P24" i="18"/>
  <c r="P504" i="18"/>
  <c r="P370" i="18"/>
  <c r="P938" i="18"/>
  <c r="P510" i="18"/>
  <c r="P827" i="18"/>
  <c r="P739" i="18"/>
  <c r="P461" i="18"/>
  <c r="P350" i="18"/>
  <c r="P751" i="18"/>
  <c r="P777" i="18"/>
  <c r="P186" i="18"/>
  <c r="P83" i="18"/>
  <c r="P500" i="18"/>
  <c r="P78" i="18"/>
  <c r="P175" i="18"/>
  <c r="P178" i="18"/>
  <c r="P277" i="18"/>
  <c r="P4" i="18"/>
  <c r="P749" i="18"/>
  <c r="P642" i="18"/>
  <c r="P332" i="18"/>
  <c r="P818" i="18"/>
  <c r="P43" i="18"/>
  <c r="P881" i="18"/>
  <c r="P998" i="18"/>
  <c r="P89" i="18"/>
  <c r="P659" i="18"/>
  <c r="P222" i="18"/>
  <c r="P533" i="18"/>
  <c r="P187" i="18"/>
  <c r="P188" i="18"/>
  <c r="P774" i="18"/>
  <c r="P682" i="18"/>
  <c r="P630" i="18"/>
  <c r="P191" i="18"/>
  <c r="P628" i="18"/>
  <c r="P859" i="18"/>
  <c r="P594" i="18"/>
  <c r="P73" i="18"/>
  <c r="P940" i="18"/>
  <c r="P131" i="18"/>
  <c r="P325" i="18"/>
  <c r="P408" i="18"/>
  <c r="P837" i="18"/>
  <c r="P304" i="18"/>
  <c r="P520" i="18"/>
  <c r="P521" i="18"/>
  <c r="P522" i="18"/>
  <c r="P518" i="18"/>
  <c r="P519" i="18"/>
  <c r="P229" i="18"/>
  <c r="P60" i="18"/>
  <c r="P873" i="18"/>
  <c r="P752" i="18"/>
  <c r="P744" i="18"/>
  <c r="P563" i="18"/>
  <c r="P658" i="18"/>
  <c r="P691" i="18"/>
  <c r="P33" i="18"/>
  <c r="P958" i="18"/>
  <c r="P601" i="18"/>
  <c r="P267" i="18"/>
  <c r="P957" i="18"/>
  <c r="P629" i="18"/>
  <c r="P58" i="18"/>
  <c r="P607" i="18"/>
  <c r="P94" i="18"/>
  <c r="P420" i="18"/>
  <c r="P52" i="18"/>
  <c r="P53" i="18"/>
  <c r="P821" i="18"/>
  <c r="P869" i="18"/>
  <c r="P753" i="18"/>
  <c r="P348" i="18"/>
  <c r="P603" i="18"/>
  <c r="P645" i="18"/>
  <c r="P18" i="18"/>
  <c r="P202" i="18"/>
  <c r="P84" i="18"/>
  <c r="P63" i="18"/>
  <c r="P939" i="18"/>
  <c r="P365" i="18"/>
  <c r="P379" i="18"/>
  <c r="P418" i="18"/>
  <c r="P70" i="18"/>
  <c r="P648" i="18"/>
  <c r="P361" i="18"/>
  <c r="P48" i="18"/>
  <c r="P183" i="18"/>
  <c r="P696" i="18"/>
  <c r="P12" i="18"/>
  <c r="P336" i="18"/>
  <c r="P228" i="18"/>
  <c r="P841" i="18"/>
  <c r="P302" i="18"/>
  <c r="P483" i="18"/>
  <c r="P814" i="18"/>
  <c r="P947" i="18"/>
  <c r="P831" i="18"/>
  <c r="P546" i="18"/>
  <c r="P65" i="18"/>
  <c r="P328" i="18"/>
  <c r="P244" i="18"/>
  <c r="P444" i="18"/>
  <c r="P316" i="18"/>
  <c r="P703" i="18"/>
  <c r="P224" i="18"/>
  <c r="P482" i="18"/>
  <c r="P144" i="18"/>
  <c r="P135" i="18"/>
  <c r="P569" i="18"/>
  <c r="P266" i="18"/>
  <c r="P536" i="18"/>
  <c r="P849" i="18"/>
  <c r="P399" i="18"/>
  <c r="P40" i="18"/>
  <c r="P319" i="18"/>
  <c r="P634" i="18"/>
  <c r="P855" i="18"/>
  <c r="P549" i="18"/>
  <c r="P196" i="18"/>
  <c r="P99" i="18"/>
  <c r="P459" i="18"/>
  <c r="P694" i="18"/>
  <c r="P684" i="18"/>
  <c r="P301" i="18"/>
  <c r="P925" i="18"/>
  <c r="P927" i="18"/>
  <c r="P289" i="18"/>
  <c r="P356" i="18"/>
  <c r="P514" i="18"/>
  <c r="P441" i="18"/>
  <c r="P479" i="18"/>
  <c r="P347" i="18"/>
  <c r="P79" i="18"/>
  <c r="P171" i="18"/>
  <c r="P249" i="18"/>
  <c r="P454" i="18"/>
  <c r="P133" i="18"/>
  <c r="P898" i="18"/>
  <c r="P622" i="18"/>
  <c r="P974" i="18"/>
  <c r="P853" i="18"/>
  <c r="P417" i="18"/>
  <c r="P794" i="18"/>
  <c r="P701" i="18"/>
  <c r="P516" i="18"/>
  <c r="P945" i="18"/>
  <c r="P116" i="18"/>
  <c r="P349" i="18"/>
  <c r="P865" i="18"/>
  <c r="P602" i="18"/>
  <c r="P254" i="18"/>
  <c r="P411" i="18"/>
  <c r="P643" i="18"/>
  <c r="P375" i="18"/>
  <c r="P102" i="18"/>
  <c r="P475" i="18"/>
  <c r="P8" i="18"/>
  <c r="P979" i="18"/>
  <c r="P352" i="18"/>
  <c r="P660" i="18"/>
  <c r="P355" i="18"/>
  <c r="P722" i="18"/>
  <c r="P977" i="18"/>
  <c r="P125" i="18"/>
  <c r="P654" i="18"/>
  <c r="P182" i="18"/>
  <c r="P789" i="18"/>
  <c r="P790" i="18"/>
  <c r="P574" i="18"/>
  <c r="P252" i="18"/>
  <c r="P93" i="18"/>
  <c r="P566" i="18"/>
  <c r="P308" i="18"/>
  <c r="P139" i="18"/>
  <c r="P437" i="18"/>
  <c r="P480" i="18"/>
  <c r="P924" i="18"/>
  <c r="P571" i="18"/>
  <c r="P698" i="18"/>
  <c r="P212" i="18"/>
  <c r="P895" i="18"/>
  <c r="P626" i="18"/>
  <c r="P150" i="18"/>
  <c r="P283" i="18"/>
  <c r="P955" i="18"/>
  <c r="P576" i="18"/>
  <c r="P157" i="18"/>
  <c r="P86" i="18"/>
  <c r="P736" i="18"/>
  <c r="P737" i="18"/>
  <c r="P538" i="18"/>
  <c r="P619" i="18"/>
  <c r="P247" i="18"/>
  <c r="P327" i="18"/>
  <c r="P935" i="18"/>
  <c r="P913" i="18"/>
  <c r="P369" i="18"/>
  <c r="P477" i="18"/>
  <c r="P140" i="18"/>
  <c r="P145" i="18"/>
  <c r="P782" i="18"/>
  <c r="P568" i="18"/>
  <c r="P380" i="18"/>
  <c r="P893" i="18"/>
  <c r="P221" i="18"/>
  <c r="P22" i="18"/>
  <c r="P215" i="18"/>
  <c r="P676" i="18"/>
  <c r="P675" i="18"/>
  <c r="P688" i="18"/>
  <c r="P680" i="18"/>
  <c r="P279" i="18"/>
  <c r="P966" i="18"/>
  <c r="P705" i="18"/>
  <c r="P137" i="18"/>
  <c r="P259" i="18"/>
  <c r="P555" i="18"/>
  <c r="P274" i="18"/>
  <c r="P195" i="18"/>
  <c r="P547" i="18"/>
  <c r="P232" i="18"/>
  <c r="P59" i="18"/>
  <c r="P231" i="18"/>
  <c r="P967" i="18"/>
  <c r="P835" i="18"/>
  <c r="P357" i="18"/>
  <c r="P847" i="18"/>
  <c r="P889" i="18"/>
  <c r="P655" i="18"/>
  <c r="P595" i="18"/>
  <c r="P911" i="18"/>
  <c r="P773" i="18"/>
  <c r="P611" i="18"/>
  <c r="P190" i="18"/>
  <c r="P141" i="18"/>
  <c r="P148" i="18"/>
  <c r="P457" i="18"/>
  <c r="P757" i="18"/>
  <c r="P857" i="18"/>
  <c r="P180" i="18"/>
  <c r="P179" i="18"/>
  <c r="P1001" i="18"/>
  <c r="P248" i="18"/>
  <c r="P732" i="18"/>
  <c r="P72" i="18"/>
  <c r="P422" i="18"/>
  <c r="P770" i="18"/>
  <c r="P778" i="18"/>
  <c r="P312" i="18"/>
  <c r="P142" i="18"/>
  <c r="P156" i="18"/>
  <c r="P226" i="18"/>
  <c r="P954" i="18"/>
  <c r="P172" i="18"/>
  <c r="P419" i="18"/>
  <c r="P870" i="18"/>
  <c r="P838" i="18"/>
  <c r="P631" i="18"/>
  <c r="P756" i="18"/>
  <c r="P383" i="18"/>
  <c r="P310" i="18"/>
  <c r="P56" i="18"/>
  <c r="P296" i="18"/>
  <c r="P949" i="18"/>
  <c r="P401" i="18"/>
  <c r="P650" i="18"/>
  <c r="P372" i="18"/>
  <c r="P876" i="18"/>
  <c r="P877" i="18"/>
  <c r="P288" i="18"/>
  <c r="P117" i="18"/>
  <c r="P717" i="18"/>
  <c r="P531" i="18"/>
  <c r="P376" i="18"/>
  <c r="P5" i="18"/>
  <c r="P612" i="18"/>
  <c r="P364" i="18"/>
  <c r="P281" i="18"/>
  <c r="P723" i="18"/>
  <c r="P323" i="18"/>
  <c r="P904" i="18"/>
  <c r="P712" i="18"/>
  <c r="P614" i="18"/>
  <c r="P667" i="18"/>
  <c r="P886" i="18"/>
  <c r="P826" i="18"/>
  <c r="P115" i="18"/>
  <c r="P7" i="18"/>
  <c r="P664" i="18"/>
  <c r="P588" i="18"/>
  <c r="P238" i="18"/>
  <c r="P811" i="18"/>
  <c r="P344" i="18"/>
  <c r="P82" i="18"/>
  <c r="P593" i="18"/>
  <c r="P901" i="18"/>
  <c r="P508" i="18"/>
  <c r="P718" i="18"/>
  <c r="P670" i="18"/>
  <c r="P271" i="18"/>
  <c r="P685" i="18"/>
  <c r="P793" i="18"/>
  <c r="P189" i="18"/>
  <c r="P16" i="18"/>
  <c r="P989" i="18"/>
  <c r="P971" i="18"/>
  <c r="P618" i="18"/>
  <c r="P604" i="18"/>
  <c r="P44" i="18"/>
  <c r="P71" i="18"/>
  <c r="P743" i="18"/>
  <c r="P432" i="18"/>
  <c r="P825" i="18"/>
  <c r="P994" i="18"/>
  <c r="P393" i="18"/>
  <c r="P109" i="18"/>
  <c r="P174" i="18"/>
  <c r="P666" i="18"/>
  <c r="P268" i="18"/>
  <c r="P163" i="18"/>
  <c r="P295" i="18"/>
  <c r="P415" i="18"/>
  <c r="P512" i="18"/>
  <c r="P213" i="18"/>
  <c r="P36" i="18"/>
  <c r="P987" i="18"/>
  <c r="P988" i="18"/>
  <c r="P986" i="18"/>
  <c r="P772" i="18"/>
  <c r="P824" i="18"/>
  <c r="P388" i="18"/>
  <c r="P335" i="18"/>
  <c r="P468" i="18"/>
  <c r="P98" i="18"/>
  <c r="P673" i="18"/>
  <c r="P434" i="18"/>
  <c r="P440" i="18"/>
  <c r="P315" i="18"/>
  <c r="P970" i="18"/>
  <c r="P184" i="18"/>
  <c r="P209" i="18"/>
  <c r="P763" i="18"/>
  <c r="P456" i="18"/>
  <c r="P199" i="18"/>
  <c r="P273" i="18"/>
  <c r="P755" i="18"/>
  <c r="P21" i="18"/>
  <c r="P360" i="18"/>
  <c r="P104" i="18"/>
  <c r="P106" i="18"/>
  <c r="P107" i="18"/>
  <c r="P105" i="18"/>
  <c r="P704" i="18"/>
  <c r="P76" i="18"/>
  <c r="P903" i="18"/>
  <c r="P992" i="18"/>
  <c r="P891" i="18"/>
  <c r="P330" i="18"/>
  <c r="P956" i="18"/>
  <c r="P656" i="18"/>
  <c r="P458" i="18"/>
  <c r="P241" i="18"/>
  <c r="P407" i="18"/>
  <c r="P28" i="18"/>
  <c r="P136" i="18"/>
  <c r="P351" i="18"/>
  <c r="P981" i="18"/>
  <c r="P373" i="18"/>
  <c r="P374" i="18"/>
  <c r="P833" i="18"/>
  <c r="P842" i="18"/>
  <c r="P149" i="18"/>
  <c r="P340" i="18"/>
  <c r="P936" i="18"/>
  <c r="P62" i="18"/>
  <c r="P933" i="18"/>
  <c r="P386" i="18"/>
  <c r="P225" i="18"/>
  <c r="P46" i="18"/>
  <c r="P912" i="18"/>
  <c r="P991" i="18"/>
  <c r="P448" i="18"/>
  <c r="P220" i="18"/>
  <c r="P96" i="18"/>
  <c r="P548" i="18"/>
  <c r="P132" i="18"/>
  <c r="P856" i="18"/>
  <c r="P216" i="18"/>
  <c r="P42" i="18"/>
  <c r="P460" i="18"/>
  <c r="P544" i="18"/>
  <c r="P502" i="18"/>
  <c r="P118" i="18"/>
  <c r="P888" i="18"/>
  <c r="P151" i="18"/>
  <c r="P495" i="18"/>
  <c r="P577" i="18"/>
  <c r="P900" i="18"/>
  <c r="P968" i="18"/>
  <c r="P557" i="18"/>
  <c r="P463" i="18"/>
  <c r="P523" i="18"/>
  <c r="P730" i="18"/>
  <c r="P959" i="18"/>
  <c r="P917" i="18"/>
  <c r="P108" i="18"/>
  <c r="P309" i="18"/>
  <c r="P6" i="18"/>
  <c r="P597" i="18"/>
  <c r="P840" i="18"/>
  <c r="P711" i="18"/>
  <c r="P501" i="18"/>
  <c r="P916" i="18"/>
  <c r="P526" i="18"/>
  <c r="P918" i="18"/>
  <c r="P864" i="18"/>
  <c r="P287" i="18"/>
  <c r="P922" i="18"/>
  <c r="P937" i="18"/>
  <c r="P167" i="18"/>
  <c r="P329" i="18"/>
  <c r="P208" i="18"/>
  <c r="P95" i="18"/>
  <c r="P960" i="18"/>
  <c r="P579" i="18"/>
  <c r="P54" i="18"/>
  <c r="P55" i="18"/>
  <c r="P640" i="18"/>
  <c r="P552" i="18"/>
  <c r="P697" i="18"/>
  <c r="P264" i="18"/>
  <c r="P803" i="18"/>
  <c r="P197" i="18"/>
  <c r="P805" i="18"/>
  <c r="P524" i="18"/>
  <c r="P464" i="18"/>
  <c r="P812" i="18"/>
  <c r="P820" i="18"/>
  <c r="P930" i="18"/>
  <c r="P64" i="18"/>
  <c r="P836" i="18"/>
  <c r="P559" i="18"/>
  <c r="P485" i="18"/>
  <c r="P802" i="18"/>
  <c r="P152" i="18"/>
  <c r="P570" i="18"/>
  <c r="P428" i="18"/>
  <c r="P729" i="18"/>
  <c r="P758" i="18"/>
  <c r="P491" i="18"/>
  <c r="P39" i="18"/>
  <c r="P582" i="18"/>
  <c r="P446" i="18"/>
  <c r="P799" i="18"/>
  <c r="P474" i="18"/>
  <c r="P787" i="18"/>
  <c r="P651" i="18"/>
  <c r="P311" i="18"/>
  <c r="P550" i="18"/>
  <c r="P761" i="18"/>
  <c r="P164" i="18"/>
  <c r="P556" i="18"/>
  <c r="P346" i="18"/>
  <c r="P505" i="18"/>
  <c r="P382" i="18"/>
  <c r="P985" i="18"/>
  <c r="P250" i="18"/>
  <c r="P677" i="18"/>
  <c r="P110" i="18"/>
  <c r="P921" i="18"/>
  <c r="P609" i="18"/>
  <c r="P919" i="18"/>
  <c r="P779" i="18"/>
  <c r="P201" i="18"/>
  <c r="P823" i="18"/>
  <c r="P590" i="18"/>
  <c r="P591" i="18"/>
  <c r="P589" i="18"/>
  <c r="P592" i="18"/>
  <c r="P161" i="18"/>
  <c r="P61" i="18"/>
  <c r="P409" i="18"/>
  <c r="P25" i="18"/>
  <c r="P41" i="18"/>
  <c r="P103" i="18"/>
  <c r="P341" i="18"/>
  <c r="P317" i="18"/>
  <c r="P433" i="18"/>
  <c r="P74" i="18"/>
  <c r="P681" i="18"/>
  <c r="P883" i="18"/>
  <c r="P769" i="18"/>
  <c r="P378" i="18"/>
  <c r="P484" i="18"/>
  <c r="P90" i="18"/>
  <c r="P541" i="18"/>
  <c r="P20" i="18"/>
  <c r="P874" i="18"/>
  <c r="P810" i="18"/>
  <c r="P969" i="18"/>
  <c r="P294" i="18"/>
  <c r="P236" i="18"/>
  <c r="P193" i="18"/>
  <c r="P494" i="18"/>
  <c r="P381" i="18"/>
  <c r="P910" i="18"/>
  <c r="P303" i="18"/>
  <c r="P473" i="18"/>
  <c r="P242" i="18"/>
  <c r="P867" i="18"/>
  <c r="P699" i="18"/>
  <c r="P307" i="18"/>
  <c r="P306" i="18"/>
  <c r="P299" i="18"/>
  <c r="P126" i="18"/>
  <c r="P819" i="18"/>
  <c r="P573" i="18"/>
  <c r="P800" i="18"/>
  <c r="P362" i="18"/>
  <c r="P796" i="18"/>
  <c r="P517" i="18"/>
  <c r="P539" i="18"/>
  <c r="P872" i="18"/>
  <c r="P205" i="18"/>
  <c r="P1000" i="18"/>
  <c r="P97" i="18"/>
  <c r="P525" i="18"/>
  <c r="P354" i="18"/>
  <c r="P13" i="18"/>
  <c r="P990" i="18"/>
  <c r="P875" i="18"/>
  <c r="P204" i="18"/>
  <c r="P572" i="18"/>
  <c r="P765" i="18"/>
  <c r="P120" i="18"/>
  <c r="P10" i="18"/>
  <c r="P637" i="18"/>
  <c r="P442" i="18"/>
  <c r="P689" i="18"/>
  <c r="P467" i="18"/>
  <c r="P392" i="18"/>
  <c r="P679" i="18"/>
  <c r="P203" i="18"/>
  <c r="P537" i="18"/>
  <c r="P868" i="18"/>
  <c r="P740" i="18"/>
  <c r="P605" i="18"/>
  <c r="P620" i="18"/>
  <c r="P470" i="18"/>
  <c r="P726" i="18"/>
  <c r="P623" i="18"/>
  <c r="P114" i="18"/>
  <c r="P31" i="18"/>
  <c r="P173" i="18"/>
  <c r="P390" i="18"/>
  <c r="P51" i="18"/>
  <c r="P391" i="18"/>
  <c r="P709" i="18"/>
  <c r="P923" i="18"/>
  <c r="P122" i="18"/>
  <c r="P14" i="18"/>
  <c r="P342" i="18"/>
  <c r="P953" i="18"/>
  <c r="P451" i="18"/>
  <c r="P101" i="18"/>
  <c r="P710" i="18"/>
  <c r="P832" i="18"/>
  <c r="P578" i="18"/>
  <c r="P690" i="18"/>
  <c r="P728" i="18"/>
  <c r="P735" i="18"/>
  <c r="P455" i="18"/>
  <c r="P32" i="18"/>
  <c r="P719" i="18"/>
  <c r="P816" i="18"/>
  <c r="P233" i="18"/>
  <c r="P85" i="18"/>
  <c r="P425" i="18"/>
  <c r="P168" i="18"/>
  <c r="P809" i="18"/>
  <c r="P706" i="18"/>
  <c r="P716" i="18"/>
  <c r="P649" i="18"/>
  <c r="P123" i="18"/>
  <c r="P402" i="18"/>
  <c r="P67" i="18"/>
  <c r="P731" i="18"/>
  <c r="P431" i="18"/>
  <c r="P596" i="18"/>
  <c r="P702" i="18"/>
  <c r="P745" i="18"/>
  <c r="P965" i="18"/>
  <c r="P587" i="18"/>
  <c r="P887" i="18"/>
  <c r="P759" i="18"/>
  <c r="P776" i="18"/>
  <c r="P176" i="18"/>
  <c r="P975" i="18"/>
  <c r="P530" i="18"/>
  <c r="P272" i="18"/>
  <c r="P951" i="18"/>
  <c r="P130" i="18"/>
  <c r="P398" i="18"/>
  <c r="P2" i="18"/>
  <c r="P449" i="18"/>
  <c r="P371" i="18"/>
  <c r="P57" i="18"/>
  <c r="P345" i="18"/>
  <c r="P339" i="18"/>
  <c r="P980" i="18"/>
  <c r="P445" i="18"/>
  <c r="P995" i="18"/>
  <c r="P472" i="18"/>
  <c r="P471" i="18"/>
  <c r="P781" i="18"/>
  <c r="P111" i="18"/>
  <c r="P181" i="18"/>
  <c r="P11" i="18"/>
  <c r="P741" i="18"/>
  <c r="P665" i="18"/>
  <c r="P80" i="18"/>
  <c r="P436" i="18"/>
  <c r="P223" i="18"/>
  <c r="P30" i="18"/>
  <c r="P948" i="18"/>
  <c r="P227" i="18"/>
  <c r="P993" i="18"/>
  <c r="P230" i="18"/>
  <c r="P961" i="18"/>
  <c r="P513" i="18"/>
  <c r="P653" i="18"/>
  <c r="P813" i="18"/>
  <c r="P29" i="18"/>
  <c r="P768" i="18"/>
  <c r="P727" i="18"/>
  <c r="P767" i="18"/>
  <c r="P269" i="18"/>
  <c r="P852" i="18"/>
  <c r="P554" i="18"/>
  <c r="P822" i="18"/>
  <c r="P580" i="18"/>
  <c r="P686" i="18"/>
  <c r="P45" i="18"/>
  <c r="P791" i="18"/>
  <c r="P219" i="18"/>
  <c r="P343" i="18"/>
  <c r="P540" i="18"/>
  <c r="P797" i="18"/>
  <c r="P452" i="18"/>
  <c r="P639" i="18"/>
  <c r="P890" i="18"/>
  <c r="P91" i="18"/>
  <c r="P914" i="18"/>
  <c r="P952" i="18"/>
  <c r="P394" i="18"/>
  <c r="P466" i="18"/>
  <c r="P275" i="18"/>
  <c r="P92" i="18"/>
  <c r="P396" i="18"/>
  <c r="P397" i="18"/>
  <c r="P934" i="18"/>
  <c r="P846" i="18"/>
  <c r="P845" i="18"/>
  <c r="P692" i="18"/>
  <c r="P780" i="18"/>
  <c r="P235" i="18"/>
  <c r="P641" i="18"/>
  <c r="P27" i="18"/>
  <c r="P515" i="18"/>
  <c r="P404" i="18"/>
  <c r="P3" i="18"/>
  <c r="P258" i="18"/>
  <c r="P367" i="18"/>
  <c r="P478" i="18"/>
  <c r="P511" i="18"/>
  <c r="P284" i="18"/>
  <c r="P683" i="18"/>
  <c r="P932" i="18"/>
  <c r="P931" i="18"/>
  <c r="P324" i="18"/>
  <c r="P403" i="18"/>
  <c r="P638" i="18"/>
  <c r="P713" i="18"/>
  <c r="P839" i="18"/>
  <c r="P783" i="18"/>
  <c r="P792" i="18"/>
  <c r="P34" i="18"/>
  <c r="P282" i="18"/>
  <c r="P854" i="18"/>
  <c r="P165" i="18"/>
  <c r="P906" i="18"/>
  <c r="P844" i="18"/>
  <c r="P66" i="18"/>
  <c r="P363" i="18"/>
  <c r="P983" i="18"/>
  <c r="P326" i="18"/>
  <c r="P493" i="18"/>
  <c r="P492" i="18"/>
  <c r="P760" i="18"/>
  <c r="P669" i="18"/>
  <c r="P35" i="18"/>
  <c r="P652" i="18"/>
  <c r="P861" i="18"/>
  <c r="P693" i="18"/>
  <c r="P720" i="18"/>
  <c r="P944" i="18"/>
  <c r="P291" i="18"/>
  <c r="P788" i="18"/>
  <c r="P762" i="18"/>
  <c r="P88" i="18"/>
  <c r="P146" i="18"/>
  <c r="P674" i="18"/>
  <c r="P785" i="18"/>
  <c r="P583" i="18"/>
  <c r="P285" i="18"/>
  <c r="P964" i="18"/>
  <c r="P217" i="18"/>
  <c r="P882" i="18"/>
  <c r="P160" i="18"/>
  <c r="P562" i="18"/>
  <c r="P69" i="18"/>
  <c r="P469" i="18"/>
  <c r="P486" i="18"/>
  <c r="P487" i="18"/>
  <c r="P527" i="18"/>
  <c r="P424" i="18"/>
  <c r="P234" i="18"/>
  <c r="P410" i="18"/>
  <c r="P543" i="18"/>
  <c r="P262" i="18"/>
  <c r="P81" i="18"/>
  <c r="P860" i="18"/>
  <c r="P293" i="18"/>
  <c r="P185" i="18"/>
  <c r="P47" i="18"/>
  <c r="P725" i="18"/>
  <c r="P423" i="18"/>
  <c r="P804" i="18"/>
  <c r="P584" i="18"/>
  <c r="P902" i="18"/>
  <c r="P322" i="18"/>
  <c r="P387" i="18"/>
  <c r="P613" i="18"/>
  <c r="P320" i="18"/>
  <c r="P37" i="18"/>
  <c r="P413" i="18"/>
  <c r="P828" i="18"/>
  <c r="P581" i="18"/>
  <c r="P721" i="18"/>
  <c r="P627" i="18"/>
  <c r="P738" i="18"/>
  <c r="P166" i="18"/>
  <c r="P321" i="18"/>
  <c r="P984" i="18"/>
  <c r="P806" i="18"/>
  <c r="P147" i="18"/>
  <c r="P462" i="18"/>
  <c r="P503" i="18"/>
  <c r="P75" i="18"/>
  <c r="P950" i="18"/>
  <c r="P162" i="18"/>
  <c r="P786" i="18"/>
  <c r="P276" i="18"/>
  <c r="P129" i="18"/>
  <c r="P632" i="18"/>
  <c r="P633" i="18"/>
  <c r="P862" i="18"/>
  <c r="P194" i="18"/>
  <c r="P668" i="18"/>
  <c r="P395" i="18"/>
  <c r="P509" i="18"/>
  <c r="P586" i="18"/>
  <c r="P784" i="18"/>
  <c r="P558" i="18"/>
  <c r="P754" i="18"/>
  <c r="P210" i="18"/>
  <c r="P542" i="18"/>
  <c r="P535" i="18"/>
  <c r="P506" i="18"/>
  <c r="P192" i="18"/>
  <c r="P909" i="18"/>
  <c r="P77" i="18"/>
  <c r="P450" i="18"/>
  <c r="P560" i="18"/>
  <c r="P561" i="18"/>
  <c r="P389" i="18"/>
  <c r="P358" i="18"/>
  <c r="P453" i="18"/>
  <c r="P124" i="18"/>
  <c r="P863" i="18"/>
  <c r="P646" i="18"/>
  <c r="P610" i="18"/>
  <c r="P121" i="18"/>
  <c r="P771" i="18"/>
  <c r="P866" i="18"/>
  <c r="P567" i="18"/>
  <c r="P265" i="18"/>
  <c r="P700" i="18"/>
  <c r="P807" i="18"/>
  <c r="P551" i="18"/>
  <c r="P585" i="18"/>
  <c r="P280" i="18"/>
  <c r="P499" i="18"/>
  <c r="P498" i="18"/>
  <c r="P497" i="18"/>
  <c r="P496" i="18"/>
  <c r="P270" i="18"/>
  <c r="P400" i="18"/>
  <c r="P366" i="18"/>
  <c r="P946" i="18"/>
  <c r="P962" i="18"/>
  <c r="P766" i="18"/>
  <c r="P297" i="18"/>
  <c r="P261" i="18"/>
  <c r="P158" i="18"/>
  <c r="P606" i="18"/>
  <c r="P153" i="18"/>
  <c r="P972" i="18"/>
  <c r="P734" i="18"/>
  <c r="P211" i="18"/>
  <c r="P286" i="18"/>
  <c r="P598" i="18"/>
  <c r="P334" i="18"/>
  <c r="P443" i="18"/>
  <c r="P764" i="18"/>
  <c r="P19" i="18"/>
  <c r="P534" i="18"/>
  <c r="P488" i="18"/>
  <c r="P412" i="18"/>
  <c r="P707" i="18"/>
  <c r="P263" i="18"/>
  <c r="P892" i="18"/>
  <c r="P430" i="18"/>
  <c r="P240" i="18"/>
  <c r="P695" i="18"/>
  <c r="P251" i="18"/>
  <c r="P565" i="18"/>
  <c r="P155" i="18"/>
  <c r="P154" i="18"/>
  <c r="P405" i="18"/>
  <c r="P714" i="18"/>
  <c r="P899" i="18"/>
  <c r="P657" i="18"/>
  <c r="P9" i="18"/>
  <c r="P798" i="18"/>
  <c r="P246" i="18"/>
  <c r="P333" i="18"/>
  <c r="I617" i="18"/>
  <c r="N617" i="18" s="1"/>
  <c r="J617" i="18"/>
  <c r="O617" i="18" s="1"/>
  <c r="K617" i="18"/>
  <c r="L617" i="18"/>
  <c r="M617" i="18" s="1"/>
  <c r="U617" i="18" s="1"/>
  <c r="I207" i="18"/>
  <c r="N207" i="18" s="1"/>
  <c r="J207" i="18"/>
  <c r="O207" i="18" s="1"/>
  <c r="K207" i="18"/>
  <c r="L207" i="18"/>
  <c r="M207" i="18" s="1"/>
  <c r="U207" i="18" s="1"/>
  <c r="I384" i="18"/>
  <c r="N384" i="18" s="1"/>
  <c r="J384" i="18"/>
  <c r="O384" i="18" s="1"/>
  <c r="K384" i="18"/>
  <c r="L384" i="18"/>
  <c r="M384" i="18" s="1"/>
  <c r="U384" i="18" s="1"/>
  <c r="I385" i="18"/>
  <c r="N385" i="18" s="1"/>
  <c r="J385" i="18"/>
  <c r="O385" i="18" s="1"/>
  <c r="K385" i="18"/>
  <c r="L385" i="18"/>
  <c r="M385" i="18" s="1"/>
  <c r="U385" i="18" s="1"/>
  <c r="I112" i="18"/>
  <c r="N112" i="18" s="1"/>
  <c r="J112" i="18"/>
  <c r="O112" i="18" s="1"/>
  <c r="K112" i="18"/>
  <c r="L112" i="18"/>
  <c r="M112" i="18" s="1"/>
  <c r="U112" i="18" s="1"/>
  <c r="I331" i="18"/>
  <c r="N331" i="18" s="1"/>
  <c r="J331" i="18"/>
  <c r="O331" i="18" s="1"/>
  <c r="AA331" i="18" s="1"/>
  <c r="K331" i="18"/>
  <c r="L331" i="18"/>
  <c r="M331" i="18" s="1"/>
  <c r="U331" i="18" s="1"/>
  <c r="I708" i="18"/>
  <c r="N708" i="18" s="1"/>
  <c r="J708" i="18"/>
  <c r="O708" i="18" s="1"/>
  <c r="K708" i="18"/>
  <c r="L708" i="18"/>
  <c r="M708" i="18" s="1"/>
  <c r="U708" i="18" s="1"/>
  <c r="I206" i="18"/>
  <c r="N206" i="18" s="1"/>
  <c r="J206" i="18"/>
  <c r="O206" i="18" s="1"/>
  <c r="K206" i="18"/>
  <c r="L206" i="18"/>
  <c r="M206" i="18" s="1"/>
  <c r="U206" i="18" s="1"/>
  <c r="I532" i="18"/>
  <c r="N532" i="18" s="1"/>
  <c r="J532" i="18"/>
  <c r="O532" i="18" s="1"/>
  <c r="K532" i="18"/>
  <c r="L532" i="18"/>
  <c r="M532" i="18" s="1"/>
  <c r="U532" i="18" s="1"/>
  <c r="I49" i="18"/>
  <c r="N49" i="18" s="1"/>
  <c r="AA49" i="18" s="1"/>
  <c r="J49" i="18"/>
  <c r="O49" i="18" s="1"/>
  <c r="K49" i="18"/>
  <c r="L49" i="18"/>
  <c r="M49" i="18" s="1"/>
  <c r="U49" i="18" s="1"/>
  <c r="I834" i="18"/>
  <c r="N834" i="18" s="1"/>
  <c r="J834" i="18"/>
  <c r="O834" i="18" s="1"/>
  <c r="K834" i="18"/>
  <c r="L834" i="18"/>
  <c r="M834" i="18" s="1"/>
  <c r="U834" i="18" s="1"/>
  <c r="I724" i="18"/>
  <c r="N724" i="18" s="1"/>
  <c r="J724" i="18"/>
  <c r="O724" i="18" s="1"/>
  <c r="K724" i="18"/>
  <c r="L724" i="18"/>
  <c r="M724" i="18" s="1"/>
  <c r="U724" i="18" s="1"/>
  <c r="I338" i="18"/>
  <c r="N338" i="18" s="1"/>
  <c r="J338" i="18"/>
  <c r="O338" i="18" s="1"/>
  <c r="K338" i="18"/>
  <c r="L338" i="18"/>
  <c r="M338" i="18" s="1"/>
  <c r="U338" i="18" s="1"/>
  <c r="I253" i="18"/>
  <c r="N253" i="18" s="1"/>
  <c r="J253" i="18"/>
  <c r="O253" i="18" s="1"/>
  <c r="K253" i="18"/>
  <c r="L253" i="18"/>
  <c r="M253" i="18" s="1"/>
  <c r="U253" i="18" s="1"/>
  <c r="I237" i="18"/>
  <c r="N237" i="18" s="1"/>
  <c r="J237" i="18"/>
  <c r="O237" i="18" s="1"/>
  <c r="K237" i="18"/>
  <c r="L237" i="18"/>
  <c r="M237" i="18" s="1"/>
  <c r="U237" i="18" s="1"/>
  <c r="I815" i="18"/>
  <c r="N815" i="18" s="1"/>
  <c r="J815" i="18"/>
  <c r="O815" i="18" s="1"/>
  <c r="K815" i="18"/>
  <c r="L815" i="18"/>
  <c r="M815" i="18" s="1"/>
  <c r="U815" i="18" s="1"/>
  <c r="I644" i="18"/>
  <c r="N644" i="18" s="1"/>
  <c r="J644" i="18"/>
  <c r="O644" i="18" s="1"/>
  <c r="K644" i="18"/>
  <c r="L644" i="18"/>
  <c r="M644" i="18" s="1"/>
  <c r="U644" i="18" s="1"/>
  <c r="I733" i="18"/>
  <c r="N733" i="18" s="1"/>
  <c r="J733" i="18"/>
  <c r="O733" i="18" s="1"/>
  <c r="K733" i="18"/>
  <c r="L733" i="18"/>
  <c r="M733" i="18" s="1"/>
  <c r="U733" i="18" s="1"/>
  <c r="I314" i="18"/>
  <c r="N314" i="18" s="1"/>
  <c r="J314" i="18"/>
  <c r="O314" i="18" s="1"/>
  <c r="K314" i="18"/>
  <c r="L314" i="18"/>
  <c r="M314" i="18" s="1"/>
  <c r="U314" i="18" s="1"/>
  <c r="I313" i="18"/>
  <c r="N313" i="18" s="1"/>
  <c r="J313" i="18"/>
  <c r="O313" i="18" s="1"/>
  <c r="K313" i="18"/>
  <c r="L313" i="18"/>
  <c r="M313" i="18" s="1"/>
  <c r="U313" i="18" s="1"/>
  <c r="I529" i="18"/>
  <c r="N529" i="18" s="1"/>
  <c r="J529" i="18"/>
  <c r="O529" i="18" s="1"/>
  <c r="K529" i="18"/>
  <c r="L529" i="18"/>
  <c r="M529" i="18" s="1"/>
  <c r="U529" i="18" s="1"/>
  <c r="I808" i="18"/>
  <c r="N808" i="18" s="1"/>
  <c r="J808" i="18"/>
  <c r="O808" i="18" s="1"/>
  <c r="K808" i="18"/>
  <c r="L808" i="18"/>
  <c r="M808" i="18" s="1"/>
  <c r="U808" i="18" s="1"/>
  <c r="I214" i="18"/>
  <c r="N214" i="18" s="1"/>
  <c r="J214" i="18"/>
  <c r="O214" i="18" s="1"/>
  <c r="K214" i="18"/>
  <c r="L214" i="18"/>
  <c r="M214" i="18" s="1"/>
  <c r="U214" i="18" s="1"/>
  <c r="I750" i="18"/>
  <c r="N750" i="18" s="1"/>
  <c r="J750" i="18"/>
  <c r="O750" i="18" s="1"/>
  <c r="K750" i="18"/>
  <c r="L750" i="18"/>
  <c r="M750" i="18" s="1"/>
  <c r="U750" i="18" s="1"/>
  <c r="I575" i="18"/>
  <c r="N575" i="18" s="1"/>
  <c r="J575" i="18"/>
  <c r="O575" i="18" s="1"/>
  <c r="K575" i="18"/>
  <c r="L575" i="18"/>
  <c r="M575" i="18" s="1"/>
  <c r="U575" i="18" s="1"/>
  <c r="I200" i="18"/>
  <c r="N200" i="18" s="1"/>
  <c r="J200" i="18"/>
  <c r="O200" i="18" s="1"/>
  <c r="K200" i="18"/>
  <c r="L200" i="18"/>
  <c r="M200" i="18" s="1"/>
  <c r="U200" i="18" s="1"/>
  <c r="I851" i="18"/>
  <c r="N851" i="18" s="1"/>
  <c r="J851" i="18"/>
  <c r="O851" i="18" s="1"/>
  <c r="K851" i="18"/>
  <c r="L851" i="18"/>
  <c r="M851" i="18" s="1"/>
  <c r="U851" i="18" s="1"/>
  <c r="I87" i="18"/>
  <c r="N87" i="18" s="1"/>
  <c r="J87" i="18"/>
  <c r="O87" i="18" s="1"/>
  <c r="K87" i="18"/>
  <c r="L87" i="18"/>
  <c r="M87" i="18" s="1"/>
  <c r="U87" i="18" s="1"/>
  <c r="I678" i="18"/>
  <c r="N678" i="18" s="1"/>
  <c r="J678" i="18"/>
  <c r="O678" i="18" s="1"/>
  <c r="K678" i="18"/>
  <c r="L678" i="18"/>
  <c r="M678" i="18" s="1"/>
  <c r="I878" i="18"/>
  <c r="N878" i="18" s="1"/>
  <c r="J878" i="18"/>
  <c r="O878" i="18" s="1"/>
  <c r="K878" i="18"/>
  <c r="L878" i="18"/>
  <c r="M878" i="18" s="1"/>
  <c r="U878" i="18" s="1"/>
  <c r="I879" i="18"/>
  <c r="N879" i="18" s="1"/>
  <c r="J879" i="18"/>
  <c r="O879" i="18" s="1"/>
  <c r="AA879" i="18" s="1"/>
  <c r="K879" i="18"/>
  <c r="L879" i="18"/>
  <c r="M879" i="18" s="1"/>
  <c r="U879" i="18" s="1"/>
  <c r="I880" i="18"/>
  <c r="N880" i="18" s="1"/>
  <c r="J880" i="18"/>
  <c r="O880" i="18" s="1"/>
  <c r="K880" i="18"/>
  <c r="L880" i="18"/>
  <c r="M880" i="18" s="1"/>
  <c r="U880" i="18" s="1"/>
  <c r="I687" i="18"/>
  <c r="N687" i="18" s="1"/>
  <c r="J687" i="18"/>
  <c r="O687" i="18" s="1"/>
  <c r="K687" i="18"/>
  <c r="L687" i="18"/>
  <c r="M687" i="18" s="1"/>
  <c r="U687" i="18" s="1"/>
  <c r="I243" i="18"/>
  <c r="N243" i="18" s="1"/>
  <c r="J243" i="18"/>
  <c r="O243" i="18" s="1"/>
  <c r="K243" i="18"/>
  <c r="L243" i="18"/>
  <c r="M243" i="18" s="1"/>
  <c r="U243" i="18" s="1"/>
  <c r="I23" i="18"/>
  <c r="N23" i="18" s="1"/>
  <c r="J23" i="18"/>
  <c r="O23" i="18" s="1"/>
  <c r="K23" i="18"/>
  <c r="L23" i="18"/>
  <c r="M23" i="18" s="1"/>
  <c r="U23" i="18" s="1"/>
  <c r="I635" i="18"/>
  <c r="N635" i="18" s="1"/>
  <c r="J635" i="18"/>
  <c r="O635" i="18" s="1"/>
  <c r="AA635" i="18" s="1"/>
  <c r="K635" i="18"/>
  <c r="L635" i="18"/>
  <c r="M635" i="18" s="1"/>
  <c r="U635" i="18" s="1"/>
  <c r="I427" i="18"/>
  <c r="N427" i="18" s="1"/>
  <c r="J427" i="18"/>
  <c r="O427" i="18" s="1"/>
  <c r="K427" i="18"/>
  <c r="L427" i="18"/>
  <c r="M427" i="18" s="1"/>
  <c r="U427" i="18" s="1"/>
  <c r="I278" i="18"/>
  <c r="N278" i="18" s="1"/>
  <c r="J278" i="18"/>
  <c r="O278" i="18" s="1"/>
  <c r="K278" i="18"/>
  <c r="L278" i="18"/>
  <c r="M278" i="18" s="1"/>
  <c r="U278" i="18" s="1"/>
  <c r="I545" i="18"/>
  <c r="N545" i="18" s="1"/>
  <c r="J545" i="18"/>
  <c r="O545" i="18" s="1"/>
  <c r="K545" i="18"/>
  <c r="L545" i="18"/>
  <c r="M545" i="18" s="1"/>
  <c r="U545" i="18" s="1"/>
  <c r="I447" i="18"/>
  <c r="N447" i="18" s="1"/>
  <c r="J447" i="18"/>
  <c r="O447" i="18" s="1"/>
  <c r="K447" i="18"/>
  <c r="L447" i="18"/>
  <c r="M447" i="18" s="1"/>
  <c r="U447" i="18" s="1"/>
  <c r="I926" i="18"/>
  <c r="N926" i="18" s="1"/>
  <c r="J926" i="18"/>
  <c r="O926" i="18" s="1"/>
  <c r="AA926" i="18" s="1"/>
  <c r="K926" i="18"/>
  <c r="L926" i="18"/>
  <c r="M926" i="18" s="1"/>
  <c r="U926" i="18" s="1"/>
  <c r="I260" i="18"/>
  <c r="N260" i="18" s="1"/>
  <c r="J260" i="18"/>
  <c r="O260" i="18" s="1"/>
  <c r="AA260" i="18" s="1"/>
  <c r="K260" i="18"/>
  <c r="L260" i="18"/>
  <c r="M260" i="18" s="1"/>
  <c r="U260" i="18" s="1"/>
  <c r="I795" i="18"/>
  <c r="N795" i="18" s="1"/>
  <c r="J795" i="18"/>
  <c r="O795" i="18" s="1"/>
  <c r="K795" i="18"/>
  <c r="L795" i="18"/>
  <c r="M795" i="18" s="1"/>
  <c r="U795" i="18" s="1"/>
  <c r="I290" i="18"/>
  <c r="N290" i="18" s="1"/>
  <c r="J290" i="18"/>
  <c r="O290" i="18" s="1"/>
  <c r="K290" i="18"/>
  <c r="L290" i="18"/>
  <c r="M290" i="18" s="1"/>
  <c r="U290" i="18" s="1"/>
  <c r="I905" i="18"/>
  <c r="N905" i="18" s="1"/>
  <c r="J905" i="18"/>
  <c r="O905" i="18" s="1"/>
  <c r="K905" i="18"/>
  <c r="L905" i="18"/>
  <c r="M905" i="18" s="1"/>
  <c r="U905" i="18" s="1"/>
  <c r="I143" i="18"/>
  <c r="N143" i="18" s="1"/>
  <c r="J143" i="18"/>
  <c r="O143" i="18" s="1"/>
  <c r="AA143" i="18" s="1"/>
  <c r="K143" i="18"/>
  <c r="L143" i="18"/>
  <c r="M143" i="18" s="1"/>
  <c r="U143" i="18" s="1"/>
  <c r="I830" i="18"/>
  <c r="N830" i="18" s="1"/>
  <c r="J830" i="18"/>
  <c r="O830" i="18" s="1"/>
  <c r="K830" i="18"/>
  <c r="L830" i="18"/>
  <c r="M830" i="18" s="1"/>
  <c r="U830" i="18" s="1"/>
  <c r="I128" i="18"/>
  <c r="N128" i="18" s="1"/>
  <c r="J128" i="18"/>
  <c r="O128" i="18" s="1"/>
  <c r="K128" i="18"/>
  <c r="L128" i="18"/>
  <c r="M128" i="18" s="1"/>
  <c r="U128" i="18" s="1"/>
  <c r="I600" i="18"/>
  <c r="N600" i="18" s="1"/>
  <c r="J600" i="18"/>
  <c r="O600" i="18" s="1"/>
  <c r="K600" i="18"/>
  <c r="L600" i="18"/>
  <c r="M600" i="18" s="1"/>
  <c r="I908" i="18"/>
  <c r="N908" i="18" s="1"/>
  <c r="AA908" i="18" s="1"/>
  <c r="J908" i="18"/>
  <c r="O908" i="18" s="1"/>
  <c r="K908" i="18"/>
  <c r="L908" i="18"/>
  <c r="M908" i="18" s="1"/>
  <c r="U908" i="18" s="1"/>
  <c r="I159" i="18"/>
  <c r="N159" i="18" s="1"/>
  <c r="J159" i="18"/>
  <c r="O159" i="18" s="1"/>
  <c r="K159" i="18"/>
  <c r="L159" i="18"/>
  <c r="M159" i="18" s="1"/>
  <c r="U159" i="18" s="1"/>
  <c r="I942" i="18"/>
  <c r="N942" i="18" s="1"/>
  <c r="J942" i="18"/>
  <c r="O942" i="18" s="1"/>
  <c r="K942" i="18"/>
  <c r="L942" i="18"/>
  <c r="M942" i="18" s="1"/>
  <c r="U942" i="18" s="1"/>
  <c r="I943" i="18"/>
  <c r="N943" i="18" s="1"/>
  <c r="J943" i="18"/>
  <c r="O943" i="18" s="1"/>
  <c r="K943" i="18"/>
  <c r="L943" i="18"/>
  <c r="M943" i="18" s="1"/>
  <c r="U943" i="18" s="1"/>
  <c r="I406" i="18"/>
  <c r="N406" i="18" s="1"/>
  <c r="J406" i="18"/>
  <c r="O406" i="18" s="1"/>
  <c r="K406" i="18"/>
  <c r="L406" i="18"/>
  <c r="M406" i="18" s="1"/>
  <c r="U406" i="18" s="1"/>
  <c r="I439" i="18"/>
  <c r="N439" i="18" s="1"/>
  <c r="J439" i="18"/>
  <c r="O439" i="18" s="1"/>
  <c r="K439" i="18"/>
  <c r="L439" i="18"/>
  <c r="M439" i="18" s="1"/>
  <c r="U439" i="18" s="1"/>
  <c r="I113" i="18"/>
  <c r="N113" i="18" s="1"/>
  <c r="J113" i="18"/>
  <c r="O113" i="18" s="1"/>
  <c r="K113" i="18"/>
  <c r="L113" i="18"/>
  <c r="M113" i="18" s="1"/>
  <c r="U113" i="18" s="1"/>
  <c r="I169" i="18"/>
  <c r="N169" i="18" s="1"/>
  <c r="J169" i="18"/>
  <c r="O169" i="18" s="1"/>
  <c r="K169" i="18"/>
  <c r="L169" i="18"/>
  <c r="M169" i="18" s="1"/>
  <c r="U169" i="18" s="1"/>
  <c r="I775" i="18"/>
  <c r="N775" i="18" s="1"/>
  <c r="J775" i="18"/>
  <c r="O775" i="18" s="1"/>
  <c r="K775" i="18"/>
  <c r="L775" i="18"/>
  <c r="M775" i="18" s="1"/>
  <c r="U775" i="18" s="1"/>
  <c r="I298" i="18"/>
  <c r="N298" i="18" s="1"/>
  <c r="J298" i="18"/>
  <c r="O298" i="18" s="1"/>
  <c r="K298" i="18"/>
  <c r="L298" i="18"/>
  <c r="M298" i="18" s="1"/>
  <c r="U298" i="18" s="1"/>
  <c r="I897" i="18"/>
  <c r="N897" i="18" s="1"/>
  <c r="J897" i="18"/>
  <c r="O897" i="18" s="1"/>
  <c r="K897" i="18"/>
  <c r="L897" i="18"/>
  <c r="M897" i="18" s="1"/>
  <c r="U897" i="18" s="1"/>
  <c r="I999" i="18"/>
  <c r="N999" i="18" s="1"/>
  <c r="J999" i="18"/>
  <c r="O999" i="18" s="1"/>
  <c r="K999" i="18"/>
  <c r="L999" i="18"/>
  <c r="M999" i="18" s="1"/>
  <c r="U999" i="18" s="1"/>
  <c r="I170" i="18"/>
  <c r="N170" i="18" s="1"/>
  <c r="J170" i="18"/>
  <c r="O170" i="18" s="1"/>
  <c r="K170" i="18"/>
  <c r="L170" i="18"/>
  <c r="M170" i="18" s="1"/>
  <c r="U170" i="18" s="1"/>
  <c r="I671" i="18"/>
  <c r="N671" i="18" s="1"/>
  <c r="J671" i="18"/>
  <c r="O671" i="18" s="1"/>
  <c r="K671" i="18"/>
  <c r="L671" i="18"/>
  <c r="M671" i="18" s="1"/>
  <c r="U671" i="18" s="1"/>
  <c r="I429" i="18"/>
  <c r="N429" i="18" s="1"/>
  <c r="J429" i="18"/>
  <c r="O429" i="18" s="1"/>
  <c r="K429" i="18"/>
  <c r="L429" i="18"/>
  <c r="M429" i="18" s="1"/>
  <c r="U429" i="18" s="1"/>
  <c r="I742" i="18"/>
  <c r="N742" i="18" s="1"/>
  <c r="AA742" i="18" s="1"/>
  <c r="J742" i="18"/>
  <c r="O742" i="18" s="1"/>
  <c r="K742" i="18"/>
  <c r="L742" i="18"/>
  <c r="M742" i="18" s="1"/>
  <c r="U742" i="18" s="1"/>
  <c r="I672" i="18"/>
  <c r="N672" i="18" s="1"/>
  <c r="J672" i="18"/>
  <c r="O672" i="18" s="1"/>
  <c r="K672" i="18"/>
  <c r="L672" i="18"/>
  <c r="M672" i="18" s="1"/>
  <c r="U672" i="18" s="1"/>
  <c r="I26" i="18"/>
  <c r="N26" i="18" s="1"/>
  <c r="J26" i="18"/>
  <c r="O26" i="18" s="1"/>
  <c r="K26" i="18"/>
  <c r="L26" i="18"/>
  <c r="M26" i="18" s="1"/>
  <c r="U26" i="18" s="1"/>
  <c r="I896" i="18"/>
  <c r="N896" i="18" s="1"/>
  <c r="J896" i="18"/>
  <c r="O896" i="18" s="1"/>
  <c r="K896" i="18"/>
  <c r="L896" i="18"/>
  <c r="M896" i="18" s="1"/>
  <c r="U896" i="18" s="1"/>
  <c r="I359" i="18"/>
  <c r="N359" i="18" s="1"/>
  <c r="J359" i="18"/>
  <c r="O359" i="18" s="1"/>
  <c r="K359" i="18"/>
  <c r="L359" i="18"/>
  <c r="M359" i="18" s="1"/>
  <c r="I416" i="18"/>
  <c r="N416" i="18" s="1"/>
  <c r="J416" i="18"/>
  <c r="O416" i="18" s="1"/>
  <c r="K416" i="18"/>
  <c r="L416" i="18"/>
  <c r="M416" i="18" s="1"/>
  <c r="U416" i="18" s="1"/>
  <c r="I239" i="18"/>
  <c r="N239" i="18" s="1"/>
  <c r="J239" i="18"/>
  <c r="O239" i="18" s="1"/>
  <c r="K239" i="18"/>
  <c r="L239" i="18"/>
  <c r="M239" i="18" s="1"/>
  <c r="U239" i="18" s="1"/>
  <c r="I662" i="18"/>
  <c r="N662" i="18" s="1"/>
  <c r="J662" i="18"/>
  <c r="O662" i="18" s="1"/>
  <c r="K662" i="18"/>
  <c r="L662" i="18"/>
  <c r="M662" i="18" s="1"/>
  <c r="U662" i="18" s="1"/>
  <c r="I426" i="18"/>
  <c r="N426" i="18" s="1"/>
  <c r="J426" i="18"/>
  <c r="O426" i="18" s="1"/>
  <c r="K426" i="18"/>
  <c r="L426" i="18"/>
  <c r="M426" i="18" s="1"/>
  <c r="U426" i="18" s="1"/>
  <c r="I663" i="18"/>
  <c r="N663" i="18" s="1"/>
  <c r="J663" i="18"/>
  <c r="O663" i="18" s="1"/>
  <c r="K663" i="18"/>
  <c r="L663" i="18"/>
  <c r="M663" i="18" s="1"/>
  <c r="U663" i="18" s="1"/>
  <c r="I871" i="18"/>
  <c r="N871" i="18" s="1"/>
  <c r="J871" i="18"/>
  <c r="O871" i="18" s="1"/>
  <c r="K871" i="18"/>
  <c r="L871" i="18"/>
  <c r="M871" i="18" s="1"/>
  <c r="U871" i="18" s="1"/>
  <c r="I38" i="18"/>
  <c r="N38" i="18" s="1"/>
  <c r="J38" i="18"/>
  <c r="O38" i="18" s="1"/>
  <c r="K38" i="18"/>
  <c r="L38" i="18"/>
  <c r="M38" i="18" s="1"/>
  <c r="U38" i="18" s="1"/>
  <c r="I624" i="18"/>
  <c r="N624" i="18" s="1"/>
  <c r="J624" i="18"/>
  <c r="O624" i="18" s="1"/>
  <c r="K624" i="18"/>
  <c r="L624" i="18"/>
  <c r="M624" i="18" s="1"/>
  <c r="U624" i="18" s="1"/>
  <c r="I300" i="18"/>
  <c r="N300" i="18" s="1"/>
  <c r="J300" i="18"/>
  <c r="O300" i="18" s="1"/>
  <c r="K300" i="18"/>
  <c r="L300" i="18"/>
  <c r="M300" i="18" s="1"/>
  <c r="U300" i="18" s="1"/>
  <c r="I885" i="18"/>
  <c r="N885" i="18" s="1"/>
  <c r="J885" i="18"/>
  <c r="O885" i="18" s="1"/>
  <c r="K885" i="18"/>
  <c r="L885" i="18"/>
  <c r="M885" i="18" s="1"/>
  <c r="U885" i="18" s="1"/>
  <c r="I715" i="18"/>
  <c r="N715" i="18" s="1"/>
  <c r="J715" i="18"/>
  <c r="O715" i="18" s="1"/>
  <c r="K715" i="18"/>
  <c r="L715" i="18"/>
  <c r="M715" i="18" s="1"/>
  <c r="U715" i="18" s="1"/>
  <c r="I100" i="18"/>
  <c r="N100" i="18" s="1"/>
  <c r="J100" i="18"/>
  <c r="O100" i="18" s="1"/>
  <c r="K100" i="18"/>
  <c r="L100" i="18"/>
  <c r="M100" i="18" s="1"/>
  <c r="U100" i="18" s="1"/>
  <c r="I414" i="18"/>
  <c r="N414" i="18" s="1"/>
  <c r="J414" i="18"/>
  <c r="O414" i="18" s="1"/>
  <c r="K414" i="18"/>
  <c r="L414" i="18"/>
  <c r="M414" i="18" s="1"/>
  <c r="U414" i="18" s="1"/>
  <c r="I915" i="18"/>
  <c r="N915" i="18" s="1"/>
  <c r="J915" i="18"/>
  <c r="O915" i="18" s="1"/>
  <c r="K915" i="18"/>
  <c r="L915" i="18"/>
  <c r="M915" i="18" s="1"/>
  <c r="U915" i="18" s="1"/>
  <c r="I305" i="18"/>
  <c r="N305" i="18" s="1"/>
  <c r="J305" i="18"/>
  <c r="O305" i="18" s="1"/>
  <c r="K305" i="18"/>
  <c r="L305" i="18"/>
  <c r="M305" i="18" s="1"/>
  <c r="U305" i="18" s="1"/>
  <c r="I929" i="18"/>
  <c r="N929" i="18" s="1"/>
  <c r="AA929" i="18" s="1"/>
  <c r="J929" i="18"/>
  <c r="O929" i="18" s="1"/>
  <c r="K929" i="18"/>
  <c r="L929" i="18"/>
  <c r="M929" i="18" s="1"/>
  <c r="U929" i="18" s="1"/>
  <c r="I928" i="18"/>
  <c r="N928" i="18" s="1"/>
  <c r="J928" i="18"/>
  <c r="O928" i="18" s="1"/>
  <c r="K928" i="18"/>
  <c r="L928" i="18"/>
  <c r="M928" i="18" s="1"/>
  <c r="U928" i="18" s="1"/>
  <c r="I973" i="18"/>
  <c r="N973" i="18" s="1"/>
  <c r="J973" i="18"/>
  <c r="O973" i="18" s="1"/>
  <c r="AA973" i="18" s="1"/>
  <c r="K973" i="18"/>
  <c r="L973" i="18"/>
  <c r="M973" i="18" s="1"/>
  <c r="U973" i="18" s="1"/>
  <c r="I318" i="18"/>
  <c r="N318" i="18" s="1"/>
  <c r="J318" i="18"/>
  <c r="O318" i="18" s="1"/>
  <c r="K318" i="18"/>
  <c r="L318" i="18"/>
  <c r="M318" i="18" s="1"/>
  <c r="U318" i="18" s="1"/>
  <c r="I829" i="18"/>
  <c r="N829" i="18" s="1"/>
  <c r="J829" i="18"/>
  <c r="O829" i="18" s="1"/>
  <c r="K829" i="18"/>
  <c r="L829" i="18"/>
  <c r="M829" i="18" s="1"/>
  <c r="I507" i="18"/>
  <c r="N507" i="18" s="1"/>
  <c r="J507" i="18"/>
  <c r="O507" i="18" s="1"/>
  <c r="K507" i="18"/>
  <c r="L507" i="18"/>
  <c r="M507" i="18" s="1"/>
  <c r="U507" i="18" s="1"/>
  <c r="I661" i="18"/>
  <c r="N661" i="18" s="1"/>
  <c r="J661" i="18"/>
  <c r="O661" i="18" s="1"/>
  <c r="K661" i="18"/>
  <c r="L661" i="18"/>
  <c r="M661" i="18" s="1"/>
  <c r="U661" i="18" s="1"/>
  <c r="I138" i="18"/>
  <c r="N138" i="18" s="1"/>
  <c r="J138" i="18"/>
  <c r="O138" i="18" s="1"/>
  <c r="K138" i="18"/>
  <c r="L138" i="18"/>
  <c r="M138" i="18" s="1"/>
  <c r="U138" i="18" s="1"/>
  <c r="I963" i="18"/>
  <c r="N963" i="18" s="1"/>
  <c r="J963" i="18"/>
  <c r="O963" i="18" s="1"/>
  <c r="K963" i="18"/>
  <c r="L963" i="18"/>
  <c r="M963" i="18" s="1"/>
  <c r="U963" i="18" s="1"/>
  <c r="I337" i="18"/>
  <c r="N337" i="18" s="1"/>
  <c r="J337" i="18"/>
  <c r="O337" i="18" s="1"/>
  <c r="K337" i="18"/>
  <c r="L337" i="18"/>
  <c r="M337" i="18" s="1"/>
  <c r="U337" i="18" s="1"/>
  <c r="I421" i="18"/>
  <c r="N421" i="18" s="1"/>
  <c r="J421" i="18"/>
  <c r="O421" i="18" s="1"/>
  <c r="K421" i="18"/>
  <c r="L421" i="18"/>
  <c r="M421" i="18" s="1"/>
  <c r="U421" i="18" s="1"/>
  <c r="I198" i="18"/>
  <c r="N198" i="18" s="1"/>
  <c r="J198" i="18"/>
  <c r="O198" i="18" s="1"/>
  <c r="AA198" i="18" s="1"/>
  <c r="K198" i="18"/>
  <c r="L198" i="18"/>
  <c r="M198" i="18" s="1"/>
  <c r="U198" i="18" s="1"/>
  <c r="I50" i="18"/>
  <c r="N50" i="18" s="1"/>
  <c r="J50" i="18"/>
  <c r="O50" i="18" s="1"/>
  <c r="K50" i="18"/>
  <c r="L50" i="18"/>
  <c r="M50" i="18" s="1"/>
  <c r="U50" i="18" s="1"/>
  <c r="I564" i="18"/>
  <c r="N564" i="18" s="1"/>
  <c r="J564" i="18"/>
  <c r="O564" i="18" s="1"/>
  <c r="K564" i="18"/>
  <c r="L564" i="18"/>
  <c r="M564" i="18" s="1"/>
  <c r="U564" i="18" s="1"/>
  <c r="I127" i="18"/>
  <c r="N127" i="18" s="1"/>
  <c r="J127" i="18"/>
  <c r="O127" i="18" s="1"/>
  <c r="K127" i="18"/>
  <c r="L127" i="18"/>
  <c r="M127" i="18" s="1"/>
  <c r="U127" i="18" s="1"/>
  <c r="I218" i="18"/>
  <c r="N218" i="18" s="1"/>
  <c r="J218" i="18"/>
  <c r="O218" i="18" s="1"/>
  <c r="K218" i="18"/>
  <c r="L218" i="18"/>
  <c r="M218" i="18" s="1"/>
  <c r="U218" i="18" s="1"/>
  <c r="I292" i="18"/>
  <c r="N292" i="18" s="1"/>
  <c r="J292" i="18"/>
  <c r="O292" i="18" s="1"/>
  <c r="K292" i="18"/>
  <c r="L292" i="18"/>
  <c r="M292" i="18" s="1"/>
  <c r="U292" i="18" s="1"/>
  <c r="I438" i="18"/>
  <c r="N438" i="18" s="1"/>
  <c r="J438" i="18"/>
  <c r="O438" i="18" s="1"/>
  <c r="K438" i="18"/>
  <c r="L438" i="18"/>
  <c r="M438" i="18" s="1"/>
  <c r="U438" i="18" s="1"/>
  <c r="I850" i="18"/>
  <c r="N850" i="18" s="1"/>
  <c r="J850" i="18"/>
  <c r="O850" i="18" s="1"/>
  <c r="K850" i="18"/>
  <c r="L850" i="18"/>
  <c r="M850" i="18" s="1"/>
  <c r="U850" i="18" s="1"/>
  <c r="I476" i="18"/>
  <c r="N476" i="18" s="1"/>
  <c r="J476" i="18"/>
  <c r="O476" i="18" s="1"/>
  <c r="K476" i="18"/>
  <c r="L476" i="18"/>
  <c r="M476" i="18" s="1"/>
  <c r="U476" i="18" s="1"/>
  <c r="I801" i="18"/>
  <c r="N801" i="18" s="1"/>
  <c r="J801" i="18"/>
  <c r="O801" i="18" s="1"/>
  <c r="K801" i="18"/>
  <c r="L801" i="18"/>
  <c r="M801" i="18" s="1"/>
  <c r="U801" i="18" s="1"/>
  <c r="I15" i="18"/>
  <c r="N15" i="18" s="1"/>
  <c r="J15" i="18"/>
  <c r="O15" i="18" s="1"/>
  <c r="AA15" i="18" s="1"/>
  <c r="K15" i="18"/>
  <c r="L15" i="18"/>
  <c r="M15" i="18" s="1"/>
  <c r="U15" i="18" s="1"/>
  <c r="I920" i="18"/>
  <c r="N920" i="18" s="1"/>
  <c r="J920" i="18"/>
  <c r="O920" i="18" s="1"/>
  <c r="K920" i="18"/>
  <c r="L920" i="18"/>
  <c r="M920" i="18" s="1"/>
  <c r="U920" i="18" s="1"/>
  <c r="I528" i="18"/>
  <c r="N528" i="18" s="1"/>
  <c r="J528" i="18"/>
  <c r="O528" i="18" s="1"/>
  <c r="K528" i="18"/>
  <c r="L528" i="18"/>
  <c r="M528" i="18" s="1"/>
  <c r="U528" i="18" s="1"/>
  <c r="I17" i="18"/>
  <c r="N17" i="18" s="1"/>
  <c r="J17" i="18"/>
  <c r="O17" i="18" s="1"/>
  <c r="K17" i="18"/>
  <c r="L17" i="18"/>
  <c r="M17" i="18" s="1"/>
  <c r="I68" i="18"/>
  <c r="N68" i="18" s="1"/>
  <c r="J68" i="18"/>
  <c r="O68" i="18" s="1"/>
  <c r="K68" i="18"/>
  <c r="L68" i="18"/>
  <c r="M68" i="18" s="1"/>
  <c r="U68" i="18" s="1"/>
  <c r="I257" i="18"/>
  <c r="N257" i="18" s="1"/>
  <c r="J257" i="18"/>
  <c r="O257" i="18" s="1"/>
  <c r="AA257" i="18" s="1"/>
  <c r="K257" i="18"/>
  <c r="L257" i="18"/>
  <c r="M257" i="18" s="1"/>
  <c r="U257" i="18" s="1"/>
  <c r="I907" i="18"/>
  <c r="N907" i="18" s="1"/>
  <c r="J907" i="18"/>
  <c r="O907" i="18" s="1"/>
  <c r="K907" i="18"/>
  <c r="L907" i="18"/>
  <c r="M907" i="18" s="1"/>
  <c r="U907" i="18" s="1"/>
  <c r="I941" i="18"/>
  <c r="N941" i="18" s="1"/>
  <c r="J941" i="18"/>
  <c r="O941" i="18" s="1"/>
  <c r="K941" i="18"/>
  <c r="L941" i="18"/>
  <c r="M941" i="18" s="1"/>
  <c r="U941" i="18" s="1"/>
  <c r="I481" i="18"/>
  <c r="N481" i="18" s="1"/>
  <c r="J481" i="18"/>
  <c r="O481" i="18" s="1"/>
  <c r="K481" i="18"/>
  <c r="L481" i="18"/>
  <c r="M481" i="18" s="1"/>
  <c r="U481" i="18" s="1"/>
  <c r="I858" i="18"/>
  <c r="N858" i="18" s="1"/>
  <c r="J858" i="18"/>
  <c r="O858" i="18" s="1"/>
  <c r="K858" i="18"/>
  <c r="L858" i="18"/>
  <c r="M858" i="18" s="1"/>
  <c r="U858" i="18" s="1"/>
  <c r="I490" i="18"/>
  <c r="N490" i="18" s="1"/>
  <c r="J490" i="18"/>
  <c r="O490" i="18" s="1"/>
  <c r="K490" i="18"/>
  <c r="L490" i="18"/>
  <c r="M490" i="18" s="1"/>
  <c r="U490" i="18" s="1"/>
  <c r="I465" i="18"/>
  <c r="N465" i="18" s="1"/>
  <c r="J465" i="18"/>
  <c r="O465" i="18" s="1"/>
  <c r="K465" i="18"/>
  <c r="L465" i="18"/>
  <c r="M465" i="18" s="1"/>
  <c r="U465" i="18" s="1"/>
  <c r="I647" i="18"/>
  <c r="N647" i="18" s="1"/>
  <c r="J647" i="18"/>
  <c r="O647" i="18" s="1"/>
  <c r="K647" i="18"/>
  <c r="L647" i="18"/>
  <c r="M647" i="18" s="1"/>
  <c r="U647" i="18" s="1"/>
  <c r="I747" i="18"/>
  <c r="N747" i="18" s="1"/>
  <c r="J747" i="18"/>
  <c r="O747" i="18" s="1"/>
  <c r="K747" i="18"/>
  <c r="L747" i="18"/>
  <c r="M747" i="18" s="1"/>
  <c r="U747" i="18" s="1"/>
  <c r="I746" i="18"/>
  <c r="N746" i="18" s="1"/>
  <c r="J746" i="18"/>
  <c r="O746" i="18" s="1"/>
  <c r="K746" i="18"/>
  <c r="L746" i="18"/>
  <c r="M746" i="18" s="1"/>
  <c r="U746" i="18" s="1"/>
  <c r="I748" i="18"/>
  <c r="N748" i="18" s="1"/>
  <c r="J748" i="18"/>
  <c r="O748" i="18" s="1"/>
  <c r="AA748" i="18" s="1"/>
  <c r="K748" i="18"/>
  <c r="L748" i="18"/>
  <c r="M748" i="18" s="1"/>
  <c r="U748" i="18" s="1"/>
  <c r="I255" i="18"/>
  <c r="N255" i="18" s="1"/>
  <c r="J255" i="18"/>
  <c r="O255" i="18" s="1"/>
  <c r="K255" i="18"/>
  <c r="L255" i="18"/>
  <c r="M255" i="18" s="1"/>
  <c r="U255" i="18" s="1"/>
  <c r="I621" i="18"/>
  <c r="N621" i="18" s="1"/>
  <c r="J621" i="18"/>
  <c r="O621" i="18" s="1"/>
  <c r="K621" i="18"/>
  <c r="L621" i="18"/>
  <c r="M621" i="18" s="1"/>
  <c r="U621" i="18" s="1"/>
  <c r="I489" i="18"/>
  <c r="N489" i="18" s="1"/>
  <c r="J489" i="18"/>
  <c r="O489" i="18" s="1"/>
  <c r="K489" i="18"/>
  <c r="L489" i="18"/>
  <c r="M489" i="18" s="1"/>
  <c r="U489" i="18" s="1"/>
  <c r="I615" i="18"/>
  <c r="N615" i="18" s="1"/>
  <c r="AA615" i="18" s="1"/>
  <c r="J615" i="18"/>
  <c r="O615" i="18" s="1"/>
  <c r="K615" i="18"/>
  <c r="L615" i="18"/>
  <c r="M615" i="18" s="1"/>
  <c r="U615" i="18" s="1"/>
  <c r="I256" i="18"/>
  <c r="N256" i="18" s="1"/>
  <c r="J256" i="18"/>
  <c r="O256" i="18" s="1"/>
  <c r="AA256" i="18" s="1"/>
  <c r="K256" i="18"/>
  <c r="L256" i="18"/>
  <c r="M256" i="18" s="1"/>
  <c r="U256" i="18" s="1"/>
  <c r="I368" i="18"/>
  <c r="N368" i="18" s="1"/>
  <c r="J368" i="18"/>
  <c r="O368" i="18" s="1"/>
  <c r="K368" i="18"/>
  <c r="L368" i="18"/>
  <c r="M368" i="18" s="1"/>
  <c r="U368" i="18" s="1"/>
  <c r="I553" i="18"/>
  <c r="N553" i="18" s="1"/>
  <c r="J553" i="18"/>
  <c r="O553" i="18" s="1"/>
  <c r="K553" i="18"/>
  <c r="L553" i="18"/>
  <c r="M553" i="18" s="1"/>
  <c r="U553" i="18" s="1"/>
  <c r="I119" i="18"/>
  <c r="N119" i="18" s="1"/>
  <c r="J119" i="18"/>
  <c r="O119" i="18" s="1"/>
  <c r="K119" i="18"/>
  <c r="L119" i="18"/>
  <c r="M119" i="18" s="1"/>
  <c r="I884" i="18"/>
  <c r="N884" i="18" s="1"/>
  <c r="J884" i="18"/>
  <c r="O884" i="18" s="1"/>
  <c r="K884" i="18"/>
  <c r="L884" i="18"/>
  <c r="M884" i="18" s="1"/>
  <c r="U884" i="18" s="1"/>
  <c r="I817" i="18"/>
  <c r="N817" i="18" s="1"/>
  <c r="J817" i="18"/>
  <c r="O817" i="18" s="1"/>
  <c r="AA817" i="18" s="1"/>
  <c r="K817" i="18"/>
  <c r="L817" i="18"/>
  <c r="M817" i="18" s="1"/>
  <c r="U817" i="18" s="1"/>
  <c r="I843" i="18"/>
  <c r="N843" i="18" s="1"/>
  <c r="J843" i="18"/>
  <c r="O843" i="18" s="1"/>
  <c r="K843" i="18"/>
  <c r="L843" i="18"/>
  <c r="M843" i="18" s="1"/>
  <c r="U843" i="18" s="1"/>
  <c r="I245" i="18"/>
  <c r="N245" i="18" s="1"/>
  <c r="J245" i="18"/>
  <c r="O245" i="18" s="1"/>
  <c r="K245" i="18"/>
  <c r="L245" i="18"/>
  <c r="M245" i="18" s="1"/>
  <c r="U245" i="18" s="1"/>
  <c r="I978" i="18"/>
  <c r="N978" i="18" s="1"/>
  <c r="J978" i="18"/>
  <c r="O978" i="18" s="1"/>
  <c r="K978" i="18"/>
  <c r="L978" i="18"/>
  <c r="M978" i="18" s="1"/>
  <c r="U978" i="18" s="1"/>
  <c r="I976" i="18"/>
  <c r="N976" i="18" s="1"/>
  <c r="AA976" i="18" s="1"/>
  <c r="J976" i="18"/>
  <c r="O976" i="18" s="1"/>
  <c r="K976" i="18"/>
  <c r="L976" i="18"/>
  <c r="M976" i="18" s="1"/>
  <c r="U976" i="18" s="1"/>
  <c r="I636" i="18"/>
  <c r="N636" i="18" s="1"/>
  <c r="J636" i="18"/>
  <c r="O636" i="18" s="1"/>
  <c r="AA636" i="18" s="1"/>
  <c r="K636" i="18"/>
  <c r="L636" i="18"/>
  <c r="M636" i="18" s="1"/>
  <c r="U636" i="18" s="1"/>
  <c r="I608" i="18"/>
  <c r="N608" i="18" s="1"/>
  <c r="J608" i="18"/>
  <c r="O608" i="18" s="1"/>
  <c r="K608" i="18"/>
  <c r="L608" i="18"/>
  <c r="M608" i="18" s="1"/>
  <c r="U608" i="18" s="1"/>
  <c r="I599" i="18"/>
  <c r="N599" i="18" s="1"/>
  <c r="J599" i="18"/>
  <c r="O599" i="18" s="1"/>
  <c r="K599" i="18"/>
  <c r="L599" i="18"/>
  <c r="M599" i="18" s="1"/>
  <c r="U599" i="18" s="1"/>
  <c r="I377" i="18"/>
  <c r="N377" i="18" s="1"/>
  <c r="J377" i="18"/>
  <c r="O377" i="18" s="1"/>
  <c r="K377" i="18"/>
  <c r="L377" i="18"/>
  <c r="M377" i="18" s="1"/>
  <c r="U377" i="18" s="1"/>
  <c r="I982" i="18"/>
  <c r="N982" i="18" s="1"/>
  <c r="AA982" i="18" s="1"/>
  <c r="J982" i="18"/>
  <c r="O982" i="18" s="1"/>
  <c r="K982" i="18"/>
  <c r="L982" i="18"/>
  <c r="M982" i="18" s="1"/>
  <c r="U982" i="18" s="1"/>
  <c r="I435" i="18"/>
  <c r="N435" i="18" s="1"/>
  <c r="J435" i="18"/>
  <c r="O435" i="18" s="1"/>
  <c r="K435" i="18"/>
  <c r="L435" i="18"/>
  <c r="M435" i="18" s="1"/>
  <c r="U435" i="18" s="1"/>
  <c r="I353" i="18"/>
  <c r="N353" i="18" s="1"/>
  <c r="J353" i="18"/>
  <c r="O353" i="18" s="1"/>
  <c r="K353" i="18"/>
  <c r="L353" i="18"/>
  <c r="M353" i="18" s="1"/>
  <c r="U353" i="18" s="1"/>
  <c r="I177" i="18"/>
  <c r="N177" i="18" s="1"/>
  <c r="J177" i="18"/>
  <c r="O177" i="18" s="1"/>
  <c r="K177" i="18"/>
  <c r="L177" i="18"/>
  <c r="M177" i="18" s="1"/>
  <c r="U177" i="18" s="1"/>
  <c r="I894" i="18"/>
  <c r="N894" i="18" s="1"/>
  <c r="J894" i="18"/>
  <c r="O894" i="18" s="1"/>
  <c r="K894" i="18"/>
  <c r="L894" i="18"/>
  <c r="M894" i="18" s="1"/>
  <c r="U894" i="18" s="1"/>
  <c r="I625" i="18"/>
  <c r="N625" i="18" s="1"/>
  <c r="J625" i="18"/>
  <c r="O625" i="18" s="1"/>
  <c r="K625" i="18"/>
  <c r="L625" i="18"/>
  <c r="M625" i="18" s="1"/>
  <c r="U625" i="18" s="1"/>
  <c r="I997" i="18"/>
  <c r="N997" i="18" s="1"/>
  <c r="J997" i="18"/>
  <c r="O997" i="18" s="1"/>
  <c r="K997" i="18"/>
  <c r="L997" i="18"/>
  <c r="M997" i="18" s="1"/>
  <c r="U997" i="18" s="1"/>
  <c r="I996" i="18"/>
  <c r="N996" i="18" s="1"/>
  <c r="J996" i="18"/>
  <c r="O996" i="18" s="1"/>
  <c r="K996" i="18"/>
  <c r="L996" i="18"/>
  <c r="M996" i="18" s="1"/>
  <c r="U996" i="18" s="1"/>
  <c r="I134" i="18"/>
  <c r="N134" i="18" s="1"/>
  <c r="J134" i="18"/>
  <c r="O134" i="18" s="1"/>
  <c r="K134" i="18"/>
  <c r="L134" i="18"/>
  <c r="M134" i="18" s="1"/>
  <c r="U134" i="18" s="1"/>
  <c r="I848" i="18"/>
  <c r="N848" i="18" s="1"/>
  <c r="J848" i="18"/>
  <c r="O848" i="18" s="1"/>
  <c r="K848" i="18"/>
  <c r="L848" i="18"/>
  <c r="M848" i="18" s="1"/>
  <c r="U848" i="18" s="1"/>
  <c r="I24" i="18"/>
  <c r="N24" i="18" s="1"/>
  <c r="J24" i="18"/>
  <c r="O24" i="18" s="1"/>
  <c r="K24" i="18"/>
  <c r="L24" i="18"/>
  <c r="M24" i="18" s="1"/>
  <c r="U24" i="18" s="1"/>
  <c r="I504" i="18"/>
  <c r="N504" i="18" s="1"/>
  <c r="J504" i="18"/>
  <c r="O504" i="18" s="1"/>
  <c r="K504" i="18"/>
  <c r="L504" i="18"/>
  <c r="M504" i="18" s="1"/>
  <c r="U504" i="18" s="1"/>
  <c r="I370" i="18"/>
  <c r="N370" i="18" s="1"/>
  <c r="J370" i="18"/>
  <c r="O370" i="18" s="1"/>
  <c r="K370" i="18"/>
  <c r="L370" i="18"/>
  <c r="M370" i="18" s="1"/>
  <c r="U370" i="18" s="1"/>
  <c r="I938" i="18"/>
  <c r="N938" i="18" s="1"/>
  <c r="J938" i="18"/>
  <c r="O938" i="18" s="1"/>
  <c r="K938" i="18"/>
  <c r="L938" i="18"/>
  <c r="M938" i="18" s="1"/>
  <c r="U938" i="18" s="1"/>
  <c r="I510" i="18"/>
  <c r="N510" i="18" s="1"/>
  <c r="J510" i="18"/>
  <c r="O510" i="18" s="1"/>
  <c r="K510" i="18"/>
  <c r="L510" i="18"/>
  <c r="M510" i="18" s="1"/>
  <c r="U510" i="18" s="1"/>
  <c r="I827" i="18"/>
  <c r="N827" i="18" s="1"/>
  <c r="AA827" i="18" s="1"/>
  <c r="J827" i="18"/>
  <c r="O827" i="18" s="1"/>
  <c r="K827" i="18"/>
  <c r="L827" i="18"/>
  <c r="M827" i="18" s="1"/>
  <c r="U827" i="18" s="1"/>
  <c r="I739" i="18"/>
  <c r="N739" i="18" s="1"/>
  <c r="J739" i="18"/>
  <c r="O739" i="18" s="1"/>
  <c r="K739" i="18"/>
  <c r="L739" i="18"/>
  <c r="M739" i="18" s="1"/>
  <c r="U739" i="18" s="1"/>
  <c r="I461" i="18"/>
  <c r="N461" i="18" s="1"/>
  <c r="J461" i="18"/>
  <c r="O461" i="18" s="1"/>
  <c r="K461" i="18"/>
  <c r="L461" i="18"/>
  <c r="M461" i="18" s="1"/>
  <c r="U461" i="18" s="1"/>
  <c r="I350" i="18"/>
  <c r="N350" i="18" s="1"/>
  <c r="J350" i="18"/>
  <c r="O350" i="18" s="1"/>
  <c r="K350" i="18"/>
  <c r="L350" i="18"/>
  <c r="M350" i="18" s="1"/>
  <c r="U350" i="18" s="1"/>
  <c r="I751" i="18"/>
  <c r="N751" i="18" s="1"/>
  <c r="J751" i="18"/>
  <c r="O751" i="18" s="1"/>
  <c r="K751" i="18"/>
  <c r="L751" i="18"/>
  <c r="M751" i="18" s="1"/>
  <c r="U751" i="18" s="1"/>
  <c r="I777" i="18"/>
  <c r="N777" i="18" s="1"/>
  <c r="AA777" i="18" s="1"/>
  <c r="J777" i="18"/>
  <c r="O777" i="18" s="1"/>
  <c r="K777" i="18"/>
  <c r="L777" i="18"/>
  <c r="M777" i="18" s="1"/>
  <c r="U777" i="18" s="1"/>
  <c r="I186" i="18"/>
  <c r="N186" i="18" s="1"/>
  <c r="J186" i="18"/>
  <c r="O186" i="18" s="1"/>
  <c r="AA186" i="18" s="1"/>
  <c r="K186" i="18"/>
  <c r="L186" i="18"/>
  <c r="M186" i="18" s="1"/>
  <c r="U186" i="18" s="1"/>
  <c r="I83" i="18"/>
  <c r="N83" i="18" s="1"/>
  <c r="J83" i="18"/>
  <c r="O83" i="18" s="1"/>
  <c r="K83" i="18"/>
  <c r="L83" i="18"/>
  <c r="M83" i="18" s="1"/>
  <c r="U83" i="18" s="1"/>
  <c r="I500" i="18"/>
  <c r="N500" i="18" s="1"/>
  <c r="J500" i="18"/>
  <c r="O500" i="18" s="1"/>
  <c r="K500" i="18"/>
  <c r="L500" i="18"/>
  <c r="M500" i="18" s="1"/>
  <c r="U500" i="18" s="1"/>
  <c r="I78" i="18"/>
  <c r="N78" i="18" s="1"/>
  <c r="J78" i="18"/>
  <c r="O78" i="18" s="1"/>
  <c r="K78" i="18"/>
  <c r="L78" i="18"/>
  <c r="M78" i="18" s="1"/>
  <c r="U78" i="18" s="1"/>
  <c r="I175" i="18"/>
  <c r="N175" i="18" s="1"/>
  <c r="J175" i="18"/>
  <c r="O175" i="18" s="1"/>
  <c r="K175" i="18"/>
  <c r="L175" i="18"/>
  <c r="M175" i="18" s="1"/>
  <c r="U175" i="18" s="1"/>
  <c r="I178" i="18"/>
  <c r="N178" i="18" s="1"/>
  <c r="J178" i="18"/>
  <c r="O178" i="18" s="1"/>
  <c r="K178" i="18"/>
  <c r="L178" i="18"/>
  <c r="M178" i="18" s="1"/>
  <c r="U178" i="18" s="1"/>
  <c r="I277" i="18"/>
  <c r="N277" i="18" s="1"/>
  <c r="J277" i="18"/>
  <c r="O277" i="18" s="1"/>
  <c r="K277" i="18"/>
  <c r="L277" i="18"/>
  <c r="M277" i="18" s="1"/>
  <c r="U277" i="18" s="1"/>
  <c r="I4" i="18"/>
  <c r="N4" i="18" s="1"/>
  <c r="J4" i="18"/>
  <c r="O4" i="18" s="1"/>
  <c r="K4" i="18"/>
  <c r="L4" i="18"/>
  <c r="M4" i="18" s="1"/>
  <c r="U4" i="18" s="1"/>
  <c r="I749" i="18"/>
  <c r="N749" i="18" s="1"/>
  <c r="J749" i="18"/>
  <c r="O749" i="18" s="1"/>
  <c r="K749" i="18"/>
  <c r="L749" i="18"/>
  <c r="M749" i="18" s="1"/>
  <c r="U749" i="18" s="1"/>
  <c r="I642" i="18"/>
  <c r="N642" i="18" s="1"/>
  <c r="AA642" i="18" s="1"/>
  <c r="J642" i="18"/>
  <c r="O642" i="18" s="1"/>
  <c r="K642" i="18"/>
  <c r="L642" i="18"/>
  <c r="M642" i="18" s="1"/>
  <c r="U642" i="18" s="1"/>
  <c r="I332" i="18"/>
  <c r="N332" i="18" s="1"/>
  <c r="J332" i="18"/>
  <c r="O332" i="18" s="1"/>
  <c r="AA332" i="18" s="1"/>
  <c r="K332" i="18"/>
  <c r="L332" i="18"/>
  <c r="M332" i="18" s="1"/>
  <c r="U332" i="18" s="1"/>
  <c r="I818" i="18"/>
  <c r="N818" i="18" s="1"/>
  <c r="J818" i="18"/>
  <c r="O818" i="18" s="1"/>
  <c r="K818" i="18"/>
  <c r="L818" i="18"/>
  <c r="M818" i="18" s="1"/>
  <c r="U818" i="18" s="1"/>
  <c r="I43" i="18"/>
  <c r="N43" i="18" s="1"/>
  <c r="J43" i="18"/>
  <c r="O43" i="18" s="1"/>
  <c r="K43" i="18"/>
  <c r="L43" i="18"/>
  <c r="M43" i="18" s="1"/>
  <c r="U43" i="18" s="1"/>
  <c r="I881" i="18"/>
  <c r="N881" i="18" s="1"/>
  <c r="J881" i="18"/>
  <c r="O881" i="18" s="1"/>
  <c r="K881" i="18"/>
  <c r="L881" i="18"/>
  <c r="M881" i="18" s="1"/>
  <c r="U881" i="18" s="1"/>
  <c r="I998" i="18"/>
  <c r="N998" i="18" s="1"/>
  <c r="AA998" i="18" s="1"/>
  <c r="J998" i="18"/>
  <c r="O998" i="18" s="1"/>
  <c r="K998" i="18"/>
  <c r="L998" i="18"/>
  <c r="M998" i="18" s="1"/>
  <c r="U998" i="18" s="1"/>
  <c r="I89" i="18"/>
  <c r="N89" i="18" s="1"/>
  <c r="J89" i="18"/>
  <c r="O89" i="18" s="1"/>
  <c r="K89" i="18"/>
  <c r="L89" i="18"/>
  <c r="M89" i="18" s="1"/>
  <c r="U89" i="18" s="1"/>
  <c r="I659" i="18"/>
  <c r="N659" i="18" s="1"/>
  <c r="J659" i="18"/>
  <c r="O659" i="18" s="1"/>
  <c r="AA659" i="18" s="1"/>
  <c r="K659" i="18"/>
  <c r="L659" i="18"/>
  <c r="M659" i="18" s="1"/>
  <c r="U659" i="18" s="1"/>
  <c r="I222" i="18"/>
  <c r="N222" i="18" s="1"/>
  <c r="J222" i="18"/>
  <c r="O222" i="18" s="1"/>
  <c r="K222" i="18"/>
  <c r="L222" i="18"/>
  <c r="M222" i="18" s="1"/>
  <c r="U222" i="18" s="1"/>
  <c r="I533" i="18"/>
  <c r="N533" i="18" s="1"/>
  <c r="J533" i="18"/>
  <c r="O533" i="18" s="1"/>
  <c r="K533" i="18"/>
  <c r="L533" i="18"/>
  <c r="M533" i="18" s="1"/>
  <c r="U533" i="18" s="1"/>
  <c r="I187" i="18"/>
  <c r="N187" i="18" s="1"/>
  <c r="J187" i="18"/>
  <c r="O187" i="18" s="1"/>
  <c r="K187" i="18"/>
  <c r="L187" i="18"/>
  <c r="M187" i="18" s="1"/>
  <c r="U187" i="18" s="1"/>
  <c r="I188" i="18"/>
  <c r="N188" i="18" s="1"/>
  <c r="J188" i="18"/>
  <c r="O188" i="18" s="1"/>
  <c r="K188" i="18"/>
  <c r="L188" i="18"/>
  <c r="M188" i="18" s="1"/>
  <c r="U188" i="18" s="1"/>
  <c r="I774" i="18"/>
  <c r="N774" i="18" s="1"/>
  <c r="J774" i="18"/>
  <c r="O774" i="18" s="1"/>
  <c r="K774" i="18"/>
  <c r="L774" i="18"/>
  <c r="M774" i="18" s="1"/>
  <c r="U774" i="18" s="1"/>
  <c r="I682" i="18"/>
  <c r="N682" i="18" s="1"/>
  <c r="J682" i="18"/>
  <c r="O682" i="18" s="1"/>
  <c r="K682" i="18"/>
  <c r="L682" i="18"/>
  <c r="M682" i="18" s="1"/>
  <c r="U682" i="18" s="1"/>
  <c r="I630" i="18"/>
  <c r="N630" i="18" s="1"/>
  <c r="J630" i="18"/>
  <c r="O630" i="18" s="1"/>
  <c r="K630" i="18"/>
  <c r="L630" i="18"/>
  <c r="M630" i="18" s="1"/>
  <c r="U630" i="18" s="1"/>
  <c r="I191" i="18"/>
  <c r="N191" i="18" s="1"/>
  <c r="J191" i="18"/>
  <c r="O191" i="18" s="1"/>
  <c r="K191" i="18"/>
  <c r="L191" i="18"/>
  <c r="M191" i="18" s="1"/>
  <c r="U191" i="18" s="1"/>
  <c r="I628" i="18"/>
  <c r="N628" i="18" s="1"/>
  <c r="J628" i="18"/>
  <c r="O628" i="18" s="1"/>
  <c r="AA628" i="18" s="1"/>
  <c r="K628" i="18"/>
  <c r="L628" i="18"/>
  <c r="M628" i="18" s="1"/>
  <c r="U628" i="18" s="1"/>
  <c r="I859" i="18"/>
  <c r="N859" i="18" s="1"/>
  <c r="J859" i="18"/>
  <c r="O859" i="18" s="1"/>
  <c r="K859" i="18"/>
  <c r="L859" i="18"/>
  <c r="M859" i="18" s="1"/>
  <c r="U859" i="18" s="1"/>
  <c r="I594" i="18"/>
  <c r="N594" i="18" s="1"/>
  <c r="J594" i="18"/>
  <c r="O594" i="18" s="1"/>
  <c r="K594" i="18"/>
  <c r="L594" i="18"/>
  <c r="M594" i="18" s="1"/>
  <c r="U594" i="18" s="1"/>
  <c r="I73" i="18"/>
  <c r="N73" i="18" s="1"/>
  <c r="J73" i="18"/>
  <c r="O73" i="18" s="1"/>
  <c r="K73" i="18"/>
  <c r="L73" i="18"/>
  <c r="M73" i="18" s="1"/>
  <c r="U73" i="18" s="1"/>
  <c r="I940" i="18"/>
  <c r="N940" i="18" s="1"/>
  <c r="J940" i="18"/>
  <c r="O940" i="18" s="1"/>
  <c r="K940" i="18"/>
  <c r="L940" i="18"/>
  <c r="M940" i="18" s="1"/>
  <c r="U940" i="18" s="1"/>
  <c r="I131" i="18"/>
  <c r="N131" i="18" s="1"/>
  <c r="J131" i="18"/>
  <c r="O131" i="18" s="1"/>
  <c r="K131" i="18"/>
  <c r="L131" i="18"/>
  <c r="M131" i="18" s="1"/>
  <c r="U131" i="18" s="1"/>
  <c r="I325" i="18"/>
  <c r="N325" i="18" s="1"/>
  <c r="J325" i="18"/>
  <c r="O325" i="18" s="1"/>
  <c r="K325" i="18"/>
  <c r="L325" i="18"/>
  <c r="M325" i="18" s="1"/>
  <c r="U325" i="18" s="1"/>
  <c r="I408" i="18"/>
  <c r="N408" i="18" s="1"/>
  <c r="J408" i="18"/>
  <c r="O408" i="18" s="1"/>
  <c r="K408" i="18"/>
  <c r="L408" i="18"/>
  <c r="M408" i="18" s="1"/>
  <c r="U408" i="18" s="1"/>
  <c r="I837" i="18"/>
  <c r="N837" i="18" s="1"/>
  <c r="J837" i="18"/>
  <c r="O837" i="18" s="1"/>
  <c r="K837" i="18"/>
  <c r="L837" i="18"/>
  <c r="M837" i="18" s="1"/>
  <c r="U837" i="18" s="1"/>
  <c r="I304" i="18"/>
  <c r="N304" i="18" s="1"/>
  <c r="J304" i="18"/>
  <c r="O304" i="18" s="1"/>
  <c r="K304" i="18"/>
  <c r="L304" i="18"/>
  <c r="M304" i="18" s="1"/>
  <c r="U304" i="18" s="1"/>
  <c r="I520" i="18"/>
  <c r="N520" i="18" s="1"/>
  <c r="J520" i="18"/>
  <c r="O520" i="18" s="1"/>
  <c r="K520" i="18"/>
  <c r="L520" i="18"/>
  <c r="M520" i="18" s="1"/>
  <c r="U520" i="18" s="1"/>
  <c r="I521" i="18"/>
  <c r="N521" i="18" s="1"/>
  <c r="J521" i="18"/>
  <c r="O521" i="18" s="1"/>
  <c r="K521" i="18"/>
  <c r="L521" i="18"/>
  <c r="M521" i="18" s="1"/>
  <c r="U521" i="18" s="1"/>
  <c r="I522" i="18"/>
  <c r="N522" i="18" s="1"/>
  <c r="J522" i="18"/>
  <c r="O522" i="18" s="1"/>
  <c r="K522" i="18"/>
  <c r="L522" i="18"/>
  <c r="M522" i="18" s="1"/>
  <c r="U522" i="18" s="1"/>
  <c r="I518" i="18"/>
  <c r="N518" i="18" s="1"/>
  <c r="J518" i="18"/>
  <c r="O518" i="18" s="1"/>
  <c r="K518" i="18"/>
  <c r="L518" i="18"/>
  <c r="M518" i="18" s="1"/>
  <c r="U518" i="18" s="1"/>
  <c r="I519" i="18"/>
  <c r="N519" i="18" s="1"/>
  <c r="J519" i="18"/>
  <c r="O519" i="18" s="1"/>
  <c r="K519" i="18"/>
  <c r="L519" i="18"/>
  <c r="M519" i="18" s="1"/>
  <c r="U519" i="18" s="1"/>
  <c r="I229" i="18"/>
  <c r="N229" i="18" s="1"/>
  <c r="J229" i="18"/>
  <c r="O229" i="18" s="1"/>
  <c r="K229" i="18"/>
  <c r="L229" i="18"/>
  <c r="M229" i="18" s="1"/>
  <c r="U229" i="18" s="1"/>
  <c r="I60" i="18"/>
  <c r="N60" i="18" s="1"/>
  <c r="J60" i="18"/>
  <c r="O60" i="18" s="1"/>
  <c r="K60" i="18"/>
  <c r="L60" i="18"/>
  <c r="M60" i="18" s="1"/>
  <c r="U60" i="18" s="1"/>
  <c r="I873" i="18"/>
  <c r="N873" i="18" s="1"/>
  <c r="J873" i="18"/>
  <c r="O873" i="18" s="1"/>
  <c r="K873" i="18"/>
  <c r="L873" i="18"/>
  <c r="M873" i="18" s="1"/>
  <c r="U873" i="18" s="1"/>
  <c r="I752" i="18"/>
  <c r="N752" i="18" s="1"/>
  <c r="J752" i="18"/>
  <c r="O752" i="18" s="1"/>
  <c r="K752" i="18"/>
  <c r="L752" i="18"/>
  <c r="M752" i="18" s="1"/>
  <c r="U752" i="18" s="1"/>
  <c r="I744" i="18"/>
  <c r="N744" i="18" s="1"/>
  <c r="J744" i="18"/>
  <c r="O744" i="18" s="1"/>
  <c r="K744" i="18"/>
  <c r="L744" i="18"/>
  <c r="M744" i="18" s="1"/>
  <c r="U744" i="18" s="1"/>
  <c r="I563" i="18"/>
  <c r="N563" i="18" s="1"/>
  <c r="J563" i="18"/>
  <c r="O563" i="18" s="1"/>
  <c r="AA563" i="18" s="1"/>
  <c r="K563" i="18"/>
  <c r="L563" i="18"/>
  <c r="M563" i="18" s="1"/>
  <c r="U563" i="18" s="1"/>
  <c r="I658" i="18"/>
  <c r="N658" i="18" s="1"/>
  <c r="J658" i="18"/>
  <c r="O658" i="18" s="1"/>
  <c r="K658" i="18"/>
  <c r="L658" i="18"/>
  <c r="M658" i="18" s="1"/>
  <c r="U658" i="18" s="1"/>
  <c r="I691" i="18"/>
  <c r="N691" i="18" s="1"/>
  <c r="J691" i="18"/>
  <c r="O691" i="18" s="1"/>
  <c r="K691" i="18"/>
  <c r="L691" i="18"/>
  <c r="M691" i="18" s="1"/>
  <c r="U691" i="18" s="1"/>
  <c r="I33" i="18"/>
  <c r="N33" i="18" s="1"/>
  <c r="J33" i="18"/>
  <c r="O33" i="18" s="1"/>
  <c r="K33" i="18"/>
  <c r="L33" i="18"/>
  <c r="M33" i="18" s="1"/>
  <c r="U33" i="18" s="1"/>
  <c r="I958" i="18"/>
  <c r="N958" i="18" s="1"/>
  <c r="J958" i="18"/>
  <c r="O958" i="18" s="1"/>
  <c r="K958" i="18"/>
  <c r="L958" i="18"/>
  <c r="M958" i="18" s="1"/>
  <c r="U958" i="18" s="1"/>
  <c r="I601" i="18"/>
  <c r="N601" i="18" s="1"/>
  <c r="J601" i="18"/>
  <c r="O601" i="18" s="1"/>
  <c r="K601" i="18"/>
  <c r="L601" i="18"/>
  <c r="M601" i="18" s="1"/>
  <c r="U601" i="18" s="1"/>
  <c r="I267" i="18"/>
  <c r="N267" i="18" s="1"/>
  <c r="J267" i="18"/>
  <c r="O267" i="18" s="1"/>
  <c r="K267" i="18"/>
  <c r="L267" i="18"/>
  <c r="M267" i="18" s="1"/>
  <c r="U267" i="18" s="1"/>
  <c r="I957" i="18"/>
  <c r="N957" i="18" s="1"/>
  <c r="J957" i="18"/>
  <c r="O957" i="18" s="1"/>
  <c r="K957" i="18"/>
  <c r="L957" i="18"/>
  <c r="M957" i="18" s="1"/>
  <c r="U957" i="18" s="1"/>
  <c r="I629" i="18"/>
  <c r="N629" i="18" s="1"/>
  <c r="J629" i="18"/>
  <c r="O629" i="18" s="1"/>
  <c r="K629" i="18"/>
  <c r="L629" i="18"/>
  <c r="M629" i="18" s="1"/>
  <c r="U629" i="18" s="1"/>
  <c r="I58" i="18"/>
  <c r="N58" i="18" s="1"/>
  <c r="AA58" i="18" s="1"/>
  <c r="J58" i="18"/>
  <c r="O58" i="18" s="1"/>
  <c r="K58" i="18"/>
  <c r="L58" i="18"/>
  <c r="M58" i="18" s="1"/>
  <c r="U58" i="18" s="1"/>
  <c r="I607" i="18"/>
  <c r="N607" i="18" s="1"/>
  <c r="J607" i="18"/>
  <c r="O607" i="18" s="1"/>
  <c r="AA607" i="18" s="1"/>
  <c r="K607" i="18"/>
  <c r="L607" i="18"/>
  <c r="M607" i="18" s="1"/>
  <c r="U607" i="18" s="1"/>
  <c r="I94" i="18"/>
  <c r="N94" i="18" s="1"/>
  <c r="J94" i="18"/>
  <c r="O94" i="18" s="1"/>
  <c r="K94" i="18"/>
  <c r="L94" i="18"/>
  <c r="M94" i="18" s="1"/>
  <c r="U94" i="18" s="1"/>
  <c r="I420" i="18"/>
  <c r="N420" i="18" s="1"/>
  <c r="J420" i="18"/>
  <c r="O420" i="18" s="1"/>
  <c r="K420" i="18"/>
  <c r="L420" i="18"/>
  <c r="M420" i="18" s="1"/>
  <c r="U420" i="18" s="1"/>
  <c r="I52" i="18"/>
  <c r="N52" i="18" s="1"/>
  <c r="J52" i="18"/>
  <c r="O52" i="18" s="1"/>
  <c r="K52" i="18"/>
  <c r="L52" i="18"/>
  <c r="M52" i="18" s="1"/>
  <c r="U52" i="18" s="1"/>
  <c r="I53" i="18"/>
  <c r="N53" i="18" s="1"/>
  <c r="AA53" i="18" s="1"/>
  <c r="J53" i="18"/>
  <c r="O53" i="18" s="1"/>
  <c r="K53" i="18"/>
  <c r="L53" i="18"/>
  <c r="M53" i="18" s="1"/>
  <c r="U53" i="18" s="1"/>
  <c r="I821" i="18"/>
  <c r="N821" i="18" s="1"/>
  <c r="J821" i="18"/>
  <c r="O821" i="18" s="1"/>
  <c r="K821" i="18"/>
  <c r="L821" i="18"/>
  <c r="M821" i="18" s="1"/>
  <c r="U821" i="18" s="1"/>
  <c r="I869" i="18"/>
  <c r="N869" i="18" s="1"/>
  <c r="J869" i="18"/>
  <c r="O869" i="18" s="1"/>
  <c r="K869" i="18"/>
  <c r="L869" i="18"/>
  <c r="M869" i="18" s="1"/>
  <c r="U869" i="18" s="1"/>
  <c r="I753" i="18"/>
  <c r="N753" i="18" s="1"/>
  <c r="J753" i="18"/>
  <c r="O753" i="18" s="1"/>
  <c r="K753" i="18"/>
  <c r="L753" i="18"/>
  <c r="M753" i="18" s="1"/>
  <c r="U753" i="18" s="1"/>
  <c r="I348" i="18"/>
  <c r="N348" i="18" s="1"/>
  <c r="J348" i="18"/>
  <c r="O348" i="18" s="1"/>
  <c r="K348" i="18"/>
  <c r="L348" i="18"/>
  <c r="M348" i="18" s="1"/>
  <c r="I603" i="18"/>
  <c r="N603" i="18" s="1"/>
  <c r="J603" i="18"/>
  <c r="O603" i="18" s="1"/>
  <c r="K603" i="18"/>
  <c r="L603" i="18"/>
  <c r="M603" i="18" s="1"/>
  <c r="U603" i="18" s="1"/>
  <c r="I645" i="18"/>
  <c r="N645" i="18" s="1"/>
  <c r="J645" i="18"/>
  <c r="O645" i="18" s="1"/>
  <c r="AA645" i="18" s="1"/>
  <c r="K645" i="18"/>
  <c r="L645" i="18"/>
  <c r="M645" i="18" s="1"/>
  <c r="U645" i="18" s="1"/>
  <c r="I18" i="18"/>
  <c r="N18" i="18" s="1"/>
  <c r="J18" i="18"/>
  <c r="O18" i="18" s="1"/>
  <c r="K18" i="18"/>
  <c r="L18" i="18"/>
  <c r="M18" i="18" s="1"/>
  <c r="U18" i="18" s="1"/>
  <c r="I202" i="18"/>
  <c r="N202" i="18" s="1"/>
  <c r="J202" i="18"/>
  <c r="O202" i="18" s="1"/>
  <c r="K202" i="18"/>
  <c r="L202" i="18"/>
  <c r="M202" i="18" s="1"/>
  <c r="U202" i="18" s="1"/>
  <c r="I84" i="18"/>
  <c r="N84" i="18" s="1"/>
  <c r="J84" i="18"/>
  <c r="O84" i="18" s="1"/>
  <c r="K84" i="18"/>
  <c r="L84" i="18"/>
  <c r="M84" i="18" s="1"/>
  <c r="U84" i="18" s="1"/>
  <c r="I63" i="18"/>
  <c r="N63" i="18" s="1"/>
  <c r="J63" i="18"/>
  <c r="O63" i="18" s="1"/>
  <c r="K63" i="18"/>
  <c r="L63" i="18"/>
  <c r="M63" i="18" s="1"/>
  <c r="I939" i="18"/>
  <c r="N939" i="18" s="1"/>
  <c r="J939" i="18"/>
  <c r="O939" i="18" s="1"/>
  <c r="K939" i="18"/>
  <c r="L939" i="18"/>
  <c r="M939" i="18" s="1"/>
  <c r="I365" i="18"/>
  <c r="N365" i="18" s="1"/>
  <c r="J365" i="18"/>
  <c r="O365" i="18" s="1"/>
  <c r="K365" i="18"/>
  <c r="L365" i="18"/>
  <c r="M365" i="18" s="1"/>
  <c r="U365" i="18" s="1"/>
  <c r="I379" i="18"/>
  <c r="N379" i="18" s="1"/>
  <c r="J379" i="18"/>
  <c r="O379" i="18" s="1"/>
  <c r="K379" i="18"/>
  <c r="L379" i="18"/>
  <c r="M379" i="18" s="1"/>
  <c r="U379" i="18" s="1"/>
  <c r="I418" i="18"/>
  <c r="N418" i="18" s="1"/>
  <c r="J418" i="18"/>
  <c r="O418" i="18" s="1"/>
  <c r="K418" i="18"/>
  <c r="L418" i="18"/>
  <c r="M418" i="18" s="1"/>
  <c r="U418" i="18" s="1"/>
  <c r="I70" i="18"/>
  <c r="N70" i="18" s="1"/>
  <c r="AA70" i="18" s="1"/>
  <c r="J70" i="18"/>
  <c r="O70" i="18" s="1"/>
  <c r="K70" i="18"/>
  <c r="L70" i="18"/>
  <c r="M70" i="18" s="1"/>
  <c r="U70" i="18" s="1"/>
  <c r="I648" i="18"/>
  <c r="N648" i="18" s="1"/>
  <c r="J648" i="18"/>
  <c r="O648" i="18" s="1"/>
  <c r="K648" i="18"/>
  <c r="L648" i="18"/>
  <c r="M648" i="18" s="1"/>
  <c r="U648" i="18" s="1"/>
  <c r="I361" i="18"/>
  <c r="N361" i="18" s="1"/>
  <c r="J361" i="18"/>
  <c r="O361" i="18" s="1"/>
  <c r="K361" i="18"/>
  <c r="L361" i="18"/>
  <c r="M361" i="18" s="1"/>
  <c r="U361" i="18" s="1"/>
  <c r="I48" i="18"/>
  <c r="N48" i="18" s="1"/>
  <c r="J48" i="18"/>
  <c r="O48" i="18" s="1"/>
  <c r="K48" i="18"/>
  <c r="L48" i="18"/>
  <c r="M48" i="18" s="1"/>
  <c r="U48" i="18" s="1"/>
  <c r="I183" i="18"/>
  <c r="N183" i="18" s="1"/>
  <c r="J183" i="18"/>
  <c r="O183" i="18" s="1"/>
  <c r="K183" i="18"/>
  <c r="L183" i="18"/>
  <c r="M183" i="18" s="1"/>
  <c r="U183" i="18" s="1"/>
  <c r="I696" i="18"/>
  <c r="N696" i="18" s="1"/>
  <c r="J696" i="18"/>
  <c r="O696" i="18" s="1"/>
  <c r="K696" i="18"/>
  <c r="L696" i="18"/>
  <c r="M696" i="18" s="1"/>
  <c r="U696" i="18" s="1"/>
  <c r="I12" i="18"/>
  <c r="N12" i="18" s="1"/>
  <c r="J12" i="18"/>
  <c r="O12" i="18" s="1"/>
  <c r="K12" i="18"/>
  <c r="L12" i="18"/>
  <c r="M12" i="18" s="1"/>
  <c r="U12" i="18" s="1"/>
  <c r="I336" i="18"/>
  <c r="N336" i="18" s="1"/>
  <c r="J336" i="18"/>
  <c r="O336" i="18" s="1"/>
  <c r="K336" i="18"/>
  <c r="L336" i="18"/>
  <c r="M336" i="18" s="1"/>
  <c r="U336" i="18" s="1"/>
  <c r="I228" i="18"/>
  <c r="N228" i="18" s="1"/>
  <c r="J228" i="18"/>
  <c r="O228" i="18" s="1"/>
  <c r="K228" i="18"/>
  <c r="L228" i="18"/>
  <c r="M228" i="18" s="1"/>
  <c r="U228" i="18" s="1"/>
  <c r="I841" i="18"/>
  <c r="N841" i="18" s="1"/>
  <c r="J841" i="18"/>
  <c r="O841" i="18" s="1"/>
  <c r="K841" i="18"/>
  <c r="L841" i="18"/>
  <c r="M841" i="18" s="1"/>
  <c r="I302" i="18"/>
  <c r="N302" i="18" s="1"/>
  <c r="AA302" i="18" s="1"/>
  <c r="J302" i="18"/>
  <c r="O302" i="18" s="1"/>
  <c r="K302" i="18"/>
  <c r="L302" i="18"/>
  <c r="M302" i="18" s="1"/>
  <c r="U302" i="18" s="1"/>
  <c r="I483" i="18"/>
  <c r="N483" i="18" s="1"/>
  <c r="J483" i="18"/>
  <c r="O483" i="18" s="1"/>
  <c r="K483" i="18"/>
  <c r="L483" i="18"/>
  <c r="M483" i="18" s="1"/>
  <c r="U483" i="18" s="1"/>
  <c r="I814" i="18"/>
  <c r="N814" i="18" s="1"/>
  <c r="J814" i="18"/>
  <c r="O814" i="18" s="1"/>
  <c r="AA814" i="18" s="1"/>
  <c r="K814" i="18"/>
  <c r="L814" i="18"/>
  <c r="M814" i="18" s="1"/>
  <c r="U814" i="18" s="1"/>
  <c r="I947" i="18"/>
  <c r="N947" i="18" s="1"/>
  <c r="J947" i="18"/>
  <c r="O947" i="18" s="1"/>
  <c r="K947" i="18"/>
  <c r="L947" i="18"/>
  <c r="M947" i="18" s="1"/>
  <c r="U947" i="18" s="1"/>
  <c r="I831" i="18"/>
  <c r="N831" i="18" s="1"/>
  <c r="J831" i="18"/>
  <c r="O831" i="18" s="1"/>
  <c r="K831" i="18"/>
  <c r="L831" i="18"/>
  <c r="M831" i="18" s="1"/>
  <c r="U831" i="18" s="1"/>
  <c r="I546" i="18"/>
  <c r="N546" i="18" s="1"/>
  <c r="AA546" i="18" s="1"/>
  <c r="J546" i="18"/>
  <c r="O546" i="18" s="1"/>
  <c r="K546" i="18"/>
  <c r="L546" i="18"/>
  <c r="M546" i="18" s="1"/>
  <c r="I65" i="18"/>
  <c r="N65" i="18" s="1"/>
  <c r="J65" i="18"/>
  <c r="O65" i="18" s="1"/>
  <c r="K65" i="18"/>
  <c r="L65" i="18"/>
  <c r="M65" i="18" s="1"/>
  <c r="I328" i="18"/>
  <c r="N328" i="18" s="1"/>
  <c r="J328" i="18"/>
  <c r="O328" i="18" s="1"/>
  <c r="K328" i="18"/>
  <c r="L328" i="18"/>
  <c r="M328" i="18" s="1"/>
  <c r="U328" i="18" s="1"/>
  <c r="I244" i="18"/>
  <c r="N244" i="18" s="1"/>
  <c r="J244" i="18"/>
  <c r="O244" i="18" s="1"/>
  <c r="K244" i="18"/>
  <c r="L244" i="18"/>
  <c r="M244" i="18" s="1"/>
  <c r="U244" i="18" s="1"/>
  <c r="I444" i="18"/>
  <c r="N444" i="18" s="1"/>
  <c r="J444" i="18"/>
  <c r="O444" i="18" s="1"/>
  <c r="K444" i="18"/>
  <c r="L444" i="18"/>
  <c r="M444" i="18" s="1"/>
  <c r="U444" i="18" s="1"/>
  <c r="I316" i="18"/>
  <c r="N316" i="18" s="1"/>
  <c r="J316" i="18"/>
  <c r="O316" i="18" s="1"/>
  <c r="K316" i="18"/>
  <c r="L316" i="18"/>
  <c r="M316" i="18" s="1"/>
  <c r="U316" i="18" s="1"/>
  <c r="I703" i="18"/>
  <c r="N703" i="18" s="1"/>
  <c r="J703" i="18"/>
  <c r="O703" i="18" s="1"/>
  <c r="K703" i="18"/>
  <c r="L703" i="18"/>
  <c r="M703" i="18" s="1"/>
  <c r="U703" i="18" s="1"/>
  <c r="I224" i="18"/>
  <c r="N224" i="18" s="1"/>
  <c r="J224" i="18"/>
  <c r="O224" i="18" s="1"/>
  <c r="K224" i="18"/>
  <c r="L224" i="18"/>
  <c r="M224" i="18" s="1"/>
  <c r="U224" i="18" s="1"/>
  <c r="I482" i="18"/>
  <c r="N482" i="18" s="1"/>
  <c r="J482" i="18"/>
  <c r="O482" i="18" s="1"/>
  <c r="K482" i="18"/>
  <c r="L482" i="18"/>
  <c r="M482" i="18" s="1"/>
  <c r="U482" i="18" s="1"/>
  <c r="I144" i="18"/>
  <c r="N144" i="18" s="1"/>
  <c r="J144" i="18"/>
  <c r="O144" i="18" s="1"/>
  <c r="K144" i="18"/>
  <c r="L144" i="18"/>
  <c r="M144" i="18" s="1"/>
  <c r="U144" i="18" s="1"/>
  <c r="I135" i="18"/>
  <c r="N135" i="18" s="1"/>
  <c r="J135" i="18"/>
  <c r="O135" i="18" s="1"/>
  <c r="K135" i="18"/>
  <c r="L135" i="18"/>
  <c r="M135" i="18" s="1"/>
  <c r="U135" i="18" s="1"/>
  <c r="I569" i="18"/>
  <c r="N569" i="18" s="1"/>
  <c r="J569" i="18"/>
  <c r="O569" i="18" s="1"/>
  <c r="K569" i="18"/>
  <c r="L569" i="18"/>
  <c r="M569" i="18" s="1"/>
  <c r="U569" i="18" s="1"/>
  <c r="I266" i="18"/>
  <c r="N266" i="18" s="1"/>
  <c r="J266" i="18"/>
  <c r="O266" i="18" s="1"/>
  <c r="K266" i="18"/>
  <c r="L266" i="18"/>
  <c r="M266" i="18" s="1"/>
  <c r="U266" i="18" s="1"/>
  <c r="I536" i="18"/>
  <c r="N536" i="18" s="1"/>
  <c r="J536" i="18"/>
  <c r="O536" i="18" s="1"/>
  <c r="K536" i="18"/>
  <c r="L536" i="18"/>
  <c r="M536" i="18" s="1"/>
  <c r="U536" i="18" s="1"/>
  <c r="I849" i="18"/>
  <c r="N849" i="18" s="1"/>
  <c r="J849" i="18"/>
  <c r="O849" i="18" s="1"/>
  <c r="K849" i="18"/>
  <c r="L849" i="18"/>
  <c r="M849" i="18" s="1"/>
  <c r="I399" i="18"/>
  <c r="N399" i="18" s="1"/>
  <c r="J399" i="18"/>
  <c r="O399" i="18" s="1"/>
  <c r="K399" i="18"/>
  <c r="L399" i="18"/>
  <c r="M399" i="18" s="1"/>
  <c r="U399" i="18" s="1"/>
  <c r="I40" i="18"/>
  <c r="N40" i="18" s="1"/>
  <c r="J40" i="18"/>
  <c r="O40" i="18" s="1"/>
  <c r="AA40" i="18" s="1"/>
  <c r="K40" i="18"/>
  <c r="L40" i="18"/>
  <c r="M40" i="18" s="1"/>
  <c r="U40" i="18" s="1"/>
  <c r="I319" i="18"/>
  <c r="N319" i="18" s="1"/>
  <c r="J319" i="18"/>
  <c r="O319" i="18" s="1"/>
  <c r="K319" i="18"/>
  <c r="L319" i="18"/>
  <c r="M319" i="18" s="1"/>
  <c r="U319" i="18" s="1"/>
  <c r="I634" i="18"/>
  <c r="N634" i="18" s="1"/>
  <c r="J634" i="18"/>
  <c r="O634" i="18" s="1"/>
  <c r="K634" i="18"/>
  <c r="L634" i="18"/>
  <c r="M634" i="18" s="1"/>
  <c r="U634" i="18" s="1"/>
  <c r="I855" i="18"/>
  <c r="N855" i="18" s="1"/>
  <c r="J855" i="18"/>
  <c r="O855" i="18" s="1"/>
  <c r="K855" i="18"/>
  <c r="L855" i="18"/>
  <c r="M855" i="18" s="1"/>
  <c r="U855" i="18" s="1"/>
  <c r="I549" i="18"/>
  <c r="N549" i="18" s="1"/>
  <c r="AA549" i="18" s="1"/>
  <c r="J549" i="18"/>
  <c r="O549" i="18" s="1"/>
  <c r="K549" i="18"/>
  <c r="L549" i="18"/>
  <c r="M549" i="18" s="1"/>
  <c r="I196" i="18"/>
  <c r="N196" i="18" s="1"/>
  <c r="J196" i="18"/>
  <c r="O196" i="18" s="1"/>
  <c r="K196" i="18"/>
  <c r="L196" i="18"/>
  <c r="M196" i="18" s="1"/>
  <c r="I99" i="18"/>
  <c r="N99" i="18" s="1"/>
  <c r="J99" i="18"/>
  <c r="O99" i="18" s="1"/>
  <c r="K99" i="18"/>
  <c r="L99" i="18"/>
  <c r="M99" i="18" s="1"/>
  <c r="U99" i="18" s="1"/>
  <c r="I459" i="18"/>
  <c r="N459" i="18" s="1"/>
  <c r="J459" i="18"/>
  <c r="O459" i="18" s="1"/>
  <c r="K459" i="18"/>
  <c r="L459" i="18"/>
  <c r="M459" i="18" s="1"/>
  <c r="U459" i="18" s="1"/>
  <c r="I694" i="18"/>
  <c r="N694" i="18" s="1"/>
  <c r="J694" i="18"/>
  <c r="O694" i="18" s="1"/>
  <c r="K694" i="18"/>
  <c r="L694" i="18"/>
  <c r="M694" i="18" s="1"/>
  <c r="U694" i="18" s="1"/>
  <c r="I684" i="18"/>
  <c r="N684" i="18" s="1"/>
  <c r="J684" i="18"/>
  <c r="O684" i="18" s="1"/>
  <c r="K684" i="18"/>
  <c r="L684" i="18"/>
  <c r="M684" i="18" s="1"/>
  <c r="U684" i="18" s="1"/>
  <c r="I301" i="18"/>
  <c r="N301" i="18" s="1"/>
  <c r="J301" i="18"/>
  <c r="O301" i="18" s="1"/>
  <c r="AA301" i="18" s="1"/>
  <c r="K301" i="18"/>
  <c r="L301" i="18"/>
  <c r="M301" i="18" s="1"/>
  <c r="U301" i="18" s="1"/>
  <c r="I925" i="18"/>
  <c r="N925" i="18" s="1"/>
  <c r="J925" i="18"/>
  <c r="O925" i="18" s="1"/>
  <c r="K925" i="18"/>
  <c r="L925" i="18"/>
  <c r="M925" i="18" s="1"/>
  <c r="U925" i="18" s="1"/>
  <c r="I927" i="18"/>
  <c r="N927" i="18" s="1"/>
  <c r="J927" i="18"/>
  <c r="O927" i="18" s="1"/>
  <c r="K927" i="18"/>
  <c r="L927" i="18"/>
  <c r="M927" i="18" s="1"/>
  <c r="U927" i="18" s="1"/>
  <c r="I289" i="18"/>
  <c r="N289" i="18" s="1"/>
  <c r="J289" i="18"/>
  <c r="O289" i="18" s="1"/>
  <c r="K289" i="18"/>
  <c r="L289" i="18"/>
  <c r="M289" i="18" s="1"/>
  <c r="U289" i="18" s="1"/>
  <c r="I356" i="18"/>
  <c r="N356" i="18" s="1"/>
  <c r="AA356" i="18" s="1"/>
  <c r="J356" i="18"/>
  <c r="O356" i="18" s="1"/>
  <c r="K356" i="18"/>
  <c r="L356" i="18"/>
  <c r="M356" i="18" s="1"/>
  <c r="U356" i="18" s="1"/>
  <c r="I514" i="18"/>
  <c r="N514" i="18" s="1"/>
  <c r="J514" i="18"/>
  <c r="O514" i="18" s="1"/>
  <c r="AA514" i="18" s="1"/>
  <c r="K514" i="18"/>
  <c r="L514" i="18"/>
  <c r="M514" i="18" s="1"/>
  <c r="U514" i="18" s="1"/>
  <c r="I441" i="18"/>
  <c r="N441" i="18" s="1"/>
  <c r="J441" i="18"/>
  <c r="O441" i="18" s="1"/>
  <c r="K441" i="18"/>
  <c r="L441" i="18"/>
  <c r="M441" i="18" s="1"/>
  <c r="U441" i="18" s="1"/>
  <c r="I479" i="18"/>
  <c r="N479" i="18" s="1"/>
  <c r="J479" i="18"/>
  <c r="O479" i="18" s="1"/>
  <c r="K479" i="18"/>
  <c r="L479" i="18"/>
  <c r="M479" i="18" s="1"/>
  <c r="U479" i="18" s="1"/>
  <c r="I347" i="18"/>
  <c r="N347" i="18" s="1"/>
  <c r="J347" i="18"/>
  <c r="O347" i="18" s="1"/>
  <c r="K347" i="18"/>
  <c r="L347" i="18"/>
  <c r="M347" i="18" s="1"/>
  <c r="I79" i="18"/>
  <c r="N79" i="18" s="1"/>
  <c r="J79" i="18"/>
  <c r="O79" i="18" s="1"/>
  <c r="K79" i="18"/>
  <c r="L79" i="18"/>
  <c r="M79" i="18" s="1"/>
  <c r="U79" i="18" s="1"/>
  <c r="I171" i="18"/>
  <c r="N171" i="18" s="1"/>
  <c r="J171" i="18"/>
  <c r="O171" i="18" s="1"/>
  <c r="K171" i="18"/>
  <c r="L171" i="18"/>
  <c r="M171" i="18" s="1"/>
  <c r="U171" i="18" s="1"/>
  <c r="I249" i="18"/>
  <c r="N249" i="18" s="1"/>
  <c r="J249" i="18"/>
  <c r="O249" i="18" s="1"/>
  <c r="K249" i="18"/>
  <c r="L249" i="18"/>
  <c r="M249" i="18" s="1"/>
  <c r="U249" i="18" s="1"/>
  <c r="I454" i="18"/>
  <c r="N454" i="18" s="1"/>
  <c r="J454" i="18"/>
  <c r="O454" i="18" s="1"/>
  <c r="K454" i="18"/>
  <c r="L454" i="18"/>
  <c r="M454" i="18" s="1"/>
  <c r="U454" i="18" s="1"/>
  <c r="I133" i="18"/>
  <c r="N133" i="18" s="1"/>
  <c r="J133" i="18"/>
  <c r="O133" i="18" s="1"/>
  <c r="K133" i="18"/>
  <c r="L133" i="18"/>
  <c r="M133" i="18" s="1"/>
  <c r="U133" i="18" s="1"/>
  <c r="I898" i="18"/>
  <c r="N898" i="18" s="1"/>
  <c r="J898" i="18"/>
  <c r="O898" i="18" s="1"/>
  <c r="K898" i="18"/>
  <c r="L898" i="18"/>
  <c r="M898" i="18" s="1"/>
  <c r="I622" i="18"/>
  <c r="N622" i="18" s="1"/>
  <c r="J622" i="18"/>
  <c r="O622" i="18" s="1"/>
  <c r="K622" i="18"/>
  <c r="L622" i="18"/>
  <c r="M622" i="18" s="1"/>
  <c r="I974" i="18"/>
  <c r="N974" i="18" s="1"/>
  <c r="J974" i="18"/>
  <c r="O974" i="18" s="1"/>
  <c r="K974" i="18"/>
  <c r="L974" i="18"/>
  <c r="M974" i="18" s="1"/>
  <c r="U974" i="18" s="1"/>
  <c r="I853" i="18"/>
  <c r="N853" i="18" s="1"/>
  <c r="J853" i="18"/>
  <c r="O853" i="18" s="1"/>
  <c r="K853" i="18"/>
  <c r="L853" i="18"/>
  <c r="M853" i="18" s="1"/>
  <c r="U853" i="18" s="1"/>
  <c r="I417" i="18"/>
  <c r="N417" i="18" s="1"/>
  <c r="J417" i="18"/>
  <c r="O417" i="18" s="1"/>
  <c r="K417" i="18"/>
  <c r="L417" i="18"/>
  <c r="M417" i="18" s="1"/>
  <c r="U417" i="18" s="1"/>
  <c r="I794" i="18"/>
  <c r="N794" i="18" s="1"/>
  <c r="J794" i="18"/>
  <c r="O794" i="18" s="1"/>
  <c r="K794" i="18"/>
  <c r="L794" i="18"/>
  <c r="M794" i="18" s="1"/>
  <c r="U794" i="18" s="1"/>
  <c r="I701" i="18"/>
  <c r="N701" i="18" s="1"/>
  <c r="J701" i="18"/>
  <c r="O701" i="18" s="1"/>
  <c r="K701" i="18"/>
  <c r="L701" i="18"/>
  <c r="M701" i="18" s="1"/>
  <c r="U701" i="18" s="1"/>
  <c r="I516" i="18"/>
  <c r="N516" i="18" s="1"/>
  <c r="J516" i="18"/>
  <c r="O516" i="18" s="1"/>
  <c r="K516" i="18"/>
  <c r="L516" i="18"/>
  <c r="M516" i="18" s="1"/>
  <c r="U516" i="18" s="1"/>
  <c r="I945" i="18"/>
  <c r="N945" i="18" s="1"/>
  <c r="J945" i="18"/>
  <c r="O945" i="18" s="1"/>
  <c r="K945" i="18"/>
  <c r="L945" i="18"/>
  <c r="M945" i="18" s="1"/>
  <c r="U945" i="18" s="1"/>
  <c r="I116" i="18"/>
  <c r="N116" i="18" s="1"/>
  <c r="J116" i="18"/>
  <c r="O116" i="18" s="1"/>
  <c r="K116" i="18"/>
  <c r="L116" i="18"/>
  <c r="M116" i="18" s="1"/>
  <c r="U116" i="18" s="1"/>
  <c r="I349" i="18"/>
  <c r="N349" i="18" s="1"/>
  <c r="AA349" i="18" s="1"/>
  <c r="J349" i="18"/>
  <c r="O349" i="18" s="1"/>
  <c r="K349" i="18"/>
  <c r="L349" i="18"/>
  <c r="M349" i="18" s="1"/>
  <c r="U349" i="18" s="1"/>
  <c r="I865" i="18"/>
  <c r="N865" i="18" s="1"/>
  <c r="J865" i="18"/>
  <c r="O865" i="18" s="1"/>
  <c r="K865" i="18"/>
  <c r="L865" i="18"/>
  <c r="M865" i="18" s="1"/>
  <c r="U865" i="18" s="1"/>
  <c r="I602" i="18"/>
  <c r="N602" i="18" s="1"/>
  <c r="J602" i="18"/>
  <c r="O602" i="18" s="1"/>
  <c r="K602" i="18"/>
  <c r="L602" i="18"/>
  <c r="M602" i="18" s="1"/>
  <c r="U602" i="18" s="1"/>
  <c r="I254" i="18"/>
  <c r="N254" i="18" s="1"/>
  <c r="J254" i="18"/>
  <c r="O254" i="18" s="1"/>
  <c r="K254" i="18"/>
  <c r="L254" i="18"/>
  <c r="M254" i="18" s="1"/>
  <c r="U254" i="18" s="1"/>
  <c r="I411" i="18"/>
  <c r="N411" i="18" s="1"/>
  <c r="J411" i="18"/>
  <c r="O411" i="18" s="1"/>
  <c r="K411" i="18"/>
  <c r="L411" i="18"/>
  <c r="M411" i="18" s="1"/>
  <c r="I643" i="18"/>
  <c r="N643" i="18" s="1"/>
  <c r="J643" i="18"/>
  <c r="O643" i="18" s="1"/>
  <c r="K643" i="18"/>
  <c r="L643" i="18"/>
  <c r="M643" i="18" s="1"/>
  <c r="U643" i="18" s="1"/>
  <c r="I375" i="18"/>
  <c r="N375" i="18" s="1"/>
  <c r="J375" i="18"/>
  <c r="O375" i="18" s="1"/>
  <c r="AA375" i="18" s="1"/>
  <c r="K375" i="18"/>
  <c r="L375" i="18"/>
  <c r="M375" i="18" s="1"/>
  <c r="U375" i="18" s="1"/>
  <c r="I102" i="18"/>
  <c r="N102" i="18" s="1"/>
  <c r="J102" i="18"/>
  <c r="O102" i="18" s="1"/>
  <c r="K102" i="18"/>
  <c r="L102" i="18"/>
  <c r="M102" i="18" s="1"/>
  <c r="U102" i="18" s="1"/>
  <c r="I475" i="18"/>
  <c r="N475" i="18" s="1"/>
  <c r="J475" i="18"/>
  <c r="O475" i="18" s="1"/>
  <c r="K475" i="18"/>
  <c r="L475" i="18"/>
  <c r="M475" i="18" s="1"/>
  <c r="U475" i="18" s="1"/>
  <c r="I8" i="18"/>
  <c r="N8" i="18" s="1"/>
  <c r="J8" i="18"/>
  <c r="O8" i="18" s="1"/>
  <c r="K8" i="18"/>
  <c r="L8" i="18"/>
  <c r="M8" i="18" s="1"/>
  <c r="U8" i="18" s="1"/>
  <c r="I979" i="18"/>
  <c r="N979" i="18" s="1"/>
  <c r="J979" i="18"/>
  <c r="O979" i="18" s="1"/>
  <c r="K979" i="18"/>
  <c r="L979" i="18"/>
  <c r="M979" i="18" s="1"/>
  <c r="I352" i="18"/>
  <c r="N352" i="18" s="1"/>
  <c r="J352" i="18"/>
  <c r="O352" i="18" s="1"/>
  <c r="AA352" i="18" s="1"/>
  <c r="K352" i="18"/>
  <c r="L352" i="18"/>
  <c r="M352" i="18" s="1"/>
  <c r="I660" i="18"/>
  <c r="N660" i="18" s="1"/>
  <c r="J660" i="18"/>
  <c r="O660" i="18" s="1"/>
  <c r="AA660" i="18" s="1"/>
  <c r="K660" i="18"/>
  <c r="L660" i="18"/>
  <c r="M660" i="18" s="1"/>
  <c r="U660" i="18" s="1"/>
  <c r="I355" i="18"/>
  <c r="N355" i="18" s="1"/>
  <c r="J355" i="18"/>
  <c r="O355" i="18" s="1"/>
  <c r="K355" i="18"/>
  <c r="L355" i="18"/>
  <c r="M355" i="18" s="1"/>
  <c r="U355" i="18" s="1"/>
  <c r="I722" i="18"/>
  <c r="N722" i="18" s="1"/>
  <c r="J722" i="18"/>
  <c r="O722" i="18" s="1"/>
  <c r="K722" i="18"/>
  <c r="L722" i="18"/>
  <c r="M722" i="18" s="1"/>
  <c r="U722" i="18" s="1"/>
  <c r="I977" i="18"/>
  <c r="N977" i="18" s="1"/>
  <c r="AA977" i="18" s="1"/>
  <c r="J977" i="18"/>
  <c r="O977" i="18" s="1"/>
  <c r="K977" i="18"/>
  <c r="L977" i="18"/>
  <c r="M977" i="18" s="1"/>
  <c r="U977" i="18" s="1"/>
  <c r="I125" i="18"/>
  <c r="N125" i="18" s="1"/>
  <c r="J125" i="18"/>
  <c r="O125" i="18" s="1"/>
  <c r="K125" i="18"/>
  <c r="L125" i="18"/>
  <c r="M125" i="18" s="1"/>
  <c r="U125" i="18" s="1"/>
  <c r="I654" i="18"/>
  <c r="N654" i="18" s="1"/>
  <c r="J654" i="18"/>
  <c r="O654" i="18" s="1"/>
  <c r="K654" i="18"/>
  <c r="L654" i="18"/>
  <c r="M654" i="18" s="1"/>
  <c r="U654" i="18" s="1"/>
  <c r="I182" i="18"/>
  <c r="N182" i="18" s="1"/>
  <c r="J182" i="18"/>
  <c r="O182" i="18" s="1"/>
  <c r="K182" i="18"/>
  <c r="L182" i="18"/>
  <c r="M182" i="18" s="1"/>
  <c r="U182" i="18" s="1"/>
  <c r="I789" i="18"/>
  <c r="N789" i="18" s="1"/>
  <c r="J789" i="18"/>
  <c r="O789" i="18" s="1"/>
  <c r="K789" i="18"/>
  <c r="L789" i="18"/>
  <c r="M789" i="18" s="1"/>
  <c r="U789" i="18" s="1"/>
  <c r="I790" i="18"/>
  <c r="N790" i="18" s="1"/>
  <c r="J790" i="18"/>
  <c r="O790" i="18" s="1"/>
  <c r="K790" i="18"/>
  <c r="L790" i="18"/>
  <c r="M790" i="18" s="1"/>
  <c r="U790" i="18" s="1"/>
  <c r="I574" i="18"/>
  <c r="N574" i="18" s="1"/>
  <c r="J574" i="18"/>
  <c r="O574" i="18" s="1"/>
  <c r="K574" i="18"/>
  <c r="L574" i="18"/>
  <c r="M574" i="18" s="1"/>
  <c r="U574" i="18" s="1"/>
  <c r="I252" i="18"/>
  <c r="N252" i="18" s="1"/>
  <c r="J252" i="18"/>
  <c r="O252" i="18" s="1"/>
  <c r="K252" i="18"/>
  <c r="L252" i="18"/>
  <c r="M252" i="18" s="1"/>
  <c r="U252" i="18" s="1"/>
  <c r="I93" i="18"/>
  <c r="N93" i="18" s="1"/>
  <c r="J93" i="18"/>
  <c r="O93" i="18" s="1"/>
  <c r="K93" i="18"/>
  <c r="L93" i="18"/>
  <c r="M93" i="18" s="1"/>
  <c r="U93" i="18" s="1"/>
  <c r="I566" i="18"/>
  <c r="N566" i="18" s="1"/>
  <c r="J566" i="18"/>
  <c r="O566" i="18" s="1"/>
  <c r="K566" i="18"/>
  <c r="L566" i="18"/>
  <c r="M566" i="18" s="1"/>
  <c r="I308" i="18"/>
  <c r="N308" i="18" s="1"/>
  <c r="AA308" i="18" s="1"/>
  <c r="J308" i="18"/>
  <c r="O308" i="18" s="1"/>
  <c r="K308" i="18"/>
  <c r="L308" i="18"/>
  <c r="M308" i="18" s="1"/>
  <c r="U308" i="18" s="1"/>
  <c r="I139" i="18"/>
  <c r="N139" i="18" s="1"/>
  <c r="J139" i="18"/>
  <c r="O139" i="18" s="1"/>
  <c r="AA139" i="18" s="1"/>
  <c r="K139" i="18"/>
  <c r="L139" i="18"/>
  <c r="M139" i="18" s="1"/>
  <c r="U139" i="18" s="1"/>
  <c r="I437" i="18"/>
  <c r="N437" i="18" s="1"/>
  <c r="J437" i="18"/>
  <c r="O437" i="18" s="1"/>
  <c r="K437" i="18"/>
  <c r="L437" i="18"/>
  <c r="M437" i="18" s="1"/>
  <c r="U437" i="18" s="1"/>
  <c r="I480" i="18"/>
  <c r="N480" i="18" s="1"/>
  <c r="J480" i="18"/>
  <c r="O480" i="18" s="1"/>
  <c r="K480" i="18"/>
  <c r="L480" i="18"/>
  <c r="M480" i="18" s="1"/>
  <c r="U480" i="18" s="1"/>
  <c r="I924" i="18"/>
  <c r="N924" i="18" s="1"/>
  <c r="J924" i="18"/>
  <c r="O924" i="18" s="1"/>
  <c r="K924" i="18"/>
  <c r="L924" i="18"/>
  <c r="M924" i="18" s="1"/>
  <c r="U924" i="18" s="1"/>
  <c r="I571" i="18"/>
  <c r="N571" i="18" s="1"/>
  <c r="AA571" i="18" s="1"/>
  <c r="J571" i="18"/>
  <c r="O571" i="18" s="1"/>
  <c r="K571" i="18"/>
  <c r="L571" i="18"/>
  <c r="M571" i="18" s="1"/>
  <c r="I698" i="18"/>
  <c r="N698" i="18" s="1"/>
  <c r="J698" i="18"/>
  <c r="O698" i="18" s="1"/>
  <c r="AA698" i="18" s="1"/>
  <c r="K698" i="18"/>
  <c r="L698" i="18"/>
  <c r="M698" i="18" s="1"/>
  <c r="I212" i="18"/>
  <c r="N212" i="18" s="1"/>
  <c r="J212" i="18"/>
  <c r="O212" i="18" s="1"/>
  <c r="K212" i="18"/>
  <c r="L212" i="18"/>
  <c r="M212" i="18" s="1"/>
  <c r="U212" i="18" s="1"/>
  <c r="I895" i="18"/>
  <c r="N895" i="18" s="1"/>
  <c r="J895" i="18"/>
  <c r="O895" i="18" s="1"/>
  <c r="K895" i="18"/>
  <c r="L895" i="18"/>
  <c r="M895" i="18" s="1"/>
  <c r="U895" i="18" s="1"/>
  <c r="I626" i="18"/>
  <c r="N626" i="18" s="1"/>
  <c r="J626" i="18"/>
  <c r="O626" i="18" s="1"/>
  <c r="K626" i="18"/>
  <c r="L626" i="18"/>
  <c r="M626" i="18" s="1"/>
  <c r="U626" i="18" s="1"/>
  <c r="I150" i="18"/>
  <c r="N150" i="18" s="1"/>
  <c r="AA150" i="18" s="1"/>
  <c r="J150" i="18"/>
  <c r="O150" i="18" s="1"/>
  <c r="K150" i="18"/>
  <c r="L150" i="18"/>
  <c r="M150" i="18" s="1"/>
  <c r="U150" i="18" s="1"/>
  <c r="I283" i="18"/>
  <c r="N283" i="18" s="1"/>
  <c r="J283" i="18"/>
  <c r="O283" i="18" s="1"/>
  <c r="AA283" i="18" s="1"/>
  <c r="K283" i="18"/>
  <c r="L283" i="18"/>
  <c r="M283" i="18" s="1"/>
  <c r="U283" i="18" s="1"/>
  <c r="I955" i="18"/>
  <c r="N955" i="18" s="1"/>
  <c r="J955" i="18"/>
  <c r="O955" i="18" s="1"/>
  <c r="K955" i="18"/>
  <c r="L955" i="18"/>
  <c r="M955" i="18" s="1"/>
  <c r="U955" i="18" s="1"/>
  <c r="I576" i="18"/>
  <c r="N576" i="18" s="1"/>
  <c r="J576" i="18"/>
  <c r="O576" i="18" s="1"/>
  <c r="K576" i="18"/>
  <c r="L576" i="18"/>
  <c r="M576" i="18" s="1"/>
  <c r="U576" i="18" s="1"/>
  <c r="I157" i="18"/>
  <c r="N157" i="18" s="1"/>
  <c r="J157" i="18"/>
  <c r="O157" i="18" s="1"/>
  <c r="K157" i="18"/>
  <c r="L157" i="18"/>
  <c r="M157" i="18" s="1"/>
  <c r="U157" i="18" s="1"/>
  <c r="I86" i="18"/>
  <c r="N86" i="18" s="1"/>
  <c r="J86" i="18"/>
  <c r="O86" i="18" s="1"/>
  <c r="K86" i="18"/>
  <c r="L86" i="18"/>
  <c r="M86" i="18" s="1"/>
  <c r="U86" i="18" s="1"/>
  <c r="I736" i="18"/>
  <c r="N736" i="18" s="1"/>
  <c r="J736" i="18"/>
  <c r="O736" i="18" s="1"/>
  <c r="K736" i="18"/>
  <c r="L736" i="18"/>
  <c r="M736" i="18" s="1"/>
  <c r="U736" i="18" s="1"/>
  <c r="I737" i="18"/>
  <c r="N737" i="18" s="1"/>
  <c r="J737" i="18"/>
  <c r="O737" i="18" s="1"/>
  <c r="K737" i="18"/>
  <c r="L737" i="18"/>
  <c r="M737" i="18" s="1"/>
  <c r="U737" i="18" s="1"/>
  <c r="I538" i="18"/>
  <c r="N538" i="18" s="1"/>
  <c r="J538" i="18"/>
  <c r="O538" i="18" s="1"/>
  <c r="AA538" i="18" s="1"/>
  <c r="K538" i="18"/>
  <c r="L538" i="18"/>
  <c r="M538" i="18" s="1"/>
  <c r="U538" i="18" s="1"/>
  <c r="I619" i="18"/>
  <c r="N619" i="18" s="1"/>
  <c r="J619" i="18"/>
  <c r="O619" i="18" s="1"/>
  <c r="K619" i="18"/>
  <c r="L619" i="18"/>
  <c r="M619" i="18" s="1"/>
  <c r="I247" i="18"/>
  <c r="N247" i="18" s="1"/>
  <c r="AA247" i="18" s="1"/>
  <c r="J247" i="18"/>
  <c r="O247" i="18" s="1"/>
  <c r="K247" i="18"/>
  <c r="L247" i="18"/>
  <c r="M247" i="18" s="1"/>
  <c r="U247" i="18" s="1"/>
  <c r="I327" i="18"/>
  <c r="N327" i="18" s="1"/>
  <c r="J327" i="18"/>
  <c r="O327" i="18" s="1"/>
  <c r="AA327" i="18" s="1"/>
  <c r="K327" i="18"/>
  <c r="L327" i="18"/>
  <c r="M327" i="18" s="1"/>
  <c r="U327" i="18" s="1"/>
  <c r="I935" i="18"/>
  <c r="N935" i="18" s="1"/>
  <c r="J935" i="18"/>
  <c r="O935" i="18" s="1"/>
  <c r="K935" i="18"/>
  <c r="L935" i="18"/>
  <c r="M935" i="18" s="1"/>
  <c r="U935" i="18" s="1"/>
  <c r="I913" i="18"/>
  <c r="N913" i="18" s="1"/>
  <c r="J913" i="18"/>
  <c r="O913" i="18" s="1"/>
  <c r="K913" i="18"/>
  <c r="L913" i="18"/>
  <c r="M913" i="18" s="1"/>
  <c r="U913" i="18" s="1"/>
  <c r="I369" i="18"/>
  <c r="N369" i="18" s="1"/>
  <c r="J369" i="18"/>
  <c r="O369" i="18" s="1"/>
  <c r="K369" i="18"/>
  <c r="L369" i="18"/>
  <c r="M369" i="18" s="1"/>
  <c r="U369" i="18" s="1"/>
  <c r="I477" i="18"/>
  <c r="N477" i="18" s="1"/>
  <c r="J477" i="18"/>
  <c r="O477" i="18" s="1"/>
  <c r="K477" i="18"/>
  <c r="L477" i="18"/>
  <c r="M477" i="18" s="1"/>
  <c r="I140" i="18"/>
  <c r="N140" i="18" s="1"/>
  <c r="J140" i="18"/>
  <c r="O140" i="18" s="1"/>
  <c r="K140" i="18"/>
  <c r="L140" i="18"/>
  <c r="M140" i="18" s="1"/>
  <c r="I145" i="18"/>
  <c r="N145" i="18" s="1"/>
  <c r="J145" i="18"/>
  <c r="O145" i="18" s="1"/>
  <c r="K145" i="18"/>
  <c r="L145" i="18"/>
  <c r="M145" i="18" s="1"/>
  <c r="U145" i="18" s="1"/>
  <c r="I782" i="18"/>
  <c r="N782" i="18" s="1"/>
  <c r="J782" i="18"/>
  <c r="O782" i="18" s="1"/>
  <c r="K782" i="18"/>
  <c r="L782" i="18"/>
  <c r="M782" i="18" s="1"/>
  <c r="U782" i="18" s="1"/>
  <c r="I568" i="18"/>
  <c r="N568" i="18" s="1"/>
  <c r="J568" i="18"/>
  <c r="O568" i="18" s="1"/>
  <c r="K568" i="18"/>
  <c r="L568" i="18"/>
  <c r="M568" i="18" s="1"/>
  <c r="U568" i="18" s="1"/>
  <c r="I380" i="18"/>
  <c r="N380" i="18" s="1"/>
  <c r="AA380" i="18" s="1"/>
  <c r="J380" i="18"/>
  <c r="O380" i="18" s="1"/>
  <c r="K380" i="18"/>
  <c r="L380" i="18"/>
  <c r="M380" i="18" s="1"/>
  <c r="U380" i="18" s="1"/>
  <c r="I893" i="18"/>
  <c r="N893" i="18" s="1"/>
  <c r="J893" i="18"/>
  <c r="O893" i="18" s="1"/>
  <c r="K893" i="18"/>
  <c r="L893" i="18"/>
  <c r="M893" i="18" s="1"/>
  <c r="U893" i="18" s="1"/>
  <c r="I221" i="18"/>
  <c r="N221" i="18" s="1"/>
  <c r="J221" i="18"/>
  <c r="O221" i="18" s="1"/>
  <c r="K221" i="18"/>
  <c r="L221" i="18"/>
  <c r="M221" i="18" s="1"/>
  <c r="U221" i="18" s="1"/>
  <c r="I22" i="18"/>
  <c r="N22" i="18" s="1"/>
  <c r="J22" i="18"/>
  <c r="O22" i="18" s="1"/>
  <c r="K22" i="18"/>
  <c r="L22" i="18"/>
  <c r="M22" i="18" s="1"/>
  <c r="U22" i="18" s="1"/>
  <c r="I215" i="18"/>
  <c r="N215" i="18" s="1"/>
  <c r="J215" i="18"/>
  <c r="O215" i="18" s="1"/>
  <c r="K215" i="18"/>
  <c r="L215" i="18"/>
  <c r="M215" i="18" s="1"/>
  <c r="U215" i="18" s="1"/>
  <c r="I676" i="18"/>
  <c r="N676" i="18" s="1"/>
  <c r="J676" i="18"/>
  <c r="O676" i="18" s="1"/>
  <c r="K676" i="18"/>
  <c r="L676" i="18"/>
  <c r="M676" i="18" s="1"/>
  <c r="U676" i="18" s="1"/>
  <c r="I675" i="18"/>
  <c r="N675" i="18" s="1"/>
  <c r="J675" i="18"/>
  <c r="O675" i="18" s="1"/>
  <c r="K675" i="18"/>
  <c r="L675" i="18"/>
  <c r="M675" i="18" s="1"/>
  <c r="U675" i="18" s="1"/>
  <c r="I688" i="18"/>
  <c r="N688" i="18" s="1"/>
  <c r="J688" i="18"/>
  <c r="O688" i="18" s="1"/>
  <c r="K688" i="18"/>
  <c r="L688" i="18"/>
  <c r="M688" i="18" s="1"/>
  <c r="U688" i="18" s="1"/>
  <c r="I680" i="18"/>
  <c r="N680" i="18" s="1"/>
  <c r="J680" i="18"/>
  <c r="O680" i="18" s="1"/>
  <c r="K680" i="18"/>
  <c r="L680" i="18"/>
  <c r="M680" i="18" s="1"/>
  <c r="U680" i="18" s="1"/>
  <c r="I279" i="18"/>
  <c r="N279" i="18" s="1"/>
  <c r="J279" i="18"/>
  <c r="O279" i="18" s="1"/>
  <c r="K279" i="18"/>
  <c r="L279" i="18"/>
  <c r="M279" i="18" s="1"/>
  <c r="I966" i="18"/>
  <c r="N966" i="18" s="1"/>
  <c r="J966" i="18"/>
  <c r="O966" i="18" s="1"/>
  <c r="K966" i="18"/>
  <c r="L966" i="18"/>
  <c r="M966" i="18" s="1"/>
  <c r="U966" i="18" s="1"/>
  <c r="I705" i="18"/>
  <c r="N705" i="18" s="1"/>
  <c r="J705" i="18"/>
  <c r="O705" i="18" s="1"/>
  <c r="AA705" i="18" s="1"/>
  <c r="K705" i="18"/>
  <c r="L705" i="18"/>
  <c r="M705" i="18" s="1"/>
  <c r="U705" i="18" s="1"/>
  <c r="I137" i="18"/>
  <c r="N137" i="18" s="1"/>
  <c r="J137" i="18"/>
  <c r="O137" i="18" s="1"/>
  <c r="AA137" i="18" s="1"/>
  <c r="K137" i="18"/>
  <c r="L137" i="18"/>
  <c r="M137" i="18" s="1"/>
  <c r="U137" i="18" s="1"/>
  <c r="I259" i="18"/>
  <c r="N259" i="18" s="1"/>
  <c r="J259" i="18"/>
  <c r="O259" i="18" s="1"/>
  <c r="K259" i="18"/>
  <c r="L259" i="18"/>
  <c r="M259" i="18" s="1"/>
  <c r="U259" i="18" s="1"/>
  <c r="I555" i="18"/>
  <c r="N555" i="18" s="1"/>
  <c r="J555" i="18"/>
  <c r="O555" i="18" s="1"/>
  <c r="K555" i="18"/>
  <c r="L555" i="18"/>
  <c r="M555" i="18" s="1"/>
  <c r="U555" i="18" s="1"/>
  <c r="I274" i="18"/>
  <c r="N274" i="18" s="1"/>
  <c r="J274" i="18"/>
  <c r="O274" i="18" s="1"/>
  <c r="K274" i="18"/>
  <c r="L274" i="18"/>
  <c r="M274" i="18" s="1"/>
  <c r="I195" i="18"/>
  <c r="N195" i="18" s="1"/>
  <c r="J195" i="18"/>
  <c r="O195" i="18" s="1"/>
  <c r="K195" i="18"/>
  <c r="L195" i="18"/>
  <c r="M195" i="18" s="1"/>
  <c r="I547" i="18"/>
  <c r="N547" i="18" s="1"/>
  <c r="J547" i="18"/>
  <c r="O547" i="18" s="1"/>
  <c r="K547" i="18"/>
  <c r="L547" i="18"/>
  <c r="M547" i="18" s="1"/>
  <c r="U547" i="18" s="1"/>
  <c r="I232" i="18"/>
  <c r="N232" i="18" s="1"/>
  <c r="J232" i="18"/>
  <c r="O232" i="18" s="1"/>
  <c r="K232" i="18"/>
  <c r="L232" i="18"/>
  <c r="M232" i="18" s="1"/>
  <c r="U232" i="18" s="1"/>
  <c r="I59" i="18"/>
  <c r="N59" i="18" s="1"/>
  <c r="J59" i="18"/>
  <c r="O59" i="18" s="1"/>
  <c r="K59" i="18"/>
  <c r="L59" i="18"/>
  <c r="M59" i="18" s="1"/>
  <c r="U59" i="18" s="1"/>
  <c r="I231" i="18"/>
  <c r="N231" i="18" s="1"/>
  <c r="J231" i="18"/>
  <c r="O231" i="18" s="1"/>
  <c r="K231" i="18"/>
  <c r="L231" i="18"/>
  <c r="M231" i="18" s="1"/>
  <c r="U231" i="18" s="1"/>
  <c r="I967" i="18"/>
  <c r="N967" i="18" s="1"/>
  <c r="J967" i="18"/>
  <c r="O967" i="18" s="1"/>
  <c r="K967" i="18"/>
  <c r="L967" i="18"/>
  <c r="M967" i="18" s="1"/>
  <c r="U967" i="18" s="1"/>
  <c r="I835" i="18"/>
  <c r="N835" i="18" s="1"/>
  <c r="J835" i="18"/>
  <c r="O835" i="18" s="1"/>
  <c r="K835" i="18"/>
  <c r="L835" i="18"/>
  <c r="M835" i="18" s="1"/>
  <c r="U835" i="18" s="1"/>
  <c r="I357" i="18"/>
  <c r="N357" i="18" s="1"/>
  <c r="J357" i="18"/>
  <c r="O357" i="18" s="1"/>
  <c r="K357" i="18"/>
  <c r="L357" i="18"/>
  <c r="M357" i="18" s="1"/>
  <c r="U357" i="18" s="1"/>
  <c r="I847" i="18"/>
  <c r="N847" i="18" s="1"/>
  <c r="J847" i="18"/>
  <c r="O847" i="18" s="1"/>
  <c r="K847" i="18"/>
  <c r="L847" i="18"/>
  <c r="M847" i="18" s="1"/>
  <c r="U847" i="18" s="1"/>
  <c r="I889" i="18"/>
  <c r="N889" i="18" s="1"/>
  <c r="AA889" i="18" s="1"/>
  <c r="J889" i="18"/>
  <c r="O889" i="18" s="1"/>
  <c r="K889" i="18"/>
  <c r="L889" i="18"/>
  <c r="M889" i="18" s="1"/>
  <c r="U889" i="18" s="1"/>
  <c r="I655" i="18"/>
  <c r="N655" i="18" s="1"/>
  <c r="J655" i="18"/>
  <c r="O655" i="18" s="1"/>
  <c r="AA655" i="18" s="1"/>
  <c r="K655" i="18"/>
  <c r="L655" i="18"/>
  <c r="M655" i="18" s="1"/>
  <c r="U655" i="18" s="1"/>
  <c r="I595" i="18"/>
  <c r="N595" i="18" s="1"/>
  <c r="J595" i="18"/>
  <c r="O595" i="18" s="1"/>
  <c r="K595" i="18"/>
  <c r="L595" i="18"/>
  <c r="M595" i="18" s="1"/>
  <c r="U595" i="18" s="1"/>
  <c r="I911" i="18"/>
  <c r="N911" i="18" s="1"/>
  <c r="J911" i="18"/>
  <c r="O911" i="18" s="1"/>
  <c r="K911" i="18"/>
  <c r="L911" i="18"/>
  <c r="M911" i="18" s="1"/>
  <c r="U911" i="18" s="1"/>
  <c r="I773" i="18"/>
  <c r="N773" i="18" s="1"/>
  <c r="J773" i="18"/>
  <c r="O773" i="18" s="1"/>
  <c r="K773" i="18"/>
  <c r="L773" i="18"/>
  <c r="M773" i="18" s="1"/>
  <c r="I611" i="18"/>
  <c r="N611" i="18" s="1"/>
  <c r="J611" i="18"/>
  <c r="O611" i="18" s="1"/>
  <c r="K611" i="18"/>
  <c r="L611" i="18"/>
  <c r="M611" i="18" s="1"/>
  <c r="U611" i="18" s="1"/>
  <c r="I190" i="18"/>
  <c r="N190" i="18" s="1"/>
  <c r="J190" i="18"/>
  <c r="O190" i="18" s="1"/>
  <c r="K190" i="18"/>
  <c r="L190" i="18"/>
  <c r="M190" i="18" s="1"/>
  <c r="U190" i="18" s="1"/>
  <c r="I141" i="18"/>
  <c r="N141" i="18" s="1"/>
  <c r="J141" i="18"/>
  <c r="O141" i="18" s="1"/>
  <c r="AA141" i="18" s="1"/>
  <c r="K141" i="18"/>
  <c r="L141" i="18"/>
  <c r="M141" i="18" s="1"/>
  <c r="U141" i="18" s="1"/>
  <c r="I148" i="18"/>
  <c r="N148" i="18" s="1"/>
  <c r="J148" i="18"/>
  <c r="O148" i="18" s="1"/>
  <c r="K148" i="18"/>
  <c r="L148" i="18"/>
  <c r="M148" i="18" s="1"/>
  <c r="U148" i="18" s="1"/>
  <c r="I457" i="18"/>
  <c r="N457" i="18" s="1"/>
  <c r="J457" i="18"/>
  <c r="O457" i="18" s="1"/>
  <c r="K457" i="18"/>
  <c r="L457" i="18"/>
  <c r="M457" i="18" s="1"/>
  <c r="U457" i="18" s="1"/>
  <c r="I757" i="18"/>
  <c r="N757" i="18" s="1"/>
  <c r="J757" i="18"/>
  <c r="O757" i="18" s="1"/>
  <c r="K757" i="18"/>
  <c r="L757" i="18"/>
  <c r="M757" i="18" s="1"/>
  <c r="I857" i="18"/>
  <c r="N857" i="18" s="1"/>
  <c r="J857" i="18"/>
  <c r="O857" i="18" s="1"/>
  <c r="K857" i="18"/>
  <c r="L857" i="18"/>
  <c r="M857" i="18" s="1"/>
  <c r="I180" i="18"/>
  <c r="N180" i="18" s="1"/>
  <c r="J180" i="18"/>
  <c r="O180" i="18" s="1"/>
  <c r="AA180" i="18" s="1"/>
  <c r="K180" i="18"/>
  <c r="L180" i="18"/>
  <c r="M180" i="18" s="1"/>
  <c r="U180" i="18" s="1"/>
  <c r="I179" i="18"/>
  <c r="N179" i="18" s="1"/>
  <c r="J179" i="18"/>
  <c r="O179" i="18" s="1"/>
  <c r="K179" i="18"/>
  <c r="L179" i="18"/>
  <c r="M179" i="18" s="1"/>
  <c r="U179" i="18" s="1"/>
  <c r="I1001" i="18"/>
  <c r="N1001" i="18" s="1"/>
  <c r="J1001" i="18"/>
  <c r="O1001" i="18" s="1"/>
  <c r="K1001" i="18"/>
  <c r="L1001" i="18"/>
  <c r="M1001" i="18" s="1"/>
  <c r="U1001" i="18" s="1"/>
  <c r="I248" i="18"/>
  <c r="N248" i="18" s="1"/>
  <c r="J248" i="18"/>
  <c r="O248" i="18" s="1"/>
  <c r="K248" i="18"/>
  <c r="L248" i="18"/>
  <c r="M248" i="18" s="1"/>
  <c r="U248" i="18" s="1"/>
  <c r="I732" i="18"/>
  <c r="N732" i="18" s="1"/>
  <c r="J732" i="18"/>
  <c r="O732" i="18" s="1"/>
  <c r="K732" i="18"/>
  <c r="L732" i="18"/>
  <c r="M732" i="18" s="1"/>
  <c r="U732" i="18" s="1"/>
  <c r="I72" i="18"/>
  <c r="N72" i="18" s="1"/>
  <c r="J72" i="18"/>
  <c r="O72" i="18" s="1"/>
  <c r="K72" i="18"/>
  <c r="L72" i="18"/>
  <c r="M72" i="18" s="1"/>
  <c r="U72" i="18" s="1"/>
  <c r="I422" i="18"/>
  <c r="N422" i="18" s="1"/>
  <c r="J422" i="18"/>
  <c r="O422" i="18" s="1"/>
  <c r="K422" i="18"/>
  <c r="L422" i="18"/>
  <c r="M422" i="18" s="1"/>
  <c r="U422" i="18" s="1"/>
  <c r="I770" i="18"/>
  <c r="N770" i="18" s="1"/>
  <c r="J770" i="18"/>
  <c r="O770" i="18" s="1"/>
  <c r="K770" i="18"/>
  <c r="L770" i="18"/>
  <c r="M770" i="18" s="1"/>
  <c r="U770" i="18" s="1"/>
  <c r="I778" i="18"/>
  <c r="N778" i="18" s="1"/>
  <c r="J778" i="18"/>
  <c r="O778" i="18" s="1"/>
  <c r="K778" i="18"/>
  <c r="L778" i="18"/>
  <c r="M778" i="18" s="1"/>
  <c r="U778" i="18" s="1"/>
  <c r="I312" i="18"/>
  <c r="N312" i="18" s="1"/>
  <c r="J312" i="18"/>
  <c r="O312" i="18" s="1"/>
  <c r="K312" i="18"/>
  <c r="L312" i="18"/>
  <c r="M312" i="18" s="1"/>
  <c r="U312" i="18" s="1"/>
  <c r="I142" i="18"/>
  <c r="N142" i="18" s="1"/>
  <c r="J142" i="18"/>
  <c r="O142" i="18" s="1"/>
  <c r="K142" i="18"/>
  <c r="L142" i="18"/>
  <c r="M142" i="18" s="1"/>
  <c r="U142" i="18" s="1"/>
  <c r="I156" i="18"/>
  <c r="N156" i="18" s="1"/>
  <c r="J156" i="18"/>
  <c r="O156" i="18" s="1"/>
  <c r="K156" i="18"/>
  <c r="L156" i="18"/>
  <c r="M156" i="18" s="1"/>
  <c r="U156" i="18" s="1"/>
  <c r="I226" i="18"/>
  <c r="N226" i="18" s="1"/>
  <c r="J226" i="18"/>
  <c r="O226" i="18" s="1"/>
  <c r="K226" i="18"/>
  <c r="L226" i="18"/>
  <c r="M226" i="18" s="1"/>
  <c r="I954" i="18"/>
  <c r="N954" i="18" s="1"/>
  <c r="AA954" i="18" s="1"/>
  <c r="J954" i="18"/>
  <c r="O954" i="18" s="1"/>
  <c r="K954" i="18"/>
  <c r="L954" i="18"/>
  <c r="M954" i="18" s="1"/>
  <c r="U954" i="18" s="1"/>
  <c r="I172" i="18"/>
  <c r="N172" i="18" s="1"/>
  <c r="J172" i="18"/>
  <c r="O172" i="18" s="1"/>
  <c r="K172" i="18"/>
  <c r="L172" i="18"/>
  <c r="M172" i="18" s="1"/>
  <c r="U172" i="18" s="1"/>
  <c r="I419" i="18"/>
  <c r="N419" i="18" s="1"/>
  <c r="J419" i="18"/>
  <c r="O419" i="18" s="1"/>
  <c r="AA419" i="18" s="1"/>
  <c r="K419" i="18"/>
  <c r="L419" i="18"/>
  <c r="M419" i="18" s="1"/>
  <c r="U419" i="18" s="1"/>
  <c r="I870" i="18"/>
  <c r="N870" i="18" s="1"/>
  <c r="J870" i="18"/>
  <c r="O870" i="18" s="1"/>
  <c r="K870" i="18"/>
  <c r="L870" i="18"/>
  <c r="M870" i="18" s="1"/>
  <c r="U870" i="18" s="1"/>
  <c r="I838" i="18"/>
  <c r="N838" i="18" s="1"/>
  <c r="J838" i="18"/>
  <c r="O838" i="18" s="1"/>
  <c r="K838" i="18"/>
  <c r="L838" i="18"/>
  <c r="M838" i="18" s="1"/>
  <c r="U838" i="18" s="1"/>
  <c r="I631" i="18"/>
  <c r="N631" i="18" s="1"/>
  <c r="J631" i="18"/>
  <c r="O631" i="18" s="1"/>
  <c r="K631" i="18"/>
  <c r="L631" i="18"/>
  <c r="M631" i="18" s="1"/>
  <c r="I756" i="18"/>
  <c r="N756" i="18" s="1"/>
  <c r="J756" i="18"/>
  <c r="O756" i="18" s="1"/>
  <c r="K756" i="18"/>
  <c r="L756" i="18"/>
  <c r="M756" i="18" s="1"/>
  <c r="I383" i="18"/>
  <c r="N383" i="18" s="1"/>
  <c r="J383" i="18"/>
  <c r="O383" i="18" s="1"/>
  <c r="K383" i="18"/>
  <c r="L383" i="18"/>
  <c r="M383" i="18" s="1"/>
  <c r="U383" i="18" s="1"/>
  <c r="I310" i="18"/>
  <c r="N310" i="18" s="1"/>
  <c r="J310" i="18"/>
  <c r="O310" i="18" s="1"/>
  <c r="K310" i="18"/>
  <c r="L310" i="18"/>
  <c r="M310" i="18" s="1"/>
  <c r="U310" i="18" s="1"/>
  <c r="I56" i="18"/>
  <c r="N56" i="18" s="1"/>
  <c r="J56" i="18"/>
  <c r="O56" i="18" s="1"/>
  <c r="K56" i="18"/>
  <c r="L56" i="18"/>
  <c r="M56" i="18" s="1"/>
  <c r="U56" i="18" s="1"/>
  <c r="I296" i="18"/>
  <c r="N296" i="18" s="1"/>
  <c r="J296" i="18"/>
  <c r="O296" i="18" s="1"/>
  <c r="K296" i="18"/>
  <c r="L296" i="18"/>
  <c r="M296" i="18" s="1"/>
  <c r="U296" i="18" s="1"/>
  <c r="I949" i="18"/>
  <c r="N949" i="18" s="1"/>
  <c r="J949" i="18"/>
  <c r="O949" i="18" s="1"/>
  <c r="K949" i="18"/>
  <c r="L949" i="18"/>
  <c r="M949" i="18" s="1"/>
  <c r="U949" i="18" s="1"/>
  <c r="I401" i="18"/>
  <c r="N401" i="18" s="1"/>
  <c r="J401" i="18"/>
  <c r="O401" i="18" s="1"/>
  <c r="AA401" i="18" s="1"/>
  <c r="K401" i="18"/>
  <c r="L401" i="18"/>
  <c r="M401" i="18" s="1"/>
  <c r="U401" i="18" s="1"/>
  <c r="I650" i="18"/>
  <c r="N650" i="18" s="1"/>
  <c r="J650" i="18"/>
  <c r="O650" i="18" s="1"/>
  <c r="K650" i="18"/>
  <c r="L650" i="18"/>
  <c r="M650" i="18" s="1"/>
  <c r="U650" i="18" s="1"/>
  <c r="I372" i="18"/>
  <c r="N372" i="18" s="1"/>
  <c r="J372" i="18"/>
  <c r="O372" i="18" s="1"/>
  <c r="K372" i="18"/>
  <c r="L372" i="18"/>
  <c r="M372" i="18" s="1"/>
  <c r="U372" i="18" s="1"/>
  <c r="I876" i="18"/>
  <c r="N876" i="18" s="1"/>
  <c r="J876" i="18"/>
  <c r="O876" i="18" s="1"/>
  <c r="K876" i="18"/>
  <c r="L876" i="18"/>
  <c r="M876" i="18" s="1"/>
  <c r="U876" i="18" s="1"/>
  <c r="I877" i="18"/>
  <c r="N877" i="18" s="1"/>
  <c r="J877" i="18"/>
  <c r="O877" i="18" s="1"/>
  <c r="AA877" i="18" s="1"/>
  <c r="K877" i="18"/>
  <c r="L877" i="18"/>
  <c r="M877" i="18" s="1"/>
  <c r="U877" i="18" s="1"/>
  <c r="I288" i="18"/>
  <c r="N288" i="18" s="1"/>
  <c r="J288" i="18"/>
  <c r="O288" i="18" s="1"/>
  <c r="K288" i="18"/>
  <c r="L288" i="18"/>
  <c r="M288" i="18" s="1"/>
  <c r="U288" i="18" s="1"/>
  <c r="I117" i="18"/>
  <c r="N117" i="18" s="1"/>
  <c r="J117" i="18"/>
  <c r="O117" i="18" s="1"/>
  <c r="K117" i="18"/>
  <c r="L117" i="18"/>
  <c r="M117" i="18" s="1"/>
  <c r="U117" i="18" s="1"/>
  <c r="I717" i="18"/>
  <c r="N717" i="18" s="1"/>
  <c r="J717" i="18"/>
  <c r="O717" i="18" s="1"/>
  <c r="K717" i="18"/>
  <c r="L717" i="18"/>
  <c r="M717" i="18" s="1"/>
  <c r="I531" i="18"/>
  <c r="N531" i="18" s="1"/>
  <c r="AA531" i="18" s="1"/>
  <c r="J531" i="18"/>
  <c r="O531" i="18" s="1"/>
  <c r="K531" i="18"/>
  <c r="L531" i="18"/>
  <c r="M531" i="18" s="1"/>
  <c r="U531" i="18" s="1"/>
  <c r="I376" i="18"/>
  <c r="N376" i="18" s="1"/>
  <c r="J376" i="18"/>
  <c r="O376" i="18" s="1"/>
  <c r="AA376" i="18" s="1"/>
  <c r="K376" i="18"/>
  <c r="L376" i="18"/>
  <c r="M376" i="18" s="1"/>
  <c r="U376" i="18" s="1"/>
  <c r="I5" i="18"/>
  <c r="N5" i="18" s="1"/>
  <c r="J5" i="18"/>
  <c r="O5" i="18" s="1"/>
  <c r="K5" i="18"/>
  <c r="L5" i="18"/>
  <c r="M5" i="18" s="1"/>
  <c r="U5" i="18" s="1"/>
  <c r="I612" i="18"/>
  <c r="N612" i="18" s="1"/>
  <c r="J612" i="18"/>
  <c r="O612" i="18" s="1"/>
  <c r="K612" i="18"/>
  <c r="L612" i="18"/>
  <c r="M612" i="18" s="1"/>
  <c r="U612" i="18" s="1"/>
  <c r="I364" i="18"/>
  <c r="N364" i="18" s="1"/>
  <c r="J364" i="18"/>
  <c r="O364" i="18" s="1"/>
  <c r="K364" i="18"/>
  <c r="L364" i="18"/>
  <c r="M364" i="18" s="1"/>
  <c r="U364" i="18" s="1"/>
  <c r="I281" i="18"/>
  <c r="N281" i="18" s="1"/>
  <c r="J281" i="18"/>
  <c r="O281" i="18" s="1"/>
  <c r="K281" i="18"/>
  <c r="L281" i="18"/>
  <c r="M281" i="18" s="1"/>
  <c r="I723" i="18"/>
  <c r="N723" i="18" s="1"/>
  <c r="J723" i="18"/>
  <c r="O723" i="18" s="1"/>
  <c r="K723" i="18"/>
  <c r="L723" i="18"/>
  <c r="M723" i="18" s="1"/>
  <c r="I323" i="18"/>
  <c r="N323" i="18" s="1"/>
  <c r="J323" i="18"/>
  <c r="O323" i="18" s="1"/>
  <c r="AA323" i="18" s="1"/>
  <c r="K323" i="18"/>
  <c r="L323" i="18"/>
  <c r="M323" i="18" s="1"/>
  <c r="U323" i="18" s="1"/>
  <c r="I904" i="18"/>
  <c r="N904" i="18" s="1"/>
  <c r="J904" i="18"/>
  <c r="O904" i="18" s="1"/>
  <c r="K904" i="18"/>
  <c r="L904" i="18"/>
  <c r="M904" i="18" s="1"/>
  <c r="U904" i="18" s="1"/>
  <c r="I712" i="18"/>
  <c r="N712" i="18" s="1"/>
  <c r="J712" i="18"/>
  <c r="O712" i="18" s="1"/>
  <c r="K712" i="18"/>
  <c r="L712" i="18"/>
  <c r="M712" i="18" s="1"/>
  <c r="U712" i="18" s="1"/>
  <c r="I614" i="18"/>
  <c r="N614" i="18" s="1"/>
  <c r="J614" i="18"/>
  <c r="O614" i="18" s="1"/>
  <c r="K614" i="18"/>
  <c r="L614" i="18"/>
  <c r="M614" i="18" s="1"/>
  <c r="U614" i="18" s="1"/>
  <c r="I667" i="18"/>
  <c r="N667" i="18" s="1"/>
  <c r="J667" i="18"/>
  <c r="O667" i="18" s="1"/>
  <c r="K667" i="18"/>
  <c r="L667" i="18"/>
  <c r="M667" i="18" s="1"/>
  <c r="U667" i="18" s="1"/>
  <c r="I886" i="18"/>
  <c r="N886" i="18" s="1"/>
  <c r="J886" i="18"/>
  <c r="O886" i="18" s="1"/>
  <c r="K886" i="18"/>
  <c r="L886" i="18"/>
  <c r="M886" i="18" s="1"/>
  <c r="U886" i="18" s="1"/>
  <c r="I826" i="18"/>
  <c r="N826" i="18" s="1"/>
  <c r="J826" i="18"/>
  <c r="O826" i="18" s="1"/>
  <c r="K826" i="18"/>
  <c r="L826" i="18"/>
  <c r="M826" i="18" s="1"/>
  <c r="U826" i="18" s="1"/>
  <c r="I115" i="18"/>
  <c r="N115" i="18" s="1"/>
  <c r="J115" i="18"/>
  <c r="O115" i="18" s="1"/>
  <c r="K115" i="18"/>
  <c r="L115" i="18"/>
  <c r="M115" i="18" s="1"/>
  <c r="U115" i="18" s="1"/>
  <c r="I7" i="18"/>
  <c r="N7" i="18" s="1"/>
  <c r="J7" i="18"/>
  <c r="O7" i="18" s="1"/>
  <c r="K7" i="18"/>
  <c r="L7" i="18"/>
  <c r="M7" i="18" s="1"/>
  <c r="U7" i="18" s="1"/>
  <c r="I664" i="18"/>
  <c r="N664" i="18" s="1"/>
  <c r="J664" i="18"/>
  <c r="O664" i="18" s="1"/>
  <c r="K664" i="18"/>
  <c r="L664" i="18"/>
  <c r="M664" i="18" s="1"/>
  <c r="U664" i="18" s="1"/>
  <c r="I588" i="18"/>
  <c r="N588" i="18" s="1"/>
  <c r="J588" i="18"/>
  <c r="O588" i="18" s="1"/>
  <c r="AA588" i="18" s="1"/>
  <c r="K588" i="18"/>
  <c r="L588" i="18"/>
  <c r="M588" i="18" s="1"/>
  <c r="U588" i="18" s="1"/>
  <c r="I238" i="18"/>
  <c r="N238" i="18" s="1"/>
  <c r="J238" i="18"/>
  <c r="O238" i="18" s="1"/>
  <c r="K238" i="18"/>
  <c r="L238" i="18"/>
  <c r="M238" i="18" s="1"/>
  <c r="U238" i="18" s="1"/>
  <c r="I811" i="18"/>
  <c r="N811" i="18" s="1"/>
  <c r="J811" i="18"/>
  <c r="O811" i="18" s="1"/>
  <c r="K811" i="18"/>
  <c r="L811" i="18"/>
  <c r="M811" i="18" s="1"/>
  <c r="I344" i="18"/>
  <c r="N344" i="18" s="1"/>
  <c r="J344" i="18"/>
  <c r="O344" i="18" s="1"/>
  <c r="K344" i="18"/>
  <c r="L344" i="18"/>
  <c r="M344" i="18" s="1"/>
  <c r="U344" i="18" s="1"/>
  <c r="I82" i="18"/>
  <c r="N82" i="18" s="1"/>
  <c r="J82" i="18"/>
  <c r="O82" i="18" s="1"/>
  <c r="K82" i="18"/>
  <c r="L82" i="18"/>
  <c r="M82" i="18" s="1"/>
  <c r="U82" i="18" s="1"/>
  <c r="I593" i="18"/>
  <c r="N593" i="18" s="1"/>
  <c r="J593" i="18"/>
  <c r="O593" i="18" s="1"/>
  <c r="K593" i="18"/>
  <c r="L593" i="18"/>
  <c r="M593" i="18" s="1"/>
  <c r="U593" i="18" s="1"/>
  <c r="I901" i="18"/>
  <c r="N901" i="18" s="1"/>
  <c r="J901" i="18"/>
  <c r="O901" i="18" s="1"/>
  <c r="K901" i="18"/>
  <c r="L901" i="18"/>
  <c r="M901" i="18" s="1"/>
  <c r="U901" i="18" s="1"/>
  <c r="I508" i="18"/>
  <c r="N508" i="18" s="1"/>
  <c r="J508" i="18"/>
  <c r="O508" i="18" s="1"/>
  <c r="K508" i="18"/>
  <c r="L508" i="18"/>
  <c r="M508" i="18" s="1"/>
  <c r="U508" i="18" s="1"/>
  <c r="I718" i="18"/>
  <c r="N718" i="18" s="1"/>
  <c r="J718" i="18"/>
  <c r="O718" i="18" s="1"/>
  <c r="K718" i="18"/>
  <c r="L718" i="18"/>
  <c r="M718" i="18" s="1"/>
  <c r="I670" i="18"/>
  <c r="N670" i="18" s="1"/>
  <c r="J670" i="18"/>
  <c r="O670" i="18" s="1"/>
  <c r="K670" i="18"/>
  <c r="L670" i="18"/>
  <c r="M670" i="18" s="1"/>
  <c r="I271" i="18"/>
  <c r="N271" i="18" s="1"/>
  <c r="J271" i="18"/>
  <c r="O271" i="18" s="1"/>
  <c r="K271" i="18"/>
  <c r="L271" i="18"/>
  <c r="M271" i="18" s="1"/>
  <c r="U271" i="18" s="1"/>
  <c r="I685" i="18"/>
  <c r="N685" i="18" s="1"/>
  <c r="J685" i="18"/>
  <c r="O685" i="18" s="1"/>
  <c r="K685" i="18"/>
  <c r="L685" i="18"/>
  <c r="M685" i="18" s="1"/>
  <c r="U685" i="18" s="1"/>
  <c r="I793" i="18"/>
  <c r="N793" i="18" s="1"/>
  <c r="J793" i="18"/>
  <c r="O793" i="18" s="1"/>
  <c r="K793" i="18"/>
  <c r="L793" i="18"/>
  <c r="M793" i="18" s="1"/>
  <c r="U793" i="18" s="1"/>
  <c r="I189" i="18"/>
  <c r="N189" i="18" s="1"/>
  <c r="AA189" i="18" s="1"/>
  <c r="J189" i="18"/>
  <c r="O189" i="18" s="1"/>
  <c r="K189" i="18"/>
  <c r="L189" i="18"/>
  <c r="M189" i="18" s="1"/>
  <c r="U189" i="18" s="1"/>
  <c r="I16" i="18"/>
  <c r="N16" i="18" s="1"/>
  <c r="J16" i="18"/>
  <c r="O16" i="18" s="1"/>
  <c r="AA16" i="18" s="1"/>
  <c r="K16" i="18"/>
  <c r="L16" i="18"/>
  <c r="M16" i="18" s="1"/>
  <c r="U16" i="18" s="1"/>
  <c r="I989" i="18"/>
  <c r="N989" i="18" s="1"/>
  <c r="J989" i="18"/>
  <c r="O989" i="18" s="1"/>
  <c r="K989" i="18"/>
  <c r="L989" i="18"/>
  <c r="M989" i="18" s="1"/>
  <c r="U989" i="18" s="1"/>
  <c r="I971" i="18"/>
  <c r="N971" i="18" s="1"/>
  <c r="J971" i="18"/>
  <c r="O971" i="18" s="1"/>
  <c r="K971" i="18"/>
  <c r="L971" i="18"/>
  <c r="M971" i="18" s="1"/>
  <c r="U971" i="18" s="1"/>
  <c r="I618" i="18"/>
  <c r="N618" i="18" s="1"/>
  <c r="J618" i="18"/>
  <c r="O618" i="18" s="1"/>
  <c r="K618" i="18"/>
  <c r="L618" i="18"/>
  <c r="M618" i="18" s="1"/>
  <c r="U618" i="18" s="1"/>
  <c r="I604" i="18"/>
  <c r="N604" i="18" s="1"/>
  <c r="J604" i="18"/>
  <c r="O604" i="18" s="1"/>
  <c r="K604" i="18"/>
  <c r="L604" i="18"/>
  <c r="M604" i="18" s="1"/>
  <c r="U604" i="18" s="1"/>
  <c r="I44" i="18"/>
  <c r="N44" i="18" s="1"/>
  <c r="J44" i="18"/>
  <c r="O44" i="18" s="1"/>
  <c r="K44" i="18"/>
  <c r="L44" i="18"/>
  <c r="M44" i="18" s="1"/>
  <c r="U44" i="18" s="1"/>
  <c r="I71" i="18"/>
  <c r="N71" i="18" s="1"/>
  <c r="J71" i="18"/>
  <c r="O71" i="18" s="1"/>
  <c r="K71" i="18"/>
  <c r="L71" i="18"/>
  <c r="M71" i="18" s="1"/>
  <c r="U71" i="18" s="1"/>
  <c r="I743" i="18"/>
  <c r="N743" i="18" s="1"/>
  <c r="J743" i="18"/>
  <c r="O743" i="18" s="1"/>
  <c r="K743" i="18"/>
  <c r="L743" i="18"/>
  <c r="M743" i="18" s="1"/>
  <c r="U743" i="18" s="1"/>
  <c r="I432" i="18"/>
  <c r="N432" i="18" s="1"/>
  <c r="J432" i="18"/>
  <c r="O432" i="18" s="1"/>
  <c r="K432" i="18"/>
  <c r="L432" i="18"/>
  <c r="M432" i="18" s="1"/>
  <c r="I825" i="18"/>
  <c r="N825" i="18" s="1"/>
  <c r="J825" i="18"/>
  <c r="O825" i="18" s="1"/>
  <c r="K825" i="18"/>
  <c r="L825" i="18"/>
  <c r="M825" i="18" s="1"/>
  <c r="U825" i="18" s="1"/>
  <c r="I994" i="18"/>
  <c r="N994" i="18" s="1"/>
  <c r="J994" i="18"/>
  <c r="O994" i="18" s="1"/>
  <c r="AA994" i="18" s="1"/>
  <c r="K994" i="18"/>
  <c r="L994" i="18"/>
  <c r="M994" i="18" s="1"/>
  <c r="U994" i="18" s="1"/>
  <c r="I393" i="18"/>
  <c r="N393" i="18" s="1"/>
  <c r="J393" i="18"/>
  <c r="O393" i="18" s="1"/>
  <c r="K393" i="18"/>
  <c r="L393" i="18"/>
  <c r="M393" i="18" s="1"/>
  <c r="U393" i="18" s="1"/>
  <c r="I109" i="18"/>
  <c r="N109" i="18" s="1"/>
  <c r="J109" i="18"/>
  <c r="O109" i="18" s="1"/>
  <c r="K109" i="18"/>
  <c r="L109" i="18"/>
  <c r="M109" i="18" s="1"/>
  <c r="U109" i="18" s="1"/>
  <c r="I174" i="18"/>
  <c r="N174" i="18" s="1"/>
  <c r="J174" i="18"/>
  <c r="O174" i="18" s="1"/>
  <c r="K174" i="18"/>
  <c r="L174" i="18"/>
  <c r="M174" i="18" s="1"/>
  <c r="U174" i="18" s="1"/>
  <c r="I666" i="18"/>
  <c r="N666" i="18" s="1"/>
  <c r="J666" i="18"/>
  <c r="O666" i="18" s="1"/>
  <c r="K666" i="18"/>
  <c r="L666" i="18"/>
  <c r="M666" i="18" s="1"/>
  <c r="I268" i="18"/>
  <c r="N268" i="18" s="1"/>
  <c r="J268" i="18"/>
  <c r="O268" i="18" s="1"/>
  <c r="AA268" i="18" s="1"/>
  <c r="K268" i="18"/>
  <c r="L268" i="18"/>
  <c r="M268" i="18" s="1"/>
  <c r="I163" i="18"/>
  <c r="N163" i="18" s="1"/>
  <c r="J163" i="18"/>
  <c r="O163" i="18" s="1"/>
  <c r="K163" i="18"/>
  <c r="L163" i="18"/>
  <c r="M163" i="18" s="1"/>
  <c r="U163" i="18" s="1"/>
  <c r="I295" i="18"/>
  <c r="N295" i="18" s="1"/>
  <c r="J295" i="18"/>
  <c r="O295" i="18" s="1"/>
  <c r="K295" i="18"/>
  <c r="L295" i="18"/>
  <c r="M295" i="18" s="1"/>
  <c r="U295" i="18" s="1"/>
  <c r="I415" i="18"/>
  <c r="N415" i="18" s="1"/>
  <c r="J415" i="18"/>
  <c r="O415" i="18" s="1"/>
  <c r="K415" i="18"/>
  <c r="L415" i="18"/>
  <c r="M415" i="18" s="1"/>
  <c r="U415" i="18" s="1"/>
  <c r="I512" i="18"/>
  <c r="N512" i="18" s="1"/>
  <c r="J512" i="18"/>
  <c r="O512" i="18" s="1"/>
  <c r="K512" i="18"/>
  <c r="L512" i="18"/>
  <c r="M512" i="18" s="1"/>
  <c r="U512" i="18" s="1"/>
  <c r="I213" i="18"/>
  <c r="N213" i="18" s="1"/>
  <c r="J213" i="18"/>
  <c r="O213" i="18" s="1"/>
  <c r="AA213" i="18" s="1"/>
  <c r="K213" i="18"/>
  <c r="L213" i="18"/>
  <c r="M213" i="18" s="1"/>
  <c r="U213" i="18" s="1"/>
  <c r="I36" i="18"/>
  <c r="N36" i="18" s="1"/>
  <c r="J36" i="18"/>
  <c r="O36" i="18" s="1"/>
  <c r="K36" i="18"/>
  <c r="L36" i="18"/>
  <c r="M36" i="18" s="1"/>
  <c r="U36" i="18" s="1"/>
  <c r="I987" i="18"/>
  <c r="N987" i="18" s="1"/>
  <c r="J987" i="18"/>
  <c r="O987" i="18" s="1"/>
  <c r="K987" i="18"/>
  <c r="L987" i="18"/>
  <c r="M987" i="18" s="1"/>
  <c r="U987" i="18" s="1"/>
  <c r="I988" i="18"/>
  <c r="N988" i="18" s="1"/>
  <c r="J988" i="18"/>
  <c r="O988" i="18" s="1"/>
  <c r="K988" i="18"/>
  <c r="L988" i="18"/>
  <c r="M988" i="18" s="1"/>
  <c r="U988" i="18" s="1"/>
  <c r="I986" i="18"/>
  <c r="N986" i="18" s="1"/>
  <c r="J986" i="18"/>
  <c r="O986" i="18" s="1"/>
  <c r="K986" i="18"/>
  <c r="L986" i="18"/>
  <c r="M986" i="18" s="1"/>
  <c r="U986" i="18" s="1"/>
  <c r="I772" i="18"/>
  <c r="N772" i="18" s="1"/>
  <c r="J772" i="18"/>
  <c r="O772" i="18" s="1"/>
  <c r="AA772" i="18" s="1"/>
  <c r="K772" i="18"/>
  <c r="L772" i="18"/>
  <c r="M772" i="18" s="1"/>
  <c r="U772" i="18" s="1"/>
  <c r="I824" i="18"/>
  <c r="N824" i="18" s="1"/>
  <c r="J824" i="18"/>
  <c r="O824" i="18" s="1"/>
  <c r="K824" i="18"/>
  <c r="L824" i="18"/>
  <c r="M824" i="18" s="1"/>
  <c r="U824" i="18" s="1"/>
  <c r="I388" i="18"/>
  <c r="N388" i="18" s="1"/>
  <c r="J388" i="18"/>
  <c r="O388" i="18" s="1"/>
  <c r="K388" i="18"/>
  <c r="L388" i="18"/>
  <c r="M388" i="18" s="1"/>
  <c r="U388" i="18" s="1"/>
  <c r="I335" i="18"/>
  <c r="N335" i="18" s="1"/>
  <c r="J335" i="18"/>
  <c r="O335" i="18" s="1"/>
  <c r="K335" i="18"/>
  <c r="L335" i="18"/>
  <c r="M335" i="18" s="1"/>
  <c r="I468" i="18"/>
  <c r="N468" i="18" s="1"/>
  <c r="J468" i="18"/>
  <c r="O468" i="18" s="1"/>
  <c r="K468" i="18"/>
  <c r="L468" i="18"/>
  <c r="M468" i="18" s="1"/>
  <c r="U468" i="18" s="1"/>
  <c r="I98" i="18"/>
  <c r="N98" i="18" s="1"/>
  <c r="J98" i="18"/>
  <c r="O98" i="18" s="1"/>
  <c r="K98" i="18"/>
  <c r="L98" i="18"/>
  <c r="M98" i="18" s="1"/>
  <c r="U98" i="18" s="1"/>
  <c r="I673" i="18"/>
  <c r="N673" i="18" s="1"/>
  <c r="J673" i="18"/>
  <c r="O673" i="18" s="1"/>
  <c r="K673" i="18"/>
  <c r="L673" i="18"/>
  <c r="M673" i="18" s="1"/>
  <c r="U673" i="18" s="1"/>
  <c r="I434" i="18"/>
  <c r="N434" i="18" s="1"/>
  <c r="J434" i="18"/>
  <c r="O434" i="18" s="1"/>
  <c r="K434" i="18"/>
  <c r="L434" i="18"/>
  <c r="M434" i="18" s="1"/>
  <c r="U434" i="18" s="1"/>
  <c r="I440" i="18"/>
  <c r="N440" i="18" s="1"/>
  <c r="J440" i="18"/>
  <c r="O440" i="18" s="1"/>
  <c r="K440" i="18"/>
  <c r="L440" i="18"/>
  <c r="M440" i="18" s="1"/>
  <c r="U440" i="18" s="1"/>
  <c r="I315" i="18"/>
  <c r="N315" i="18" s="1"/>
  <c r="J315" i="18"/>
  <c r="O315" i="18" s="1"/>
  <c r="K315" i="18"/>
  <c r="L315" i="18"/>
  <c r="M315" i="18" s="1"/>
  <c r="I970" i="18"/>
  <c r="N970" i="18" s="1"/>
  <c r="J970" i="18"/>
  <c r="O970" i="18" s="1"/>
  <c r="AA970" i="18" s="1"/>
  <c r="K970" i="18"/>
  <c r="L970" i="18"/>
  <c r="M970" i="18" s="1"/>
  <c r="I184" i="18"/>
  <c r="N184" i="18" s="1"/>
  <c r="J184" i="18"/>
  <c r="O184" i="18" s="1"/>
  <c r="AA184" i="18" s="1"/>
  <c r="K184" i="18"/>
  <c r="L184" i="18"/>
  <c r="M184" i="18" s="1"/>
  <c r="U184" i="18" s="1"/>
  <c r="I209" i="18"/>
  <c r="N209" i="18" s="1"/>
  <c r="J209" i="18"/>
  <c r="O209" i="18" s="1"/>
  <c r="K209" i="18"/>
  <c r="L209" i="18"/>
  <c r="M209" i="18" s="1"/>
  <c r="U209" i="18" s="1"/>
  <c r="I763" i="18"/>
  <c r="N763" i="18" s="1"/>
  <c r="J763" i="18"/>
  <c r="O763" i="18" s="1"/>
  <c r="K763" i="18"/>
  <c r="L763" i="18"/>
  <c r="M763" i="18" s="1"/>
  <c r="U763" i="18" s="1"/>
  <c r="I456" i="18"/>
  <c r="N456" i="18" s="1"/>
  <c r="J456" i="18"/>
  <c r="O456" i="18" s="1"/>
  <c r="K456" i="18"/>
  <c r="L456" i="18"/>
  <c r="M456" i="18" s="1"/>
  <c r="U456" i="18" s="1"/>
  <c r="I199" i="18"/>
  <c r="N199" i="18" s="1"/>
  <c r="J199" i="18"/>
  <c r="O199" i="18" s="1"/>
  <c r="K199" i="18"/>
  <c r="L199" i="18"/>
  <c r="M199" i="18" s="1"/>
  <c r="U199" i="18" s="1"/>
  <c r="I273" i="18"/>
  <c r="N273" i="18" s="1"/>
  <c r="J273" i="18"/>
  <c r="O273" i="18" s="1"/>
  <c r="K273" i="18"/>
  <c r="L273" i="18"/>
  <c r="M273" i="18" s="1"/>
  <c r="U273" i="18" s="1"/>
  <c r="I755" i="18"/>
  <c r="N755" i="18" s="1"/>
  <c r="J755" i="18"/>
  <c r="O755" i="18" s="1"/>
  <c r="K755" i="18"/>
  <c r="L755" i="18"/>
  <c r="M755" i="18" s="1"/>
  <c r="U755" i="18" s="1"/>
  <c r="I21" i="18"/>
  <c r="N21" i="18" s="1"/>
  <c r="J21" i="18"/>
  <c r="O21" i="18" s="1"/>
  <c r="K21" i="18"/>
  <c r="L21" i="18"/>
  <c r="M21" i="18" s="1"/>
  <c r="U21" i="18" s="1"/>
  <c r="I360" i="18"/>
  <c r="N360" i="18" s="1"/>
  <c r="J360" i="18"/>
  <c r="O360" i="18" s="1"/>
  <c r="K360" i="18"/>
  <c r="L360" i="18"/>
  <c r="M360" i="18" s="1"/>
  <c r="U360" i="18" s="1"/>
  <c r="I104" i="18"/>
  <c r="N104" i="18" s="1"/>
  <c r="J104" i="18"/>
  <c r="O104" i="18" s="1"/>
  <c r="AA104" i="18" s="1"/>
  <c r="K104" i="18"/>
  <c r="L104" i="18"/>
  <c r="M104" i="18" s="1"/>
  <c r="U104" i="18" s="1"/>
  <c r="I106" i="18"/>
  <c r="N106" i="18" s="1"/>
  <c r="J106" i="18"/>
  <c r="O106" i="18" s="1"/>
  <c r="K106" i="18"/>
  <c r="L106" i="18"/>
  <c r="M106" i="18" s="1"/>
  <c r="U106" i="18" s="1"/>
  <c r="I107" i="18"/>
  <c r="N107" i="18" s="1"/>
  <c r="J107" i="18"/>
  <c r="O107" i="18" s="1"/>
  <c r="K107" i="18"/>
  <c r="L107" i="18"/>
  <c r="M107" i="18" s="1"/>
  <c r="U107" i="18" s="1"/>
  <c r="I105" i="18"/>
  <c r="N105" i="18" s="1"/>
  <c r="J105" i="18"/>
  <c r="O105" i="18" s="1"/>
  <c r="K105" i="18"/>
  <c r="L105" i="18"/>
  <c r="M105" i="18" s="1"/>
  <c r="U105" i="18" s="1"/>
  <c r="I704" i="18"/>
  <c r="N704" i="18" s="1"/>
  <c r="J704" i="18"/>
  <c r="O704" i="18" s="1"/>
  <c r="K704" i="18"/>
  <c r="L704" i="18"/>
  <c r="M704" i="18" s="1"/>
  <c r="U704" i="18" s="1"/>
  <c r="I76" i="18"/>
  <c r="N76" i="18" s="1"/>
  <c r="J76" i="18"/>
  <c r="O76" i="18" s="1"/>
  <c r="K76" i="18"/>
  <c r="L76" i="18"/>
  <c r="M76" i="18" s="1"/>
  <c r="U76" i="18" s="1"/>
  <c r="I903" i="18"/>
  <c r="N903" i="18" s="1"/>
  <c r="J903" i="18"/>
  <c r="O903" i="18" s="1"/>
  <c r="AA903" i="18" s="1"/>
  <c r="K903" i="18"/>
  <c r="L903" i="18"/>
  <c r="M903" i="18" s="1"/>
  <c r="U903" i="18" s="1"/>
  <c r="I992" i="18"/>
  <c r="N992" i="18" s="1"/>
  <c r="J992" i="18"/>
  <c r="O992" i="18" s="1"/>
  <c r="K992" i="18"/>
  <c r="L992" i="18"/>
  <c r="M992" i="18" s="1"/>
  <c r="U992" i="18" s="1"/>
  <c r="I891" i="18"/>
  <c r="N891" i="18" s="1"/>
  <c r="J891" i="18"/>
  <c r="O891" i="18" s="1"/>
  <c r="K891" i="18"/>
  <c r="L891" i="18"/>
  <c r="M891" i="18" s="1"/>
  <c r="U891" i="18" s="1"/>
  <c r="I330" i="18"/>
  <c r="N330" i="18" s="1"/>
  <c r="AA330" i="18" s="1"/>
  <c r="J330" i="18"/>
  <c r="O330" i="18" s="1"/>
  <c r="K330" i="18"/>
  <c r="L330" i="18"/>
  <c r="M330" i="18" s="1"/>
  <c r="I956" i="18"/>
  <c r="N956" i="18" s="1"/>
  <c r="J956" i="18"/>
  <c r="O956" i="18" s="1"/>
  <c r="K956" i="18"/>
  <c r="L956" i="18"/>
  <c r="M956" i="18" s="1"/>
  <c r="I656" i="18"/>
  <c r="N656" i="18" s="1"/>
  <c r="J656" i="18"/>
  <c r="O656" i="18" s="1"/>
  <c r="K656" i="18"/>
  <c r="L656" i="18"/>
  <c r="M656" i="18" s="1"/>
  <c r="U656" i="18" s="1"/>
  <c r="I458" i="18"/>
  <c r="N458" i="18" s="1"/>
  <c r="J458" i="18"/>
  <c r="O458" i="18" s="1"/>
  <c r="K458" i="18"/>
  <c r="L458" i="18"/>
  <c r="M458" i="18" s="1"/>
  <c r="U458" i="18" s="1"/>
  <c r="I241" i="18"/>
  <c r="N241" i="18" s="1"/>
  <c r="J241" i="18"/>
  <c r="O241" i="18" s="1"/>
  <c r="K241" i="18"/>
  <c r="L241" i="18"/>
  <c r="M241" i="18" s="1"/>
  <c r="U241" i="18" s="1"/>
  <c r="I407" i="18"/>
  <c r="N407" i="18" s="1"/>
  <c r="J407" i="18"/>
  <c r="O407" i="18" s="1"/>
  <c r="K407" i="18"/>
  <c r="L407" i="18"/>
  <c r="M407" i="18" s="1"/>
  <c r="U407" i="18" s="1"/>
  <c r="I28" i="18"/>
  <c r="N28" i="18" s="1"/>
  <c r="J28" i="18"/>
  <c r="O28" i="18" s="1"/>
  <c r="K28" i="18"/>
  <c r="L28" i="18"/>
  <c r="M28" i="18" s="1"/>
  <c r="U28" i="18" s="1"/>
  <c r="I136" i="18"/>
  <c r="N136" i="18" s="1"/>
  <c r="J136" i="18"/>
  <c r="O136" i="18" s="1"/>
  <c r="K136" i="18"/>
  <c r="L136" i="18"/>
  <c r="M136" i="18" s="1"/>
  <c r="U136" i="18" s="1"/>
  <c r="I351" i="18"/>
  <c r="N351" i="18" s="1"/>
  <c r="J351" i="18"/>
  <c r="O351" i="18" s="1"/>
  <c r="K351" i="18"/>
  <c r="L351" i="18"/>
  <c r="M351" i="18" s="1"/>
  <c r="U351" i="18" s="1"/>
  <c r="I981" i="18"/>
  <c r="N981" i="18" s="1"/>
  <c r="J981" i="18"/>
  <c r="O981" i="18" s="1"/>
  <c r="K981" i="18"/>
  <c r="L981" i="18"/>
  <c r="M981" i="18" s="1"/>
  <c r="U981" i="18" s="1"/>
  <c r="I373" i="18"/>
  <c r="N373" i="18" s="1"/>
  <c r="J373" i="18"/>
  <c r="O373" i="18" s="1"/>
  <c r="K373" i="18"/>
  <c r="L373" i="18"/>
  <c r="M373" i="18" s="1"/>
  <c r="U373" i="18" s="1"/>
  <c r="I374" i="18"/>
  <c r="N374" i="18" s="1"/>
  <c r="J374" i="18"/>
  <c r="O374" i="18" s="1"/>
  <c r="AA374" i="18" s="1"/>
  <c r="K374" i="18"/>
  <c r="L374" i="18"/>
  <c r="M374" i="18" s="1"/>
  <c r="U374" i="18" s="1"/>
  <c r="I833" i="18"/>
  <c r="N833" i="18" s="1"/>
  <c r="J833" i="18"/>
  <c r="O833" i="18" s="1"/>
  <c r="K833" i="18"/>
  <c r="L833" i="18"/>
  <c r="M833" i="18" s="1"/>
  <c r="U833" i="18" s="1"/>
  <c r="I842" i="18"/>
  <c r="N842" i="18" s="1"/>
  <c r="J842" i="18"/>
  <c r="O842" i="18" s="1"/>
  <c r="K842" i="18"/>
  <c r="L842" i="18"/>
  <c r="M842" i="18" s="1"/>
  <c r="U842" i="18" s="1"/>
  <c r="I149" i="18"/>
  <c r="N149" i="18" s="1"/>
  <c r="J149" i="18"/>
  <c r="O149" i="18" s="1"/>
  <c r="K149" i="18"/>
  <c r="L149" i="18"/>
  <c r="M149" i="18" s="1"/>
  <c r="I340" i="18"/>
  <c r="N340" i="18" s="1"/>
  <c r="AA340" i="18" s="1"/>
  <c r="J340" i="18"/>
  <c r="O340" i="18" s="1"/>
  <c r="K340" i="18"/>
  <c r="L340" i="18"/>
  <c r="M340" i="18" s="1"/>
  <c r="U340" i="18" s="1"/>
  <c r="I936" i="18"/>
  <c r="N936" i="18" s="1"/>
  <c r="J936" i="18"/>
  <c r="O936" i="18" s="1"/>
  <c r="K936" i="18"/>
  <c r="L936" i="18"/>
  <c r="M936" i="18" s="1"/>
  <c r="U936" i="18" s="1"/>
  <c r="I62" i="18"/>
  <c r="N62" i="18" s="1"/>
  <c r="J62" i="18"/>
  <c r="O62" i="18" s="1"/>
  <c r="K62" i="18"/>
  <c r="L62" i="18"/>
  <c r="M62" i="18" s="1"/>
  <c r="U62" i="18" s="1"/>
  <c r="I933" i="18"/>
  <c r="N933" i="18" s="1"/>
  <c r="J933" i="18"/>
  <c r="O933" i="18" s="1"/>
  <c r="K933" i="18"/>
  <c r="L933" i="18"/>
  <c r="M933" i="18" s="1"/>
  <c r="U933" i="18" s="1"/>
  <c r="I386" i="18"/>
  <c r="N386" i="18" s="1"/>
  <c r="J386" i="18"/>
  <c r="O386" i="18" s="1"/>
  <c r="K386" i="18"/>
  <c r="L386" i="18"/>
  <c r="M386" i="18" s="1"/>
  <c r="U386" i="18" s="1"/>
  <c r="I225" i="18"/>
  <c r="N225" i="18" s="1"/>
  <c r="J225" i="18"/>
  <c r="O225" i="18" s="1"/>
  <c r="K225" i="18"/>
  <c r="L225" i="18"/>
  <c r="M225" i="18" s="1"/>
  <c r="I46" i="18"/>
  <c r="N46" i="18" s="1"/>
  <c r="J46" i="18"/>
  <c r="O46" i="18" s="1"/>
  <c r="AA46" i="18" s="1"/>
  <c r="K46" i="18"/>
  <c r="L46" i="18"/>
  <c r="M46" i="18" s="1"/>
  <c r="I912" i="18"/>
  <c r="N912" i="18" s="1"/>
  <c r="J912" i="18"/>
  <c r="O912" i="18" s="1"/>
  <c r="K912" i="18"/>
  <c r="L912" i="18"/>
  <c r="M912" i="18" s="1"/>
  <c r="U912" i="18" s="1"/>
  <c r="I991" i="18"/>
  <c r="N991" i="18" s="1"/>
  <c r="J991" i="18"/>
  <c r="O991" i="18" s="1"/>
  <c r="K991" i="18"/>
  <c r="L991" i="18"/>
  <c r="M991" i="18" s="1"/>
  <c r="U991" i="18" s="1"/>
  <c r="I448" i="18"/>
  <c r="N448" i="18" s="1"/>
  <c r="J448" i="18"/>
  <c r="O448" i="18" s="1"/>
  <c r="K448" i="18"/>
  <c r="L448" i="18"/>
  <c r="M448" i="18" s="1"/>
  <c r="U448" i="18" s="1"/>
  <c r="I220" i="18"/>
  <c r="N220" i="18" s="1"/>
  <c r="J220" i="18"/>
  <c r="O220" i="18" s="1"/>
  <c r="K220" i="18"/>
  <c r="L220" i="18"/>
  <c r="M220" i="18" s="1"/>
  <c r="U220" i="18" s="1"/>
  <c r="I96" i="18"/>
  <c r="N96" i="18" s="1"/>
  <c r="J96" i="18"/>
  <c r="O96" i="18" s="1"/>
  <c r="AA96" i="18" s="1"/>
  <c r="K96" i="18"/>
  <c r="L96" i="18"/>
  <c r="M96" i="18" s="1"/>
  <c r="U96" i="18" s="1"/>
  <c r="I548" i="18"/>
  <c r="N548" i="18" s="1"/>
  <c r="J548" i="18"/>
  <c r="O548" i="18" s="1"/>
  <c r="K548" i="18"/>
  <c r="L548" i="18"/>
  <c r="M548" i="18" s="1"/>
  <c r="U548" i="18" s="1"/>
  <c r="I132" i="18"/>
  <c r="N132" i="18" s="1"/>
  <c r="J132" i="18"/>
  <c r="O132" i="18" s="1"/>
  <c r="K132" i="18"/>
  <c r="L132" i="18"/>
  <c r="M132" i="18" s="1"/>
  <c r="U132" i="18" s="1"/>
  <c r="I856" i="18"/>
  <c r="N856" i="18" s="1"/>
  <c r="J856" i="18"/>
  <c r="O856" i="18" s="1"/>
  <c r="K856" i="18"/>
  <c r="L856" i="18"/>
  <c r="M856" i="18" s="1"/>
  <c r="U856" i="18" s="1"/>
  <c r="I216" i="18"/>
  <c r="N216" i="18" s="1"/>
  <c r="AA216" i="18" s="1"/>
  <c r="J216" i="18"/>
  <c r="O216" i="18" s="1"/>
  <c r="K216" i="18"/>
  <c r="L216" i="18"/>
  <c r="M216" i="18" s="1"/>
  <c r="U216" i="18" s="1"/>
  <c r="I42" i="18"/>
  <c r="N42" i="18" s="1"/>
  <c r="J42" i="18"/>
  <c r="O42" i="18" s="1"/>
  <c r="K42" i="18"/>
  <c r="L42" i="18"/>
  <c r="M42" i="18" s="1"/>
  <c r="U42" i="18" s="1"/>
  <c r="I460" i="18"/>
  <c r="N460" i="18" s="1"/>
  <c r="J460" i="18"/>
  <c r="O460" i="18" s="1"/>
  <c r="K460" i="18"/>
  <c r="L460" i="18"/>
  <c r="M460" i="18" s="1"/>
  <c r="U460" i="18" s="1"/>
  <c r="I544" i="18"/>
  <c r="N544" i="18" s="1"/>
  <c r="J544" i="18"/>
  <c r="O544" i="18" s="1"/>
  <c r="K544" i="18"/>
  <c r="L544" i="18"/>
  <c r="M544" i="18" s="1"/>
  <c r="U544" i="18" s="1"/>
  <c r="I502" i="18"/>
  <c r="N502" i="18" s="1"/>
  <c r="J502" i="18"/>
  <c r="O502" i="18" s="1"/>
  <c r="K502" i="18"/>
  <c r="L502" i="18"/>
  <c r="M502" i="18" s="1"/>
  <c r="I118" i="18"/>
  <c r="N118" i="18" s="1"/>
  <c r="J118" i="18"/>
  <c r="O118" i="18" s="1"/>
  <c r="K118" i="18"/>
  <c r="L118" i="18"/>
  <c r="M118" i="18" s="1"/>
  <c r="U118" i="18" s="1"/>
  <c r="I888" i="18"/>
  <c r="N888" i="18" s="1"/>
  <c r="J888" i="18"/>
  <c r="O888" i="18" s="1"/>
  <c r="K888" i="18"/>
  <c r="L888" i="18"/>
  <c r="M888" i="18" s="1"/>
  <c r="U888" i="18" s="1"/>
  <c r="I151" i="18"/>
  <c r="N151" i="18" s="1"/>
  <c r="J151" i="18"/>
  <c r="O151" i="18" s="1"/>
  <c r="K151" i="18"/>
  <c r="L151" i="18"/>
  <c r="M151" i="18" s="1"/>
  <c r="U151" i="18" s="1"/>
  <c r="I495" i="18"/>
  <c r="N495" i="18" s="1"/>
  <c r="J495" i="18"/>
  <c r="O495" i="18" s="1"/>
  <c r="K495" i="18"/>
  <c r="L495" i="18"/>
  <c r="M495" i="18" s="1"/>
  <c r="U495" i="18" s="1"/>
  <c r="I577" i="18"/>
  <c r="N577" i="18" s="1"/>
  <c r="J577" i="18"/>
  <c r="O577" i="18" s="1"/>
  <c r="K577" i="18"/>
  <c r="L577" i="18"/>
  <c r="M577" i="18" s="1"/>
  <c r="U577" i="18" s="1"/>
  <c r="I900" i="18"/>
  <c r="N900" i="18" s="1"/>
  <c r="J900" i="18"/>
  <c r="O900" i="18" s="1"/>
  <c r="K900" i="18"/>
  <c r="L900" i="18"/>
  <c r="M900" i="18" s="1"/>
  <c r="I968" i="18"/>
  <c r="N968" i="18" s="1"/>
  <c r="J968" i="18"/>
  <c r="O968" i="18" s="1"/>
  <c r="AA968" i="18" s="1"/>
  <c r="K968" i="18"/>
  <c r="L968" i="18"/>
  <c r="M968" i="18" s="1"/>
  <c r="I557" i="18"/>
  <c r="N557" i="18" s="1"/>
  <c r="J557" i="18"/>
  <c r="O557" i="18" s="1"/>
  <c r="K557" i="18"/>
  <c r="L557" i="18"/>
  <c r="M557" i="18" s="1"/>
  <c r="U557" i="18" s="1"/>
  <c r="I463" i="18"/>
  <c r="N463" i="18" s="1"/>
  <c r="J463" i="18"/>
  <c r="O463" i="18" s="1"/>
  <c r="K463" i="18"/>
  <c r="L463" i="18"/>
  <c r="M463" i="18" s="1"/>
  <c r="U463" i="18" s="1"/>
  <c r="I523" i="18"/>
  <c r="N523" i="18" s="1"/>
  <c r="J523" i="18"/>
  <c r="O523" i="18" s="1"/>
  <c r="K523" i="18"/>
  <c r="L523" i="18"/>
  <c r="M523" i="18" s="1"/>
  <c r="U523" i="18" s="1"/>
  <c r="I730" i="18"/>
  <c r="N730" i="18" s="1"/>
  <c r="J730" i="18"/>
  <c r="O730" i="18" s="1"/>
  <c r="K730" i="18"/>
  <c r="L730" i="18"/>
  <c r="M730" i="18" s="1"/>
  <c r="U730" i="18" s="1"/>
  <c r="I959" i="18"/>
  <c r="N959" i="18" s="1"/>
  <c r="J959" i="18"/>
  <c r="O959" i="18" s="1"/>
  <c r="AA959" i="18" s="1"/>
  <c r="K959" i="18"/>
  <c r="L959" i="18"/>
  <c r="M959" i="18" s="1"/>
  <c r="U959" i="18" s="1"/>
  <c r="I917" i="18"/>
  <c r="N917" i="18" s="1"/>
  <c r="J917" i="18"/>
  <c r="O917" i="18" s="1"/>
  <c r="K917" i="18"/>
  <c r="L917" i="18"/>
  <c r="M917" i="18" s="1"/>
  <c r="U917" i="18" s="1"/>
  <c r="I108" i="18"/>
  <c r="N108" i="18" s="1"/>
  <c r="J108" i="18"/>
  <c r="O108" i="18" s="1"/>
  <c r="K108" i="18"/>
  <c r="L108" i="18"/>
  <c r="M108" i="18" s="1"/>
  <c r="U108" i="18" s="1"/>
  <c r="I309" i="18"/>
  <c r="N309" i="18" s="1"/>
  <c r="J309" i="18"/>
  <c r="O309" i="18" s="1"/>
  <c r="K309" i="18"/>
  <c r="L309" i="18"/>
  <c r="M309" i="18" s="1"/>
  <c r="U309" i="18" s="1"/>
  <c r="I6" i="18"/>
  <c r="N6" i="18" s="1"/>
  <c r="J6" i="18"/>
  <c r="O6" i="18" s="1"/>
  <c r="K6" i="18"/>
  <c r="L6" i="18"/>
  <c r="M6" i="18" s="1"/>
  <c r="U6" i="18" s="1"/>
  <c r="I597" i="18"/>
  <c r="N597" i="18" s="1"/>
  <c r="J597" i="18"/>
  <c r="O597" i="18" s="1"/>
  <c r="K597" i="18"/>
  <c r="L597" i="18"/>
  <c r="M597" i="18" s="1"/>
  <c r="U597" i="18" s="1"/>
  <c r="I840" i="18"/>
  <c r="N840" i="18" s="1"/>
  <c r="J840" i="18"/>
  <c r="O840" i="18" s="1"/>
  <c r="K840" i="18"/>
  <c r="L840" i="18"/>
  <c r="M840" i="18" s="1"/>
  <c r="U840" i="18" s="1"/>
  <c r="I711" i="18"/>
  <c r="N711" i="18" s="1"/>
  <c r="J711" i="18"/>
  <c r="O711" i="18" s="1"/>
  <c r="K711" i="18"/>
  <c r="L711" i="18"/>
  <c r="M711" i="18" s="1"/>
  <c r="U711" i="18" s="1"/>
  <c r="I501" i="18"/>
  <c r="N501" i="18" s="1"/>
  <c r="J501" i="18"/>
  <c r="O501" i="18" s="1"/>
  <c r="K501" i="18"/>
  <c r="L501" i="18"/>
  <c r="M501" i="18" s="1"/>
  <c r="I916" i="18"/>
  <c r="N916" i="18" s="1"/>
  <c r="AA916" i="18" s="1"/>
  <c r="J916" i="18"/>
  <c r="O916" i="18" s="1"/>
  <c r="K916" i="18"/>
  <c r="L916" i="18"/>
  <c r="M916" i="18" s="1"/>
  <c r="U916" i="18" s="1"/>
  <c r="I526" i="18"/>
  <c r="N526" i="18" s="1"/>
  <c r="J526" i="18"/>
  <c r="O526" i="18" s="1"/>
  <c r="K526" i="18"/>
  <c r="L526" i="18"/>
  <c r="M526" i="18" s="1"/>
  <c r="U526" i="18" s="1"/>
  <c r="I918" i="18"/>
  <c r="N918" i="18" s="1"/>
  <c r="J918" i="18"/>
  <c r="O918" i="18" s="1"/>
  <c r="K918" i="18"/>
  <c r="L918" i="18"/>
  <c r="M918" i="18" s="1"/>
  <c r="U918" i="18" s="1"/>
  <c r="I864" i="18"/>
  <c r="N864" i="18" s="1"/>
  <c r="J864" i="18"/>
  <c r="O864" i="18" s="1"/>
  <c r="K864" i="18"/>
  <c r="L864" i="18"/>
  <c r="M864" i="18" s="1"/>
  <c r="U864" i="18" s="1"/>
  <c r="I287" i="18"/>
  <c r="N287" i="18" s="1"/>
  <c r="J287" i="18"/>
  <c r="O287" i="18" s="1"/>
  <c r="K287" i="18"/>
  <c r="L287" i="18"/>
  <c r="M287" i="18" s="1"/>
  <c r="U287" i="18" s="1"/>
  <c r="I922" i="18"/>
  <c r="N922" i="18" s="1"/>
  <c r="AA922" i="18" s="1"/>
  <c r="J922" i="18"/>
  <c r="O922" i="18" s="1"/>
  <c r="K922" i="18"/>
  <c r="L922" i="18"/>
  <c r="M922" i="18" s="1"/>
  <c r="I937" i="18"/>
  <c r="N937" i="18" s="1"/>
  <c r="J937" i="18"/>
  <c r="O937" i="18" s="1"/>
  <c r="K937" i="18"/>
  <c r="L937" i="18"/>
  <c r="M937" i="18" s="1"/>
  <c r="I167" i="18"/>
  <c r="N167" i="18" s="1"/>
  <c r="J167" i="18"/>
  <c r="O167" i="18" s="1"/>
  <c r="K167" i="18"/>
  <c r="L167" i="18"/>
  <c r="M167" i="18" s="1"/>
  <c r="U167" i="18" s="1"/>
  <c r="I329" i="18"/>
  <c r="N329" i="18" s="1"/>
  <c r="J329" i="18"/>
  <c r="O329" i="18" s="1"/>
  <c r="K329" i="18"/>
  <c r="L329" i="18"/>
  <c r="M329" i="18" s="1"/>
  <c r="U329" i="18" s="1"/>
  <c r="I208" i="18"/>
  <c r="N208" i="18" s="1"/>
  <c r="J208" i="18"/>
  <c r="O208" i="18" s="1"/>
  <c r="K208" i="18"/>
  <c r="L208" i="18"/>
  <c r="M208" i="18" s="1"/>
  <c r="U208" i="18" s="1"/>
  <c r="I95" i="18"/>
  <c r="N95" i="18" s="1"/>
  <c r="J95" i="18"/>
  <c r="O95" i="18" s="1"/>
  <c r="K95" i="18"/>
  <c r="L95" i="18"/>
  <c r="M95" i="18" s="1"/>
  <c r="U95" i="18" s="1"/>
  <c r="I960" i="18"/>
  <c r="N960" i="18" s="1"/>
  <c r="J960" i="18"/>
  <c r="O960" i="18" s="1"/>
  <c r="K960" i="18"/>
  <c r="L960" i="18"/>
  <c r="M960" i="18" s="1"/>
  <c r="U960" i="18" s="1"/>
  <c r="I579" i="18"/>
  <c r="N579" i="18" s="1"/>
  <c r="J579" i="18"/>
  <c r="O579" i="18" s="1"/>
  <c r="K579" i="18"/>
  <c r="L579" i="18"/>
  <c r="M579" i="18" s="1"/>
  <c r="U579" i="18" s="1"/>
  <c r="I54" i="18"/>
  <c r="N54" i="18" s="1"/>
  <c r="J54" i="18"/>
  <c r="O54" i="18" s="1"/>
  <c r="K54" i="18"/>
  <c r="L54" i="18"/>
  <c r="M54" i="18" s="1"/>
  <c r="U54" i="18" s="1"/>
  <c r="I55" i="18"/>
  <c r="N55" i="18" s="1"/>
  <c r="J55" i="18"/>
  <c r="O55" i="18" s="1"/>
  <c r="K55" i="18"/>
  <c r="L55" i="18"/>
  <c r="M55" i="18" s="1"/>
  <c r="U55" i="18" s="1"/>
  <c r="I640" i="18"/>
  <c r="N640" i="18" s="1"/>
  <c r="AA640" i="18" s="1"/>
  <c r="J640" i="18"/>
  <c r="O640" i="18" s="1"/>
  <c r="K640" i="18"/>
  <c r="L640" i="18"/>
  <c r="M640" i="18" s="1"/>
  <c r="U640" i="18" s="1"/>
  <c r="I552" i="18"/>
  <c r="N552" i="18" s="1"/>
  <c r="J552" i="18"/>
  <c r="O552" i="18" s="1"/>
  <c r="K552" i="18"/>
  <c r="L552" i="18"/>
  <c r="M552" i="18" s="1"/>
  <c r="U552" i="18" s="1"/>
  <c r="I697" i="18"/>
  <c r="N697" i="18" s="1"/>
  <c r="J697" i="18"/>
  <c r="O697" i="18" s="1"/>
  <c r="K697" i="18"/>
  <c r="L697" i="18"/>
  <c r="M697" i="18" s="1"/>
  <c r="U697" i="18" s="1"/>
  <c r="I264" i="18"/>
  <c r="N264" i="18" s="1"/>
  <c r="J264" i="18"/>
  <c r="O264" i="18" s="1"/>
  <c r="K264" i="18"/>
  <c r="L264" i="18"/>
  <c r="M264" i="18" s="1"/>
  <c r="U264" i="18" s="1"/>
  <c r="I803" i="18"/>
  <c r="N803" i="18" s="1"/>
  <c r="J803" i="18"/>
  <c r="O803" i="18" s="1"/>
  <c r="K803" i="18"/>
  <c r="L803" i="18"/>
  <c r="M803" i="18" s="1"/>
  <c r="I197" i="18"/>
  <c r="N197" i="18" s="1"/>
  <c r="J197" i="18"/>
  <c r="O197" i="18" s="1"/>
  <c r="K197" i="18"/>
  <c r="L197" i="18"/>
  <c r="M197" i="18" s="1"/>
  <c r="U197" i="18" s="1"/>
  <c r="I805" i="18"/>
  <c r="N805" i="18" s="1"/>
  <c r="J805" i="18"/>
  <c r="O805" i="18" s="1"/>
  <c r="K805" i="18"/>
  <c r="L805" i="18"/>
  <c r="M805" i="18" s="1"/>
  <c r="U805" i="18" s="1"/>
  <c r="I524" i="18"/>
  <c r="N524" i="18" s="1"/>
  <c r="J524" i="18"/>
  <c r="O524" i="18" s="1"/>
  <c r="K524" i="18"/>
  <c r="L524" i="18"/>
  <c r="M524" i="18" s="1"/>
  <c r="U524" i="18" s="1"/>
  <c r="I464" i="18"/>
  <c r="N464" i="18" s="1"/>
  <c r="J464" i="18"/>
  <c r="O464" i="18" s="1"/>
  <c r="K464" i="18"/>
  <c r="L464" i="18"/>
  <c r="M464" i="18" s="1"/>
  <c r="U464" i="18" s="1"/>
  <c r="I812" i="18"/>
  <c r="N812" i="18" s="1"/>
  <c r="J812" i="18"/>
  <c r="O812" i="18" s="1"/>
  <c r="K812" i="18"/>
  <c r="L812" i="18"/>
  <c r="M812" i="18" s="1"/>
  <c r="U812" i="18" s="1"/>
  <c r="I820" i="18"/>
  <c r="N820" i="18" s="1"/>
  <c r="AA820" i="18" s="1"/>
  <c r="J820" i="18"/>
  <c r="O820" i="18" s="1"/>
  <c r="K820" i="18"/>
  <c r="L820" i="18"/>
  <c r="M820" i="18" s="1"/>
  <c r="I930" i="18"/>
  <c r="N930" i="18" s="1"/>
  <c r="J930" i="18"/>
  <c r="O930" i="18" s="1"/>
  <c r="K930" i="18"/>
  <c r="L930" i="18"/>
  <c r="M930" i="18" s="1"/>
  <c r="I64" i="18"/>
  <c r="N64" i="18" s="1"/>
  <c r="J64" i="18"/>
  <c r="O64" i="18" s="1"/>
  <c r="K64" i="18"/>
  <c r="L64" i="18"/>
  <c r="M64" i="18" s="1"/>
  <c r="U64" i="18" s="1"/>
  <c r="I836" i="18"/>
  <c r="N836" i="18" s="1"/>
  <c r="J836" i="18"/>
  <c r="O836" i="18" s="1"/>
  <c r="K836" i="18"/>
  <c r="L836" i="18"/>
  <c r="M836" i="18" s="1"/>
  <c r="U836" i="18" s="1"/>
  <c r="I559" i="18"/>
  <c r="N559" i="18" s="1"/>
  <c r="J559" i="18"/>
  <c r="O559" i="18" s="1"/>
  <c r="K559" i="18"/>
  <c r="L559" i="18"/>
  <c r="M559" i="18" s="1"/>
  <c r="U559" i="18" s="1"/>
  <c r="I485" i="18"/>
  <c r="N485" i="18" s="1"/>
  <c r="J485" i="18"/>
  <c r="O485" i="18" s="1"/>
  <c r="K485" i="18"/>
  <c r="L485" i="18"/>
  <c r="M485" i="18" s="1"/>
  <c r="U485" i="18" s="1"/>
  <c r="I802" i="18"/>
  <c r="N802" i="18" s="1"/>
  <c r="J802" i="18"/>
  <c r="O802" i="18" s="1"/>
  <c r="K802" i="18"/>
  <c r="L802" i="18"/>
  <c r="M802" i="18" s="1"/>
  <c r="U802" i="18" s="1"/>
  <c r="I152" i="18"/>
  <c r="N152" i="18" s="1"/>
  <c r="J152" i="18"/>
  <c r="O152" i="18" s="1"/>
  <c r="K152" i="18"/>
  <c r="L152" i="18"/>
  <c r="M152" i="18" s="1"/>
  <c r="U152" i="18" s="1"/>
  <c r="I570" i="18"/>
  <c r="N570" i="18" s="1"/>
  <c r="J570" i="18"/>
  <c r="O570" i="18" s="1"/>
  <c r="K570" i="18"/>
  <c r="L570" i="18"/>
  <c r="M570" i="18" s="1"/>
  <c r="U570" i="18" s="1"/>
  <c r="I428" i="18"/>
  <c r="N428" i="18" s="1"/>
  <c r="J428" i="18"/>
  <c r="O428" i="18" s="1"/>
  <c r="K428" i="18"/>
  <c r="L428" i="18"/>
  <c r="M428" i="18" s="1"/>
  <c r="U428" i="18" s="1"/>
  <c r="I729" i="18"/>
  <c r="N729" i="18" s="1"/>
  <c r="AA729" i="18" s="1"/>
  <c r="J729" i="18"/>
  <c r="O729" i="18" s="1"/>
  <c r="K729" i="18"/>
  <c r="L729" i="18"/>
  <c r="M729" i="18" s="1"/>
  <c r="U729" i="18" s="1"/>
  <c r="I758" i="18"/>
  <c r="N758" i="18" s="1"/>
  <c r="J758" i="18"/>
  <c r="O758" i="18" s="1"/>
  <c r="K758" i="18"/>
  <c r="L758" i="18"/>
  <c r="M758" i="18" s="1"/>
  <c r="U758" i="18" s="1"/>
  <c r="I491" i="18"/>
  <c r="N491" i="18" s="1"/>
  <c r="J491" i="18"/>
  <c r="O491" i="18" s="1"/>
  <c r="K491" i="18"/>
  <c r="L491" i="18"/>
  <c r="M491" i="18" s="1"/>
  <c r="U491" i="18" s="1"/>
  <c r="I39" i="18"/>
  <c r="N39" i="18" s="1"/>
  <c r="J39" i="18"/>
  <c r="O39" i="18" s="1"/>
  <c r="K39" i="18"/>
  <c r="L39" i="18"/>
  <c r="M39" i="18" s="1"/>
  <c r="U39" i="18" s="1"/>
  <c r="I582" i="18"/>
  <c r="N582" i="18" s="1"/>
  <c r="J582" i="18"/>
  <c r="O582" i="18" s="1"/>
  <c r="K582" i="18"/>
  <c r="L582" i="18"/>
  <c r="M582" i="18" s="1"/>
  <c r="I446" i="18"/>
  <c r="N446" i="18" s="1"/>
  <c r="J446" i="18"/>
  <c r="O446" i="18" s="1"/>
  <c r="K446" i="18"/>
  <c r="L446" i="18"/>
  <c r="M446" i="18" s="1"/>
  <c r="U446" i="18" s="1"/>
  <c r="I799" i="18"/>
  <c r="N799" i="18" s="1"/>
  <c r="J799" i="18"/>
  <c r="O799" i="18" s="1"/>
  <c r="K799" i="18"/>
  <c r="L799" i="18"/>
  <c r="M799" i="18" s="1"/>
  <c r="U799" i="18" s="1"/>
  <c r="I474" i="18"/>
  <c r="N474" i="18" s="1"/>
  <c r="J474" i="18"/>
  <c r="O474" i="18" s="1"/>
  <c r="K474" i="18"/>
  <c r="L474" i="18"/>
  <c r="M474" i="18" s="1"/>
  <c r="U474" i="18" s="1"/>
  <c r="I787" i="18"/>
  <c r="N787" i="18" s="1"/>
  <c r="J787" i="18"/>
  <c r="O787" i="18" s="1"/>
  <c r="K787" i="18"/>
  <c r="L787" i="18"/>
  <c r="M787" i="18" s="1"/>
  <c r="U787" i="18" s="1"/>
  <c r="I651" i="18"/>
  <c r="N651" i="18" s="1"/>
  <c r="J651" i="18"/>
  <c r="O651" i="18" s="1"/>
  <c r="K651" i="18"/>
  <c r="L651" i="18"/>
  <c r="M651" i="18" s="1"/>
  <c r="U651" i="18" s="1"/>
  <c r="I311" i="18"/>
  <c r="N311" i="18" s="1"/>
  <c r="AA311" i="18" s="1"/>
  <c r="J311" i="18"/>
  <c r="O311" i="18" s="1"/>
  <c r="K311" i="18"/>
  <c r="L311" i="18"/>
  <c r="M311" i="18" s="1"/>
  <c r="I550" i="18"/>
  <c r="N550" i="18" s="1"/>
  <c r="J550" i="18"/>
  <c r="O550" i="18" s="1"/>
  <c r="K550" i="18"/>
  <c r="L550" i="18"/>
  <c r="M550" i="18" s="1"/>
  <c r="I761" i="18"/>
  <c r="N761" i="18" s="1"/>
  <c r="J761" i="18"/>
  <c r="O761" i="18" s="1"/>
  <c r="K761" i="18"/>
  <c r="L761" i="18"/>
  <c r="M761" i="18" s="1"/>
  <c r="U761" i="18" s="1"/>
  <c r="I164" i="18"/>
  <c r="N164" i="18" s="1"/>
  <c r="J164" i="18"/>
  <c r="O164" i="18" s="1"/>
  <c r="K164" i="18"/>
  <c r="L164" i="18"/>
  <c r="M164" i="18" s="1"/>
  <c r="U164" i="18" s="1"/>
  <c r="I556" i="18"/>
  <c r="N556" i="18" s="1"/>
  <c r="J556" i="18"/>
  <c r="O556" i="18" s="1"/>
  <c r="K556" i="18"/>
  <c r="L556" i="18"/>
  <c r="M556" i="18" s="1"/>
  <c r="U556" i="18" s="1"/>
  <c r="I346" i="18"/>
  <c r="N346" i="18" s="1"/>
  <c r="J346" i="18"/>
  <c r="O346" i="18" s="1"/>
  <c r="K346" i="18"/>
  <c r="L346" i="18"/>
  <c r="M346" i="18" s="1"/>
  <c r="U346" i="18" s="1"/>
  <c r="I505" i="18"/>
  <c r="N505" i="18" s="1"/>
  <c r="J505" i="18"/>
  <c r="O505" i="18" s="1"/>
  <c r="K505" i="18"/>
  <c r="L505" i="18"/>
  <c r="M505" i="18" s="1"/>
  <c r="U505" i="18" s="1"/>
  <c r="I382" i="18"/>
  <c r="N382" i="18" s="1"/>
  <c r="J382" i="18"/>
  <c r="O382" i="18" s="1"/>
  <c r="K382" i="18"/>
  <c r="L382" i="18"/>
  <c r="M382" i="18" s="1"/>
  <c r="U382" i="18" s="1"/>
  <c r="I985" i="18"/>
  <c r="N985" i="18" s="1"/>
  <c r="J985" i="18"/>
  <c r="O985" i="18" s="1"/>
  <c r="K985" i="18"/>
  <c r="L985" i="18"/>
  <c r="M985" i="18" s="1"/>
  <c r="U985" i="18" s="1"/>
  <c r="I250" i="18"/>
  <c r="N250" i="18" s="1"/>
  <c r="J250" i="18"/>
  <c r="O250" i="18" s="1"/>
  <c r="K250" i="18"/>
  <c r="L250" i="18"/>
  <c r="M250" i="18" s="1"/>
  <c r="U250" i="18" s="1"/>
  <c r="I677" i="18"/>
  <c r="N677" i="18" s="1"/>
  <c r="J677" i="18"/>
  <c r="O677" i="18" s="1"/>
  <c r="K677" i="18"/>
  <c r="L677" i="18"/>
  <c r="M677" i="18" s="1"/>
  <c r="U677" i="18" s="1"/>
  <c r="I110" i="18"/>
  <c r="N110" i="18" s="1"/>
  <c r="J110" i="18"/>
  <c r="O110" i="18" s="1"/>
  <c r="K110" i="18"/>
  <c r="L110" i="18"/>
  <c r="M110" i="18" s="1"/>
  <c r="U110" i="18" s="1"/>
  <c r="I921" i="18"/>
  <c r="N921" i="18" s="1"/>
  <c r="J921" i="18"/>
  <c r="O921" i="18" s="1"/>
  <c r="K921" i="18"/>
  <c r="L921" i="18"/>
  <c r="M921" i="18" s="1"/>
  <c r="U921" i="18" s="1"/>
  <c r="I609" i="18"/>
  <c r="N609" i="18" s="1"/>
  <c r="J609" i="18"/>
  <c r="O609" i="18" s="1"/>
  <c r="K609" i="18"/>
  <c r="L609" i="18"/>
  <c r="M609" i="18" s="1"/>
  <c r="U609" i="18" s="1"/>
  <c r="I919" i="18"/>
  <c r="N919" i="18" s="1"/>
  <c r="J919" i="18"/>
  <c r="O919" i="18" s="1"/>
  <c r="K919" i="18"/>
  <c r="L919" i="18"/>
  <c r="M919" i="18" s="1"/>
  <c r="I779" i="18"/>
  <c r="N779" i="18" s="1"/>
  <c r="J779" i="18"/>
  <c r="O779" i="18" s="1"/>
  <c r="K779" i="18"/>
  <c r="L779" i="18"/>
  <c r="M779" i="18" s="1"/>
  <c r="U779" i="18" s="1"/>
  <c r="I201" i="18"/>
  <c r="N201" i="18" s="1"/>
  <c r="J201" i="18"/>
  <c r="O201" i="18" s="1"/>
  <c r="K201" i="18"/>
  <c r="L201" i="18"/>
  <c r="M201" i="18" s="1"/>
  <c r="U201" i="18" s="1"/>
  <c r="I823" i="18"/>
  <c r="N823" i="18" s="1"/>
  <c r="J823" i="18"/>
  <c r="O823" i="18" s="1"/>
  <c r="K823" i="18"/>
  <c r="L823" i="18"/>
  <c r="M823" i="18" s="1"/>
  <c r="U823" i="18" s="1"/>
  <c r="I590" i="18"/>
  <c r="N590" i="18" s="1"/>
  <c r="J590" i="18"/>
  <c r="O590" i="18" s="1"/>
  <c r="K590" i="18"/>
  <c r="L590" i="18"/>
  <c r="M590" i="18" s="1"/>
  <c r="U590" i="18" s="1"/>
  <c r="I591" i="18"/>
  <c r="N591" i="18" s="1"/>
  <c r="J591" i="18"/>
  <c r="O591" i="18" s="1"/>
  <c r="K591" i="18"/>
  <c r="L591" i="18"/>
  <c r="M591" i="18" s="1"/>
  <c r="U591" i="18" s="1"/>
  <c r="I589" i="18"/>
  <c r="N589" i="18" s="1"/>
  <c r="AA589" i="18" s="1"/>
  <c r="J589" i="18"/>
  <c r="O589" i="18" s="1"/>
  <c r="K589" i="18"/>
  <c r="L589" i="18"/>
  <c r="M589" i="18" s="1"/>
  <c r="U589" i="18" s="1"/>
  <c r="I592" i="18"/>
  <c r="N592" i="18" s="1"/>
  <c r="J592" i="18"/>
  <c r="O592" i="18" s="1"/>
  <c r="K592" i="18"/>
  <c r="L592" i="18"/>
  <c r="M592" i="18" s="1"/>
  <c r="U592" i="18" s="1"/>
  <c r="I161" i="18"/>
  <c r="N161" i="18" s="1"/>
  <c r="J161" i="18"/>
  <c r="O161" i="18" s="1"/>
  <c r="K161" i="18"/>
  <c r="L161" i="18"/>
  <c r="M161" i="18" s="1"/>
  <c r="U161" i="18" s="1"/>
  <c r="I61" i="18"/>
  <c r="N61" i="18" s="1"/>
  <c r="J61" i="18"/>
  <c r="O61" i="18" s="1"/>
  <c r="K61" i="18"/>
  <c r="L61" i="18"/>
  <c r="M61" i="18" s="1"/>
  <c r="U61" i="18" s="1"/>
  <c r="I409" i="18"/>
  <c r="N409" i="18" s="1"/>
  <c r="J409" i="18"/>
  <c r="O409" i="18" s="1"/>
  <c r="K409" i="18"/>
  <c r="L409" i="18"/>
  <c r="M409" i="18" s="1"/>
  <c r="U409" i="18" s="1"/>
  <c r="I25" i="18"/>
  <c r="N25" i="18" s="1"/>
  <c r="J25" i="18"/>
  <c r="O25" i="18" s="1"/>
  <c r="K25" i="18"/>
  <c r="L25" i="18"/>
  <c r="M25" i="18" s="1"/>
  <c r="U25" i="18" s="1"/>
  <c r="I41" i="18"/>
  <c r="N41" i="18" s="1"/>
  <c r="J41" i="18"/>
  <c r="O41" i="18" s="1"/>
  <c r="K41" i="18"/>
  <c r="L41" i="18"/>
  <c r="M41" i="18" s="1"/>
  <c r="U41" i="18" s="1"/>
  <c r="I103" i="18"/>
  <c r="N103" i="18" s="1"/>
  <c r="J103" i="18"/>
  <c r="O103" i="18" s="1"/>
  <c r="K103" i="18"/>
  <c r="L103" i="18"/>
  <c r="M103" i="18" s="1"/>
  <c r="U103" i="18" s="1"/>
  <c r="I341" i="18"/>
  <c r="N341" i="18" s="1"/>
  <c r="J341" i="18"/>
  <c r="O341" i="18" s="1"/>
  <c r="K341" i="18"/>
  <c r="L341" i="18"/>
  <c r="M341" i="18" s="1"/>
  <c r="U341" i="18" s="1"/>
  <c r="I317" i="18"/>
  <c r="N317" i="18" s="1"/>
  <c r="J317" i="18"/>
  <c r="O317" i="18" s="1"/>
  <c r="K317" i="18"/>
  <c r="L317" i="18"/>
  <c r="M317" i="18" s="1"/>
  <c r="U317" i="18" s="1"/>
  <c r="I433" i="18"/>
  <c r="N433" i="18" s="1"/>
  <c r="J433" i="18"/>
  <c r="O433" i="18" s="1"/>
  <c r="K433" i="18"/>
  <c r="L433" i="18"/>
  <c r="M433" i="18" s="1"/>
  <c r="U433" i="18" s="1"/>
  <c r="I74" i="18"/>
  <c r="N74" i="18" s="1"/>
  <c r="J74" i="18"/>
  <c r="O74" i="18" s="1"/>
  <c r="K74" i="18"/>
  <c r="L74" i="18"/>
  <c r="M74" i="18" s="1"/>
  <c r="U74" i="18" s="1"/>
  <c r="I681" i="18"/>
  <c r="N681" i="18" s="1"/>
  <c r="J681" i="18"/>
  <c r="O681" i="18" s="1"/>
  <c r="K681" i="18"/>
  <c r="L681" i="18"/>
  <c r="M681" i="18" s="1"/>
  <c r="U681" i="18" s="1"/>
  <c r="I883" i="18"/>
  <c r="N883" i="18" s="1"/>
  <c r="J883" i="18"/>
  <c r="O883" i="18" s="1"/>
  <c r="K883" i="18"/>
  <c r="L883" i="18"/>
  <c r="M883" i="18" s="1"/>
  <c r="U883" i="18" s="1"/>
  <c r="I769" i="18"/>
  <c r="N769" i="18" s="1"/>
  <c r="J769" i="18"/>
  <c r="O769" i="18" s="1"/>
  <c r="K769" i="18"/>
  <c r="L769" i="18"/>
  <c r="M769" i="18" s="1"/>
  <c r="I378" i="18"/>
  <c r="N378" i="18" s="1"/>
  <c r="J378" i="18"/>
  <c r="O378" i="18" s="1"/>
  <c r="K378" i="18"/>
  <c r="L378" i="18"/>
  <c r="M378" i="18" s="1"/>
  <c r="U378" i="18" s="1"/>
  <c r="I484" i="18"/>
  <c r="N484" i="18" s="1"/>
  <c r="J484" i="18"/>
  <c r="O484" i="18" s="1"/>
  <c r="K484" i="18"/>
  <c r="L484" i="18"/>
  <c r="M484" i="18" s="1"/>
  <c r="U484" i="18" s="1"/>
  <c r="I90" i="18"/>
  <c r="N90" i="18" s="1"/>
  <c r="J90" i="18"/>
  <c r="O90" i="18" s="1"/>
  <c r="K90" i="18"/>
  <c r="L90" i="18"/>
  <c r="M90" i="18" s="1"/>
  <c r="U90" i="18" s="1"/>
  <c r="I541" i="18"/>
  <c r="N541" i="18" s="1"/>
  <c r="J541" i="18"/>
  <c r="O541" i="18" s="1"/>
  <c r="K541" i="18"/>
  <c r="L541" i="18"/>
  <c r="M541" i="18" s="1"/>
  <c r="U541" i="18" s="1"/>
  <c r="I20" i="18"/>
  <c r="N20" i="18" s="1"/>
  <c r="J20" i="18"/>
  <c r="O20" i="18" s="1"/>
  <c r="K20" i="18"/>
  <c r="L20" i="18"/>
  <c r="M20" i="18" s="1"/>
  <c r="U20" i="18" s="1"/>
  <c r="I874" i="18"/>
  <c r="N874" i="18" s="1"/>
  <c r="J874" i="18"/>
  <c r="O874" i="18" s="1"/>
  <c r="K874" i="18"/>
  <c r="L874" i="18"/>
  <c r="M874" i="18" s="1"/>
  <c r="I810" i="18"/>
  <c r="N810" i="18" s="1"/>
  <c r="J810" i="18"/>
  <c r="O810" i="18" s="1"/>
  <c r="AA810" i="18" s="1"/>
  <c r="K810" i="18"/>
  <c r="L810" i="18"/>
  <c r="M810" i="18" s="1"/>
  <c r="I969" i="18"/>
  <c r="N969" i="18" s="1"/>
  <c r="J969" i="18"/>
  <c r="O969" i="18" s="1"/>
  <c r="K969" i="18"/>
  <c r="L969" i="18"/>
  <c r="M969" i="18" s="1"/>
  <c r="U969" i="18" s="1"/>
  <c r="I294" i="18"/>
  <c r="N294" i="18" s="1"/>
  <c r="J294" i="18"/>
  <c r="O294" i="18" s="1"/>
  <c r="K294" i="18"/>
  <c r="L294" i="18"/>
  <c r="M294" i="18" s="1"/>
  <c r="U294" i="18" s="1"/>
  <c r="I236" i="18"/>
  <c r="N236" i="18" s="1"/>
  <c r="J236" i="18"/>
  <c r="O236" i="18" s="1"/>
  <c r="K236" i="18"/>
  <c r="L236" i="18"/>
  <c r="M236" i="18" s="1"/>
  <c r="U236" i="18" s="1"/>
  <c r="I193" i="18"/>
  <c r="N193" i="18" s="1"/>
  <c r="AA193" i="18" s="1"/>
  <c r="J193" i="18"/>
  <c r="O193" i="18" s="1"/>
  <c r="K193" i="18"/>
  <c r="L193" i="18"/>
  <c r="M193" i="18" s="1"/>
  <c r="U193" i="18" s="1"/>
  <c r="I494" i="18"/>
  <c r="N494" i="18" s="1"/>
  <c r="J494" i="18"/>
  <c r="O494" i="18" s="1"/>
  <c r="K494" i="18"/>
  <c r="L494" i="18"/>
  <c r="M494" i="18" s="1"/>
  <c r="U494" i="18" s="1"/>
  <c r="I381" i="18"/>
  <c r="N381" i="18" s="1"/>
  <c r="J381" i="18"/>
  <c r="O381" i="18" s="1"/>
  <c r="K381" i="18"/>
  <c r="L381" i="18"/>
  <c r="M381" i="18" s="1"/>
  <c r="U381" i="18" s="1"/>
  <c r="I910" i="18"/>
  <c r="N910" i="18" s="1"/>
  <c r="J910" i="18"/>
  <c r="O910" i="18" s="1"/>
  <c r="K910" i="18"/>
  <c r="L910" i="18"/>
  <c r="M910" i="18" s="1"/>
  <c r="U910" i="18" s="1"/>
  <c r="I303" i="18"/>
  <c r="N303" i="18" s="1"/>
  <c r="J303" i="18"/>
  <c r="O303" i="18" s="1"/>
  <c r="K303" i="18"/>
  <c r="L303" i="18"/>
  <c r="M303" i="18" s="1"/>
  <c r="U303" i="18" s="1"/>
  <c r="I473" i="18"/>
  <c r="N473" i="18" s="1"/>
  <c r="J473" i="18"/>
  <c r="O473" i="18" s="1"/>
  <c r="K473" i="18"/>
  <c r="L473" i="18"/>
  <c r="M473" i="18" s="1"/>
  <c r="U473" i="18" s="1"/>
  <c r="I242" i="18"/>
  <c r="N242" i="18" s="1"/>
  <c r="J242" i="18"/>
  <c r="O242" i="18" s="1"/>
  <c r="K242" i="18"/>
  <c r="L242" i="18"/>
  <c r="M242" i="18" s="1"/>
  <c r="U242" i="18" s="1"/>
  <c r="I867" i="18"/>
  <c r="N867" i="18" s="1"/>
  <c r="J867" i="18"/>
  <c r="O867" i="18" s="1"/>
  <c r="K867" i="18"/>
  <c r="L867" i="18"/>
  <c r="M867" i="18" s="1"/>
  <c r="U867" i="18" s="1"/>
  <c r="I699" i="18"/>
  <c r="N699" i="18" s="1"/>
  <c r="J699" i="18"/>
  <c r="O699" i="18" s="1"/>
  <c r="K699" i="18"/>
  <c r="L699" i="18"/>
  <c r="M699" i="18" s="1"/>
  <c r="U699" i="18" s="1"/>
  <c r="I307" i="18"/>
  <c r="N307" i="18" s="1"/>
  <c r="J307" i="18"/>
  <c r="O307" i="18" s="1"/>
  <c r="K307" i="18"/>
  <c r="L307" i="18"/>
  <c r="M307" i="18" s="1"/>
  <c r="U307" i="18" s="1"/>
  <c r="I306" i="18"/>
  <c r="N306" i="18" s="1"/>
  <c r="J306" i="18"/>
  <c r="O306" i="18" s="1"/>
  <c r="K306" i="18"/>
  <c r="L306" i="18"/>
  <c r="M306" i="18" s="1"/>
  <c r="U306" i="18" s="1"/>
  <c r="I299" i="18"/>
  <c r="N299" i="18" s="1"/>
  <c r="J299" i="18"/>
  <c r="O299" i="18" s="1"/>
  <c r="AA299" i="18" s="1"/>
  <c r="K299" i="18"/>
  <c r="L299" i="18"/>
  <c r="M299" i="18" s="1"/>
  <c r="U299" i="18" s="1"/>
  <c r="I126" i="18"/>
  <c r="N126" i="18" s="1"/>
  <c r="J126" i="18"/>
  <c r="O126" i="18" s="1"/>
  <c r="K126" i="18"/>
  <c r="L126" i="18"/>
  <c r="M126" i="18" s="1"/>
  <c r="U126" i="18" s="1"/>
  <c r="I819" i="18"/>
  <c r="N819" i="18" s="1"/>
  <c r="J819" i="18"/>
  <c r="O819" i="18" s="1"/>
  <c r="K819" i="18"/>
  <c r="L819" i="18"/>
  <c r="M819" i="18" s="1"/>
  <c r="U819" i="18" s="1"/>
  <c r="I573" i="18"/>
  <c r="N573" i="18" s="1"/>
  <c r="J573" i="18"/>
  <c r="O573" i="18" s="1"/>
  <c r="K573" i="18"/>
  <c r="L573" i="18"/>
  <c r="M573" i="18" s="1"/>
  <c r="U573" i="18" s="1"/>
  <c r="I800" i="18"/>
  <c r="N800" i="18" s="1"/>
  <c r="J800" i="18"/>
  <c r="O800" i="18" s="1"/>
  <c r="K800" i="18"/>
  <c r="L800" i="18"/>
  <c r="M800" i="18" s="1"/>
  <c r="I362" i="18"/>
  <c r="N362" i="18" s="1"/>
  <c r="J362" i="18"/>
  <c r="O362" i="18" s="1"/>
  <c r="K362" i="18"/>
  <c r="L362" i="18"/>
  <c r="M362" i="18" s="1"/>
  <c r="U362" i="18" s="1"/>
  <c r="I796" i="18"/>
  <c r="N796" i="18" s="1"/>
  <c r="J796" i="18"/>
  <c r="O796" i="18" s="1"/>
  <c r="K796" i="18"/>
  <c r="L796" i="18"/>
  <c r="M796" i="18" s="1"/>
  <c r="U796" i="18" s="1"/>
  <c r="I517" i="18"/>
  <c r="N517" i="18" s="1"/>
  <c r="J517" i="18"/>
  <c r="O517" i="18" s="1"/>
  <c r="K517" i="18"/>
  <c r="L517" i="18"/>
  <c r="M517" i="18" s="1"/>
  <c r="U517" i="18" s="1"/>
  <c r="I539" i="18"/>
  <c r="N539" i="18" s="1"/>
  <c r="J539" i="18"/>
  <c r="O539" i="18" s="1"/>
  <c r="K539" i="18"/>
  <c r="L539" i="18"/>
  <c r="M539" i="18" s="1"/>
  <c r="U539" i="18" s="1"/>
  <c r="I872" i="18"/>
  <c r="N872" i="18" s="1"/>
  <c r="AA872" i="18" s="1"/>
  <c r="J872" i="18"/>
  <c r="O872" i="18" s="1"/>
  <c r="K872" i="18"/>
  <c r="L872" i="18"/>
  <c r="M872" i="18" s="1"/>
  <c r="U872" i="18" s="1"/>
  <c r="I205" i="18"/>
  <c r="N205" i="18" s="1"/>
  <c r="J205" i="18"/>
  <c r="O205" i="18" s="1"/>
  <c r="AA205" i="18" s="1"/>
  <c r="K205" i="18"/>
  <c r="L205" i="18"/>
  <c r="M205" i="18" s="1"/>
  <c r="U205" i="18" s="1"/>
  <c r="I1000" i="18"/>
  <c r="N1000" i="18" s="1"/>
  <c r="J1000" i="18"/>
  <c r="O1000" i="18" s="1"/>
  <c r="K1000" i="18"/>
  <c r="L1000" i="18"/>
  <c r="M1000" i="18" s="1"/>
  <c r="U1000" i="18" s="1"/>
  <c r="I97" i="18"/>
  <c r="N97" i="18" s="1"/>
  <c r="J97" i="18"/>
  <c r="O97" i="18" s="1"/>
  <c r="K97" i="18"/>
  <c r="L97" i="18"/>
  <c r="M97" i="18" s="1"/>
  <c r="U97" i="18" s="1"/>
  <c r="I525" i="18"/>
  <c r="N525" i="18" s="1"/>
  <c r="J525" i="18"/>
  <c r="O525" i="18" s="1"/>
  <c r="K525" i="18"/>
  <c r="L525" i="18"/>
  <c r="M525" i="18" s="1"/>
  <c r="U525" i="18" s="1"/>
  <c r="I354" i="18"/>
  <c r="N354" i="18" s="1"/>
  <c r="J354" i="18"/>
  <c r="O354" i="18" s="1"/>
  <c r="K354" i="18"/>
  <c r="L354" i="18"/>
  <c r="M354" i="18" s="1"/>
  <c r="U354" i="18" s="1"/>
  <c r="I13" i="18"/>
  <c r="N13" i="18" s="1"/>
  <c r="J13" i="18"/>
  <c r="O13" i="18" s="1"/>
  <c r="K13" i="18"/>
  <c r="L13" i="18"/>
  <c r="M13" i="18" s="1"/>
  <c r="U13" i="18" s="1"/>
  <c r="I990" i="18"/>
  <c r="N990" i="18" s="1"/>
  <c r="J990" i="18"/>
  <c r="O990" i="18" s="1"/>
  <c r="K990" i="18"/>
  <c r="L990" i="18"/>
  <c r="M990" i="18" s="1"/>
  <c r="U990" i="18" s="1"/>
  <c r="I875" i="18"/>
  <c r="N875" i="18" s="1"/>
  <c r="J875" i="18"/>
  <c r="O875" i="18" s="1"/>
  <c r="K875" i="18"/>
  <c r="L875" i="18"/>
  <c r="M875" i="18" s="1"/>
  <c r="U875" i="18" s="1"/>
  <c r="I204" i="18"/>
  <c r="N204" i="18" s="1"/>
  <c r="J204" i="18"/>
  <c r="O204" i="18" s="1"/>
  <c r="K204" i="18"/>
  <c r="L204" i="18"/>
  <c r="M204" i="18" s="1"/>
  <c r="I572" i="18"/>
  <c r="N572" i="18" s="1"/>
  <c r="J572" i="18"/>
  <c r="O572" i="18" s="1"/>
  <c r="K572" i="18"/>
  <c r="L572" i="18"/>
  <c r="M572" i="18" s="1"/>
  <c r="U572" i="18" s="1"/>
  <c r="I765" i="18"/>
  <c r="N765" i="18" s="1"/>
  <c r="J765" i="18"/>
  <c r="O765" i="18" s="1"/>
  <c r="AA765" i="18" s="1"/>
  <c r="K765" i="18"/>
  <c r="L765" i="18"/>
  <c r="M765" i="18" s="1"/>
  <c r="U765" i="18" s="1"/>
  <c r="I120" i="18"/>
  <c r="N120" i="18" s="1"/>
  <c r="J120" i="18"/>
  <c r="O120" i="18" s="1"/>
  <c r="K120" i="18"/>
  <c r="L120" i="18"/>
  <c r="M120" i="18" s="1"/>
  <c r="U120" i="18" s="1"/>
  <c r="I10" i="18"/>
  <c r="N10" i="18" s="1"/>
  <c r="J10" i="18"/>
  <c r="O10" i="18" s="1"/>
  <c r="K10" i="18"/>
  <c r="L10" i="18"/>
  <c r="M10" i="18" s="1"/>
  <c r="U10" i="18" s="1"/>
  <c r="I637" i="18"/>
  <c r="N637" i="18" s="1"/>
  <c r="J637" i="18"/>
  <c r="O637" i="18" s="1"/>
  <c r="K637" i="18"/>
  <c r="L637" i="18"/>
  <c r="M637" i="18" s="1"/>
  <c r="U637" i="18" s="1"/>
  <c r="I442" i="18"/>
  <c r="N442" i="18" s="1"/>
  <c r="AA442" i="18" s="1"/>
  <c r="J442" i="18"/>
  <c r="O442" i="18" s="1"/>
  <c r="K442" i="18"/>
  <c r="L442" i="18"/>
  <c r="M442" i="18" s="1"/>
  <c r="I689" i="18"/>
  <c r="N689" i="18" s="1"/>
  <c r="J689" i="18"/>
  <c r="O689" i="18" s="1"/>
  <c r="K689" i="18"/>
  <c r="L689" i="18"/>
  <c r="M689" i="18" s="1"/>
  <c r="I467" i="18"/>
  <c r="N467" i="18" s="1"/>
  <c r="J467" i="18"/>
  <c r="O467" i="18" s="1"/>
  <c r="K467" i="18"/>
  <c r="L467" i="18"/>
  <c r="M467" i="18" s="1"/>
  <c r="U467" i="18" s="1"/>
  <c r="I392" i="18"/>
  <c r="N392" i="18" s="1"/>
  <c r="J392" i="18"/>
  <c r="O392" i="18" s="1"/>
  <c r="K392" i="18"/>
  <c r="L392" i="18"/>
  <c r="M392" i="18" s="1"/>
  <c r="U392" i="18" s="1"/>
  <c r="I679" i="18"/>
  <c r="N679" i="18" s="1"/>
  <c r="J679" i="18"/>
  <c r="O679" i="18" s="1"/>
  <c r="K679" i="18"/>
  <c r="L679" i="18"/>
  <c r="M679" i="18" s="1"/>
  <c r="U679" i="18" s="1"/>
  <c r="I203" i="18"/>
  <c r="N203" i="18" s="1"/>
  <c r="J203" i="18"/>
  <c r="O203" i="18" s="1"/>
  <c r="K203" i="18"/>
  <c r="L203" i="18"/>
  <c r="M203" i="18" s="1"/>
  <c r="U203" i="18" s="1"/>
  <c r="I537" i="18"/>
  <c r="N537" i="18" s="1"/>
  <c r="J537" i="18"/>
  <c r="O537" i="18" s="1"/>
  <c r="K537" i="18"/>
  <c r="L537" i="18"/>
  <c r="M537" i="18" s="1"/>
  <c r="U537" i="18" s="1"/>
  <c r="I868" i="18"/>
  <c r="N868" i="18" s="1"/>
  <c r="J868" i="18"/>
  <c r="O868" i="18" s="1"/>
  <c r="K868" i="18"/>
  <c r="L868" i="18"/>
  <c r="M868" i="18" s="1"/>
  <c r="U868" i="18" s="1"/>
  <c r="I740" i="18"/>
  <c r="N740" i="18" s="1"/>
  <c r="J740" i="18"/>
  <c r="O740" i="18" s="1"/>
  <c r="K740" i="18"/>
  <c r="L740" i="18"/>
  <c r="M740" i="18" s="1"/>
  <c r="U740" i="18" s="1"/>
  <c r="I605" i="18"/>
  <c r="N605" i="18" s="1"/>
  <c r="J605" i="18"/>
  <c r="O605" i="18" s="1"/>
  <c r="K605" i="18"/>
  <c r="L605" i="18"/>
  <c r="M605" i="18" s="1"/>
  <c r="U605" i="18" s="1"/>
  <c r="I620" i="18"/>
  <c r="N620" i="18" s="1"/>
  <c r="J620" i="18"/>
  <c r="O620" i="18" s="1"/>
  <c r="K620" i="18"/>
  <c r="L620" i="18"/>
  <c r="M620" i="18" s="1"/>
  <c r="U620" i="18" s="1"/>
  <c r="I470" i="18"/>
  <c r="N470" i="18" s="1"/>
  <c r="J470" i="18"/>
  <c r="O470" i="18" s="1"/>
  <c r="K470" i="18"/>
  <c r="L470" i="18"/>
  <c r="M470" i="18" s="1"/>
  <c r="U470" i="18" s="1"/>
  <c r="I726" i="18"/>
  <c r="N726" i="18" s="1"/>
  <c r="J726" i="18"/>
  <c r="O726" i="18" s="1"/>
  <c r="K726" i="18"/>
  <c r="L726" i="18"/>
  <c r="M726" i="18" s="1"/>
  <c r="U726" i="18" s="1"/>
  <c r="I623" i="18"/>
  <c r="N623" i="18" s="1"/>
  <c r="J623" i="18"/>
  <c r="O623" i="18" s="1"/>
  <c r="K623" i="18"/>
  <c r="L623" i="18"/>
  <c r="M623" i="18" s="1"/>
  <c r="U623" i="18" s="1"/>
  <c r="I114" i="18"/>
  <c r="N114" i="18" s="1"/>
  <c r="J114" i="18"/>
  <c r="O114" i="18" s="1"/>
  <c r="K114" i="18"/>
  <c r="L114" i="18"/>
  <c r="M114" i="18" s="1"/>
  <c r="I31" i="18"/>
  <c r="N31" i="18" s="1"/>
  <c r="J31" i="18"/>
  <c r="O31" i="18" s="1"/>
  <c r="K31" i="18"/>
  <c r="L31" i="18"/>
  <c r="M31" i="18" s="1"/>
  <c r="U31" i="18" s="1"/>
  <c r="I173" i="18"/>
  <c r="N173" i="18" s="1"/>
  <c r="J173" i="18"/>
  <c r="O173" i="18" s="1"/>
  <c r="K173" i="18"/>
  <c r="L173" i="18"/>
  <c r="M173" i="18" s="1"/>
  <c r="U173" i="18" s="1"/>
  <c r="I390" i="18"/>
  <c r="N390" i="18" s="1"/>
  <c r="J390" i="18"/>
  <c r="O390" i="18" s="1"/>
  <c r="K390" i="18"/>
  <c r="L390" i="18"/>
  <c r="M390" i="18" s="1"/>
  <c r="U390" i="18" s="1"/>
  <c r="I51" i="18"/>
  <c r="N51" i="18" s="1"/>
  <c r="J51" i="18"/>
  <c r="O51" i="18" s="1"/>
  <c r="K51" i="18"/>
  <c r="L51" i="18"/>
  <c r="M51" i="18" s="1"/>
  <c r="U51" i="18" s="1"/>
  <c r="I391" i="18"/>
  <c r="N391" i="18" s="1"/>
  <c r="J391" i="18"/>
  <c r="O391" i="18" s="1"/>
  <c r="K391" i="18"/>
  <c r="L391" i="18"/>
  <c r="M391" i="18" s="1"/>
  <c r="U391" i="18" s="1"/>
  <c r="I709" i="18"/>
  <c r="N709" i="18" s="1"/>
  <c r="AA709" i="18" s="1"/>
  <c r="J709" i="18"/>
  <c r="O709" i="18" s="1"/>
  <c r="K709" i="18"/>
  <c r="L709" i="18"/>
  <c r="M709" i="18" s="1"/>
  <c r="I923" i="18"/>
  <c r="N923" i="18" s="1"/>
  <c r="J923" i="18"/>
  <c r="O923" i="18" s="1"/>
  <c r="K923" i="18"/>
  <c r="L923" i="18"/>
  <c r="M923" i="18" s="1"/>
  <c r="I122" i="18"/>
  <c r="N122" i="18" s="1"/>
  <c r="J122" i="18"/>
  <c r="O122" i="18" s="1"/>
  <c r="K122" i="18"/>
  <c r="L122" i="18"/>
  <c r="M122" i="18" s="1"/>
  <c r="U122" i="18" s="1"/>
  <c r="I14" i="18"/>
  <c r="N14" i="18" s="1"/>
  <c r="J14" i="18"/>
  <c r="O14" i="18" s="1"/>
  <c r="K14" i="18"/>
  <c r="L14" i="18"/>
  <c r="M14" i="18" s="1"/>
  <c r="U14" i="18" s="1"/>
  <c r="I342" i="18"/>
  <c r="N342" i="18" s="1"/>
  <c r="J342" i="18"/>
  <c r="O342" i="18" s="1"/>
  <c r="K342" i="18"/>
  <c r="L342" i="18"/>
  <c r="M342" i="18" s="1"/>
  <c r="U342" i="18" s="1"/>
  <c r="I953" i="18"/>
  <c r="N953" i="18" s="1"/>
  <c r="AA953" i="18" s="1"/>
  <c r="J953" i="18"/>
  <c r="O953" i="18" s="1"/>
  <c r="K953" i="18"/>
  <c r="L953" i="18"/>
  <c r="M953" i="18" s="1"/>
  <c r="U953" i="18" s="1"/>
  <c r="I451" i="18"/>
  <c r="N451" i="18" s="1"/>
  <c r="J451" i="18"/>
  <c r="O451" i="18" s="1"/>
  <c r="K451" i="18"/>
  <c r="L451" i="18"/>
  <c r="M451" i="18" s="1"/>
  <c r="U451" i="18" s="1"/>
  <c r="I101" i="18"/>
  <c r="N101" i="18" s="1"/>
  <c r="J101" i="18"/>
  <c r="O101" i="18" s="1"/>
  <c r="K101" i="18"/>
  <c r="L101" i="18"/>
  <c r="M101" i="18" s="1"/>
  <c r="U101" i="18" s="1"/>
  <c r="I710" i="18"/>
  <c r="N710" i="18" s="1"/>
  <c r="J710" i="18"/>
  <c r="O710" i="18" s="1"/>
  <c r="K710" i="18"/>
  <c r="L710" i="18"/>
  <c r="M710" i="18" s="1"/>
  <c r="U710" i="18" s="1"/>
  <c r="I832" i="18"/>
  <c r="N832" i="18" s="1"/>
  <c r="J832" i="18"/>
  <c r="O832" i="18" s="1"/>
  <c r="K832" i="18"/>
  <c r="L832" i="18"/>
  <c r="M832" i="18" s="1"/>
  <c r="U832" i="18" s="1"/>
  <c r="I578" i="18"/>
  <c r="N578" i="18" s="1"/>
  <c r="J578" i="18"/>
  <c r="O578" i="18" s="1"/>
  <c r="K578" i="18"/>
  <c r="L578" i="18"/>
  <c r="M578" i="18" s="1"/>
  <c r="U578" i="18" s="1"/>
  <c r="I690" i="18"/>
  <c r="N690" i="18" s="1"/>
  <c r="J690" i="18"/>
  <c r="O690" i="18" s="1"/>
  <c r="K690" i="18"/>
  <c r="L690" i="18"/>
  <c r="M690" i="18" s="1"/>
  <c r="U690" i="18" s="1"/>
  <c r="I728" i="18"/>
  <c r="N728" i="18" s="1"/>
  <c r="J728" i="18"/>
  <c r="O728" i="18" s="1"/>
  <c r="K728" i="18"/>
  <c r="L728" i="18"/>
  <c r="M728" i="18" s="1"/>
  <c r="U728" i="18" s="1"/>
  <c r="I735" i="18"/>
  <c r="N735" i="18" s="1"/>
  <c r="J735" i="18"/>
  <c r="O735" i="18" s="1"/>
  <c r="K735" i="18"/>
  <c r="L735" i="18"/>
  <c r="M735" i="18" s="1"/>
  <c r="U735" i="18" s="1"/>
  <c r="I455" i="18"/>
  <c r="N455" i="18" s="1"/>
  <c r="J455" i="18"/>
  <c r="O455" i="18" s="1"/>
  <c r="K455" i="18"/>
  <c r="L455" i="18"/>
  <c r="M455" i="18" s="1"/>
  <c r="I32" i="18"/>
  <c r="N32" i="18" s="1"/>
  <c r="J32" i="18"/>
  <c r="O32" i="18" s="1"/>
  <c r="K32" i="18"/>
  <c r="L32" i="18"/>
  <c r="M32" i="18" s="1"/>
  <c r="U32" i="18" s="1"/>
  <c r="I719" i="18"/>
  <c r="N719" i="18" s="1"/>
  <c r="J719" i="18"/>
  <c r="O719" i="18" s="1"/>
  <c r="AA719" i="18" s="1"/>
  <c r="K719" i="18"/>
  <c r="L719" i="18"/>
  <c r="M719" i="18" s="1"/>
  <c r="U719" i="18" s="1"/>
  <c r="I816" i="18"/>
  <c r="N816" i="18" s="1"/>
  <c r="J816" i="18"/>
  <c r="O816" i="18" s="1"/>
  <c r="AA816" i="18" s="1"/>
  <c r="K816" i="18"/>
  <c r="L816" i="18"/>
  <c r="M816" i="18" s="1"/>
  <c r="U816" i="18" s="1"/>
  <c r="I233" i="18"/>
  <c r="N233" i="18" s="1"/>
  <c r="J233" i="18"/>
  <c r="O233" i="18" s="1"/>
  <c r="K233" i="18"/>
  <c r="L233" i="18"/>
  <c r="M233" i="18" s="1"/>
  <c r="U233" i="18" s="1"/>
  <c r="I85" i="18"/>
  <c r="N85" i="18" s="1"/>
  <c r="J85" i="18"/>
  <c r="O85" i="18" s="1"/>
  <c r="K85" i="18"/>
  <c r="L85" i="18"/>
  <c r="M85" i="18" s="1"/>
  <c r="U85" i="18" s="1"/>
  <c r="I425" i="18"/>
  <c r="N425" i="18" s="1"/>
  <c r="J425" i="18"/>
  <c r="O425" i="18" s="1"/>
  <c r="K425" i="18"/>
  <c r="L425" i="18"/>
  <c r="M425" i="18" s="1"/>
  <c r="I168" i="18"/>
  <c r="N168" i="18" s="1"/>
  <c r="J168" i="18"/>
  <c r="O168" i="18" s="1"/>
  <c r="K168" i="18"/>
  <c r="L168" i="18"/>
  <c r="M168" i="18" s="1"/>
  <c r="I809" i="18"/>
  <c r="N809" i="18" s="1"/>
  <c r="J809" i="18"/>
  <c r="O809" i="18" s="1"/>
  <c r="K809" i="18"/>
  <c r="L809" i="18"/>
  <c r="M809" i="18" s="1"/>
  <c r="U809" i="18" s="1"/>
  <c r="I706" i="18"/>
  <c r="N706" i="18" s="1"/>
  <c r="J706" i="18"/>
  <c r="O706" i="18" s="1"/>
  <c r="K706" i="18"/>
  <c r="L706" i="18"/>
  <c r="M706" i="18" s="1"/>
  <c r="U706" i="18" s="1"/>
  <c r="I716" i="18"/>
  <c r="N716" i="18" s="1"/>
  <c r="J716" i="18"/>
  <c r="O716" i="18" s="1"/>
  <c r="K716" i="18"/>
  <c r="L716" i="18"/>
  <c r="M716" i="18" s="1"/>
  <c r="U716" i="18" s="1"/>
  <c r="I649" i="18"/>
  <c r="N649" i="18" s="1"/>
  <c r="AA649" i="18" s="1"/>
  <c r="J649" i="18"/>
  <c r="O649" i="18" s="1"/>
  <c r="K649" i="18"/>
  <c r="L649" i="18"/>
  <c r="M649" i="18" s="1"/>
  <c r="U649" i="18" s="1"/>
  <c r="I123" i="18"/>
  <c r="N123" i="18" s="1"/>
  <c r="J123" i="18"/>
  <c r="O123" i="18" s="1"/>
  <c r="K123" i="18"/>
  <c r="L123" i="18"/>
  <c r="M123" i="18" s="1"/>
  <c r="U123" i="18" s="1"/>
  <c r="I402" i="18"/>
  <c r="N402" i="18" s="1"/>
  <c r="J402" i="18"/>
  <c r="O402" i="18" s="1"/>
  <c r="K402" i="18"/>
  <c r="L402" i="18"/>
  <c r="M402" i="18" s="1"/>
  <c r="U402" i="18" s="1"/>
  <c r="I67" i="18"/>
  <c r="N67" i="18" s="1"/>
  <c r="J67" i="18"/>
  <c r="O67" i="18" s="1"/>
  <c r="K67" i="18"/>
  <c r="L67" i="18"/>
  <c r="M67" i="18" s="1"/>
  <c r="U67" i="18" s="1"/>
  <c r="I731" i="18"/>
  <c r="N731" i="18" s="1"/>
  <c r="J731" i="18"/>
  <c r="O731" i="18" s="1"/>
  <c r="K731" i="18"/>
  <c r="L731" i="18"/>
  <c r="M731" i="18" s="1"/>
  <c r="U731" i="18" s="1"/>
  <c r="I431" i="18"/>
  <c r="N431" i="18" s="1"/>
  <c r="J431" i="18"/>
  <c r="O431" i="18" s="1"/>
  <c r="K431" i="18"/>
  <c r="L431" i="18"/>
  <c r="M431" i="18" s="1"/>
  <c r="U431" i="18" s="1"/>
  <c r="I596" i="18"/>
  <c r="N596" i="18" s="1"/>
  <c r="J596" i="18"/>
  <c r="O596" i="18" s="1"/>
  <c r="K596" i="18"/>
  <c r="L596" i="18"/>
  <c r="M596" i="18" s="1"/>
  <c r="U596" i="18" s="1"/>
  <c r="I702" i="18"/>
  <c r="N702" i="18" s="1"/>
  <c r="J702" i="18"/>
  <c r="O702" i="18" s="1"/>
  <c r="K702" i="18"/>
  <c r="L702" i="18"/>
  <c r="M702" i="18" s="1"/>
  <c r="U702" i="18" s="1"/>
  <c r="I745" i="18"/>
  <c r="N745" i="18" s="1"/>
  <c r="J745" i="18"/>
  <c r="O745" i="18" s="1"/>
  <c r="K745" i="18"/>
  <c r="L745" i="18"/>
  <c r="M745" i="18" s="1"/>
  <c r="U745" i="18" s="1"/>
  <c r="I965" i="18"/>
  <c r="N965" i="18" s="1"/>
  <c r="J965" i="18"/>
  <c r="O965" i="18" s="1"/>
  <c r="K965" i="18"/>
  <c r="L965" i="18"/>
  <c r="M965" i="18" s="1"/>
  <c r="I587" i="18"/>
  <c r="N587" i="18" s="1"/>
  <c r="J587" i="18"/>
  <c r="O587" i="18" s="1"/>
  <c r="K587" i="18"/>
  <c r="L587" i="18"/>
  <c r="M587" i="18" s="1"/>
  <c r="U587" i="18" s="1"/>
  <c r="I887" i="18"/>
  <c r="N887" i="18" s="1"/>
  <c r="J887" i="18"/>
  <c r="O887" i="18" s="1"/>
  <c r="K887" i="18"/>
  <c r="L887" i="18"/>
  <c r="M887" i="18" s="1"/>
  <c r="U887" i="18" s="1"/>
  <c r="I759" i="18"/>
  <c r="N759" i="18" s="1"/>
  <c r="J759" i="18"/>
  <c r="O759" i="18" s="1"/>
  <c r="K759" i="18"/>
  <c r="L759" i="18"/>
  <c r="M759" i="18" s="1"/>
  <c r="U759" i="18" s="1"/>
  <c r="I776" i="18"/>
  <c r="N776" i="18" s="1"/>
  <c r="J776" i="18"/>
  <c r="O776" i="18" s="1"/>
  <c r="K776" i="18"/>
  <c r="L776" i="18"/>
  <c r="M776" i="18" s="1"/>
  <c r="U776" i="18" s="1"/>
  <c r="I176" i="18"/>
  <c r="N176" i="18" s="1"/>
  <c r="J176" i="18"/>
  <c r="O176" i="18" s="1"/>
  <c r="K176" i="18"/>
  <c r="L176" i="18"/>
  <c r="M176" i="18" s="1"/>
  <c r="U176" i="18" s="1"/>
  <c r="I975" i="18"/>
  <c r="N975" i="18" s="1"/>
  <c r="AA975" i="18" s="1"/>
  <c r="J975" i="18"/>
  <c r="O975" i="18" s="1"/>
  <c r="K975" i="18"/>
  <c r="L975" i="18"/>
  <c r="M975" i="18" s="1"/>
  <c r="I530" i="18"/>
  <c r="N530" i="18" s="1"/>
  <c r="J530" i="18"/>
  <c r="O530" i="18" s="1"/>
  <c r="K530" i="18"/>
  <c r="L530" i="18"/>
  <c r="M530" i="18" s="1"/>
  <c r="I272" i="18"/>
  <c r="N272" i="18" s="1"/>
  <c r="J272" i="18"/>
  <c r="O272" i="18" s="1"/>
  <c r="K272" i="18"/>
  <c r="L272" i="18"/>
  <c r="M272" i="18" s="1"/>
  <c r="U272" i="18" s="1"/>
  <c r="I951" i="18"/>
  <c r="N951" i="18" s="1"/>
  <c r="J951" i="18"/>
  <c r="O951" i="18" s="1"/>
  <c r="K951" i="18"/>
  <c r="L951" i="18"/>
  <c r="M951" i="18" s="1"/>
  <c r="U951" i="18" s="1"/>
  <c r="I130" i="18"/>
  <c r="N130" i="18" s="1"/>
  <c r="J130" i="18"/>
  <c r="O130" i="18" s="1"/>
  <c r="K130" i="18"/>
  <c r="L130" i="18"/>
  <c r="M130" i="18" s="1"/>
  <c r="U130" i="18" s="1"/>
  <c r="I398" i="18"/>
  <c r="N398" i="18" s="1"/>
  <c r="J398" i="18"/>
  <c r="O398" i="18" s="1"/>
  <c r="K398" i="18"/>
  <c r="L398" i="18"/>
  <c r="M398" i="18" s="1"/>
  <c r="U398" i="18" s="1"/>
  <c r="I2" i="18"/>
  <c r="N2" i="18" s="1"/>
  <c r="J2" i="18"/>
  <c r="O2" i="18" s="1"/>
  <c r="K2" i="18"/>
  <c r="L2" i="18"/>
  <c r="M2" i="18" s="1"/>
  <c r="U2" i="18" s="1"/>
  <c r="I449" i="18"/>
  <c r="N449" i="18" s="1"/>
  <c r="J449" i="18"/>
  <c r="O449" i="18" s="1"/>
  <c r="K449" i="18"/>
  <c r="L449" i="18"/>
  <c r="M449" i="18" s="1"/>
  <c r="U449" i="18" s="1"/>
  <c r="I371" i="18"/>
  <c r="N371" i="18" s="1"/>
  <c r="J371" i="18"/>
  <c r="O371" i="18" s="1"/>
  <c r="K371" i="18"/>
  <c r="L371" i="18"/>
  <c r="M371" i="18" s="1"/>
  <c r="U371" i="18" s="1"/>
  <c r="I57" i="18"/>
  <c r="N57" i="18" s="1"/>
  <c r="J57" i="18"/>
  <c r="O57" i="18" s="1"/>
  <c r="K57" i="18"/>
  <c r="L57" i="18"/>
  <c r="M57" i="18" s="1"/>
  <c r="U57" i="18" s="1"/>
  <c r="I345" i="18"/>
  <c r="N345" i="18" s="1"/>
  <c r="J345" i="18"/>
  <c r="O345" i="18" s="1"/>
  <c r="K345" i="18"/>
  <c r="L345" i="18"/>
  <c r="M345" i="18" s="1"/>
  <c r="U345" i="18" s="1"/>
  <c r="I339" i="18"/>
  <c r="N339" i="18" s="1"/>
  <c r="J339" i="18"/>
  <c r="O339" i="18" s="1"/>
  <c r="AA339" i="18" s="1"/>
  <c r="K339" i="18"/>
  <c r="L339" i="18"/>
  <c r="M339" i="18" s="1"/>
  <c r="U339" i="18" s="1"/>
  <c r="I980" i="18"/>
  <c r="N980" i="18" s="1"/>
  <c r="J980" i="18"/>
  <c r="O980" i="18" s="1"/>
  <c r="K980" i="18"/>
  <c r="L980" i="18"/>
  <c r="M980" i="18" s="1"/>
  <c r="U980" i="18" s="1"/>
  <c r="I445" i="18"/>
  <c r="N445" i="18" s="1"/>
  <c r="J445" i="18"/>
  <c r="O445" i="18" s="1"/>
  <c r="K445" i="18"/>
  <c r="L445" i="18"/>
  <c r="M445" i="18" s="1"/>
  <c r="U445" i="18" s="1"/>
  <c r="I995" i="18"/>
  <c r="N995" i="18" s="1"/>
  <c r="J995" i="18"/>
  <c r="O995" i="18" s="1"/>
  <c r="K995" i="18"/>
  <c r="L995" i="18"/>
  <c r="M995" i="18" s="1"/>
  <c r="I472" i="18"/>
  <c r="N472" i="18" s="1"/>
  <c r="J472" i="18"/>
  <c r="O472" i="18" s="1"/>
  <c r="K472" i="18"/>
  <c r="L472" i="18"/>
  <c r="M472" i="18" s="1"/>
  <c r="U472" i="18" s="1"/>
  <c r="I471" i="18"/>
  <c r="N471" i="18" s="1"/>
  <c r="J471" i="18"/>
  <c r="O471" i="18" s="1"/>
  <c r="AA471" i="18" s="1"/>
  <c r="K471" i="18"/>
  <c r="L471" i="18"/>
  <c r="M471" i="18" s="1"/>
  <c r="U471" i="18" s="1"/>
  <c r="I781" i="18"/>
  <c r="N781" i="18" s="1"/>
  <c r="J781" i="18"/>
  <c r="O781" i="18" s="1"/>
  <c r="AA781" i="18" s="1"/>
  <c r="K781" i="18"/>
  <c r="L781" i="18"/>
  <c r="M781" i="18" s="1"/>
  <c r="U781" i="18" s="1"/>
  <c r="I111" i="18"/>
  <c r="N111" i="18" s="1"/>
  <c r="J111" i="18"/>
  <c r="O111" i="18" s="1"/>
  <c r="K111" i="18"/>
  <c r="L111" i="18"/>
  <c r="M111" i="18" s="1"/>
  <c r="U111" i="18" s="1"/>
  <c r="I181" i="18"/>
  <c r="N181" i="18" s="1"/>
  <c r="J181" i="18"/>
  <c r="O181" i="18" s="1"/>
  <c r="K181" i="18"/>
  <c r="L181" i="18"/>
  <c r="M181" i="18" s="1"/>
  <c r="U181" i="18" s="1"/>
  <c r="I11" i="18"/>
  <c r="N11" i="18" s="1"/>
  <c r="J11" i="18"/>
  <c r="O11" i="18" s="1"/>
  <c r="K11" i="18"/>
  <c r="L11" i="18"/>
  <c r="M11" i="18" s="1"/>
  <c r="I741" i="18"/>
  <c r="N741" i="18" s="1"/>
  <c r="J741" i="18"/>
  <c r="O741" i="18" s="1"/>
  <c r="AA741" i="18" s="1"/>
  <c r="K741" i="18"/>
  <c r="L741" i="18"/>
  <c r="M741" i="18" s="1"/>
  <c r="I665" i="18"/>
  <c r="N665" i="18" s="1"/>
  <c r="J665" i="18"/>
  <c r="O665" i="18" s="1"/>
  <c r="K665" i="18"/>
  <c r="L665" i="18"/>
  <c r="M665" i="18" s="1"/>
  <c r="U665" i="18" s="1"/>
  <c r="I80" i="18"/>
  <c r="N80" i="18" s="1"/>
  <c r="J80" i="18"/>
  <c r="O80" i="18" s="1"/>
  <c r="K80" i="18"/>
  <c r="L80" i="18"/>
  <c r="M80" i="18" s="1"/>
  <c r="U80" i="18" s="1"/>
  <c r="I436" i="18"/>
  <c r="N436" i="18" s="1"/>
  <c r="J436" i="18"/>
  <c r="O436" i="18" s="1"/>
  <c r="K436" i="18"/>
  <c r="L436" i="18"/>
  <c r="M436" i="18" s="1"/>
  <c r="U436" i="18" s="1"/>
  <c r="I223" i="18"/>
  <c r="N223" i="18" s="1"/>
  <c r="AA223" i="18" s="1"/>
  <c r="J223" i="18"/>
  <c r="O223" i="18" s="1"/>
  <c r="K223" i="18"/>
  <c r="L223" i="18"/>
  <c r="M223" i="18" s="1"/>
  <c r="U223" i="18" s="1"/>
  <c r="I30" i="18"/>
  <c r="N30" i="18" s="1"/>
  <c r="J30" i="18"/>
  <c r="O30" i="18" s="1"/>
  <c r="K30" i="18"/>
  <c r="L30" i="18"/>
  <c r="M30" i="18" s="1"/>
  <c r="U30" i="18" s="1"/>
  <c r="I948" i="18"/>
  <c r="N948" i="18" s="1"/>
  <c r="J948" i="18"/>
  <c r="O948" i="18" s="1"/>
  <c r="K948" i="18"/>
  <c r="L948" i="18"/>
  <c r="M948" i="18" s="1"/>
  <c r="U948" i="18" s="1"/>
  <c r="I227" i="18"/>
  <c r="N227" i="18" s="1"/>
  <c r="J227" i="18"/>
  <c r="O227" i="18" s="1"/>
  <c r="K227" i="18"/>
  <c r="L227" i="18"/>
  <c r="M227" i="18" s="1"/>
  <c r="U227" i="18" s="1"/>
  <c r="I993" i="18"/>
  <c r="N993" i="18" s="1"/>
  <c r="J993" i="18"/>
  <c r="O993" i="18" s="1"/>
  <c r="K993" i="18"/>
  <c r="L993" i="18"/>
  <c r="M993" i="18" s="1"/>
  <c r="U993" i="18" s="1"/>
  <c r="I230" i="18"/>
  <c r="N230" i="18" s="1"/>
  <c r="AA230" i="18" s="1"/>
  <c r="J230" i="18"/>
  <c r="O230" i="18" s="1"/>
  <c r="K230" i="18"/>
  <c r="L230" i="18"/>
  <c r="M230" i="18" s="1"/>
  <c r="U230" i="18" s="1"/>
  <c r="I961" i="18"/>
  <c r="N961" i="18" s="1"/>
  <c r="J961" i="18"/>
  <c r="O961" i="18" s="1"/>
  <c r="K961" i="18"/>
  <c r="L961" i="18"/>
  <c r="M961" i="18" s="1"/>
  <c r="U961" i="18" s="1"/>
  <c r="I513" i="18"/>
  <c r="N513" i="18" s="1"/>
  <c r="J513" i="18"/>
  <c r="O513" i="18" s="1"/>
  <c r="K513" i="18"/>
  <c r="L513" i="18"/>
  <c r="M513" i="18" s="1"/>
  <c r="U513" i="18" s="1"/>
  <c r="I653" i="18"/>
  <c r="N653" i="18" s="1"/>
  <c r="J653" i="18"/>
  <c r="O653" i="18" s="1"/>
  <c r="K653" i="18"/>
  <c r="L653" i="18"/>
  <c r="M653" i="18" s="1"/>
  <c r="U653" i="18" s="1"/>
  <c r="I813" i="18"/>
  <c r="N813" i="18" s="1"/>
  <c r="J813" i="18"/>
  <c r="O813" i="18" s="1"/>
  <c r="K813" i="18"/>
  <c r="L813" i="18"/>
  <c r="M813" i="18" s="1"/>
  <c r="I29" i="18"/>
  <c r="N29" i="18" s="1"/>
  <c r="AA29" i="18" s="1"/>
  <c r="J29" i="18"/>
  <c r="O29" i="18" s="1"/>
  <c r="K29" i="18"/>
  <c r="L29" i="18"/>
  <c r="M29" i="18" s="1"/>
  <c r="U29" i="18" s="1"/>
  <c r="I768" i="18"/>
  <c r="N768" i="18" s="1"/>
  <c r="J768" i="18"/>
  <c r="O768" i="18" s="1"/>
  <c r="AA768" i="18" s="1"/>
  <c r="K768" i="18"/>
  <c r="L768" i="18"/>
  <c r="M768" i="18" s="1"/>
  <c r="U768" i="18" s="1"/>
  <c r="I727" i="18"/>
  <c r="N727" i="18" s="1"/>
  <c r="J727" i="18"/>
  <c r="O727" i="18" s="1"/>
  <c r="K727" i="18"/>
  <c r="L727" i="18"/>
  <c r="M727" i="18" s="1"/>
  <c r="U727" i="18" s="1"/>
  <c r="I767" i="18"/>
  <c r="N767" i="18" s="1"/>
  <c r="J767" i="18"/>
  <c r="O767" i="18" s="1"/>
  <c r="K767" i="18"/>
  <c r="L767" i="18"/>
  <c r="M767" i="18" s="1"/>
  <c r="U767" i="18" s="1"/>
  <c r="I269" i="18"/>
  <c r="N269" i="18" s="1"/>
  <c r="J269" i="18"/>
  <c r="O269" i="18" s="1"/>
  <c r="K269" i="18"/>
  <c r="L269" i="18"/>
  <c r="M269" i="18" s="1"/>
  <c r="U269" i="18" s="1"/>
  <c r="I852" i="18"/>
  <c r="N852" i="18" s="1"/>
  <c r="J852" i="18"/>
  <c r="O852" i="18" s="1"/>
  <c r="K852" i="18"/>
  <c r="L852" i="18"/>
  <c r="M852" i="18" s="1"/>
  <c r="I554" i="18"/>
  <c r="N554" i="18" s="1"/>
  <c r="J554" i="18"/>
  <c r="O554" i="18" s="1"/>
  <c r="K554" i="18"/>
  <c r="L554" i="18"/>
  <c r="M554" i="18" s="1"/>
  <c r="I822" i="18"/>
  <c r="N822" i="18" s="1"/>
  <c r="J822" i="18"/>
  <c r="O822" i="18" s="1"/>
  <c r="K822" i="18"/>
  <c r="L822" i="18"/>
  <c r="M822" i="18" s="1"/>
  <c r="U822" i="18" s="1"/>
  <c r="I580" i="18"/>
  <c r="N580" i="18" s="1"/>
  <c r="J580" i="18"/>
  <c r="O580" i="18" s="1"/>
  <c r="K580" i="18"/>
  <c r="L580" i="18"/>
  <c r="M580" i="18" s="1"/>
  <c r="U580" i="18" s="1"/>
  <c r="I686" i="18"/>
  <c r="N686" i="18" s="1"/>
  <c r="J686" i="18"/>
  <c r="O686" i="18" s="1"/>
  <c r="K686" i="18"/>
  <c r="L686" i="18"/>
  <c r="M686" i="18" s="1"/>
  <c r="U686" i="18" s="1"/>
  <c r="I45" i="18"/>
  <c r="N45" i="18" s="1"/>
  <c r="J45" i="18"/>
  <c r="O45" i="18" s="1"/>
  <c r="K45" i="18"/>
  <c r="L45" i="18"/>
  <c r="M45" i="18" s="1"/>
  <c r="U45" i="18" s="1"/>
  <c r="I791" i="18"/>
  <c r="N791" i="18" s="1"/>
  <c r="J791" i="18"/>
  <c r="O791" i="18" s="1"/>
  <c r="AA791" i="18" s="1"/>
  <c r="K791" i="18"/>
  <c r="L791" i="18"/>
  <c r="M791" i="18" s="1"/>
  <c r="U791" i="18" s="1"/>
  <c r="I219" i="18"/>
  <c r="N219" i="18" s="1"/>
  <c r="J219" i="18"/>
  <c r="O219" i="18" s="1"/>
  <c r="K219" i="18"/>
  <c r="L219" i="18"/>
  <c r="M219" i="18" s="1"/>
  <c r="U219" i="18" s="1"/>
  <c r="I343" i="18"/>
  <c r="N343" i="18" s="1"/>
  <c r="J343" i="18"/>
  <c r="O343" i="18" s="1"/>
  <c r="K343" i="18"/>
  <c r="L343" i="18"/>
  <c r="M343" i="18" s="1"/>
  <c r="U343" i="18" s="1"/>
  <c r="I540" i="18"/>
  <c r="N540" i="18" s="1"/>
  <c r="J540" i="18"/>
  <c r="O540" i="18" s="1"/>
  <c r="K540" i="18"/>
  <c r="L540" i="18"/>
  <c r="M540" i="18" s="1"/>
  <c r="U540" i="18" s="1"/>
  <c r="I797" i="18"/>
  <c r="N797" i="18" s="1"/>
  <c r="AA797" i="18" s="1"/>
  <c r="J797" i="18"/>
  <c r="O797" i="18" s="1"/>
  <c r="K797" i="18"/>
  <c r="L797" i="18"/>
  <c r="M797" i="18" s="1"/>
  <c r="U797" i="18" s="1"/>
  <c r="I452" i="18"/>
  <c r="N452" i="18" s="1"/>
  <c r="J452" i="18"/>
  <c r="O452" i="18" s="1"/>
  <c r="K452" i="18"/>
  <c r="L452" i="18"/>
  <c r="M452" i="18" s="1"/>
  <c r="U452" i="18" s="1"/>
  <c r="I639" i="18"/>
  <c r="N639" i="18" s="1"/>
  <c r="J639" i="18"/>
  <c r="O639" i="18" s="1"/>
  <c r="K639" i="18"/>
  <c r="L639" i="18"/>
  <c r="M639" i="18" s="1"/>
  <c r="U639" i="18" s="1"/>
  <c r="I890" i="18"/>
  <c r="N890" i="18" s="1"/>
  <c r="J890" i="18"/>
  <c r="O890" i="18" s="1"/>
  <c r="K890" i="18"/>
  <c r="L890" i="18"/>
  <c r="M890" i="18" s="1"/>
  <c r="U890" i="18" s="1"/>
  <c r="I91" i="18"/>
  <c r="N91" i="18" s="1"/>
  <c r="J91" i="18"/>
  <c r="O91" i="18" s="1"/>
  <c r="K91" i="18"/>
  <c r="L91" i="18"/>
  <c r="M91" i="18" s="1"/>
  <c r="I914" i="18"/>
  <c r="N914" i="18" s="1"/>
  <c r="J914" i="18"/>
  <c r="O914" i="18" s="1"/>
  <c r="K914" i="18"/>
  <c r="L914" i="18"/>
  <c r="M914" i="18" s="1"/>
  <c r="U914" i="18" s="1"/>
  <c r="I952" i="18"/>
  <c r="N952" i="18" s="1"/>
  <c r="J952" i="18"/>
  <c r="O952" i="18" s="1"/>
  <c r="AA952" i="18" s="1"/>
  <c r="K952" i="18"/>
  <c r="L952" i="18"/>
  <c r="M952" i="18" s="1"/>
  <c r="U952" i="18" s="1"/>
  <c r="I394" i="18"/>
  <c r="N394" i="18" s="1"/>
  <c r="J394" i="18"/>
  <c r="O394" i="18" s="1"/>
  <c r="K394" i="18"/>
  <c r="L394" i="18"/>
  <c r="M394" i="18" s="1"/>
  <c r="U394" i="18" s="1"/>
  <c r="I466" i="18"/>
  <c r="N466" i="18" s="1"/>
  <c r="J466" i="18"/>
  <c r="O466" i="18" s="1"/>
  <c r="K466" i="18"/>
  <c r="L466" i="18"/>
  <c r="M466" i="18" s="1"/>
  <c r="U466" i="18" s="1"/>
  <c r="I275" i="18"/>
  <c r="N275" i="18" s="1"/>
  <c r="J275" i="18"/>
  <c r="O275" i="18" s="1"/>
  <c r="K275" i="18"/>
  <c r="L275" i="18"/>
  <c r="M275" i="18" s="1"/>
  <c r="U275" i="18" s="1"/>
  <c r="I92" i="18"/>
  <c r="N92" i="18" s="1"/>
  <c r="J92" i="18"/>
  <c r="O92" i="18" s="1"/>
  <c r="K92" i="18"/>
  <c r="L92" i="18"/>
  <c r="M92" i="18" s="1"/>
  <c r="I396" i="18"/>
  <c r="N396" i="18" s="1"/>
  <c r="J396" i="18"/>
  <c r="O396" i="18" s="1"/>
  <c r="AA396" i="18" s="1"/>
  <c r="K396" i="18"/>
  <c r="L396" i="18"/>
  <c r="M396" i="18" s="1"/>
  <c r="U396" i="18" s="1"/>
  <c r="I397" i="18"/>
  <c r="N397" i="18" s="1"/>
  <c r="J397" i="18"/>
  <c r="O397" i="18" s="1"/>
  <c r="K397" i="18"/>
  <c r="L397" i="18"/>
  <c r="M397" i="18" s="1"/>
  <c r="U397" i="18" s="1"/>
  <c r="I934" i="18"/>
  <c r="N934" i="18" s="1"/>
  <c r="J934" i="18"/>
  <c r="O934" i="18" s="1"/>
  <c r="K934" i="18"/>
  <c r="L934" i="18"/>
  <c r="M934" i="18" s="1"/>
  <c r="U934" i="18" s="1"/>
  <c r="I846" i="18"/>
  <c r="N846" i="18" s="1"/>
  <c r="J846" i="18"/>
  <c r="O846" i="18" s="1"/>
  <c r="K846" i="18"/>
  <c r="L846" i="18"/>
  <c r="M846" i="18" s="1"/>
  <c r="U846" i="18" s="1"/>
  <c r="I845" i="18"/>
  <c r="N845" i="18" s="1"/>
  <c r="J845" i="18"/>
  <c r="O845" i="18" s="1"/>
  <c r="K845" i="18"/>
  <c r="L845" i="18"/>
  <c r="M845" i="18" s="1"/>
  <c r="U845" i="18" s="1"/>
  <c r="I692" i="18"/>
  <c r="N692" i="18" s="1"/>
  <c r="J692" i="18"/>
  <c r="O692" i="18" s="1"/>
  <c r="K692" i="18"/>
  <c r="L692" i="18"/>
  <c r="M692" i="18" s="1"/>
  <c r="U692" i="18" s="1"/>
  <c r="I780" i="18"/>
  <c r="N780" i="18" s="1"/>
  <c r="J780" i="18"/>
  <c r="O780" i="18" s="1"/>
  <c r="K780" i="18"/>
  <c r="L780" i="18"/>
  <c r="M780" i="18" s="1"/>
  <c r="U780" i="18" s="1"/>
  <c r="I235" i="18"/>
  <c r="N235" i="18" s="1"/>
  <c r="J235" i="18"/>
  <c r="O235" i="18" s="1"/>
  <c r="K235" i="18"/>
  <c r="L235" i="18"/>
  <c r="M235" i="18" s="1"/>
  <c r="U235" i="18" s="1"/>
  <c r="I641" i="18"/>
  <c r="N641" i="18" s="1"/>
  <c r="J641" i="18"/>
  <c r="O641" i="18" s="1"/>
  <c r="K641" i="18"/>
  <c r="L641" i="18"/>
  <c r="M641" i="18" s="1"/>
  <c r="U641" i="18" s="1"/>
  <c r="I27" i="18"/>
  <c r="N27" i="18" s="1"/>
  <c r="AA27" i="18" s="1"/>
  <c r="J27" i="18"/>
  <c r="O27" i="18" s="1"/>
  <c r="K27" i="18"/>
  <c r="L27" i="18"/>
  <c r="M27" i="18" s="1"/>
  <c r="U27" i="18" s="1"/>
  <c r="I515" i="18"/>
  <c r="N515" i="18" s="1"/>
  <c r="J515" i="18"/>
  <c r="O515" i="18" s="1"/>
  <c r="AA515" i="18" s="1"/>
  <c r="K515" i="18"/>
  <c r="L515" i="18"/>
  <c r="M515" i="18" s="1"/>
  <c r="U515" i="18" s="1"/>
  <c r="I404" i="18"/>
  <c r="N404" i="18" s="1"/>
  <c r="J404" i="18"/>
  <c r="O404" i="18" s="1"/>
  <c r="K404" i="18"/>
  <c r="L404" i="18"/>
  <c r="M404" i="18" s="1"/>
  <c r="U404" i="18" s="1"/>
  <c r="I3" i="18"/>
  <c r="N3" i="18" s="1"/>
  <c r="J3" i="18"/>
  <c r="O3" i="18" s="1"/>
  <c r="K3" i="18"/>
  <c r="L3" i="18"/>
  <c r="M3" i="18" s="1"/>
  <c r="U3" i="18" s="1"/>
  <c r="I258" i="18"/>
  <c r="N258" i="18" s="1"/>
  <c r="J258" i="18"/>
  <c r="O258" i="18" s="1"/>
  <c r="K258" i="18"/>
  <c r="L258" i="18"/>
  <c r="M258" i="18" s="1"/>
  <c r="I367" i="18"/>
  <c r="N367" i="18" s="1"/>
  <c r="J367" i="18"/>
  <c r="O367" i="18" s="1"/>
  <c r="K367" i="18"/>
  <c r="L367" i="18"/>
  <c r="M367" i="18" s="1"/>
  <c r="U367" i="18" s="1"/>
  <c r="I478" i="18"/>
  <c r="N478" i="18" s="1"/>
  <c r="J478" i="18"/>
  <c r="O478" i="18" s="1"/>
  <c r="K478" i="18"/>
  <c r="L478" i="18"/>
  <c r="M478" i="18" s="1"/>
  <c r="U478" i="18" s="1"/>
  <c r="I511" i="18"/>
  <c r="N511" i="18" s="1"/>
  <c r="J511" i="18"/>
  <c r="O511" i="18" s="1"/>
  <c r="K511" i="18"/>
  <c r="L511" i="18"/>
  <c r="M511" i="18" s="1"/>
  <c r="U511" i="18" s="1"/>
  <c r="I284" i="18"/>
  <c r="N284" i="18" s="1"/>
  <c r="J284" i="18"/>
  <c r="O284" i="18" s="1"/>
  <c r="K284" i="18"/>
  <c r="L284" i="18"/>
  <c r="M284" i="18" s="1"/>
  <c r="U284" i="18" s="1"/>
  <c r="I683" i="18"/>
  <c r="N683" i="18" s="1"/>
  <c r="J683" i="18"/>
  <c r="O683" i="18" s="1"/>
  <c r="K683" i="18"/>
  <c r="L683" i="18"/>
  <c r="M683" i="18" s="1"/>
  <c r="U683" i="18" s="1"/>
  <c r="I932" i="18"/>
  <c r="N932" i="18" s="1"/>
  <c r="AA932" i="18" s="1"/>
  <c r="J932" i="18"/>
  <c r="O932" i="18" s="1"/>
  <c r="K932" i="18"/>
  <c r="L932" i="18"/>
  <c r="M932" i="18" s="1"/>
  <c r="U932" i="18" s="1"/>
  <c r="I931" i="18"/>
  <c r="N931" i="18" s="1"/>
  <c r="J931" i="18"/>
  <c r="O931" i="18" s="1"/>
  <c r="K931" i="18"/>
  <c r="L931" i="18"/>
  <c r="M931" i="18" s="1"/>
  <c r="U931" i="18" s="1"/>
  <c r="I324" i="18"/>
  <c r="N324" i="18" s="1"/>
  <c r="J324" i="18"/>
  <c r="O324" i="18" s="1"/>
  <c r="K324" i="18"/>
  <c r="L324" i="18"/>
  <c r="M324" i="18" s="1"/>
  <c r="U324" i="18" s="1"/>
  <c r="I403" i="18"/>
  <c r="N403" i="18" s="1"/>
  <c r="J403" i="18"/>
  <c r="O403" i="18" s="1"/>
  <c r="K403" i="18"/>
  <c r="L403" i="18"/>
  <c r="M403" i="18" s="1"/>
  <c r="U403" i="18" s="1"/>
  <c r="I638" i="18"/>
  <c r="N638" i="18" s="1"/>
  <c r="J638" i="18"/>
  <c r="O638" i="18" s="1"/>
  <c r="K638" i="18"/>
  <c r="L638" i="18"/>
  <c r="M638" i="18" s="1"/>
  <c r="U638" i="18" s="1"/>
  <c r="I713" i="18"/>
  <c r="N713" i="18" s="1"/>
  <c r="J713" i="18"/>
  <c r="O713" i="18" s="1"/>
  <c r="K713" i="18"/>
  <c r="L713" i="18"/>
  <c r="M713" i="18" s="1"/>
  <c r="U713" i="18" s="1"/>
  <c r="I839" i="18"/>
  <c r="N839" i="18" s="1"/>
  <c r="J839" i="18"/>
  <c r="O839" i="18" s="1"/>
  <c r="AA839" i="18" s="1"/>
  <c r="K839" i="18"/>
  <c r="L839" i="18"/>
  <c r="M839" i="18" s="1"/>
  <c r="U839" i="18" s="1"/>
  <c r="I783" i="18"/>
  <c r="N783" i="18" s="1"/>
  <c r="J783" i="18"/>
  <c r="O783" i="18" s="1"/>
  <c r="K783" i="18"/>
  <c r="L783" i="18"/>
  <c r="M783" i="18" s="1"/>
  <c r="U783" i="18" s="1"/>
  <c r="I792" i="18"/>
  <c r="N792" i="18" s="1"/>
  <c r="J792" i="18"/>
  <c r="O792" i="18" s="1"/>
  <c r="K792" i="18"/>
  <c r="L792" i="18"/>
  <c r="M792" i="18" s="1"/>
  <c r="U792" i="18" s="1"/>
  <c r="I34" i="18"/>
  <c r="N34" i="18" s="1"/>
  <c r="J34" i="18"/>
  <c r="O34" i="18" s="1"/>
  <c r="K34" i="18"/>
  <c r="L34" i="18"/>
  <c r="M34" i="18" s="1"/>
  <c r="U34" i="18" s="1"/>
  <c r="I282" i="18"/>
  <c r="N282" i="18" s="1"/>
  <c r="AA282" i="18" s="1"/>
  <c r="J282" i="18"/>
  <c r="O282" i="18" s="1"/>
  <c r="K282" i="18"/>
  <c r="L282" i="18"/>
  <c r="M282" i="18" s="1"/>
  <c r="U282" i="18" s="1"/>
  <c r="I854" i="18"/>
  <c r="N854" i="18" s="1"/>
  <c r="J854" i="18"/>
  <c r="O854" i="18" s="1"/>
  <c r="K854" i="18"/>
  <c r="L854" i="18"/>
  <c r="M854" i="18" s="1"/>
  <c r="U854" i="18" s="1"/>
  <c r="I165" i="18"/>
  <c r="N165" i="18" s="1"/>
  <c r="J165" i="18"/>
  <c r="O165" i="18" s="1"/>
  <c r="K165" i="18"/>
  <c r="L165" i="18"/>
  <c r="M165" i="18" s="1"/>
  <c r="U165" i="18" s="1"/>
  <c r="I906" i="18"/>
  <c r="N906" i="18" s="1"/>
  <c r="J906" i="18"/>
  <c r="O906" i="18" s="1"/>
  <c r="K906" i="18"/>
  <c r="L906" i="18"/>
  <c r="M906" i="18" s="1"/>
  <c r="U906" i="18" s="1"/>
  <c r="I844" i="18"/>
  <c r="N844" i="18" s="1"/>
  <c r="J844" i="18"/>
  <c r="O844" i="18" s="1"/>
  <c r="K844" i="18"/>
  <c r="L844" i="18"/>
  <c r="M844" i="18" s="1"/>
  <c r="I66" i="18"/>
  <c r="N66" i="18" s="1"/>
  <c r="J66" i="18"/>
  <c r="O66" i="18" s="1"/>
  <c r="K66" i="18"/>
  <c r="L66" i="18"/>
  <c r="M66" i="18" s="1"/>
  <c r="U66" i="18" s="1"/>
  <c r="I363" i="18"/>
  <c r="N363" i="18" s="1"/>
  <c r="J363" i="18"/>
  <c r="O363" i="18" s="1"/>
  <c r="AA363" i="18" s="1"/>
  <c r="K363" i="18"/>
  <c r="L363" i="18"/>
  <c r="M363" i="18" s="1"/>
  <c r="U363" i="18" s="1"/>
  <c r="I983" i="18"/>
  <c r="N983" i="18" s="1"/>
  <c r="J983" i="18"/>
  <c r="O983" i="18" s="1"/>
  <c r="K983" i="18"/>
  <c r="L983" i="18"/>
  <c r="M983" i="18" s="1"/>
  <c r="U983" i="18" s="1"/>
  <c r="I326" i="18"/>
  <c r="N326" i="18" s="1"/>
  <c r="J326" i="18"/>
  <c r="O326" i="18" s="1"/>
  <c r="K326" i="18"/>
  <c r="L326" i="18"/>
  <c r="M326" i="18" s="1"/>
  <c r="U326" i="18" s="1"/>
  <c r="I493" i="18"/>
  <c r="N493" i="18" s="1"/>
  <c r="J493" i="18"/>
  <c r="O493" i="18" s="1"/>
  <c r="K493" i="18"/>
  <c r="L493" i="18"/>
  <c r="M493" i="18" s="1"/>
  <c r="U493" i="18" s="1"/>
  <c r="I492" i="18"/>
  <c r="N492" i="18" s="1"/>
  <c r="J492" i="18"/>
  <c r="O492" i="18" s="1"/>
  <c r="K492" i="18"/>
  <c r="L492" i="18"/>
  <c r="M492" i="18" s="1"/>
  <c r="U492" i="18" s="1"/>
  <c r="I760" i="18"/>
  <c r="N760" i="18" s="1"/>
  <c r="J760" i="18"/>
  <c r="O760" i="18" s="1"/>
  <c r="K760" i="18"/>
  <c r="L760" i="18"/>
  <c r="M760" i="18" s="1"/>
  <c r="I669" i="18"/>
  <c r="N669" i="18" s="1"/>
  <c r="J669" i="18"/>
  <c r="O669" i="18" s="1"/>
  <c r="K669" i="18"/>
  <c r="L669" i="18"/>
  <c r="M669" i="18" s="1"/>
  <c r="U669" i="18" s="1"/>
  <c r="I35" i="18"/>
  <c r="N35" i="18" s="1"/>
  <c r="J35" i="18"/>
  <c r="O35" i="18" s="1"/>
  <c r="K35" i="18"/>
  <c r="L35" i="18"/>
  <c r="M35" i="18" s="1"/>
  <c r="U35" i="18" s="1"/>
  <c r="I652" i="18"/>
  <c r="N652" i="18" s="1"/>
  <c r="J652" i="18"/>
  <c r="O652" i="18" s="1"/>
  <c r="K652" i="18"/>
  <c r="L652" i="18"/>
  <c r="M652" i="18" s="1"/>
  <c r="U652" i="18" s="1"/>
  <c r="I861" i="18"/>
  <c r="N861" i="18" s="1"/>
  <c r="J861" i="18"/>
  <c r="O861" i="18" s="1"/>
  <c r="K861" i="18"/>
  <c r="L861" i="18"/>
  <c r="M861" i="18" s="1"/>
  <c r="U861" i="18" s="1"/>
  <c r="I693" i="18"/>
  <c r="N693" i="18" s="1"/>
  <c r="J693" i="18"/>
  <c r="O693" i="18" s="1"/>
  <c r="AA693" i="18" s="1"/>
  <c r="K693" i="18"/>
  <c r="L693" i="18"/>
  <c r="M693" i="18" s="1"/>
  <c r="U693" i="18" s="1"/>
  <c r="I720" i="18"/>
  <c r="N720" i="18" s="1"/>
  <c r="J720" i="18"/>
  <c r="O720" i="18" s="1"/>
  <c r="K720" i="18"/>
  <c r="L720" i="18"/>
  <c r="M720" i="18" s="1"/>
  <c r="U720" i="18" s="1"/>
  <c r="I944" i="18"/>
  <c r="N944" i="18" s="1"/>
  <c r="J944" i="18"/>
  <c r="O944" i="18" s="1"/>
  <c r="K944" i="18"/>
  <c r="L944" i="18"/>
  <c r="M944" i="18" s="1"/>
  <c r="U944" i="18" s="1"/>
  <c r="I291" i="18"/>
  <c r="N291" i="18" s="1"/>
  <c r="J291" i="18"/>
  <c r="O291" i="18" s="1"/>
  <c r="K291" i="18"/>
  <c r="L291" i="18"/>
  <c r="M291" i="18" s="1"/>
  <c r="U291" i="18" s="1"/>
  <c r="I788" i="18"/>
  <c r="N788" i="18" s="1"/>
  <c r="J788" i="18"/>
  <c r="O788" i="18" s="1"/>
  <c r="K788" i="18"/>
  <c r="L788" i="18"/>
  <c r="M788" i="18" s="1"/>
  <c r="U788" i="18" s="1"/>
  <c r="I762" i="18"/>
  <c r="N762" i="18" s="1"/>
  <c r="J762" i="18"/>
  <c r="O762" i="18" s="1"/>
  <c r="K762" i="18"/>
  <c r="L762" i="18"/>
  <c r="M762" i="18" s="1"/>
  <c r="U762" i="18" s="1"/>
  <c r="I88" i="18"/>
  <c r="N88" i="18" s="1"/>
  <c r="J88" i="18"/>
  <c r="O88" i="18" s="1"/>
  <c r="K88" i="18"/>
  <c r="L88" i="18"/>
  <c r="M88" i="18" s="1"/>
  <c r="U88" i="18" s="1"/>
  <c r="I146" i="18"/>
  <c r="N146" i="18" s="1"/>
  <c r="J146" i="18"/>
  <c r="O146" i="18" s="1"/>
  <c r="K146" i="18"/>
  <c r="L146" i="18"/>
  <c r="M146" i="18" s="1"/>
  <c r="U146" i="18" s="1"/>
  <c r="I674" i="18"/>
  <c r="N674" i="18" s="1"/>
  <c r="J674" i="18"/>
  <c r="O674" i="18" s="1"/>
  <c r="K674" i="18"/>
  <c r="L674" i="18"/>
  <c r="M674" i="18" s="1"/>
  <c r="I785" i="18"/>
  <c r="N785" i="18" s="1"/>
  <c r="J785" i="18"/>
  <c r="O785" i="18" s="1"/>
  <c r="K785" i="18"/>
  <c r="L785" i="18"/>
  <c r="M785" i="18" s="1"/>
  <c r="U785" i="18" s="1"/>
  <c r="I583" i="18"/>
  <c r="N583" i="18" s="1"/>
  <c r="J583" i="18"/>
  <c r="O583" i="18" s="1"/>
  <c r="K583" i="18"/>
  <c r="L583" i="18"/>
  <c r="M583" i="18" s="1"/>
  <c r="U583" i="18" s="1"/>
  <c r="I285" i="18"/>
  <c r="N285" i="18" s="1"/>
  <c r="J285" i="18"/>
  <c r="O285" i="18" s="1"/>
  <c r="K285" i="18"/>
  <c r="L285" i="18"/>
  <c r="M285" i="18" s="1"/>
  <c r="U285" i="18" s="1"/>
  <c r="I964" i="18"/>
  <c r="N964" i="18" s="1"/>
  <c r="J964" i="18"/>
  <c r="O964" i="18" s="1"/>
  <c r="K964" i="18"/>
  <c r="L964" i="18"/>
  <c r="M964" i="18" s="1"/>
  <c r="U964" i="18" s="1"/>
  <c r="I217" i="18"/>
  <c r="N217" i="18" s="1"/>
  <c r="J217" i="18"/>
  <c r="O217" i="18" s="1"/>
  <c r="K217" i="18"/>
  <c r="L217" i="18"/>
  <c r="M217" i="18" s="1"/>
  <c r="U217" i="18" s="1"/>
  <c r="I882" i="18"/>
  <c r="N882" i="18" s="1"/>
  <c r="AA882" i="18" s="1"/>
  <c r="J882" i="18"/>
  <c r="O882" i="18" s="1"/>
  <c r="K882" i="18"/>
  <c r="L882" i="18"/>
  <c r="M882" i="18" s="1"/>
  <c r="I160" i="18"/>
  <c r="N160" i="18" s="1"/>
  <c r="J160" i="18"/>
  <c r="O160" i="18" s="1"/>
  <c r="AA160" i="18" s="1"/>
  <c r="K160" i="18"/>
  <c r="L160" i="18"/>
  <c r="M160" i="18" s="1"/>
  <c r="I562" i="18"/>
  <c r="N562" i="18" s="1"/>
  <c r="J562" i="18"/>
  <c r="O562" i="18" s="1"/>
  <c r="K562" i="18"/>
  <c r="L562" i="18"/>
  <c r="M562" i="18" s="1"/>
  <c r="U562" i="18" s="1"/>
  <c r="I69" i="18"/>
  <c r="N69" i="18" s="1"/>
  <c r="J69" i="18"/>
  <c r="O69" i="18" s="1"/>
  <c r="K69" i="18"/>
  <c r="L69" i="18"/>
  <c r="M69" i="18" s="1"/>
  <c r="U69" i="18" s="1"/>
  <c r="I469" i="18"/>
  <c r="N469" i="18" s="1"/>
  <c r="J469" i="18"/>
  <c r="O469" i="18" s="1"/>
  <c r="K469" i="18"/>
  <c r="L469" i="18"/>
  <c r="M469" i="18" s="1"/>
  <c r="U469" i="18" s="1"/>
  <c r="I486" i="18"/>
  <c r="N486" i="18" s="1"/>
  <c r="J486" i="18"/>
  <c r="O486" i="18" s="1"/>
  <c r="K486" i="18"/>
  <c r="L486" i="18"/>
  <c r="M486" i="18" s="1"/>
  <c r="U486" i="18" s="1"/>
  <c r="I487" i="18"/>
  <c r="N487" i="18" s="1"/>
  <c r="J487" i="18"/>
  <c r="O487" i="18" s="1"/>
  <c r="AA487" i="18" s="1"/>
  <c r="K487" i="18"/>
  <c r="L487" i="18"/>
  <c r="M487" i="18" s="1"/>
  <c r="U487" i="18" s="1"/>
  <c r="I527" i="18"/>
  <c r="N527" i="18" s="1"/>
  <c r="J527" i="18"/>
  <c r="O527" i="18" s="1"/>
  <c r="K527" i="18"/>
  <c r="L527" i="18"/>
  <c r="M527" i="18" s="1"/>
  <c r="U527" i="18" s="1"/>
  <c r="I424" i="18"/>
  <c r="N424" i="18" s="1"/>
  <c r="J424" i="18"/>
  <c r="O424" i="18" s="1"/>
  <c r="K424" i="18"/>
  <c r="L424" i="18"/>
  <c r="M424" i="18" s="1"/>
  <c r="U424" i="18" s="1"/>
  <c r="I234" i="18"/>
  <c r="N234" i="18" s="1"/>
  <c r="J234" i="18"/>
  <c r="O234" i="18" s="1"/>
  <c r="K234" i="18"/>
  <c r="L234" i="18"/>
  <c r="M234" i="18" s="1"/>
  <c r="U234" i="18" s="1"/>
  <c r="I410" i="18"/>
  <c r="N410" i="18" s="1"/>
  <c r="AA410" i="18" s="1"/>
  <c r="J410" i="18"/>
  <c r="O410" i="18" s="1"/>
  <c r="K410" i="18"/>
  <c r="L410" i="18"/>
  <c r="M410" i="18" s="1"/>
  <c r="U410" i="18" s="1"/>
  <c r="I543" i="18"/>
  <c r="N543" i="18" s="1"/>
  <c r="J543" i="18"/>
  <c r="O543" i="18" s="1"/>
  <c r="K543" i="18"/>
  <c r="L543" i="18"/>
  <c r="M543" i="18" s="1"/>
  <c r="U543" i="18" s="1"/>
  <c r="I262" i="18"/>
  <c r="N262" i="18" s="1"/>
  <c r="J262" i="18"/>
  <c r="O262" i="18" s="1"/>
  <c r="K262" i="18"/>
  <c r="L262" i="18"/>
  <c r="M262" i="18" s="1"/>
  <c r="U262" i="18" s="1"/>
  <c r="I81" i="18"/>
  <c r="N81" i="18" s="1"/>
  <c r="J81" i="18"/>
  <c r="O81" i="18" s="1"/>
  <c r="K81" i="18"/>
  <c r="L81" i="18"/>
  <c r="M81" i="18" s="1"/>
  <c r="U81" i="18" s="1"/>
  <c r="I860" i="18"/>
  <c r="N860" i="18" s="1"/>
  <c r="J860" i="18"/>
  <c r="O860" i="18" s="1"/>
  <c r="K860" i="18"/>
  <c r="L860" i="18"/>
  <c r="M860" i="18" s="1"/>
  <c r="I293" i="18"/>
  <c r="N293" i="18" s="1"/>
  <c r="J293" i="18"/>
  <c r="O293" i="18" s="1"/>
  <c r="K293" i="18"/>
  <c r="L293" i="18"/>
  <c r="M293" i="18" s="1"/>
  <c r="U293" i="18" s="1"/>
  <c r="I185" i="18"/>
  <c r="N185" i="18" s="1"/>
  <c r="J185" i="18"/>
  <c r="O185" i="18" s="1"/>
  <c r="AA185" i="18" s="1"/>
  <c r="K185" i="18"/>
  <c r="L185" i="18"/>
  <c r="M185" i="18" s="1"/>
  <c r="U185" i="18" s="1"/>
  <c r="I47" i="18"/>
  <c r="N47" i="18" s="1"/>
  <c r="J47" i="18"/>
  <c r="O47" i="18" s="1"/>
  <c r="K47" i="18"/>
  <c r="L47" i="18"/>
  <c r="M47" i="18" s="1"/>
  <c r="U47" i="18" s="1"/>
  <c r="I725" i="18"/>
  <c r="N725" i="18" s="1"/>
  <c r="J725" i="18"/>
  <c r="O725" i="18" s="1"/>
  <c r="K725" i="18"/>
  <c r="L725" i="18"/>
  <c r="M725" i="18" s="1"/>
  <c r="U725" i="18" s="1"/>
  <c r="I423" i="18"/>
  <c r="N423" i="18" s="1"/>
  <c r="J423" i="18"/>
  <c r="O423" i="18" s="1"/>
  <c r="K423" i="18"/>
  <c r="L423" i="18"/>
  <c r="M423" i="18" s="1"/>
  <c r="U423" i="18" s="1"/>
  <c r="I804" i="18"/>
  <c r="N804" i="18" s="1"/>
  <c r="J804" i="18"/>
  <c r="O804" i="18" s="1"/>
  <c r="K804" i="18"/>
  <c r="L804" i="18"/>
  <c r="M804" i="18" s="1"/>
  <c r="I584" i="18"/>
  <c r="N584" i="18" s="1"/>
  <c r="J584" i="18"/>
  <c r="O584" i="18" s="1"/>
  <c r="K584" i="18"/>
  <c r="L584" i="18"/>
  <c r="M584" i="18" s="1"/>
  <c r="I902" i="18"/>
  <c r="N902" i="18" s="1"/>
  <c r="J902" i="18"/>
  <c r="O902" i="18" s="1"/>
  <c r="K902" i="18"/>
  <c r="L902" i="18"/>
  <c r="M902" i="18" s="1"/>
  <c r="U902" i="18" s="1"/>
  <c r="I322" i="18"/>
  <c r="N322" i="18" s="1"/>
  <c r="J322" i="18"/>
  <c r="O322" i="18" s="1"/>
  <c r="K322" i="18"/>
  <c r="L322" i="18"/>
  <c r="M322" i="18" s="1"/>
  <c r="U322" i="18" s="1"/>
  <c r="I387" i="18"/>
  <c r="N387" i="18" s="1"/>
  <c r="J387" i="18"/>
  <c r="O387" i="18" s="1"/>
  <c r="K387" i="18"/>
  <c r="L387" i="18"/>
  <c r="M387" i="18" s="1"/>
  <c r="U387" i="18" s="1"/>
  <c r="I613" i="18"/>
  <c r="N613" i="18" s="1"/>
  <c r="J613" i="18"/>
  <c r="O613" i="18" s="1"/>
  <c r="K613" i="18"/>
  <c r="L613" i="18"/>
  <c r="M613" i="18" s="1"/>
  <c r="U613" i="18" s="1"/>
  <c r="I320" i="18"/>
  <c r="N320" i="18" s="1"/>
  <c r="J320" i="18"/>
  <c r="O320" i="18" s="1"/>
  <c r="AA320" i="18" s="1"/>
  <c r="K320" i="18"/>
  <c r="L320" i="18"/>
  <c r="M320" i="18" s="1"/>
  <c r="U320" i="18" s="1"/>
  <c r="I37" i="18"/>
  <c r="N37" i="18" s="1"/>
  <c r="J37" i="18"/>
  <c r="O37" i="18" s="1"/>
  <c r="K37" i="18"/>
  <c r="L37" i="18"/>
  <c r="M37" i="18" s="1"/>
  <c r="U37" i="18" s="1"/>
  <c r="I413" i="18"/>
  <c r="N413" i="18" s="1"/>
  <c r="J413" i="18"/>
  <c r="O413" i="18" s="1"/>
  <c r="K413" i="18"/>
  <c r="L413" i="18"/>
  <c r="M413" i="18" s="1"/>
  <c r="U413" i="18" s="1"/>
  <c r="I828" i="18"/>
  <c r="N828" i="18" s="1"/>
  <c r="J828" i="18"/>
  <c r="O828" i="18" s="1"/>
  <c r="K828" i="18"/>
  <c r="L828" i="18"/>
  <c r="M828" i="18" s="1"/>
  <c r="U828" i="18" s="1"/>
  <c r="I581" i="18"/>
  <c r="N581" i="18" s="1"/>
  <c r="J581" i="18"/>
  <c r="O581" i="18" s="1"/>
  <c r="K581" i="18"/>
  <c r="L581" i="18"/>
  <c r="M581" i="18" s="1"/>
  <c r="U581" i="18" s="1"/>
  <c r="I721" i="18"/>
  <c r="N721" i="18" s="1"/>
  <c r="J721" i="18"/>
  <c r="O721" i="18" s="1"/>
  <c r="AA721" i="18" s="1"/>
  <c r="K721" i="18"/>
  <c r="L721" i="18"/>
  <c r="M721" i="18" s="1"/>
  <c r="U721" i="18" s="1"/>
  <c r="I627" i="18"/>
  <c r="N627" i="18" s="1"/>
  <c r="J627" i="18"/>
  <c r="O627" i="18" s="1"/>
  <c r="AA627" i="18" s="1"/>
  <c r="K627" i="18"/>
  <c r="L627" i="18"/>
  <c r="M627" i="18" s="1"/>
  <c r="U627" i="18" s="1"/>
  <c r="I738" i="18"/>
  <c r="N738" i="18" s="1"/>
  <c r="J738" i="18"/>
  <c r="O738" i="18" s="1"/>
  <c r="K738" i="18"/>
  <c r="L738" i="18"/>
  <c r="M738" i="18" s="1"/>
  <c r="U738" i="18" s="1"/>
  <c r="I166" i="18"/>
  <c r="N166" i="18" s="1"/>
  <c r="J166" i="18"/>
  <c r="O166" i="18" s="1"/>
  <c r="K166" i="18"/>
  <c r="L166" i="18"/>
  <c r="M166" i="18" s="1"/>
  <c r="I321" i="18"/>
  <c r="N321" i="18" s="1"/>
  <c r="J321" i="18"/>
  <c r="O321" i="18" s="1"/>
  <c r="K321" i="18"/>
  <c r="L321" i="18"/>
  <c r="M321" i="18" s="1"/>
  <c r="U321" i="18" s="1"/>
  <c r="I984" i="18"/>
  <c r="N984" i="18" s="1"/>
  <c r="J984" i="18"/>
  <c r="O984" i="18" s="1"/>
  <c r="K984" i="18"/>
  <c r="L984" i="18"/>
  <c r="M984" i="18" s="1"/>
  <c r="U984" i="18" s="1"/>
  <c r="I806" i="18"/>
  <c r="N806" i="18" s="1"/>
  <c r="J806" i="18"/>
  <c r="O806" i="18" s="1"/>
  <c r="K806" i="18"/>
  <c r="L806" i="18"/>
  <c r="M806" i="18" s="1"/>
  <c r="U806" i="18" s="1"/>
  <c r="I147" i="18"/>
  <c r="N147" i="18" s="1"/>
  <c r="J147" i="18"/>
  <c r="O147" i="18" s="1"/>
  <c r="K147" i="18"/>
  <c r="L147" i="18"/>
  <c r="M147" i="18" s="1"/>
  <c r="U147" i="18" s="1"/>
  <c r="I462" i="18"/>
  <c r="N462" i="18" s="1"/>
  <c r="J462" i="18"/>
  <c r="O462" i="18" s="1"/>
  <c r="K462" i="18"/>
  <c r="L462" i="18"/>
  <c r="M462" i="18" s="1"/>
  <c r="U462" i="18" s="1"/>
  <c r="I503" i="18"/>
  <c r="N503" i="18" s="1"/>
  <c r="J503" i="18"/>
  <c r="O503" i="18" s="1"/>
  <c r="K503" i="18"/>
  <c r="L503" i="18"/>
  <c r="M503" i="18" s="1"/>
  <c r="I75" i="18"/>
  <c r="N75" i="18" s="1"/>
  <c r="J75" i="18"/>
  <c r="O75" i="18" s="1"/>
  <c r="K75" i="18"/>
  <c r="L75" i="18"/>
  <c r="M75" i="18" s="1"/>
  <c r="I950" i="18"/>
  <c r="N950" i="18" s="1"/>
  <c r="J950" i="18"/>
  <c r="O950" i="18" s="1"/>
  <c r="K950" i="18"/>
  <c r="L950" i="18"/>
  <c r="M950" i="18" s="1"/>
  <c r="U950" i="18" s="1"/>
  <c r="I162" i="18"/>
  <c r="N162" i="18" s="1"/>
  <c r="J162" i="18"/>
  <c r="O162" i="18" s="1"/>
  <c r="K162" i="18"/>
  <c r="L162" i="18"/>
  <c r="M162" i="18" s="1"/>
  <c r="U162" i="18" s="1"/>
  <c r="I786" i="18"/>
  <c r="N786" i="18" s="1"/>
  <c r="J786" i="18"/>
  <c r="O786" i="18" s="1"/>
  <c r="K786" i="18"/>
  <c r="L786" i="18"/>
  <c r="M786" i="18" s="1"/>
  <c r="U786" i="18" s="1"/>
  <c r="I276" i="18"/>
  <c r="N276" i="18" s="1"/>
  <c r="J276" i="18"/>
  <c r="O276" i="18" s="1"/>
  <c r="K276" i="18"/>
  <c r="L276" i="18"/>
  <c r="M276" i="18" s="1"/>
  <c r="U276" i="18" s="1"/>
  <c r="I129" i="18"/>
  <c r="N129" i="18" s="1"/>
  <c r="J129" i="18"/>
  <c r="O129" i="18" s="1"/>
  <c r="K129" i="18"/>
  <c r="L129" i="18"/>
  <c r="M129" i="18" s="1"/>
  <c r="U129" i="18" s="1"/>
  <c r="I632" i="18"/>
  <c r="N632" i="18" s="1"/>
  <c r="J632" i="18"/>
  <c r="O632" i="18" s="1"/>
  <c r="K632" i="18"/>
  <c r="L632" i="18"/>
  <c r="M632" i="18" s="1"/>
  <c r="U632" i="18" s="1"/>
  <c r="I633" i="18"/>
  <c r="N633" i="18" s="1"/>
  <c r="J633" i="18"/>
  <c r="O633" i="18" s="1"/>
  <c r="K633" i="18"/>
  <c r="L633" i="18"/>
  <c r="M633" i="18" s="1"/>
  <c r="U633" i="18" s="1"/>
  <c r="I862" i="18"/>
  <c r="N862" i="18" s="1"/>
  <c r="J862" i="18"/>
  <c r="O862" i="18" s="1"/>
  <c r="K862" i="18"/>
  <c r="L862" i="18"/>
  <c r="M862" i="18" s="1"/>
  <c r="U862" i="18" s="1"/>
  <c r="I194" i="18"/>
  <c r="N194" i="18" s="1"/>
  <c r="AA194" i="18" s="1"/>
  <c r="J194" i="18"/>
  <c r="O194" i="18" s="1"/>
  <c r="K194" i="18"/>
  <c r="L194" i="18"/>
  <c r="M194" i="18" s="1"/>
  <c r="U194" i="18" s="1"/>
  <c r="I668" i="18"/>
  <c r="N668" i="18" s="1"/>
  <c r="J668" i="18"/>
  <c r="O668" i="18" s="1"/>
  <c r="AA668" i="18" s="1"/>
  <c r="K668" i="18"/>
  <c r="L668" i="18"/>
  <c r="M668" i="18" s="1"/>
  <c r="U668" i="18" s="1"/>
  <c r="I395" i="18"/>
  <c r="N395" i="18" s="1"/>
  <c r="J395" i="18"/>
  <c r="O395" i="18" s="1"/>
  <c r="K395" i="18"/>
  <c r="L395" i="18"/>
  <c r="M395" i="18" s="1"/>
  <c r="U395" i="18" s="1"/>
  <c r="I509" i="18"/>
  <c r="N509" i="18" s="1"/>
  <c r="J509" i="18"/>
  <c r="O509" i="18" s="1"/>
  <c r="K509" i="18"/>
  <c r="L509" i="18"/>
  <c r="M509" i="18" s="1"/>
  <c r="U509" i="18" s="1"/>
  <c r="I586" i="18"/>
  <c r="N586" i="18" s="1"/>
  <c r="J586" i="18"/>
  <c r="O586" i="18" s="1"/>
  <c r="K586" i="18"/>
  <c r="L586" i="18"/>
  <c r="M586" i="18" s="1"/>
  <c r="I784" i="18"/>
  <c r="N784" i="18" s="1"/>
  <c r="AA784" i="18" s="1"/>
  <c r="J784" i="18"/>
  <c r="O784" i="18" s="1"/>
  <c r="K784" i="18"/>
  <c r="L784" i="18"/>
  <c r="M784" i="18" s="1"/>
  <c r="U784" i="18" s="1"/>
  <c r="I558" i="18"/>
  <c r="N558" i="18" s="1"/>
  <c r="J558" i="18"/>
  <c r="O558" i="18" s="1"/>
  <c r="AA558" i="18" s="1"/>
  <c r="K558" i="18"/>
  <c r="L558" i="18"/>
  <c r="M558" i="18" s="1"/>
  <c r="U558" i="18" s="1"/>
  <c r="I754" i="18"/>
  <c r="N754" i="18" s="1"/>
  <c r="J754" i="18"/>
  <c r="O754" i="18" s="1"/>
  <c r="K754" i="18"/>
  <c r="L754" i="18"/>
  <c r="M754" i="18" s="1"/>
  <c r="U754" i="18" s="1"/>
  <c r="I210" i="18"/>
  <c r="N210" i="18" s="1"/>
  <c r="J210" i="18"/>
  <c r="O210" i="18" s="1"/>
  <c r="K210" i="18"/>
  <c r="L210" i="18"/>
  <c r="M210" i="18" s="1"/>
  <c r="U210" i="18" s="1"/>
  <c r="I542" i="18"/>
  <c r="N542" i="18" s="1"/>
  <c r="J542" i="18"/>
  <c r="O542" i="18" s="1"/>
  <c r="K542" i="18"/>
  <c r="L542" i="18"/>
  <c r="M542" i="18" s="1"/>
  <c r="U542" i="18" s="1"/>
  <c r="I535" i="18"/>
  <c r="N535" i="18" s="1"/>
  <c r="J535" i="18"/>
  <c r="O535" i="18" s="1"/>
  <c r="K535" i="18"/>
  <c r="L535" i="18"/>
  <c r="M535" i="18" s="1"/>
  <c r="I506" i="18"/>
  <c r="N506" i="18" s="1"/>
  <c r="J506" i="18"/>
  <c r="O506" i="18" s="1"/>
  <c r="K506" i="18"/>
  <c r="L506" i="18"/>
  <c r="M506" i="18" s="1"/>
  <c r="I192" i="18"/>
  <c r="N192" i="18" s="1"/>
  <c r="J192" i="18"/>
  <c r="O192" i="18" s="1"/>
  <c r="K192" i="18"/>
  <c r="L192" i="18"/>
  <c r="M192" i="18" s="1"/>
  <c r="U192" i="18" s="1"/>
  <c r="I909" i="18"/>
  <c r="N909" i="18" s="1"/>
  <c r="J909" i="18"/>
  <c r="O909" i="18" s="1"/>
  <c r="K909" i="18"/>
  <c r="L909" i="18"/>
  <c r="M909" i="18" s="1"/>
  <c r="U909" i="18" s="1"/>
  <c r="I77" i="18"/>
  <c r="N77" i="18" s="1"/>
  <c r="J77" i="18"/>
  <c r="O77" i="18" s="1"/>
  <c r="K77" i="18"/>
  <c r="L77" i="18"/>
  <c r="M77" i="18" s="1"/>
  <c r="U77" i="18" s="1"/>
  <c r="I450" i="18"/>
  <c r="N450" i="18" s="1"/>
  <c r="AA450" i="18" s="1"/>
  <c r="J450" i="18"/>
  <c r="O450" i="18" s="1"/>
  <c r="K450" i="18"/>
  <c r="L450" i="18"/>
  <c r="M450" i="18" s="1"/>
  <c r="U450" i="18" s="1"/>
  <c r="I560" i="18"/>
  <c r="N560" i="18" s="1"/>
  <c r="J560" i="18"/>
  <c r="O560" i="18" s="1"/>
  <c r="AA560" i="18" s="1"/>
  <c r="K560" i="18"/>
  <c r="L560" i="18"/>
  <c r="M560" i="18" s="1"/>
  <c r="U560" i="18" s="1"/>
  <c r="I561" i="18"/>
  <c r="N561" i="18" s="1"/>
  <c r="J561" i="18"/>
  <c r="O561" i="18" s="1"/>
  <c r="K561" i="18"/>
  <c r="L561" i="18"/>
  <c r="M561" i="18" s="1"/>
  <c r="U561" i="18" s="1"/>
  <c r="I389" i="18"/>
  <c r="N389" i="18" s="1"/>
  <c r="J389" i="18"/>
  <c r="O389" i="18" s="1"/>
  <c r="K389" i="18"/>
  <c r="L389" i="18"/>
  <c r="M389" i="18" s="1"/>
  <c r="U389" i="18" s="1"/>
  <c r="I358" i="18"/>
  <c r="N358" i="18" s="1"/>
  <c r="J358" i="18"/>
  <c r="O358" i="18" s="1"/>
  <c r="K358" i="18"/>
  <c r="L358" i="18"/>
  <c r="M358" i="18" s="1"/>
  <c r="U358" i="18" s="1"/>
  <c r="I453" i="18"/>
  <c r="N453" i="18" s="1"/>
  <c r="AA453" i="18" s="1"/>
  <c r="J453" i="18"/>
  <c r="O453" i="18" s="1"/>
  <c r="K453" i="18"/>
  <c r="L453" i="18"/>
  <c r="M453" i="18" s="1"/>
  <c r="U453" i="18" s="1"/>
  <c r="I124" i="18"/>
  <c r="N124" i="18" s="1"/>
  <c r="J124" i="18"/>
  <c r="O124" i="18" s="1"/>
  <c r="K124" i="18"/>
  <c r="L124" i="18"/>
  <c r="M124" i="18" s="1"/>
  <c r="U124" i="18" s="1"/>
  <c r="I863" i="18"/>
  <c r="N863" i="18" s="1"/>
  <c r="J863" i="18"/>
  <c r="O863" i="18" s="1"/>
  <c r="K863" i="18"/>
  <c r="L863" i="18"/>
  <c r="M863" i="18" s="1"/>
  <c r="U863" i="18" s="1"/>
  <c r="I646" i="18"/>
  <c r="N646" i="18" s="1"/>
  <c r="J646" i="18"/>
  <c r="O646" i="18" s="1"/>
  <c r="K646" i="18"/>
  <c r="L646" i="18"/>
  <c r="M646" i="18" s="1"/>
  <c r="U646" i="18" s="1"/>
  <c r="I610" i="18"/>
  <c r="N610" i="18" s="1"/>
  <c r="J610" i="18"/>
  <c r="O610" i="18" s="1"/>
  <c r="K610" i="18"/>
  <c r="L610" i="18"/>
  <c r="M610" i="18" s="1"/>
  <c r="I121" i="18"/>
  <c r="N121" i="18" s="1"/>
  <c r="AA121" i="18" s="1"/>
  <c r="J121" i="18"/>
  <c r="O121" i="18" s="1"/>
  <c r="K121" i="18"/>
  <c r="L121" i="18"/>
  <c r="M121" i="18" s="1"/>
  <c r="U121" i="18" s="1"/>
  <c r="I771" i="18"/>
  <c r="N771" i="18" s="1"/>
  <c r="J771" i="18"/>
  <c r="O771" i="18" s="1"/>
  <c r="AA771" i="18" s="1"/>
  <c r="K771" i="18"/>
  <c r="L771" i="18"/>
  <c r="M771" i="18" s="1"/>
  <c r="U771" i="18" s="1"/>
  <c r="I866" i="18"/>
  <c r="N866" i="18" s="1"/>
  <c r="J866" i="18"/>
  <c r="O866" i="18" s="1"/>
  <c r="K866" i="18"/>
  <c r="L866" i="18"/>
  <c r="M866" i="18" s="1"/>
  <c r="U866" i="18" s="1"/>
  <c r="I567" i="18"/>
  <c r="N567" i="18" s="1"/>
  <c r="J567" i="18"/>
  <c r="O567" i="18" s="1"/>
  <c r="K567" i="18"/>
  <c r="L567" i="18"/>
  <c r="M567" i="18" s="1"/>
  <c r="U567" i="18" s="1"/>
  <c r="I265" i="18"/>
  <c r="N265" i="18" s="1"/>
  <c r="J265" i="18"/>
  <c r="O265" i="18" s="1"/>
  <c r="K265" i="18"/>
  <c r="L265" i="18"/>
  <c r="M265" i="18" s="1"/>
  <c r="U265" i="18" s="1"/>
  <c r="I700" i="18"/>
  <c r="N700" i="18" s="1"/>
  <c r="J700" i="18"/>
  <c r="O700" i="18" s="1"/>
  <c r="K700" i="18"/>
  <c r="L700" i="18"/>
  <c r="M700" i="18" s="1"/>
  <c r="I807" i="18"/>
  <c r="N807" i="18" s="1"/>
  <c r="J807" i="18"/>
  <c r="O807" i="18" s="1"/>
  <c r="K807" i="18"/>
  <c r="L807" i="18"/>
  <c r="M807" i="18" s="1"/>
  <c r="I551" i="18"/>
  <c r="N551" i="18" s="1"/>
  <c r="J551" i="18"/>
  <c r="O551" i="18" s="1"/>
  <c r="K551" i="18"/>
  <c r="L551" i="18"/>
  <c r="M551" i="18" s="1"/>
  <c r="U551" i="18" s="1"/>
  <c r="I585" i="18"/>
  <c r="N585" i="18" s="1"/>
  <c r="J585" i="18"/>
  <c r="O585" i="18" s="1"/>
  <c r="K585" i="18"/>
  <c r="L585" i="18"/>
  <c r="M585" i="18" s="1"/>
  <c r="U585" i="18" s="1"/>
  <c r="I280" i="18"/>
  <c r="N280" i="18" s="1"/>
  <c r="J280" i="18"/>
  <c r="O280" i="18" s="1"/>
  <c r="K280" i="18"/>
  <c r="L280" i="18"/>
  <c r="M280" i="18" s="1"/>
  <c r="U280" i="18" s="1"/>
  <c r="I499" i="18"/>
  <c r="N499" i="18" s="1"/>
  <c r="AA499" i="18" s="1"/>
  <c r="J499" i="18"/>
  <c r="O499" i="18" s="1"/>
  <c r="K499" i="18"/>
  <c r="L499" i="18"/>
  <c r="M499" i="18" s="1"/>
  <c r="U499" i="18" s="1"/>
  <c r="I498" i="18"/>
  <c r="N498" i="18" s="1"/>
  <c r="J498" i="18"/>
  <c r="O498" i="18" s="1"/>
  <c r="K498" i="18"/>
  <c r="L498" i="18"/>
  <c r="M498" i="18" s="1"/>
  <c r="U498" i="18" s="1"/>
  <c r="I497" i="18"/>
  <c r="N497" i="18" s="1"/>
  <c r="J497" i="18"/>
  <c r="O497" i="18" s="1"/>
  <c r="K497" i="18"/>
  <c r="L497" i="18"/>
  <c r="M497" i="18" s="1"/>
  <c r="U497" i="18" s="1"/>
  <c r="I496" i="18"/>
  <c r="N496" i="18" s="1"/>
  <c r="J496" i="18"/>
  <c r="O496" i="18" s="1"/>
  <c r="K496" i="18"/>
  <c r="L496" i="18"/>
  <c r="M496" i="18" s="1"/>
  <c r="U496" i="18" s="1"/>
  <c r="I270" i="18"/>
  <c r="N270" i="18" s="1"/>
  <c r="J270" i="18"/>
  <c r="O270" i="18" s="1"/>
  <c r="K270" i="18"/>
  <c r="L270" i="18"/>
  <c r="M270" i="18" s="1"/>
  <c r="U270" i="18" s="1"/>
  <c r="I400" i="18"/>
  <c r="N400" i="18" s="1"/>
  <c r="J400" i="18"/>
  <c r="O400" i="18" s="1"/>
  <c r="K400" i="18"/>
  <c r="L400" i="18"/>
  <c r="M400" i="18" s="1"/>
  <c r="U400" i="18" s="1"/>
  <c r="I366" i="18"/>
  <c r="N366" i="18" s="1"/>
  <c r="J366" i="18"/>
  <c r="O366" i="18" s="1"/>
  <c r="K366" i="18"/>
  <c r="L366" i="18"/>
  <c r="M366" i="18" s="1"/>
  <c r="U366" i="18" s="1"/>
  <c r="I946" i="18"/>
  <c r="N946" i="18" s="1"/>
  <c r="J946" i="18"/>
  <c r="O946" i="18" s="1"/>
  <c r="K946" i="18"/>
  <c r="L946" i="18"/>
  <c r="M946" i="18" s="1"/>
  <c r="U946" i="18" s="1"/>
  <c r="I962" i="18"/>
  <c r="N962" i="18" s="1"/>
  <c r="J962" i="18"/>
  <c r="O962" i="18" s="1"/>
  <c r="K962" i="18"/>
  <c r="L962" i="18"/>
  <c r="M962" i="18" s="1"/>
  <c r="U962" i="18" s="1"/>
  <c r="I766" i="18"/>
  <c r="N766" i="18" s="1"/>
  <c r="J766" i="18"/>
  <c r="O766" i="18" s="1"/>
  <c r="K766" i="18"/>
  <c r="L766" i="18"/>
  <c r="M766" i="18" s="1"/>
  <c r="I297" i="18"/>
  <c r="N297" i="18" s="1"/>
  <c r="J297" i="18"/>
  <c r="O297" i="18" s="1"/>
  <c r="K297" i="18"/>
  <c r="L297" i="18"/>
  <c r="M297" i="18" s="1"/>
  <c r="U297" i="18" s="1"/>
  <c r="I261" i="18"/>
  <c r="N261" i="18" s="1"/>
  <c r="J261" i="18"/>
  <c r="O261" i="18" s="1"/>
  <c r="K261" i="18"/>
  <c r="L261" i="18"/>
  <c r="M261" i="18" s="1"/>
  <c r="U261" i="18" s="1"/>
  <c r="I158" i="18"/>
  <c r="N158" i="18" s="1"/>
  <c r="J158" i="18"/>
  <c r="O158" i="18" s="1"/>
  <c r="K158" i="18"/>
  <c r="L158" i="18"/>
  <c r="M158" i="18" s="1"/>
  <c r="U158" i="18" s="1"/>
  <c r="I606" i="18"/>
  <c r="N606" i="18" s="1"/>
  <c r="J606" i="18"/>
  <c r="O606" i="18" s="1"/>
  <c r="K606" i="18"/>
  <c r="L606" i="18"/>
  <c r="M606" i="18" s="1"/>
  <c r="U606" i="18" s="1"/>
  <c r="I153" i="18"/>
  <c r="N153" i="18" s="1"/>
  <c r="J153" i="18"/>
  <c r="O153" i="18" s="1"/>
  <c r="K153" i="18"/>
  <c r="L153" i="18"/>
  <c r="M153" i="18" s="1"/>
  <c r="U153" i="18" s="1"/>
  <c r="I972" i="18"/>
  <c r="N972" i="18" s="1"/>
  <c r="J972" i="18"/>
  <c r="O972" i="18" s="1"/>
  <c r="K972" i="18"/>
  <c r="L972" i="18"/>
  <c r="M972" i="18" s="1"/>
  <c r="I734" i="18"/>
  <c r="N734" i="18" s="1"/>
  <c r="J734" i="18"/>
  <c r="O734" i="18" s="1"/>
  <c r="K734" i="18"/>
  <c r="L734" i="18"/>
  <c r="M734" i="18" s="1"/>
  <c r="I211" i="18"/>
  <c r="N211" i="18" s="1"/>
  <c r="J211" i="18"/>
  <c r="O211" i="18" s="1"/>
  <c r="K211" i="18"/>
  <c r="L211" i="18"/>
  <c r="M211" i="18" s="1"/>
  <c r="U211" i="18" s="1"/>
  <c r="I286" i="18"/>
  <c r="N286" i="18" s="1"/>
  <c r="J286" i="18"/>
  <c r="O286" i="18" s="1"/>
  <c r="K286" i="18"/>
  <c r="L286" i="18"/>
  <c r="M286" i="18" s="1"/>
  <c r="U286" i="18" s="1"/>
  <c r="I598" i="18"/>
  <c r="N598" i="18" s="1"/>
  <c r="J598" i="18"/>
  <c r="O598" i="18" s="1"/>
  <c r="K598" i="18"/>
  <c r="L598" i="18"/>
  <c r="M598" i="18" s="1"/>
  <c r="U598" i="18" s="1"/>
  <c r="I334" i="18"/>
  <c r="N334" i="18" s="1"/>
  <c r="AA334" i="18" s="1"/>
  <c r="J334" i="18"/>
  <c r="O334" i="18" s="1"/>
  <c r="K334" i="18"/>
  <c r="L334" i="18"/>
  <c r="M334" i="18" s="1"/>
  <c r="U334" i="18" s="1"/>
  <c r="I443" i="18"/>
  <c r="N443" i="18" s="1"/>
  <c r="J443" i="18"/>
  <c r="O443" i="18" s="1"/>
  <c r="AA443" i="18" s="1"/>
  <c r="K443" i="18"/>
  <c r="L443" i="18"/>
  <c r="M443" i="18" s="1"/>
  <c r="U443" i="18" s="1"/>
  <c r="I764" i="18"/>
  <c r="N764" i="18" s="1"/>
  <c r="J764" i="18"/>
  <c r="O764" i="18" s="1"/>
  <c r="K764" i="18"/>
  <c r="L764" i="18"/>
  <c r="M764" i="18" s="1"/>
  <c r="U764" i="18" s="1"/>
  <c r="I19" i="18"/>
  <c r="N19" i="18" s="1"/>
  <c r="J19" i="18"/>
  <c r="O19" i="18" s="1"/>
  <c r="K19" i="18"/>
  <c r="L19" i="18"/>
  <c r="M19" i="18" s="1"/>
  <c r="U19" i="18" s="1"/>
  <c r="I534" i="18"/>
  <c r="N534" i="18" s="1"/>
  <c r="J534" i="18"/>
  <c r="O534" i="18" s="1"/>
  <c r="K534" i="18"/>
  <c r="L534" i="18"/>
  <c r="M534" i="18" s="1"/>
  <c r="U534" i="18" s="1"/>
  <c r="I488" i="18"/>
  <c r="N488" i="18" s="1"/>
  <c r="J488" i="18"/>
  <c r="O488" i="18" s="1"/>
  <c r="K488" i="18"/>
  <c r="L488" i="18"/>
  <c r="M488" i="18" s="1"/>
  <c r="U488" i="18" s="1"/>
  <c r="I412" i="18"/>
  <c r="N412" i="18" s="1"/>
  <c r="J412" i="18"/>
  <c r="O412" i="18" s="1"/>
  <c r="K412" i="18"/>
  <c r="L412" i="18"/>
  <c r="M412" i="18" s="1"/>
  <c r="U412" i="18" s="1"/>
  <c r="I707" i="18"/>
  <c r="N707" i="18" s="1"/>
  <c r="J707" i="18"/>
  <c r="O707" i="18" s="1"/>
  <c r="K707" i="18"/>
  <c r="L707" i="18"/>
  <c r="M707" i="18" s="1"/>
  <c r="U707" i="18" s="1"/>
  <c r="I263" i="18"/>
  <c r="N263" i="18" s="1"/>
  <c r="J263" i="18"/>
  <c r="O263" i="18" s="1"/>
  <c r="K263" i="18"/>
  <c r="L263" i="18"/>
  <c r="M263" i="18" s="1"/>
  <c r="U263" i="18" s="1"/>
  <c r="I892" i="18"/>
  <c r="N892" i="18" s="1"/>
  <c r="J892" i="18"/>
  <c r="O892" i="18" s="1"/>
  <c r="K892" i="18"/>
  <c r="L892" i="18"/>
  <c r="M892" i="18" s="1"/>
  <c r="I430" i="18"/>
  <c r="N430" i="18" s="1"/>
  <c r="AA430" i="18" s="1"/>
  <c r="J430" i="18"/>
  <c r="O430" i="18" s="1"/>
  <c r="K430" i="18"/>
  <c r="L430" i="18"/>
  <c r="M430" i="18" s="1"/>
  <c r="U430" i="18" s="1"/>
  <c r="I240" i="18"/>
  <c r="N240" i="18" s="1"/>
  <c r="J240" i="18"/>
  <c r="O240" i="18" s="1"/>
  <c r="K240" i="18"/>
  <c r="L240" i="18"/>
  <c r="M240" i="18" s="1"/>
  <c r="U240" i="18" s="1"/>
  <c r="I695" i="18"/>
  <c r="N695" i="18" s="1"/>
  <c r="J695" i="18"/>
  <c r="O695" i="18" s="1"/>
  <c r="K695" i="18"/>
  <c r="L695" i="18"/>
  <c r="M695" i="18" s="1"/>
  <c r="U695" i="18" s="1"/>
  <c r="I251" i="18"/>
  <c r="N251" i="18" s="1"/>
  <c r="J251" i="18"/>
  <c r="O251" i="18" s="1"/>
  <c r="K251" i="18"/>
  <c r="L251" i="18"/>
  <c r="M251" i="18" s="1"/>
  <c r="U251" i="18" s="1"/>
  <c r="I565" i="18"/>
  <c r="N565" i="18" s="1"/>
  <c r="J565" i="18"/>
  <c r="O565" i="18" s="1"/>
  <c r="K565" i="18"/>
  <c r="L565" i="18"/>
  <c r="M565" i="18" s="1"/>
  <c r="U565" i="18" s="1"/>
  <c r="I155" i="18"/>
  <c r="N155" i="18" s="1"/>
  <c r="J155" i="18"/>
  <c r="O155" i="18" s="1"/>
  <c r="K155" i="18"/>
  <c r="L155" i="18"/>
  <c r="M155" i="18" s="1"/>
  <c r="U155" i="18" s="1"/>
  <c r="I154" i="18"/>
  <c r="N154" i="18" s="1"/>
  <c r="J154" i="18"/>
  <c r="O154" i="18" s="1"/>
  <c r="K154" i="18"/>
  <c r="L154" i="18"/>
  <c r="M154" i="18" s="1"/>
  <c r="U154" i="18" s="1"/>
  <c r="I405" i="18"/>
  <c r="N405" i="18" s="1"/>
  <c r="J405" i="18"/>
  <c r="O405" i="18" s="1"/>
  <c r="K405" i="18"/>
  <c r="L405" i="18"/>
  <c r="M405" i="18" s="1"/>
  <c r="U405" i="18" s="1"/>
  <c r="I714" i="18"/>
  <c r="N714" i="18" s="1"/>
  <c r="J714" i="18"/>
  <c r="O714" i="18" s="1"/>
  <c r="K714" i="18"/>
  <c r="L714" i="18"/>
  <c r="M714" i="18" s="1"/>
  <c r="U714" i="18" s="1"/>
  <c r="I899" i="18"/>
  <c r="N899" i="18" s="1"/>
  <c r="J899" i="18"/>
  <c r="O899" i="18" s="1"/>
  <c r="K899" i="18"/>
  <c r="L899" i="18"/>
  <c r="M899" i="18" s="1"/>
  <c r="U899" i="18" s="1"/>
  <c r="I657" i="18"/>
  <c r="N657" i="18" s="1"/>
  <c r="J657" i="18"/>
  <c r="O657" i="18" s="1"/>
  <c r="K657" i="18"/>
  <c r="L657" i="18"/>
  <c r="M657" i="18" s="1"/>
  <c r="U657" i="18" s="1"/>
  <c r="I9" i="18"/>
  <c r="N9" i="18" s="1"/>
  <c r="J9" i="18"/>
  <c r="O9" i="18" s="1"/>
  <c r="K9" i="18"/>
  <c r="L9" i="18"/>
  <c r="M9" i="18" s="1"/>
  <c r="U9" i="18" s="1"/>
  <c r="I798" i="18"/>
  <c r="N798" i="18" s="1"/>
  <c r="J798" i="18"/>
  <c r="O798" i="18" s="1"/>
  <c r="K798" i="18"/>
  <c r="L798" i="18"/>
  <c r="M798" i="18" s="1"/>
  <c r="U798" i="18" s="1"/>
  <c r="I246" i="18"/>
  <c r="N246" i="18" s="1"/>
  <c r="J246" i="18"/>
  <c r="O246" i="18" s="1"/>
  <c r="K246" i="18"/>
  <c r="L246" i="18"/>
  <c r="M246" i="18" s="1"/>
  <c r="U246" i="18" s="1"/>
  <c r="I333" i="18"/>
  <c r="N333" i="18" s="1"/>
  <c r="J333" i="18"/>
  <c r="O333" i="18" s="1"/>
  <c r="K333" i="18"/>
  <c r="L333" i="18"/>
  <c r="M333" i="18" s="1"/>
  <c r="U333" i="18" s="1"/>
  <c r="J616" i="18"/>
  <c r="O616" i="18" s="1"/>
  <c r="K616" i="18"/>
  <c r="L616" i="18"/>
  <c r="M616" i="18" s="1"/>
  <c r="U616" i="18" s="1"/>
  <c r="I616" i="18"/>
  <c r="N616" i="18" s="1"/>
  <c r="AA616" i="18" s="1"/>
  <c r="H617" i="18"/>
  <c r="H207" i="18"/>
  <c r="H384" i="18"/>
  <c r="H385" i="18"/>
  <c r="H112" i="18"/>
  <c r="H331" i="18"/>
  <c r="H708" i="18"/>
  <c r="H206" i="18"/>
  <c r="H532" i="18"/>
  <c r="H49" i="18"/>
  <c r="H834" i="18"/>
  <c r="H724" i="18"/>
  <c r="H338" i="18"/>
  <c r="H253" i="18"/>
  <c r="H237" i="18"/>
  <c r="H815" i="18"/>
  <c r="H644" i="18"/>
  <c r="H733" i="18"/>
  <c r="H314" i="18"/>
  <c r="H313" i="18"/>
  <c r="H529" i="18"/>
  <c r="H808" i="18"/>
  <c r="H214" i="18"/>
  <c r="H750" i="18"/>
  <c r="H575" i="18"/>
  <c r="H200" i="18"/>
  <c r="H851" i="18"/>
  <c r="H87" i="18"/>
  <c r="H678" i="18"/>
  <c r="H878" i="18"/>
  <c r="H879" i="18"/>
  <c r="H880" i="18"/>
  <c r="H687" i="18"/>
  <c r="H243" i="18"/>
  <c r="H23" i="18"/>
  <c r="H635" i="18"/>
  <c r="H427" i="18"/>
  <c r="H278" i="18"/>
  <c r="H545" i="18"/>
  <c r="H447" i="18"/>
  <c r="H926" i="18"/>
  <c r="H260" i="18"/>
  <c r="H795" i="18"/>
  <c r="H290" i="18"/>
  <c r="H905" i="18"/>
  <c r="H143" i="18"/>
  <c r="H830" i="18"/>
  <c r="H128" i="18"/>
  <c r="H600" i="18"/>
  <c r="H908" i="18"/>
  <c r="H159" i="18"/>
  <c r="H942" i="18"/>
  <c r="H943" i="18"/>
  <c r="H406" i="18"/>
  <c r="H439" i="18"/>
  <c r="H113" i="18"/>
  <c r="H169" i="18"/>
  <c r="H775" i="18"/>
  <c r="H298" i="18"/>
  <c r="H897" i="18"/>
  <c r="H999" i="18"/>
  <c r="H170" i="18"/>
  <c r="H671" i="18"/>
  <c r="H429" i="18"/>
  <c r="H742" i="18"/>
  <c r="H672" i="18"/>
  <c r="H26" i="18"/>
  <c r="H896" i="18"/>
  <c r="H359" i="18"/>
  <c r="H416" i="18"/>
  <c r="H239" i="18"/>
  <c r="H662" i="18"/>
  <c r="H426" i="18"/>
  <c r="H663" i="18"/>
  <c r="H871" i="18"/>
  <c r="H38" i="18"/>
  <c r="H624" i="18"/>
  <c r="H300" i="18"/>
  <c r="H885" i="18"/>
  <c r="H715" i="18"/>
  <c r="H100" i="18"/>
  <c r="H414" i="18"/>
  <c r="H915" i="18"/>
  <c r="H305" i="18"/>
  <c r="H929" i="18"/>
  <c r="H928" i="18"/>
  <c r="H973" i="18"/>
  <c r="H318" i="18"/>
  <c r="H829" i="18"/>
  <c r="H507" i="18"/>
  <c r="H661" i="18"/>
  <c r="H138" i="18"/>
  <c r="H963" i="18"/>
  <c r="H337" i="18"/>
  <c r="H421" i="18"/>
  <c r="H198" i="18"/>
  <c r="H50" i="18"/>
  <c r="H564" i="18"/>
  <c r="H127" i="18"/>
  <c r="H218" i="18"/>
  <c r="H292" i="18"/>
  <c r="H438" i="18"/>
  <c r="H850" i="18"/>
  <c r="H476" i="18"/>
  <c r="H801" i="18"/>
  <c r="H15" i="18"/>
  <c r="H920" i="18"/>
  <c r="H528" i="18"/>
  <c r="H17" i="18"/>
  <c r="H68" i="18"/>
  <c r="H257" i="18"/>
  <c r="H907" i="18"/>
  <c r="H941" i="18"/>
  <c r="H481" i="18"/>
  <c r="H858" i="18"/>
  <c r="H490" i="18"/>
  <c r="H465" i="18"/>
  <c r="H647" i="18"/>
  <c r="H747" i="18"/>
  <c r="H746" i="18"/>
  <c r="H748" i="18"/>
  <c r="H255" i="18"/>
  <c r="H621" i="18"/>
  <c r="H489" i="18"/>
  <c r="H615" i="18"/>
  <c r="H256" i="18"/>
  <c r="H368" i="18"/>
  <c r="H553" i="18"/>
  <c r="H119" i="18"/>
  <c r="H884" i="18"/>
  <c r="H817" i="18"/>
  <c r="H843" i="18"/>
  <c r="H245" i="18"/>
  <c r="H978" i="18"/>
  <c r="H976" i="18"/>
  <c r="H636" i="18"/>
  <c r="H608" i="18"/>
  <c r="H599" i="18"/>
  <c r="H377" i="18"/>
  <c r="H982" i="18"/>
  <c r="H435" i="18"/>
  <c r="H353" i="18"/>
  <c r="H177" i="18"/>
  <c r="H894" i="18"/>
  <c r="H625" i="18"/>
  <c r="H997" i="18"/>
  <c r="H996" i="18"/>
  <c r="H134" i="18"/>
  <c r="H848" i="18"/>
  <c r="H24" i="18"/>
  <c r="H504" i="18"/>
  <c r="H370" i="18"/>
  <c r="H938" i="18"/>
  <c r="H510" i="18"/>
  <c r="H827" i="18"/>
  <c r="H739" i="18"/>
  <c r="H461" i="18"/>
  <c r="H350" i="18"/>
  <c r="H751" i="18"/>
  <c r="H777" i="18"/>
  <c r="H186" i="18"/>
  <c r="H83" i="18"/>
  <c r="H500" i="18"/>
  <c r="H78" i="18"/>
  <c r="H175" i="18"/>
  <c r="H178" i="18"/>
  <c r="H277" i="18"/>
  <c r="H4" i="18"/>
  <c r="H749" i="18"/>
  <c r="H642" i="18"/>
  <c r="H332" i="18"/>
  <c r="H818" i="18"/>
  <c r="H43" i="18"/>
  <c r="H881" i="18"/>
  <c r="H998" i="18"/>
  <c r="H89" i="18"/>
  <c r="H659" i="18"/>
  <c r="H222" i="18"/>
  <c r="H533" i="18"/>
  <c r="H187" i="18"/>
  <c r="H188" i="18"/>
  <c r="H774" i="18"/>
  <c r="H682" i="18"/>
  <c r="H630" i="18"/>
  <c r="H191" i="18"/>
  <c r="H628" i="18"/>
  <c r="H859" i="18"/>
  <c r="H594" i="18"/>
  <c r="H73" i="18"/>
  <c r="H940" i="18"/>
  <c r="H131" i="18"/>
  <c r="H325" i="18"/>
  <c r="H408" i="18"/>
  <c r="H837" i="18"/>
  <c r="H304" i="18"/>
  <c r="H520" i="18"/>
  <c r="H521" i="18"/>
  <c r="H522" i="18"/>
  <c r="H518" i="18"/>
  <c r="H519" i="18"/>
  <c r="H229" i="18"/>
  <c r="H60" i="18"/>
  <c r="H873" i="18"/>
  <c r="H752" i="18"/>
  <c r="H744" i="18"/>
  <c r="H563" i="18"/>
  <c r="H658" i="18"/>
  <c r="H691" i="18"/>
  <c r="H33" i="18"/>
  <c r="H958" i="18"/>
  <c r="H601" i="18"/>
  <c r="H267" i="18"/>
  <c r="H957" i="18"/>
  <c r="H629" i="18"/>
  <c r="H58" i="18"/>
  <c r="H607" i="18"/>
  <c r="H94" i="18"/>
  <c r="H420" i="18"/>
  <c r="H52" i="18"/>
  <c r="H53" i="18"/>
  <c r="H821" i="18"/>
  <c r="H869" i="18"/>
  <c r="H753" i="18"/>
  <c r="H348" i="18"/>
  <c r="H603" i="18"/>
  <c r="H645" i="18"/>
  <c r="H18" i="18"/>
  <c r="H202" i="18"/>
  <c r="H84" i="18"/>
  <c r="H63" i="18"/>
  <c r="H939" i="18"/>
  <c r="H365" i="18"/>
  <c r="H379" i="18"/>
  <c r="H418" i="18"/>
  <c r="H70" i="18"/>
  <c r="H648" i="18"/>
  <c r="H361" i="18"/>
  <c r="H48" i="18"/>
  <c r="H183" i="18"/>
  <c r="H696" i="18"/>
  <c r="H12" i="18"/>
  <c r="H336" i="18"/>
  <c r="H228" i="18"/>
  <c r="H841" i="18"/>
  <c r="H302" i="18"/>
  <c r="H483" i="18"/>
  <c r="H814" i="18"/>
  <c r="H947" i="18"/>
  <c r="H831" i="18"/>
  <c r="H546" i="18"/>
  <c r="H65" i="18"/>
  <c r="H328" i="18"/>
  <c r="H244" i="18"/>
  <c r="H444" i="18"/>
  <c r="H316" i="18"/>
  <c r="H703" i="18"/>
  <c r="H224" i="18"/>
  <c r="H482" i="18"/>
  <c r="H144" i="18"/>
  <c r="H135" i="18"/>
  <c r="H569" i="18"/>
  <c r="H266" i="18"/>
  <c r="H536" i="18"/>
  <c r="H849" i="18"/>
  <c r="H399" i="18"/>
  <c r="H40" i="18"/>
  <c r="H319" i="18"/>
  <c r="H634" i="18"/>
  <c r="H855" i="18"/>
  <c r="H549" i="18"/>
  <c r="H196" i="18"/>
  <c r="H99" i="18"/>
  <c r="H459" i="18"/>
  <c r="H694" i="18"/>
  <c r="H684" i="18"/>
  <c r="H301" i="18"/>
  <c r="H925" i="18"/>
  <c r="H927" i="18"/>
  <c r="H289" i="18"/>
  <c r="H356" i="18"/>
  <c r="H514" i="18"/>
  <c r="H441" i="18"/>
  <c r="H479" i="18"/>
  <c r="H347" i="18"/>
  <c r="H79" i="18"/>
  <c r="H171" i="18"/>
  <c r="H249" i="18"/>
  <c r="H454" i="18"/>
  <c r="H133" i="18"/>
  <c r="H898" i="18"/>
  <c r="H622" i="18"/>
  <c r="H974" i="18"/>
  <c r="H853" i="18"/>
  <c r="H417" i="18"/>
  <c r="H794" i="18"/>
  <c r="H701" i="18"/>
  <c r="H516" i="18"/>
  <c r="H945" i="18"/>
  <c r="H116" i="18"/>
  <c r="H349" i="18"/>
  <c r="H865" i="18"/>
  <c r="H602" i="18"/>
  <c r="H254" i="18"/>
  <c r="H411" i="18"/>
  <c r="H643" i="18"/>
  <c r="H375" i="18"/>
  <c r="H102" i="18"/>
  <c r="H475" i="18"/>
  <c r="H8" i="18"/>
  <c r="H979" i="18"/>
  <c r="H352" i="18"/>
  <c r="H660" i="18"/>
  <c r="H355" i="18"/>
  <c r="H722" i="18"/>
  <c r="H977" i="18"/>
  <c r="H125" i="18"/>
  <c r="H654" i="18"/>
  <c r="H182" i="18"/>
  <c r="H789" i="18"/>
  <c r="H790" i="18"/>
  <c r="H574" i="18"/>
  <c r="H252" i="18"/>
  <c r="H93" i="18"/>
  <c r="H566" i="18"/>
  <c r="H308" i="18"/>
  <c r="H139" i="18"/>
  <c r="H437" i="18"/>
  <c r="H480" i="18"/>
  <c r="H924" i="18"/>
  <c r="H571" i="18"/>
  <c r="H698" i="18"/>
  <c r="H212" i="18"/>
  <c r="H895" i="18"/>
  <c r="H626" i="18"/>
  <c r="H150" i="18"/>
  <c r="H283" i="18"/>
  <c r="H955" i="18"/>
  <c r="H576" i="18"/>
  <c r="H157" i="18"/>
  <c r="H86" i="18"/>
  <c r="H736" i="18"/>
  <c r="H737" i="18"/>
  <c r="H538" i="18"/>
  <c r="H619" i="18"/>
  <c r="H247" i="18"/>
  <c r="H327" i="18"/>
  <c r="H935" i="18"/>
  <c r="H913" i="18"/>
  <c r="H369" i="18"/>
  <c r="H477" i="18"/>
  <c r="H140" i="18"/>
  <c r="H145" i="18"/>
  <c r="H782" i="18"/>
  <c r="H568" i="18"/>
  <c r="H380" i="18"/>
  <c r="H893" i="18"/>
  <c r="H221" i="18"/>
  <c r="H22" i="18"/>
  <c r="H215" i="18"/>
  <c r="H676" i="18"/>
  <c r="H675" i="18"/>
  <c r="H688" i="18"/>
  <c r="H680" i="18"/>
  <c r="H279" i="18"/>
  <c r="H966" i="18"/>
  <c r="H705" i="18"/>
  <c r="H137" i="18"/>
  <c r="H259" i="18"/>
  <c r="H555" i="18"/>
  <c r="H274" i="18"/>
  <c r="H195" i="18"/>
  <c r="H547" i="18"/>
  <c r="H232" i="18"/>
  <c r="H59" i="18"/>
  <c r="H231" i="18"/>
  <c r="H967" i="18"/>
  <c r="H835" i="18"/>
  <c r="H357" i="18"/>
  <c r="H847" i="18"/>
  <c r="H889" i="18"/>
  <c r="H655" i="18"/>
  <c r="H595" i="18"/>
  <c r="H911" i="18"/>
  <c r="H773" i="18"/>
  <c r="H611" i="18"/>
  <c r="H190" i="18"/>
  <c r="H141" i="18"/>
  <c r="H148" i="18"/>
  <c r="H457" i="18"/>
  <c r="H757" i="18"/>
  <c r="H857" i="18"/>
  <c r="H180" i="18"/>
  <c r="H179" i="18"/>
  <c r="H1001" i="18"/>
  <c r="H248" i="18"/>
  <c r="H732" i="18"/>
  <c r="H72" i="18"/>
  <c r="H422" i="18"/>
  <c r="H770" i="18"/>
  <c r="H778" i="18"/>
  <c r="H312" i="18"/>
  <c r="H142" i="18"/>
  <c r="H156" i="18"/>
  <c r="H226" i="18"/>
  <c r="H954" i="18"/>
  <c r="H172" i="18"/>
  <c r="H419" i="18"/>
  <c r="H870" i="18"/>
  <c r="H838" i="18"/>
  <c r="H631" i="18"/>
  <c r="H756" i="18"/>
  <c r="H383" i="18"/>
  <c r="H310" i="18"/>
  <c r="H56" i="18"/>
  <c r="H296" i="18"/>
  <c r="H949" i="18"/>
  <c r="H401" i="18"/>
  <c r="H650" i="18"/>
  <c r="H372" i="18"/>
  <c r="H876" i="18"/>
  <c r="H877" i="18"/>
  <c r="H288" i="18"/>
  <c r="H117" i="18"/>
  <c r="H717" i="18"/>
  <c r="H531" i="18"/>
  <c r="H376" i="18"/>
  <c r="H5" i="18"/>
  <c r="H612" i="18"/>
  <c r="H364" i="18"/>
  <c r="H281" i="18"/>
  <c r="H723" i="18"/>
  <c r="H323" i="18"/>
  <c r="H904" i="18"/>
  <c r="H712" i="18"/>
  <c r="H614" i="18"/>
  <c r="H667" i="18"/>
  <c r="H886" i="18"/>
  <c r="H826" i="18"/>
  <c r="H115" i="18"/>
  <c r="H7" i="18"/>
  <c r="H664" i="18"/>
  <c r="H588" i="18"/>
  <c r="H238" i="18"/>
  <c r="H811" i="18"/>
  <c r="H344" i="18"/>
  <c r="H82" i="18"/>
  <c r="H593" i="18"/>
  <c r="H901" i="18"/>
  <c r="H508" i="18"/>
  <c r="H718" i="18"/>
  <c r="H670" i="18"/>
  <c r="H271" i="18"/>
  <c r="H685" i="18"/>
  <c r="H793" i="18"/>
  <c r="H189" i="18"/>
  <c r="H16" i="18"/>
  <c r="H989" i="18"/>
  <c r="H971" i="18"/>
  <c r="H618" i="18"/>
  <c r="H604" i="18"/>
  <c r="H44" i="18"/>
  <c r="H71" i="18"/>
  <c r="H743" i="18"/>
  <c r="H432" i="18"/>
  <c r="H825" i="18"/>
  <c r="H994" i="18"/>
  <c r="H393" i="18"/>
  <c r="H109" i="18"/>
  <c r="H174" i="18"/>
  <c r="H666" i="18"/>
  <c r="H268" i="18"/>
  <c r="H163" i="18"/>
  <c r="H295" i="18"/>
  <c r="H415" i="18"/>
  <c r="H512" i="18"/>
  <c r="H213" i="18"/>
  <c r="H36" i="18"/>
  <c r="H987" i="18"/>
  <c r="H988" i="18"/>
  <c r="H986" i="18"/>
  <c r="H772" i="18"/>
  <c r="H824" i="18"/>
  <c r="H388" i="18"/>
  <c r="H335" i="18"/>
  <c r="H468" i="18"/>
  <c r="H98" i="18"/>
  <c r="H673" i="18"/>
  <c r="H434" i="18"/>
  <c r="H440" i="18"/>
  <c r="H315" i="18"/>
  <c r="H970" i="18"/>
  <c r="H184" i="18"/>
  <c r="H209" i="18"/>
  <c r="H763" i="18"/>
  <c r="H456" i="18"/>
  <c r="H199" i="18"/>
  <c r="H273" i="18"/>
  <c r="H755" i="18"/>
  <c r="H21" i="18"/>
  <c r="H360" i="18"/>
  <c r="H104" i="18"/>
  <c r="H106" i="18"/>
  <c r="H107" i="18"/>
  <c r="H105" i="18"/>
  <c r="H704" i="18"/>
  <c r="H76" i="18"/>
  <c r="H903" i="18"/>
  <c r="H992" i="18"/>
  <c r="H891" i="18"/>
  <c r="H330" i="18"/>
  <c r="H956" i="18"/>
  <c r="H656" i="18"/>
  <c r="H458" i="18"/>
  <c r="H241" i="18"/>
  <c r="H407" i="18"/>
  <c r="H28" i="18"/>
  <c r="H136" i="18"/>
  <c r="H351" i="18"/>
  <c r="H981" i="18"/>
  <c r="H373" i="18"/>
  <c r="H374" i="18"/>
  <c r="H833" i="18"/>
  <c r="H842" i="18"/>
  <c r="H149" i="18"/>
  <c r="H340" i="18"/>
  <c r="H936" i="18"/>
  <c r="H62" i="18"/>
  <c r="H933" i="18"/>
  <c r="H386" i="18"/>
  <c r="H225" i="18"/>
  <c r="H46" i="18"/>
  <c r="H912" i="18"/>
  <c r="H991" i="18"/>
  <c r="H448" i="18"/>
  <c r="H220" i="18"/>
  <c r="H96" i="18"/>
  <c r="H548" i="18"/>
  <c r="H132" i="18"/>
  <c r="H856" i="18"/>
  <c r="H216" i="18"/>
  <c r="H42" i="18"/>
  <c r="H460" i="18"/>
  <c r="H544" i="18"/>
  <c r="H502" i="18"/>
  <c r="H118" i="18"/>
  <c r="H888" i="18"/>
  <c r="H151" i="18"/>
  <c r="H495" i="18"/>
  <c r="H577" i="18"/>
  <c r="H900" i="18"/>
  <c r="H968" i="18"/>
  <c r="H557" i="18"/>
  <c r="H463" i="18"/>
  <c r="H523" i="18"/>
  <c r="H730" i="18"/>
  <c r="H959" i="18"/>
  <c r="H917" i="18"/>
  <c r="H108" i="18"/>
  <c r="H309" i="18"/>
  <c r="H6" i="18"/>
  <c r="H597" i="18"/>
  <c r="H840" i="18"/>
  <c r="H711" i="18"/>
  <c r="H501" i="18"/>
  <c r="H916" i="18"/>
  <c r="H526" i="18"/>
  <c r="H918" i="18"/>
  <c r="H864" i="18"/>
  <c r="H287" i="18"/>
  <c r="H922" i="18"/>
  <c r="H937" i="18"/>
  <c r="H167" i="18"/>
  <c r="H329" i="18"/>
  <c r="H208" i="18"/>
  <c r="H95" i="18"/>
  <c r="H960" i="18"/>
  <c r="H579" i="18"/>
  <c r="H54" i="18"/>
  <c r="H55" i="18"/>
  <c r="H640" i="18"/>
  <c r="H552" i="18"/>
  <c r="H697" i="18"/>
  <c r="H264" i="18"/>
  <c r="H803" i="18"/>
  <c r="H197" i="18"/>
  <c r="H805" i="18"/>
  <c r="H524" i="18"/>
  <c r="H464" i="18"/>
  <c r="H812" i="18"/>
  <c r="H820" i="18"/>
  <c r="H930" i="18"/>
  <c r="H64" i="18"/>
  <c r="H836" i="18"/>
  <c r="H559" i="18"/>
  <c r="H485" i="18"/>
  <c r="H802" i="18"/>
  <c r="H152" i="18"/>
  <c r="H570" i="18"/>
  <c r="H428" i="18"/>
  <c r="H729" i="18"/>
  <c r="H758" i="18"/>
  <c r="H491" i="18"/>
  <c r="H39" i="18"/>
  <c r="H582" i="18"/>
  <c r="H446" i="18"/>
  <c r="H799" i="18"/>
  <c r="H474" i="18"/>
  <c r="H787" i="18"/>
  <c r="H651" i="18"/>
  <c r="H311" i="18"/>
  <c r="H550" i="18"/>
  <c r="H761" i="18"/>
  <c r="H164" i="18"/>
  <c r="H556" i="18"/>
  <c r="H346" i="18"/>
  <c r="H505" i="18"/>
  <c r="H382" i="18"/>
  <c r="H985" i="18"/>
  <c r="H250" i="18"/>
  <c r="H677" i="18"/>
  <c r="H110" i="18"/>
  <c r="H921" i="18"/>
  <c r="H609" i="18"/>
  <c r="H919" i="18"/>
  <c r="H779" i="18"/>
  <c r="H201" i="18"/>
  <c r="H823" i="18"/>
  <c r="H590" i="18"/>
  <c r="H591" i="18"/>
  <c r="H589" i="18"/>
  <c r="H592" i="18"/>
  <c r="H161" i="18"/>
  <c r="H61" i="18"/>
  <c r="H409" i="18"/>
  <c r="H25" i="18"/>
  <c r="H41" i="18"/>
  <c r="H103" i="18"/>
  <c r="H341" i="18"/>
  <c r="H317" i="18"/>
  <c r="H433" i="18"/>
  <c r="H74" i="18"/>
  <c r="H681" i="18"/>
  <c r="H883" i="18"/>
  <c r="H769" i="18"/>
  <c r="H378" i="18"/>
  <c r="H484" i="18"/>
  <c r="H90" i="18"/>
  <c r="H541" i="18"/>
  <c r="H20" i="18"/>
  <c r="H874" i="18"/>
  <c r="H810" i="18"/>
  <c r="H969" i="18"/>
  <c r="H294" i="18"/>
  <c r="H236" i="18"/>
  <c r="H193" i="18"/>
  <c r="H494" i="18"/>
  <c r="H381" i="18"/>
  <c r="H910" i="18"/>
  <c r="H303" i="18"/>
  <c r="H473" i="18"/>
  <c r="H242" i="18"/>
  <c r="H867" i="18"/>
  <c r="H699" i="18"/>
  <c r="H307" i="18"/>
  <c r="H306" i="18"/>
  <c r="H299" i="18"/>
  <c r="H126" i="18"/>
  <c r="H819" i="18"/>
  <c r="H573" i="18"/>
  <c r="H800" i="18"/>
  <c r="H362" i="18"/>
  <c r="H796" i="18"/>
  <c r="H517" i="18"/>
  <c r="H539" i="18"/>
  <c r="H872" i="18"/>
  <c r="H205" i="18"/>
  <c r="H1000" i="18"/>
  <c r="H97" i="18"/>
  <c r="H525" i="18"/>
  <c r="H354" i="18"/>
  <c r="H13" i="18"/>
  <c r="H990" i="18"/>
  <c r="H875" i="18"/>
  <c r="H204" i="18"/>
  <c r="H572" i="18"/>
  <c r="H765" i="18"/>
  <c r="H120" i="18"/>
  <c r="H10" i="18"/>
  <c r="H637" i="18"/>
  <c r="H442" i="18"/>
  <c r="H689" i="18"/>
  <c r="H467" i="18"/>
  <c r="H392" i="18"/>
  <c r="H679" i="18"/>
  <c r="H203" i="18"/>
  <c r="H537" i="18"/>
  <c r="H868" i="18"/>
  <c r="H740" i="18"/>
  <c r="H605" i="18"/>
  <c r="H620" i="18"/>
  <c r="H470" i="18"/>
  <c r="H726" i="18"/>
  <c r="H623" i="18"/>
  <c r="H114" i="18"/>
  <c r="H31" i="18"/>
  <c r="H173" i="18"/>
  <c r="H390" i="18"/>
  <c r="H51" i="18"/>
  <c r="H391" i="18"/>
  <c r="H709" i="18"/>
  <c r="H923" i="18"/>
  <c r="H122" i="18"/>
  <c r="H14" i="18"/>
  <c r="H342" i="18"/>
  <c r="H953" i="18"/>
  <c r="H451" i="18"/>
  <c r="H101" i="18"/>
  <c r="H710" i="18"/>
  <c r="H832" i="18"/>
  <c r="H578" i="18"/>
  <c r="H690" i="18"/>
  <c r="H728" i="18"/>
  <c r="H735" i="18"/>
  <c r="H455" i="18"/>
  <c r="H32" i="18"/>
  <c r="H719" i="18"/>
  <c r="H816" i="18"/>
  <c r="H233" i="18"/>
  <c r="H85" i="18"/>
  <c r="H425" i="18"/>
  <c r="H168" i="18"/>
  <c r="H809" i="18"/>
  <c r="H706" i="18"/>
  <c r="H716" i="18"/>
  <c r="H649" i="18"/>
  <c r="H123" i="18"/>
  <c r="H402" i="18"/>
  <c r="H67" i="18"/>
  <c r="H731" i="18"/>
  <c r="H431" i="18"/>
  <c r="H596" i="18"/>
  <c r="H702" i="18"/>
  <c r="H745" i="18"/>
  <c r="H965" i="18"/>
  <c r="H587" i="18"/>
  <c r="H887" i="18"/>
  <c r="H759" i="18"/>
  <c r="H776" i="18"/>
  <c r="H176" i="18"/>
  <c r="H975" i="18"/>
  <c r="H530" i="18"/>
  <c r="H272" i="18"/>
  <c r="H951" i="18"/>
  <c r="H130" i="18"/>
  <c r="H398" i="18"/>
  <c r="H2" i="18"/>
  <c r="H449" i="18"/>
  <c r="H371" i="18"/>
  <c r="H57" i="18"/>
  <c r="H345" i="18"/>
  <c r="H339" i="18"/>
  <c r="H980" i="18"/>
  <c r="H445" i="18"/>
  <c r="H995" i="18"/>
  <c r="H472" i="18"/>
  <c r="H471" i="18"/>
  <c r="H781" i="18"/>
  <c r="H111" i="18"/>
  <c r="H181" i="18"/>
  <c r="H11" i="18"/>
  <c r="H741" i="18"/>
  <c r="H665" i="18"/>
  <c r="H80" i="18"/>
  <c r="H436" i="18"/>
  <c r="H223" i="18"/>
  <c r="H30" i="18"/>
  <c r="H948" i="18"/>
  <c r="H227" i="18"/>
  <c r="H993" i="18"/>
  <c r="H230" i="18"/>
  <c r="H961" i="18"/>
  <c r="H513" i="18"/>
  <c r="H653" i="18"/>
  <c r="H813" i="18"/>
  <c r="H29" i="18"/>
  <c r="H768" i="18"/>
  <c r="H727" i="18"/>
  <c r="H767" i="18"/>
  <c r="H269" i="18"/>
  <c r="H852" i="18"/>
  <c r="H554" i="18"/>
  <c r="H822" i="18"/>
  <c r="H580" i="18"/>
  <c r="H686" i="18"/>
  <c r="H45" i="18"/>
  <c r="H791" i="18"/>
  <c r="H219" i="18"/>
  <c r="H343" i="18"/>
  <c r="H540" i="18"/>
  <c r="H797" i="18"/>
  <c r="H452" i="18"/>
  <c r="H639" i="18"/>
  <c r="H890" i="18"/>
  <c r="H91" i="18"/>
  <c r="H914" i="18"/>
  <c r="H952" i="18"/>
  <c r="H394" i="18"/>
  <c r="H466" i="18"/>
  <c r="H275" i="18"/>
  <c r="H92" i="18"/>
  <c r="H396" i="18"/>
  <c r="H397" i="18"/>
  <c r="H934" i="18"/>
  <c r="H846" i="18"/>
  <c r="H845" i="18"/>
  <c r="H692" i="18"/>
  <c r="H780" i="18"/>
  <c r="H235" i="18"/>
  <c r="H641" i="18"/>
  <c r="H27" i="18"/>
  <c r="H515" i="18"/>
  <c r="H404" i="18"/>
  <c r="H3" i="18"/>
  <c r="H258" i="18"/>
  <c r="H367" i="18"/>
  <c r="H478" i="18"/>
  <c r="H511" i="18"/>
  <c r="H284" i="18"/>
  <c r="H683" i="18"/>
  <c r="H932" i="18"/>
  <c r="H931" i="18"/>
  <c r="H324" i="18"/>
  <c r="H403" i="18"/>
  <c r="H638" i="18"/>
  <c r="H713" i="18"/>
  <c r="H839" i="18"/>
  <c r="H783" i="18"/>
  <c r="H792" i="18"/>
  <c r="H34" i="18"/>
  <c r="H282" i="18"/>
  <c r="H854" i="18"/>
  <c r="H165" i="18"/>
  <c r="H906" i="18"/>
  <c r="H844" i="18"/>
  <c r="H66" i="18"/>
  <c r="H363" i="18"/>
  <c r="H983" i="18"/>
  <c r="H326" i="18"/>
  <c r="H493" i="18"/>
  <c r="H492" i="18"/>
  <c r="H760" i="18"/>
  <c r="H669" i="18"/>
  <c r="H35" i="18"/>
  <c r="H652" i="18"/>
  <c r="H861" i="18"/>
  <c r="H693" i="18"/>
  <c r="H720" i="18"/>
  <c r="H944" i="18"/>
  <c r="H291" i="18"/>
  <c r="H788" i="18"/>
  <c r="H762" i="18"/>
  <c r="H88" i="18"/>
  <c r="H146" i="18"/>
  <c r="H674" i="18"/>
  <c r="H785" i="18"/>
  <c r="H583" i="18"/>
  <c r="H285" i="18"/>
  <c r="H964" i="18"/>
  <c r="H217" i="18"/>
  <c r="H882" i="18"/>
  <c r="H160" i="18"/>
  <c r="H562" i="18"/>
  <c r="H69" i="18"/>
  <c r="H469" i="18"/>
  <c r="H486" i="18"/>
  <c r="H487" i="18"/>
  <c r="H527" i="18"/>
  <c r="H424" i="18"/>
  <c r="H234" i="18"/>
  <c r="H410" i="18"/>
  <c r="H543" i="18"/>
  <c r="H262" i="18"/>
  <c r="H81" i="18"/>
  <c r="H860" i="18"/>
  <c r="H293" i="18"/>
  <c r="H185" i="18"/>
  <c r="H47" i="18"/>
  <c r="H725" i="18"/>
  <c r="H423" i="18"/>
  <c r="H804" i="18"/>
  <c r="H584" i="18"/>
  <c r="H902" i="18"/>
  <c r="H322" i="18"/>
  <c r="H387" i="18"/>
  <c r="H613" i="18"/>
  <c r="H320" i="18"/>
  <c r="H37" i="18"/>
  <c r="H413" i="18"/>
  <c r="H828" i="18"/>
  <c r="H581" i="18"/>
  <c r="H721" i="18"/>
  <c r="H627" i="18"/>
  <c r="H738" i="18"/>
  <c r="H166" i="18"/>
  <c r="H321" i="18"/>
  <c r="H984" i="18"/>
  <c r="H806" i="18"/>
  <c r="H147" i="18"/>
  <c r="H462" i="18"/>
  <c r="H503" i="18"/>
  <c r="H75" i="18"/>
  <c r="H950" i="18"/>
  <c r="H162" i="18"/>
  <c r="H786" i="18"/>
  <c r="H276" i="18"/>
  <c r="H129" i="18"/>
  <c r="H632" i="18"/>
  <c r="H633" i="18"/>
  <c r="H862" i="18"/>
  <c r="H194" i="18"/>
  <c r="H668" i="18"/>
  <c r="H395" i="18"/>
  <c r="H509" i="18"/>
  <c r="H586" i="18"/>
  <c r="H784" i="18"/>
  <c r="H558" i="18"/>
  <c r="H754" i="18"/>
  <c r="H210" i="18"/>
  <c r="H542" i="18"/>
  <c r="H535" i="18"/>
  <c r="H506" i="18"/>
  <c r="H192" i="18"/>
  <c r="H909" i="18"/>
  <c r="H77" i="18"/>
  <c r="H450" i="18"/>
  <c r="H560" i="18"/>
  <c r="H561" i="18"/>
  <c r="H389" i="18"/>
  <c r="H358" i="18"/>
  <c r="H453" i="18"/>
  <c r="H124" i="18"/>
  <c r="H863" i="18"/>
  <c r="H646" i="18"/>
  <c r="H610" i="18"/>
  <c r="H121" i="18"/>
  <c r="H771" i="18"/>
  <c r="H866" i="18"/>
  <c r="H567" i="18"/>
  <c r="H265" i="18"/>
  <c r="H700" i="18"/>
  <c r="H807" i="18"/>
  <c r="H551" i="18"/>
  <c r="H585" i="18"/>
  <c r="H280" i="18"/>
  <c r="H499" i="18"/>
  <c r="H498" i="18"/>
  <c r="H497" i="18"/>
  <c r="H496" i="18"/>
  <c r="H270" i="18"/>
  <c r="H400" i="18"/>
  <c r="H366" i="18"/>
  <c r="H946" i="18"/>
  <c r="H962" i="18"/>
  <c r="H766" i="18"/>
  <c r="H297" i="18"/>
  <c r="H261" i="18"/>
  <c r="H158" i="18"/>
  <c r="H606" i="18"/>
  <c r="H153" i="18"/>
  <c r="H972" i="18"/>
  <c r="H734" i="18"/>
  <c r="H211" i="18"/>
  <c r="H286" i="18"/>
  <c r="H598" i="18"/>
  <c r="H334" i="18"/>
  <c r="H443" i="18"/>
  <c r="H764" i="18"/>
  <c r="H19" i="18"/>
  <c r="H534" i="18"/>
  <c r="H488" i="18"/>
  <c r="H412" i="18"/>
  <c r="H707" i="18"/>
  <c r="H263" i="18"/>
  <c r="H892" i="18"/>
  <c r="H430" i="18"/>
  <c r="H240" i="18"/>
  <c r="H695" i="18"/>
  <c r="H251" i="18"/>
  <c r="H565" i="18"/>
  <c r="H155" i="18"/>
  <c r="H154" i="18"/>
  <c r="H405" i="18"/>
  <c r="H714" i="18"/>
  <c r="H899" i="18"/>
  <c r="H657" i="18"/>
  <c r="H9" i="18"/>
  <c r="H798" i="18"/>
  <c r="H246" i="18"/>
  <c r="H333" i="18"/>
  <c r="H616" i="18"/>
  <c r="G617" i="18"/>
  <c r="G207" i="18"/>
  <c r="G384" i="18"/>
  <c r="G385" i="18"/>
  <c r="G112" i="18"/>
  <c r="G331" i="18"/>
  <c r="G708" i="18"/>
  <c r="G206" i="18"/>
  <c r="G532" i="18"/>
  <c r="G49" i="18"/>
  <c r="G834" i="18"/>
  <c r="G724" i="18"/>
  <c r="G338" i="18"/>
  <c r="G253" i="18"/>
  <c r="G237" i="18"/>
  <c r="G815" i="18"/>
  <c r="G644" i="18"/>
  <c r="G733" i="18"/>
  <c r="G314" i="18"/>
  <c r="G313" i="18"/>
  <c r="G529" i="18"/>
  <c r="G808" i="18"/>
  <c r="G214" i="18"/>
  <c r="G750" i="18"/>
  <c r="G575" i="18"/>
  <c r="G200" i="18"/>
  <c r="G851" i="18"/>
  <c r="G87" i="18"/>
  <c r="G678" i="18"/>
  <c r="G878" i="18"/>
  <c r="G879" i="18"/>
  <c r="G880" i="18"/>
  <c r="G687" i="18"/>
  <c r="G243" i="18"/>
  <c r="G23" i="18"/>
  <c r="G635" i="18"/>
  <c r="G427" i="18"/>
  <c r="G278" i="18"/>
  <c r="G545" i="18"/>
  <c r="G447" i="18"/>
  <c r="G926" i="18"/>
  <c r="G260" i="18"/>
  <c r="G795" i="18"/>
  <c r="G290" i="18"/>
  <c r="G905" i="18"/>
  <c r="G143" i="18"/>
  <c r="G830" i="18"/>
  <c r="G128" i="18"/>
  <c r="G600" i="18"/>
  <c r="G908" i="18"/>
  <c r="G159" i="18"/>
  <c r="G942" i="18"/>
  <c r="G943" i="18"/>
  <c r="G406" i="18"/>
  <c r="G439" i="18"/>
  <c r="G113" i="18"/>
  <c r="G169" i="18"/>
  <c r="G775" i="18"/>
  <c r="G298" i="18"/>
  <c r="G897" i="18"/>
  <c r="G999" i="18"/>
  <c r="G170" i="18"/>
  <c r="G671" i="18"/>
  <c r="G429" i="18"/>
  <c r="G742" i="18"/>
  <c r="G672" i="18"/>
  <c r="G26" i="18"/>
  <c r="G896" i="18"/>
  <c r="G359" i="18"/>
  <c r="G416" i="18"/>
  <c r="G239" i="18"/>
  <c r="G662" i="18"/>
  <c r="G426" i="18"/>
  <c r="G663" i="18"/>
  <c r="G871" i="18"/>
  <c r="G38" i="18"/>
  <c r="G624" i="18"/>
  <c r="G300" i="18"/>
  <c r="G885" i="18"/>
  <c r="G715" i="18"/>
  <c r="G100" i="18"/>
  <c r="G414" i="18"/>
  <c r="G915" i="18"/>
  <c r="G305" i="18"/>
  <c r="G929" i="18"/>
  <c r="G928" i="18"/>
  <c r="G973" i="18"/>
  <c r="G318" i="18"/>
  <c r="G829" i="18"/>
  <c r="G507" i="18"/>
  <c r="G661" i="18"/>
  <c r="G138" i="18"/>
  <c r="G963" i="18"/>
  <c r="G337" i="18"/>
  <c r="G421" i="18"/>
  <c r="G198" i="18"/>
  <c r="G50" i="18"/>
  <c r="G564" i="18"/>
  <c r="G127" i="18"/>
  <c r="G218" i="18"/>
  <c r="G292" i="18"/>
  <c r="G438" i="18"/>
  <c r="G850" i="18"/>
  <c r="G476" i="18"/>
  <c r="G801" i="18"/>
  <c r="G15" i="18"/>
  <c r="G920" i="18"/>
  <c r="G528" i="18"/>
  <c r="G17" i="18"/>
  <c r="G68" i="18"/>
  <c r="G257" i="18"/>
  <c r="G907" i="18"/>
  <c r="G941" i="18"/>
  <c r="G481" i="18"/>
  <c r="G858" i="18"/>
  <c r="G490" i="18"/>
  <c r="G465" i="18"/>
  <c r="G647" i="18"/>
  <c r="G747" i="18"/>
  <c r="G746" i="18"/>
  <c r="G748" i="18"/>
  <c r="G255" i="18"/>
  <c r="G621" i="18"/>
  <c r="G489" i="18"/>
  <c r="G615" i="18"/>
  <c r="G256" i="18"/>
  <c r="G368" i="18"/>
  <c r="G553" i="18"/>
  <c r="G119" i="18"/>
  <c r="G884" i="18"/>
  <c r="G817" i="18"/>
  <c r="G843" i="18"/>
  <c r="G245" i="18"/>
  <c r="G978" i="18"/>
  <c r="G976" i="18"/>
  <c r="G636" i="18"/>
  <c r="G608" i="18"/>
  <c r="G599" i="18"/>
  <c r="G377" i="18"/>
  <c r="G982" i="18"/>
  <c r="G435" i="18"/>
  <c r="G353" i="18"/>
  <c r="G177" i="18"/>
  <c r="G894" i="18"/>
  <c r="G625" i="18"/>
  <c r="G997" i="18"/>
  <c r="G996" i="18"/>
  <c r="G134" i="18"/>
  <c r="G848" i="18"/>
  <c r="G24" i="18"/>
  <c r="G504" i="18"/>
  <c r="G370" i="18"/>
  <c r="G938" i="18"/>
  <c r="G510" i="18"/>
  <c r="G827" i="18"/>
  <c r="G739" i="18"/>
  <c r="G461" i="18"/>
  <c r="G350" i="18"/>
  <c r="G751" i="18"/>
  <c r="G777" i="18"/>
  <c r="G186" i="18"/>
  <c r="G83" i="18"/>
  <c r="G500" i="18"/>
  <c r="G78" i="18"/>
  <c r="G175" i="18"/>
  <c r="G178" i="18"/>
  <c r="G277" i="18"/>
  <c r="G4" i="18"/>
  <c r="G749" i="18"/>
  <c r="G642" i="18"/>
  <c r="G332" i="18"/>
  <c r="G818" i="18"/>
  <c r="G43" i="18"/>
  <c r="G881" i="18"/>
  <c r="G998" i="18"/>
  <c r="G89" i="18"/>
  <c r="G659" i="18"/>
  <c r="G222" i="18"/>
  <c r="G533" i="18"/>
  <c r="G187" i="18"/>
  <c r="G188" i="18"/>
  <c r="G774" i="18"/>
  <c r="G682" i="18"/>
  <c r="G630" i="18"/>
  <c r="G191" i="18"/>
  <c r="G628" i="18"/>
  <c r="G859" i="18"/>
  <c r="G594" i="18"/>
  <c r="G73" i="18"/>
  <c r="G940" i="18"/>
  <c r="G131" i="18"/>
  <c r="G325" i="18"/>
  <c r="G408" i="18"/>
  <c r="G837" i="18"/>
  <c r="G304" i="18"/>
  <c r="G520" i="18"/>
  <c r="G521" i="18"/>
  <c r="G522" i="18"/>
  <c r="G518" i="18"/>
  <c r="G519" i="18"/>
  <c r="G229" i="18"/>
  <c r="G60" i="18"/>
  <c r="G873" i="18"/>
  <c r="G752" i="18"/>
  <c r="G744" i="18"/>
  <c r="G563" i="18"/>
  <c r="G658" i="18"/>
  <c r="G691" i="18"/>
  <c r="G33" i="18"/>
  <c r="G958" i="18"/>
  <c r="G601" i="18"/>
  <c r="G267" i="18"/>
  <c r="G957" i="18"/>
  <c r="G629" i="18"/>
  <c r="G58" i="18"/>
  <c r="G607" i="18"/>
  <c r="G94" i="18"/>
  <c r="G420" i="18"/>
  <c r="G52" i="18"/>
  <c r="G53" i="18"/>
  <c r="G821" i="18"/>
  <c r="G869" i="18"/>
  <c r="G753" i="18"/>
  <c r="G348" i="18"/>
  <c r="G603" i="18"/>
  <c r="G645" i="18"/>
  <c r="G18" i="18"/>
  <c r="G202" i="18"/>
  <c r="G84" i="18"/>
  <c r="G63" i="18"/>
  <c r="G939" i="18"/>
  <c r="G365" i="18"/>
  <c r="G379" i="18"/>
  <c r="G418" i="18"/>
  <c r="G70" i="18"/>
  <c r="G648" i="18"/>
  <c r="G361" i="18"/>
  <c r="G48" i="18"/>
  <c r="G183" i="18"/>
  <c r="G696" i="18"/>
  <c r="G12" i="18"/>
  <c r="G336" i="18"/>
  <c r="G228" i="18"/>
  <c r="G841" i="18"/>
  <c r="G302" i="18"/>
  <c r="G483" i="18"/>
  <c r="G814" i="18"/>
  <c r="G947" i="18"/>
  <c r="G831" i="18"/>
  <c r="G546" i="18"/>
  <c r="G65" i="18"/>
  <c r="G328" i="18"/>
  <c r="G244" i="18"/>
  <c r="G444" i="18"/>
  <c r="G316" i="18"/>
  <c r="G703" i="18"/>
  <c r="G224" i="18"/>
  <c r="G482" i="18"/>
  <c r="G144" i="18"/>
  <c r="G135" i="18"/>
  <c r="G569" i="18"/>
  <c r="G266" i="18"/>
  <c r="G536" i="18"/>
  <c r="G849" i="18"/>
  <c r="G399" i="18"/>
  <c r="G40" i="18"/>
  <c r="G319" i="18"/>
  <c r="G634" i="18"/>
  <c r="G855" i="18"/>
  <c r="G549" i="18"/>
  <c r="G196" i="18"/>
  <c r="G99" i="18"/>
  <c r="G459" i="18"/>
  <c r="G694" i="18"/>
  <c r="G684" i="18"/>
  <c r="G301" i="18"/>
  <c r="G925" i="18"/>
  <c r="G927" i="18"/>
  <c r="G289" i="18"/>
  <c r="G356" i="18"/>
  <c r="G514" i="18"/>
  <c r="G441" i="18"/>
  <c r="G479" i="18"/>
  <c r="G347" i="18"/>
  <c r="G79" i="18"/>
  <c r="G171" i="18"/>
  <c r="G249" i="18"/>
  <c r="G454" i="18"/>
  <c r="G133" i="18"/>
  <c r="G898" i="18"/>
  <c r="G622" i="18"/>
  <c r="G974" i="18"/>
  <c r="G853" i="18"/>
  <c r="G417" i="18"/>
  <c r="G794" i="18"/>
  <c r="G701" i="18"/>
  <c r="G516" i="18"/>
  <c r="G945" i="18"/>
  <c r="G116" i="18"/>
  <c r="G349" i="18"/>
  <c r="G865" i="18"/>
  <c r="G602" i="18"/>
  <c r="G254" i="18"/>
  <c r="G411" i="18"/>
  <c r="G643" i="18"/>
  <c r="G375" i="18"/>
  <c r="G102" i="18"/>
  <c r="G475" i="18"/>
  <c r="G8" i="18"/>
  <c r="G979" i="18"/>
  <c r="G352" i="18"/>
  <c r="G660" i="18"/>
  <c r="G355" i="18"/>
  <c r="G722" i="18"/>
  <c r="G977" i="18"/>
  <c r="G125" i="18"/>
  <c r="G654" i="18"/>
  <c r="G182" i="18"/>
  <c r="G789" i="18"/>
  <c r="G790" i="18"/>
  <c r="G574" i="18"/>
  <c r="G252" i="18"/>
  <c r="G93" i="18"/>
  <c r="G566" i="18"/>
  <c r="G308" i="18"/>
  <c r="G139" i="18"/>
  <c r="G437" i="18"/>
  <c r="G480" i="18"/>
  <c r="G924" i="18"/>
  <c r="G571" i="18"/>
  <c r="G698" i="18"/>
  <c r="G212" i="18"/>
  <c r="G895" i="18"/>
  <c r="G626" i="18"/>
  <c r="G150" i="18"/>
  <c r="G283" i="18"/>
  <c r="G955" i="18"/>
  <c r="G576" i="18"/>
  <c r="G157" i="18"/>
  <c r="G86" i="18"/>
  <c r="G736" i="18"/>
  <c r="G737" i="18"/>
  <c r="G538" i="18"/>
  <c r="G619" i="18"/>
  <c r="G247" i="18"/>
  <c r="G327" i="18"/>
  <c r="G935" i="18"/>
  <c r="G913" i="18"/>
  <c r="G369" i="18"/>
  <c r="G477" i="18"/>
  <c r="G140" i="18"/>
  <c r="G145" i="18"/>
  <c r="G782" i="18"/>
  <c r="G568" i="18"/>
  <c r="G380" i="18"/>
  <c r="G893" i="18"/>
  <c r="G221" i="18"/>
  <c r="G22" i="18"/>
  <c r="G215" i="18"/>
  <c r="G676" i="18"/>
  <c r="G675" i="18"/>
  <c r="G688" i="18"/>
  <c r="G680" i="18"/>
  <c r="G279" i="18"/>
  <c r="G966" i="18"/>
  <c r="G705" i="18"/>
  <c r="G137" i="18"/>
  <c r="G259" i="18"/>
  <c r="G555" i="18"/>
  <c r="G274" i="18"/>
  <c r="G195" i="18"/>
  <c r="G547" i="18"/>
  <c r="G232" i="18"/>
  <c r="G59" i="18"/>
  <c r="G231" i="18"/>
  <c r="G967" i="18"/>
  <c r="G835" i="18"/>
  <c r="G357" i="18"/>
  <c r="G847" i="18"/>
  <c r="G889" i="18"/>
  <c r="G655" i="18"/>
  <c r="G595" i="18"/>
  <c r="G911" i="18"/>
  <c r="G773" i="18"/>
  <c r="G611" i="18"/>
  <c r="G190" i="18"/>
  <c r="G141" i="18"/>
  <c r="G148" i="18"/>
  <c r="G457" i="18"/>
  <c r="G757" i="18"/>
  <c r="G857" i="18"/>
  <c r="G180" i="18"/>
  <c r="G179" i="18"/>
  <c r="G1001" i="18"/>
  <c r="G248" i="18"/>
  <c r="G732" i="18"/>
  <c r="G72" i="18"/>
  <c r="G422" i="18"/>
  <c r="G770" i="18"/>
  <c r="G778" i="18"/>
  <c r="G312" i="18"/>
  <c r="G142" i="18"/>
  <c r="G156" i="18"/>
  <c r="G226" i="18"/>
  <c r="G954" i="18"/>
  <c r="G172" i="18"/>
  <c r="G419" i="18"/>
  <c r="G870" i="18"/>
  <c r="G838" i="18"/>
  <c r="G631" i="18"/>
  <c r="G756" i="18"/>
  <c r="G383" i="18"/>
  <c r="G310" i="18"/>
  <c r="G56" i="18"/>
  <c r="G296" i="18"/>
  <c r="G949" i="18"/>
  <c r="G401" i="18"/>
  <c r="G650" i="18"/>
  <c r="G372" i="18"/>
  <c r="G876" i="18"/>
  <c r="G877" i="18"/>
  <c r="G288" i="18"/>
  <c r="G117" i="18"/>
  <c r="G717" i="18"/>
  <c r="G531" i="18"/>
  <c r="G376" i="18"/>
  <c r="G5" i="18"/>
  <c r="G612" i="18"/>
  <c r="G364" i="18"/>
  <c r="G281" i="18"/>
  <c r="G723" i="18"/>
  <c r="G323" i="18"/>
  <c r="G904" i="18"/>
  <c r="G712" i="18"/>
  <c r="G614" i="18"/>
  <c r="G667" i="18"/>
  <c r="G886" i="18"/>
  <c r="G826" i="18"/>
  <c r="G115" i="18"/>
  <c r="G7" i="18"/>
  <c r="G664" i="18"/>
  <c r="G588" i="18"/>
  <c r="G238" i="18"/>
  <c r="G811" i="18"/>
  <c r="G344" i="18"/>
  <c r="G82" i="18"/>
  <c r="G593" i="18"/>
  <c r="G901" i="18"/>
  <c r="G508" i="18"/>
  <c r="G718" i="18"/>
  <c r="G670" i="18"/>
  <c r="G271" i="18"/>
  <c r="G685" i="18"/>
  <c r="G793" i="18"/>
  <c r="G189" i="18"/>
  <c r="G16" i="18"/>
  <c r="G989" i="18"/>
  <c r="G971" i="18"/>
  <c r="G618" i="18"/>
  <c r="G604" i="18"/>
  <c r="G44" i="18"/>
  <c r="G71" i="18"/>
  <c r="G743" i="18"/>
  <c r="G432" i="18"/>
  <c r="G825" i="18"/>
  <c r="G994" i="18"/>
  <c r="G393" i="18"/>
  <c r="G109" i="18"/>
  <c r="G174" i="18"/>
  <c r="G666" i="18"/>
  <c r="G268" i="18"/>
  <c r="G163" i="18"/>
  <c r="G295" i="18"/>
  <c r="G415" i="18"/>
  <c r="G512" i="18"/>
  <c r="G213" i="18"/>
  <c r="G36" i="18"/>
  <c r="G987" i="18"/>
  <c r="G988" i="18"/>
  <c r="G986" i="18"/>
  <c r="G772" i="18"/>
  <c r="G824" i="18"/>
  <c r="G388" i="18"/>
  <c r="G335" i="18"/>
  <c r="G468" i="18"/>
  <c r="G98" i="18"/>
  <c r="G673" i="18"/>
  <c r="G434" i="18"/>
  <c r="G440" i="18"/>
  <c r="G315" i="18"/>
  <c r="G970" i="18"/>
  <c r="G184" i="18"/>
  <c r="G209" i="18"/>
  <c r="G763" i="18"/>
  <c r="G456" i="18"/>
  <c r="G199" i="18"/>
  <c r="G273" i="18"/>
  <c r="G755" i="18"/>
  <c r="G21" i="18"/>
  <c r="G360" i="18"/>
  <c r="G104" i="18"/>
  <c r="G106" i="18"/>
  <c r="G107" i="18"/>
  <c r="G105" i="18"/>
  <c r="G704" i="18"/>
  <c r="G76" i="18"/>
  <c r="G903" i="18"/>
  <c r="G992" i="18"/>
  <c r="G891" i="18"/>
  <c r="G330" i="18"/>
  <c r="G956" i="18"/>
  <c r="G656" i="18"/>
  <c r="G458" i="18"/>
  <c r="G241" i="18"/>
  <c r="G407" i="18"/>
  <c r="G28" i="18"/>
  <c r="G136" i="18"/>
  <c r="G351" i="18"/>
  <c r="G981" i="18"/>
  <c r="G373" i="18"/>
  <c r="G374" i="18"/>
  <c r="G833" i="18"/>
  <c r="G842" i="18"/>
  <c r="G149" i="18"/>
  <c r="G340" i="18"/>
  <c r="G936" i="18"/>
  <c r="G62" i="18"/>
  <c r="G933" i="18"/>
  <c r="G386" i="18"/>
  <c r="G225" i="18"/>
  <c r="G46" i="18"/>
  <c r="G912" i="18"/>
  <c r="G991" i="18"/>
  <c r="G448" i="18"/>
  <c r="G220" i="18"/>
  <c r="G96" i="18"/>
  <c r="G548" i="18"/>
  <c r="G132" i="18"/>
  <c r="G856" i="18"/>
  <c r="G216" i="18"/>
  <c r="G42" i="18"/>
  <c r="G460" i="18"/>
  <c r="G544" i="18"/>
  <c r="G502" i="18"/>
  <c r="G118" i="18"/>
  <c r="G888" i="18"/>
  <c r="G151" i="18"/>
  <c r="G495" i="18"/>
  <c r="G577" i="18"/>
  <c r="G900" i="18"/>
  <c r="G968" i="18"/>
  <c r="G557" i="18"/>
  <c r="G463" i="18"/>
  <c r="G523" i="18"/>
  <c r="G730" i="18"/>
  <c r="G959" i="18"/>
  <c r="G917" i="18"/>
  <c r="G108" i="18"/>
  <c r="G309" i="18"/>
  <c r="G6" i="18"/>
  <c r="G597" i="18"/>
  <c r="G840" i="18"/>
  <c r="G711" i="18"/>
  <c r="G501" i="18"/>
  <c r="G916" i="18"/>
  <c r="G526" i="18"/>
  <c r="G918" i="18"/>
  <c r="G864" i="18"/>
  <c r="G287" i="18"/>
  <c r="G922" i="18"/>
  <c r="G937" i="18"/>
  <c r="G167" i="18"/>
  <c r="G329" i="18"/>
  <c r="G208" i="18"/>
  <c r="G95" i="18"/>
  <c r="G960" i="18"/>
  <c r="G579" i="18"/>
  <c r="G54" i="18"/>
  <c r="G55" i="18"/>
  <c r="G640" i="18"/>
  <c r="G552" i="18"/>
  <c r="G697" i="18"/>
  <c r="G264" i="18"/>
  <c r="G803" i="18"/>
  <c r="G197" i="18"/>
  <c r="G805" i="18"/>
  <c r="G524" i="18"/>
  <c r="G464" i="18"/>
  <c r="G812" i="18"/>
  <c r="G820" i="18"/>
  <c r="G930" i="18"/>
  <c r="G64" i="18"/>
  <c r="G836" i="18"/>
  <c r="G559" i="18"/>
  <c r="G485" i="18"/>
  <c r="G802" i="18"/>
  <c r="G152" i="18"/>
  <c r="G570" i="18"/>
  <c r="G428" i="18"/>
  <c r="G729" i="18"/>
  <c r="G758" i="18"/>
  <c r="G491" i="18"/>
  <c r="G39" i="18"/>
  <c r="G582" i="18"/>
  <c r="G446" i="18"/>
  <c r="G799" i="18"/>
  <c r="G474" i="18"/>
  <c r="G787" i="18"/>
  <c r="G651" i="18"/>
  <c r="G311" i="18"/>
  <c r="G550" i="18"/>
  <c r="G761" i="18"/>
  <c r="G164" i="18"/>
  <c r="G556" i="18"/>
  <c r="G346" i="18"/>
  <c r="G505" i="18"/>
  <c r="G382" i="18"/>
  <c r="G985" i="18"/>
  <c r="G250" i="18"/>
  <c r="G677" i="18"/>
  <c r="G110" i="18"/>
  <c r="G921" i="18"/>
  <c r="G609" i="18"/>
  <c r="G919" i="18"/>
  <c r="G779" i="18"/>
  <c r="G201" i="18"/>
  <c r="G823" i="18"/>
  <c r="G590" i="18"/>
  <c r="G591" i="18"/>
  <c r="G589" i="18"/>
  <c r="G592" i="18"/>
  <c r="G161" i="18"/>
  <c r="G61" i="18"/>
  <c r="G409" i="18"/>
  <c r="G25" i="18"/>
  <c r="G41" i="18"/>
  <c r="G103" i="18"/>
  <c r="G341" i="18"/>
  <c r="G317" i="18"/>
  <c r="G433" i="18"/>
  <c r="G74" i="18"/>
  <c r="G681" i="18"/>
  <c r="G883" i="18"/>
  <c r="G769" i="18"/>
  <c r="G378" i="18"/>
  <c r="G484" i="18"/>
  <c r="G90" i="18"/>
  <c r="G541" i="18"/>
  <c r="G20" i="18"/>
  <c r="G874" i="18"/>
  <c r="G810" i="18"/>
  <c r="G969" i="18"/>
  <c r="G294" i="18"/>
  <c r="G236" i="18"/>
  <c r="G193" i="18"/>
  <c r="G494" i="18"/>
  <c r="G381" i="18"/>
  <c r="G910" i="18"/>
  <c r="G303" i="18"/>
  <c r="G473" i="18"/>
  <c r="G242" i="18"/>
  <c r="G867" i="18"/>
  <c r="G699" i="18"/>
  <c r="G307" i="18"/>
  <c r="G306" i="18"/>
  <c r="G299" i="18"/>
  <c r="G126" i="18"/>
  <c r="G819" i="18"/>
  <c r="G573" i="18"/>
  <c r="G800" i="18"/>
  <c r="G362" i="18"/>
  <c r="G796" i="18"/>
  <c r="G517" i="18"/>
  <c r="G539" i="18"/>
  <c r="G872" i="18"/>
  <c r="G205" i="18"/>
  <c r="G1000" i="18"/>
  <c r="G97" i="18"/>
  <c r="G525" i="18"/>
  <c r="G354" i="18"/>
  <c r="G13" i="18"/>
  <c r="G990" i="18"/>
  <c r="G875" i="18"/>
  <c r="G204" i="18"/>
  <c r="G572" i="18"/>
  <c r="G765" i="18"/>
  <c r="G120" i="18"/>
  <c r="G10" i="18"/>
  <c r="G637" i="18"/>
  <c r="G442" i="18"/>
  <c r="G689" i="18"/>
  <c r="G467" i="18"/>
  <c r="G392" i="18"/>
  <c r="G679" i="18"/>
  <c r="G203" i="18"/>
  <c r="G537" i="18"/>
  <c r="G868" i="18"/>
  <c r="G740" i="18"/>
  <c r="G605" i="18"/>
  <c r="G620" i="18"/>
  <c r="G470" i="18"/>
  <c r="G726" i="18"/>
  <c r="G623" i="18"/>
  <c r="G114" i="18"/>
  <c r="G31" i="18"/>
  <c r="G173" i="18"/>
  <c r="G390" i="18"/>
  <c r="G51" i="18"/>
  <c r="G391" i="18"/>
  <c r="G709" i="18"/>
  <c r="G923" i="18"/>
  <c r="G122" i="18"/>
  <c r="G14" i="18"/>
  <c r="G342" i="18"/>
  <c r="G953" i="18"/>
  <c r="G451" i="18"/>
  <c r="G101" i="18"/>
  <c r="G710" i="18"/>
  <c r="G832" i="18"/>
  <c r="G578" i="18"/>
  <c r="G690" i="18"/>
  <c r="G728" i="18"/>
  <c r="G735" i="18"/>
  <c r="G455" i="18"/>
  <c r="G32" i="18"/>
  <c r="G719" i="18"/>
  <c r="G816" i="18"/>
  <c r="G233" i="18"/>
  <c r="G85" i="18"/>
  <c r="G425" i="18"/>
  <c r="G168" i="18"/>
  <c r="G809" i="18"/>
  <c r="G706" i="18"/>
  <c r="G716" i="18"/>
  <c r="G649" i="18"/>
  <c r="G123" i="18"/>
  <c r="G402" i="18"/>
  <c r="G67" i="18"/>
  <c r="G731" i="18"/>
  <c r="G431" i="18"/>
  <c r="G596" i="18"/>
  <c r="G702" i="18"/>
  <c r="G745" i="18"/>
  <c r="G965" i="18"/>
  <c r="G587" i="18"/>
  <c r="G887" i="18"/>
  <c r="G759" i="18"/>
  <c r="G776" i="18"/>
  <c r="G176" i="18"/>
  <c r="G975" i="18"/>
  <c r="G530" i="18"/>
  <c r="G272" i="18"/>
  <c r="G951" i="18"/>
  <c r="G130" i="18"/>
  <c r="G398" i="18"/>
  <c r="G2" i="18"/>
  <c r="G449" i="18"/>
  <c r="G371" i="18"/>
  <c r="G57" i="18"/>
  <c r="G345" i="18"/>
  <c r="G339" i="18"/>
  <c r="G980" i="18"/>
  <c r="G445" i="18"/>
  <c r="G995" i="18"/>
  <c r="G472" i="18"/>
  <c r="G471" i="18"/>
  <c r="G781" i="18"/>
  <c r="G111" i="18"/>
  <c r="G181" i="18"/>
  <c r="G11" i="18"/>
  <c r="G741" i="18"/>
  <c r="G665" i="18"/>
  <c r="G80" i="18"/>
  <c r="G436" i="18"/>
  <c r="G223" i="18"/>
  <c r="G30" i="18"/>
  <c r="G948" i="18"/>
  <c r="G227" i="18"/>
  <c r="G993" i="18"/>
  <c r="G230" i="18"/>
  <c r="G961" i="18"/>
  <c r="G513" i="18"/>
  <c r="G653" i="18"/>
  <c r="G813" i="18"/>
  <c r="G29" i="18"/>
  <c r="G768" i="18"/>
  <c r="G727" i="18"/>
  <c r="G767" i="18"/>
  <c r="G269" i="18"/>
  <c r="G852" i="18"/>
  <c r="G554" i="18"/>
  <c r="G822" i="18"/>
  <c r="G580" i="18"/>
  <c r="G686" i="18"/>
  <c r="G45" i="18"/>
  <c r="G791" i="18"/>
  <c r="G219" i="18"/>
  <c r="G343" i="18"/>
  <c r="G540" i="18"/>
  <c r="G797" i="18"/>
  <c r="G452" i="18"/>
  <c r="G639" i="18"/>
  <c r="G890" i="18"/>
  <c r="G91" i="18"/>
  <c r="G914" i="18"/>
  <c r="G952" i="18"/>
  <c r="G394" i="18"/>
  <c r="G466" i="18"/>
  <c r="G275" i="18"/>
  <c r="G92" i="18"/>
  <c r="G396" i="18"/>
  <c r="G397" i="18"/>
  <c r="G934" i="18"/>
  <c r="G846" i="18"/>
  <c r="G845" i="18"/>
  <c r="G692" i="18"/>
  <c r="G780" i="18"/>
  <c r="G235" i="18"/>
  <c r="G641" i="18"/>
  <c r="G27" i="18"/>
  <c r="G515" i="18"/>
  <c r="G404" i="18"/>
  <c r="G3" i="18"/>
  <c r="G258" i="18"/>
  <c r="G367" i="18"/>
  <c r="G478" i="18"/>
  <c r="G511" i="18"/>
  <c r="G284" i="18"/>
  <c r="G683" i="18"/>
  <c r="G932" i="18"/>
  <c r="G931" i="18"/>
  <c r="G324" i="18"/>
  <c r="G403" i="18"/>
  <c r="G638" i="18"/>
  <c r="G713" i="18"/>
  <c r="G839" i="18"/>
  <c r="G783" i="18"/>
  <c r="G792" i="18"/>
  <c r="G34" i="18"/>
  <c r="G282" i="18"/>
  <c r="G854" i="18"/>
  <c r="G165" i="18"/>
  <c r="G906" i="18"/>
  <c r="G844" i="18"/>
  <c r="G66" i="18"/>
  <c r="G363" i="18"/>
  <c r="G983" i="18"/>
  <c r="G326" i="18"/>
  <c r="G493" i="18"/>
  <c r="G492" i="18"/>
  <c r="G760" i="18"/>
  <c r="G669" i="18"/>
  <c r="G35" i="18"/>
  <c r="G652" i="18"/>
  <c r="G861" i="18"/>
  <c r="G693" i="18"/>
  <c r="G720" i="18"/>
  <c r="G944" i="18"/>
  <c r="G291" i="18"/>
  <c r="G788" i="18"/>
  <c r="G762" i="18"/>
  <c r="G88" i="18"/>
  <c r="G146" i="18"/>
  <c r="G674" i="18"/>
  <c r="G785" i="18"/>
  <c r="G583" i="18"/>
  <c r="G285" i="18"/>
  <c r="G964" i="18"/>
  <c r="G217" i="18"/>
  <c r="G882" i="18"/>
  <c r="G160" i="18"/>
  <c r="G562" i="18"/>
  <c r="G69" i="18"/>
  <c r="G469" i="18"/>
  <c r="G486" i="18"/>
  <c r="G487" i="18"/>
  <c r="G527" i="18"/>
  <c r="G424" i="18"/>
  <c r="G234" i="18"/>
  <c r="G410" i="18"/>
  <c r="G543" i="18"/>
  <c r="G262" i="18"/>
  <c r="G81" i="18"/>
  <c r="G860" i="18"/>
  <c r="G293" i="18"/>
  <c r="G185" i="18"/>
  <c r="G47" i="18"/>
  <c r="G725" i="18"/>
  <c r="G423" i="18"/>
  <c r="G804" i="18"/>
  <c r="G584" i="18"/>
  <c r="G902" i="18"/>
  <c r="G322" i="18"/>
  <c r="G387" i="18"/>
  <c r="G613" i="18"/>
  <c r="G320" i="18"/>
  <c r="G37" i="18"/>
  <c r="G413" i="18"/>
  <c r="G828" i="18"/>
  <c r="G581" i="18"/>
  <c r="G721" i="18"/>
  <c r="G627" i="18"/>
  <c r="G738" i="18"/>
  <c r="G166" i="18"/>
  <c r="G321" i="18"/>
  <c r="G984" i="18"/>
  <c r="G806" i="18"/>
  <c r="G147" i="18"/>
  <c r="G462" i="18"/>
  <c r="G503" i="18"/>
  <c r="G75" i="18"/>
  <c r="G950" i="18"/>
  <c r="G162" i="18"/>
  <c r="G786" i="18"/>
  <c r="G276" i="18"/>
  <c r="G129" i="18"/>
  <c r="G632" i="18"/>
  <c r="G633" i="18"/>
  <c r="G862" i="18"/>
  <c r="G194" i="18"/>
  <c r="G668" i="18"/>
  <c r="G395" i="18"/>
  <c r="G509" i="18"/>
  <c r="G586" i="18"/>
  <c r="G784" i="18"/>
  <c r="G558" i="18"/>
  <c r="G754" i="18"/>
  <c r="G210" i="18"/>
  <c r="G542" i="18"/>
  <c r="G535" i="18"/>
  <c r="G506" i="18"/>
  <c r="G192" i="18"/>
  <c r="G909" i="18"/>
  <c r="G77" i="18"/>
  <c r="G450" i="18"/>
  <c r="G560" i="18"/>
  <c r="G561" i="18"/>
  <c r="G389" i="18"/>
  <c r="G358" i="18"/>
  <c r="G453" i="18"/>
  <c r="G124" i="18"/>
  <c r="G863" i="18"/>
  <c r="G646" i="18"/>
  <c r="G610" i="18"/>
  <c r="G121" i="18"/>
  <c r="G771" i="18"/>
  <c r="G866" i="18"/>
  <c r="G567" i="18"/>
  <c r="G265" i="18"/>
  <c r="G700" i="18"/>
  <c r="G807" i="18"/>
  <c r="G551" i="18"/>
  <c r="G585" i="18"/>
  <c r="G280" i="18"/>
  <c r="G499" i="18"/>
  <c r="G498" i="18"/>
  <c r="G497" i="18"/>
  <c r="G496" i="18"/>
  <c r="G270" i="18"/>
  <c r="G400" i="18"/>
  <c r="G366" i="18"/>
  <c r="G946" i="18"/>
  <c r="G962" i="18"/>
  <c r="G766" i="18"/>
  <c r="G297" i="18"/>
  <c r="G261" i="18"/>
  <c r="G158" i="18"/>
  <c r="G606" i="18"/>
  <c r="G153" i="18"/>
  <c r="G972" i="18"/>
  <c r="G734" i="18"/>
  <c r="G211" i="18"/>
  <c r="G286" i="18"/>
  <c r="G598" i="18"/>
  <c r="G334" i="18"/>
  <c r="G443" i="18"/>
  <c r="G764" i="18"/>
  <c r="G19" i="18"/>
  <c r="G534" i="18"/>
  <c r="G488" i="18"/>
  <c r="G412" i="18"/>
  <c r="G707" i="18"/>
  <c r="G263" i="18"/>
  <c r="G892" i="18"/>
  <c r="G430" i="18"/>
  <c r="G240" i="18"/>
  <c r="G695" i="18"/>
  <c r="G251" i="18"/>
  <c r="G565" i="18"/>
  <c r="G155" i="18"/>
  <c r="G154" i="18"/>
  <c r="G405" i="18"/>
  <c r="G714" i="18"/>
  <c r="G899" i="18"/>
  <c r="G657" i="18"/>
  <c r="G9" i="18"/>
  <c r="G798" i="18"/>
  <c r="G246" i="18"/>
  <c r="G333" i="18"/>
  <c r="G616" i="18"/>
  <c r="F617" i="18"/>
  <c r="F207" i="18"/>
  <c r="F384" i="18"/>
  <c r="F385" i="18"/>
  <c r="F112" i="18"/>
  <c r="F331" i="18"/>
  <c r="F708" i="18"/>
  <c r="F206" i="18"/>
  <c r="F532" i="18"/>
  <c r="F49" i="18"/>
  <c r="F834" i="18"/>
  <c r="F724" i="18"/>
  <c r="F338" i="18"/>
  <c r="F253" i="18"/>
  <c r="F237" i="18"/>
  <c r="F815" i="18"/>
  <c r="F644" i="18"/>
  <c r="F733" i="18"/>
  <c r="F314" i="18"/>
  <c r="F313" i="18"/>
  <c r="F529" i="18"/>
  <c r="F808" i="18"/>
  <c r="F214" i="18"/>
  <c r="F750" i="18"/>
  <c r="F575" i="18"/>
  <c r="F200" i="18"/>
  <c r="F851" i="18"/>
  <c r="F87" i="18"/>
  <c r="F678" i="18"/>
  <c r="F878" i="18"/>
  <c r="F879" i="18"/>
  <c r="F880" i="18"/>
  <c r="F687" i="18"/>
  <c r="F243" i="18"/>
  <c r="F23" i="18"/>
  <c r="F635" i="18"/>
  <c r="F427" i="18"/>
  <c r="F278" i="18"/>
  <c r="F545" i="18"/>
  <c r="F447" i="18"/>
  <c r="F926" i="18"/>
  <c r="F260" i="18"/>
  <c r="F795" i="18"/>
  <c r="F290" i="18"/>
  <c r="F905" i="18"/>
  <c r="F143" i="18"/>
  <c r="F830" i="18"/>
  <c r="F128" i="18"/>
  <c r="F600" i="18"/>
  <c r="F908" i="18"/>
  <c r="F159" i="18"/>
  <c r="F942" i="18"/>
  <c r="F943" i="18"/>
  <c r="F406" i="18"/>
  <c r="F439" i="18"/>
  <c r="F113" i="18"/>
  <c r="F169" i="18"/>
  <c r="F775" i="18"/>
  <c r="F298" i="18"/>
  <c r="F897" i="18"/>
  <c r="F999" i="18"/>
  <c r="F170" i="18"/>
  <c r="F671" i="18"/>
  <c r="F429" i="18"/>
  <c r="F742" i="18"/>
  <c r="F672" i="18"/>
  <c r="F26" i="18"/>
  <c r="F896" i="18"/>
  <c r="F359" i="18"/>
  <c r="F416" i="18"/>
  <c r="F239" i="18"/>
  <c r="F662" i="18"/>
  <c r="F426" i="18"/>
  <c r="F663" i="18"/>
  <c r="F871" i="18"/>
  <c r="F38" i="18"/>
  <c r="F624" i="18"/>
  <c r="F300" i="18"/>
  <c r="F885" i="18"/>
  <c r="F715" i="18"/>
  <c r="F100" i="18"/>
  <c r="F414" i="18"/>
  <c r="F915" i="18"/>
  <c r="F305" i="18"/>
  <c r="F929" i="18"/>
  <c r="F928" i="18"/>
  <c r="F973" i="18"/>
  <c r="F318" i="18"/>
  <c r="F829" i="18"/>
  <c r="F507" i="18"/>
  <c r="F661" i="18"/>
  <c r="F138" i="18"/>
  <c r="F963" i="18"/>
  <c r="F337" i="18"/>
  <c r="F421" i="18"/>
  <c r="F198" i="18"/>
  <c r="F50" i="18"/>
  <c r="F564" i="18"/>
  <c r="F127" i="18"/>
  <c r="F218" i="18"/>
  <c r="F292" i="18"/>
  <c r="F438" i="18"/>
  <c r="F850" i="18"/>
  <c r="F476" i="18"/>
  <c r="F801" i="18"/>
  <c r="F15" i="18"/>
  <c r="F920" i="18"/>
  <c r="F528" i="18"/>
  <c r="F17" i="18"/>
  <c r="F68" i="18"/>
  <c r="F257" i="18"/>
  <c r="F907" i="18"/>
  <c r="F941" i="18"/>
  <c r="F481" i="18"/>
  <c r="F858" i="18"/>
  <c r="F490" i="18"/>
  <c r="F465" i="18"/>
  <c r="F647" i="18"/>
  <c r="F747" i="18"/>
  <c r="F746" i="18"/>
  <c r="F748" i="18"/>
  <c r="F255" i="18"/>
  <c r="F621" i="18"/>
  <c r="F489" i="18"/>
  <c r="F615" i="18"/>
  <c r="F256" i="18"/>
  <c r="F368" i="18"/>
  <c r="F553" i="18"/>
  <c r="F119" i="18"/>
  <c r="F884" i="18"/>
  <c r="F817" i="18"/>
  <c r="F843" i="18"/>
  <c r="F245" i="18"/>
  <c r="F978" i="18"/>
  <c r="F976" i="18"/>
  <c r="F636" i="18"/>
  <c r="F608" i="18"/>
  <c r="F599" i="18"/>
  <c r="F377" i="18"/>
  <c r="F982" i="18"/>
  <c r="F435" i="18"/>
  <c r="F353" i="18"/>
  <c r="F177" i="18"/>
  <c r="F894" i="18"/>
  <c r="F625" i="18"/>
  <c r="F997" i="18"/>
  <c r="F996" i="18"/>
  <c r="F134" i="18"/>
  <c r="F848" i="18"/>
  <c r="F24" i="18"/>
  <c r="F504" i="18"/>
  <c r="F370" i="18"/>
  <c r="F938" i="18"/>
  <c r="F510" i="18"/>
  <c r="F827" i="18"/>
  <c r="F739" i="18"/>
  <c r="F461" i="18"/>
  <c r="F350" i="18"/>
  <c r="F751" i="18"/>
  <c r="F777" i="18"/>
  <c r="F186" i="18"/>
  <c r="F83" i="18"/>
  <c r="F500" i="18"/>
  <c r="F78" i="18"/>
  <c r="F175" i="18"/>
  <c r="F178" i="18"/>
  <c r="F277" i="18"/>
  <c r="F4" i="18"/>
  <c r="F749" i="18"/>
  <c r="F642" i="18"/>
  <c r="F332" i="18"/>
  <c r="F818" i="18"/>
  <c r="F43" i="18"/>
  <c r="F881" i="18"/>
  <c r="F998" i="18"/>
  <c r="F89" i="18"/>
  <c r="F659" i="18"/>
  <c r="F222" i="18"/>
  <c r="F533" i="18"/>
  <c r="F187" i="18"/>
  <c r="F188" i="18"/>
  <c r="F774" i="18"/>
  <c r="F682" i="18"/>
  <c r="F630" i="18"/>
  <c r="F191" i="18"/>
  <c r="F628" i="18"/>
  <c r="F859" i="18"/>
  <c r="F594" i="18"/>
  <c r="F73" i="18"/>
  <c r="F940" i="18"/>
  <c r="F131" i="18"/>
  <c r="F325" i="18"/>
  <c r="F408" i="18"/>
  <c r="F837" i="18"/>
  <c r="F304" i="18"/>
  <c r="F520" i="18"/>
  <c r="F521" i="18"/>
  <c r="F522" i="18"/>
  <c r="F518" i="18"/>
  <c r="F519" i="18"/>
  <c r="F229" i="18"/>
  <c r="F60" i="18"/>
  <c r="F873" i="18"/>
  <c r="F752" i="18"/>
  <c r="F744" i="18"/>
  <c r="F563" i="18"/>
  <c r="F658" i="18"/>
  <c r="F691" i="18"/>
  <c r="F33" i="18"/>
  <c r="F958" i="18"/>
  <c r="F601" i="18"/>
  <c r="F267" i="18"/>
  <c r="F957" i="18"/>
  <c r="F629" i="18"/>
  <c r="F58" i="18"/>
  <c r="F607" i="18"/>
  <c r="F94" i="18"/>
  <c r="F420" i="18"/>
  <c r="F52" i="18"/>
  <c r="F53" i="18"/>
  <c r="F821" i="18"/>
  <c r="F869" i="18"/>
  <c r="F753" i="18"/>
  <c r="F348" i="18"/>
  <c r="F603" i="18"/>
  <c r="F645" i="18"/>
  <c r="F18" i="18"/>
  <c r="F202" i="18"/>
  <c r="F84" i="18"/>
  <c r="F63" i="18"/>
  <c r="F939" i="18"/>
  <c r="F365" i="18"/>
  <c r="F379" i="18"/>
  <c r="F418" i="18"/>
  <c r="F70" i="18"/>
  <c r="F648" i="18"/>
  <c r="F361" i="18"/>
  <c r="F48" i="18"/>
  <c r="F183" i="18"/>
  <c r="F696" i="18"/>
  <c r="F12" i="18"/>
  <c r="F336" i="18"/>
  <c r="F228" i="18"/>
  <c r="F841" i="18"/>
  <c r="F302" i="18"/>
  <c r="F483" i="18"/>
  <c r="F814" i="18"/>
  <c r="F947" i="18"/>
  <c r="F831" i="18"/>
  <c r="F546" i="18"/>
  <c r="F65" i="18"/>
  <c r="F328" i="18"/>
  <c r="F244" i="18"/>
  <c r="F444" i="18"/>
  <c r="F316" i="18"/>
  <c r="F703" i="18"/>
  <c r="F224" i="18"/>
  <c r="F482" i="18"/>
  <c r="F144" i="18"/>
  <c r="F135" i="18"/>
  <c r="F569" i="18"/>
  <c r="F266" i="18"/>
  <c r="F536" i="18"/>
  <c r="F849" i="18"/>
  <c r="F399" i="18"/>
  <c r="F40" i="18"/>
  <c r="F319" i="18"/>
  <c r="F634" i="18"/>
  <c r="F855" i="18"/>
  <c r="F549" i="18"/>
  <c r="F196" i="18"/>
  <c r="F99" i="18"/>
  <c r="F459" i="18"/>
  <c r="F694" i="18"/>
  <c r="F684" i="18"/>
  <c r="F301" i="18"/>
  <c r="F925" i="18"/>
  <c r="F927" i="18"/>
  <c r="F289" i="18"/>
  <c r="F356" i="18"/>
  <c r="F514" i="18"/>
  <c r="F441" i="18"/>
  <c r="F479" i="18"/>
  <c r="F347" i="18"/>
  <c r="F79" i="18"/>
  <c r="F171" i="18"/>
  <c r="F249" i="18"/>
  <c r="F454" i="18"/>
  <c r="F133" i="18"/>
  <c r="F898" i="18"/>
  <c r="F622" i="18"/>
  <c r="F974" i="18"/>
  <c r="F853" i="18"/>
  <c r="F417" i="18"/>
  <c r="F794" i="18"/>
  <c r="F701" i="18"/>
  <c r="F516" i="18"/>
  <c r="F945" i="18"/>
  <c r="F116" i="18"/>
  <c r="F349" i="18"/>
  <c r="F865" i="18"/>
  <c r="F602" i="18"/>
  <c r="F254" i="18"/>
  <c r="F411" i="18"/>
  <c r="F643" i="18"/>
  <c r="F375" i="18"/>
  <c r="F102" i="18"/>
  <c r="F475" i="18"/>
  <c r="F8" i="18"/>
  <c r="F979" i="18"/>
  <c r="F352" i="18"/>
  <c r="F660" i="18"/>
  <c r="F355" i="18"/>
  <c r="F722" i="18"/>
  <c r="F977" i="18"/>
  <c r="F125" i="18"/>
  <c r="F654" i="18"/>
  <c r="F182" i="18"/>
  <c r="F789" i="18"/>
  <c r="F790" i="18"/>
  <c r="F574" i="18"/>
  <c r="F252" i="18"/>
  <c r="F93" i="18"/>
  <c r="F566" i="18"/>
  <c r="F308" i="18"/>
  <c r="F139" i="18"/>
  <c r="F437" i="18"/>
  <c r="F480" i="18"/>
  <c r="F924" i="18"/>
  <c r="F571" i="18"/>
  <c r="F698" i="18"/>
  <c r="F212" i="18"/>
  <c r="F895" i="18"/>
  <c r="F626" i="18"/>
  <c r="F150" i="18"/>
  <c r="F283" i="18"/>
  <c r="F955" i="18"/>
  <c r="F576" i="18"/>
  <c r="F157" i="18"/>
  <c r="F86" i="18"/>
  <c r="F736" i="18"/>
  <c r="F737" i="18"/>
  <c r="F538" i="18"/>
  <c r="F619" i="18"/>
  <c r="F247" i="18"/>
  <c r="F327" i="18"/>
  <c r="F935" i="18"/>
  <c r="F913" i="18"/>
  <c r="F369" i="18"/>
  <c r="F477" i="18"/>
  <c r="F140" i="18"/>
  <c r="F145" i="18"/>
  <c r="F782" i="18"/>
  <c r="F568" i="18"/>
  <c r="F380" i="18"/>
  <c r="F893" i="18"/>
  <c r="F221" i="18"/>
  <c r="F22" i="18"/>
  <c r="F215" i="18"/>
  <c r="F676" i="18"/>
  <c r="F675" i="18"/>
  <c r="F688" i="18"/>
  <c r="F680" i="18"/>
  <c r="F279" i="18"/>
  <c r="F966" i="18"/>
  <c r="F705" i="18"/>
  <c r="F137" i="18"/>
  <c r="F259" i="18"/>
  <c r="F555" i="18"/>
  <c r="F274" i="18"/>
  <c r="F195" i="18"/>
  <c r="F547" i="18"/>
  <c r="F232" i="18"/>
  <c r="F59" i="18"/>
  <c r="F231" i="18"/>
  <c r="F967" i="18"/>
  <c r="F835" i="18"/>
  <c r="F357" i="18"/>
  <c r="F847" i="18"/>
  <c r="F889" i="18"/>
  <c r="F655" i="18"/>
  <c r="F595" i="18"/>
  <c r="F911" i="18"/>
  <c r="F773" i="18"/>
  <c r="F611" i="18"/>
  <c r="F190" i="18"/>
  <c r="F141" i="18"/>
  <c r="F148" i="18"/>
  <c r="F457" i="18"/>
  <c r="F757" i="18"/>
  <c r="F857" i="18"/>
  <c r="F180" i="18"/>
  <c r="F179" i="18"/>
  <c r="F1001" i="18"/>
  <c r="F248" i="18"/>
  <c r="F732" i="18"/>
  <c r="F72" i="18"/>
  <c r="F422" i="18"/>
  <c r="F770" i="18"/>
  <c r="F778" i="18"/>
  <c r="F312" i="18"/>
  <c r="F142" i="18"/>
  <c r="F156" i="18"/>
  <c r="F226" i="18"/>
  <c r="F954" i="18"/>
  <c r="F172" i="18"/>
  <c r="F419" i="18"/>
  <c r="F870" i="18"/>
  <c r="F838" i="18"/>
  <c r="F631" i="18"/>
  <c r="F756" i="18"/>
  <c r="F383" i="18"/>
  <c r="F310" i="18"/>
  <c r="F56" i="18"/>
  <c r="F296" i="18"/>
  <c r="F949" i="18"/>
  <c r="F401" i="18"/>
  <c r="F650" i="18"/>
  <c r="F372" i="18"/>
  <c r="F876" i="18"/>
  <c r="F877" i="18"/>
  <c r="F288" i="18"/>
  <c r="F117" i="18"/>
  <c r="F717" i="18"/>
  <c r="F531" i="18"/>
  <c r="F376" i="18"/>
  <c r="F5" i="18"/>
  <c r="F612" i="18"/>
  <c r="F364" i="18"/>
  <c r="F281" i="18"/>
  <c r="F723" i="18"/>
  <c r="F323" i="18"/>
  <c r="F904" i="18"/>
  <c r="F712" i="18"/>
  <c r="F614" i="18"/>
  <c r="F667" i="18"/>
  <c r="F886" i="18"/>
  <c r="F826" i="18"/>
  <c r="F115" i="18"/>
  <c r="F7" i="18"/>
  <c r="F664" i="18"/>
  <c r="F588" i="18"/>
  <c r="F238" i="18"/>
  <c r="F811" i="18"/>
  <c r="F344" i="18"/>
  <c r="F82" i="18"/>
  <c r="F593" i="18"/>
  <c r="F901" i="18"/>
  <c r="F508" i="18"/>
  <c r="F718" i="18"/>
  <c r="F670" i="18"/>
  <c r="F271" i="18"/>
  <c r="F685" i="18"/>
  <c r="F793" i="18"/>
  <c r="F189" i="18"/>
  <c r="F16" i="18"/>
  <c r="F989" i="18"/>
  <c r="F971" i="18"/>
  <c r="F618" i="18"/>
  <c r="F604" i="18"/>
  <c r="F44" i="18"/>
  <c r="F71" i="18"/>
  <c r="F743" i="18"/>
  <c r="F432" i="18"/>
  <c r="F825" i="18"/>
  <c r="F994" i="18"/>
  <c r="F393" i="18"/>
  <c r="F109" i="18"/>
  <c r="F174" i="18"/>
  <c r="F666" i="18"/>
  <c r="F268" i="18"/>
  <c r="F163" i="18"/>
  <c r="F295" i="18"/>
  <c r="F415" i="18"/>
  <c r="F512" i="18"/>
  <c r="F213" i="18"/>
  <c r="F36" i="18"/>
  <c r="F987" i="18"/>
  <c r="F988" i="18"/>
  <c r="F986" i="18"/>
  <c r="F772" i="18"/>
  <c r="F824" i="18"/>
  <c r="F388" i="18"/>
  <c r="F335" i="18"/>
  <c r="F468" i="18"/>
  <c r="F98" i="18"/>
  <c r="F673" i="18"/>
  <c r="F434" i="18"/>
  <c r="F440" i="18"/>
  <c r="F315" i="18"/>
  <c r="F970" i="18"/>
  <c r="F184" i="18"/>
  <c r="F209" i="18"/>
  <c r="F763" i="18"/>
  <c r="F456" i="18"/>
  <c r="F199" i="18"/>
  <c r="F273" i="18"/>
  <c r="F755" i="18"/>
  <c r="F21" i="18"/>
  <c r="F360" i="18"/>
  <c r="F104" i="18"/>
  <c r="F106" i="18"/>
  <c r="F107" i="18"/>
  <c r="F105" i="18"/>
  <c r="F704" i="18"/>
  <c r="F76" i="18"/>
  <c r="F903" i="18"/>
  <c r="F992" i="18"/>
  <c r="F891" i="18"/>
  <c r="F330" i="18"/>
  <c r="F956" i="18"/>
  <c r="F656" i="18"/>
  <c r="F458" i="18"/>
  <c r="F241" i="18"/>
  <c r="F407" i="18"/>
  <c r="F28" i="18"/>
  <c r="F136" i="18"/>
  <c r="F351" i="18"/>
  <c r="F981" i="18"/>
  <c r="F373" i="18"/>
  <c r="F374" i="18"/>
  <c r="F833" i="18"/>
  <c r="F842" i="18"/>
  <c r="F149" i="18"/>
  <c r="F340" i="18"/>
  <c r="F936" i="18"/>
  <c r="F62" i="18"/>
  <c r="F933" i="18"/>
  <c r="F386" i="18"/>
  <c r="F225" i="18"/>
  <c r="F46" i="18"/>
  <c r="F912" i="18"/>
  <c r="F991" i="18"/>
  <c r="F448" i="18"/>
  <c r="F220" i="18"/>
  <c r="F96" i="18"/>
  <c r="F548" i="18"/>
  <c r="F132" i="18"/>
  <c r="F856" i="18"/>
  <c r="F216" i="18"/>
  <c r="F42" i="18"/>
  <c r="F460" i="18"/>
  <c r="F544" i="18"/>
  <c r="F502" i="18"/>
  <c r="F118" i="18"/>
  <c r="F888" i="18"/>
  <c r="F151" i="18"/>
  <c r="F495" i="18"/>
  <c r="F577" i="18"/>
  <c r="F900" i="18"/>
  <c r="F968" i="18"/>
  <c r="F557" i="18"/>
  <c r="F463" i="18"/>
  <c r="F523" i="18"/>
  <c r="F730" i="18"/>
  <c r="F959" i="18"/>
  <c r="F917" i="18"/>
  <c r="F108" i="18"/>
  <c r="F309" i="18"/>
  <c r="F6" i="18"/>
  <c r="F597" i="18"/>
  <c r="F840" i="18"/>
  <c r="F711" i="18"/>
  <c r="F501" i="18"/>
  <c r="F916" i="18"/>
  <c r="F526" i="18"/>
  <c r="F918" i="18"/>
  <c r="F864" i="18"/>
  <c r="F287" i="18"/>
  <c r="F922" i="18"/>
  <c r="F937" i="18"/>
  <c r="F167" i="18"/>
  <c r="F329" i="18"/>
  <c r="F208" i="18"/>
  <c r="F95" i="18"/>
  <c r="F960" i="18"/>
  <c r="F579" i="18"/>
  <c r="F54" i="18"/>
  <c r="F55" i="18"/>
  <c r="F640" i="18"/>
  <c r="F552" i="18"/>
  <c r="F697" i="18"/>
  <c r="F264" i="18"/>
  <c r="F803" i="18"/>
  <c r="F197" i="18"/>
  <c r="F805" i="18"/>
  <c r="F524" i="18"/>
  <c r="F464" i="18"/>
  <c r="F812" i="18"/>
  <c r="F820" i="18"/>
  <c r="F930" i="18"/>
  <c r="F64" i="18"/>
  <c r="F836" i="18"/>
  <c r="F559" i="18"/>
  <c r="F485" i="18"/>
  <c r="F802" i="18"/>
  <c r="F152" i="18"/>
  <c r="F570" i="18"/>
  <c r="F428" i="18"/>
  <c r="F729" i="18"/>
  <c r="F758" i="18"/>
  <c r="F491" i="18"/>
  <c r="F39" i="18"/>
  <c r="F582" i="18"/>
  <c r="F446" i="18"/>
  <c r="F799" i="18"/>
  <c r="F474" i="18"/>
  <c r="F787" i="18"/>
  <c r="F651" i="18"/>
  <c r="F311" i="18"/>
  <c r="F550" i="18"/>
  <c r="F761" i="18"/>
  <c r="F164" i="18"/>
  <c r="F556" i="18"/>
  <c r="F346" i="18"/>
  <c r="F505" i="18"/>
  <c r="F382" i="18"/>
  <c r="F985" i="18"/>
  <c r="F250" i="18"/>
  <c r="F677" i="18"/>
  <c r="F110" i="18"/>
  <c r="F921" i="18"/>
  <c r="F609" i="18"/>
  <c r="F919" i="18"/>
  <c r="F779" i="18"/>
  <c r="F201" i="18"/>
  <c r="F823" i="18"/>
  <c r="F590" i="18"/>
  <c r="F591" i="18"/>
  <c r="F589" i="18"/>
  <c r="F592" i="18"/>
  <c r="F161" i="18"/>
  <c r="F61" i="18"/>
  <c r="F409" i="18"/>
  <c r="F25" i="18"/>
  <c r="F41" i="18"/>
  <c r="F103" i="18"/>
  <c r="F341" i="18"/>
  <c r="F317" i="18"/>
  <c r="F433" i="18"/>
  <c r="F74" i="18"/>
  <c r="F681" i="18"/>
  <c r="F883" i="18"/>
  <c r="F769" i="18"/>
  <c r="F378" i="18"/>
  <c r="F484" i="18"/>
  <c r="F90" i="18"/>
  <c r="F541" i="18"/>
  <c r="F20" i="18"/>
  <c r="F874" i="18"/>
  <c r="F810" i="18"/>
  <c r="F969" i="18"/>
  <c r="F294" i="18"/>
  <c r="F236" i="18"/>
  <c r="F193" i="18"/>
  <c r="F494" i="18"/>
  <c r="F381" i="18"/>
  <c r="F910" i="18"/>
  <c r="F303" i="18"/>
  <c r="F473" i="18"/>
  <c r="F242" i="18"/>
  <c r="F867" i="18"/>
  <c r="F699" i="18"/>
  <c r="F307" i="18"/>
  <c r="F306" i="18"/>
  <c r="F299" i="18"/>
  <c r="F126" i="18"/>
  <c r="F819" i="18"/>
  <c r="F573" i="18"/>
  <c r="F800" i="18"/>
  <c r="F362" i="18"/>
  <c r="F796" i="18"/>
  <c r="F517" i="18"/>
  <c r="F539" i="18"/>
  <c r="F872" i="18"/>
  <c r="F205" i="18"/>
  <c r="F1000" i="18"/>
  <c r="F97" i="18"/>
  <c r="F525" i="18"/>
  <c r="F354" i="18"/>
  <c r="F13" i="18"/>
  <c r="F990" i="18"/>
  <c r="F875" i="18"/>
  <c r="F204" i="18"/>
  <c r="F572" i="18"/>
  <c r="F765" i="18"/>
  <c r="F120" i="18"/>
  <c r="F10" i="18"/>
  <c r="F637" i="18"/>
  <c r="F442" i="18"/>
  <c r="F689" i="18"/>
  <c r="F467" i="18"/>
  <c r="F392" i="18"/>
  <c r="F679" i="18"/>
  <c r="F203" i="18"/>
  <c r="F537" i="18"/>
  <c r="F868" i="18"/>
  <c r="F740" i="18"/>
  <c r="F605" i="18"/>
  <c r="F620" i="18"/>
  <c r="F470" i="18"/>
  <c r="F726" i="18"/>
  <c r="F623" i="18"/>
  <c r="F114" i="18"/>
  <c r="F31" i="18"/>
  <c r="F173" i="18"/>
  <c r="F390" i="18"/>
  <c r="F51" i="18"/>
  <c r="F391" i="18"/>
  <c r="F709" i="18"/>
  <c r="F923" i="18"/>
  <c r="F122" i="18"/>
  <c r="F14" i="18"/>
  <c r="F342" i="18"/>
  <c r="F953" i="18"/>
  <c r="F451" i="18"/>
  <c r="F101" i="18"/>
  <c r="F710" i="18"/>
  <c r="F832" i="18"/>
  <c r="F578" i="18"/>
  <c r="F690" i="18"/>
  <c r="F728" i="18"/>
  <c r="F735" i="18"/>
  <c r="F455" i="18"/>
  <c r="F32" i="18"/>
  <c r="F719" i="18"/>
  <c r="F816" i="18"/>
  <c r="F233" i="18"/>
  <c r="F85" i="18"/>
  <c r="F425" i="18"/>
  <c r="F168" i="18"/>
  <c r="F809" i="18"/>
  <c r="F706" i="18"/>
  <c r="F716" i="18"/>
  <c r="F649" i="18"/>
  <c r="F123" i="18"/>
  <c r="F402" i="18"/>
  <c r="F67" i="18"/>
  <c r="F731" i="18"/>
  <c r="F431" i="18"/>
  <c r="F596" i="18"/>
  <c r="F702" i="18"/>
  <c r="F745" i="18"/>
  <c r="F965" i="18"/>
  <c r="F587" i="18"/>
  <c r="F887" i="18"/>
  <c r="F759" i="18"/>
  <c r="F776" i="18"/>
  <c r="F176" i="18"/>
  <c r="F975" i="18"/>
  <c r="F530" i="18"/>
  <c r="F272" i="18"/>
  <c r="F951" i="18"/>
  <c r="F130" i="18"/>
  <c r="F398" i="18"/>
  <c r="F2" i="18"/>
  <c r="F449" i="18"/>
  <c r="F371" i="18"/>
  <c r="F57" i="18"/>
  <c r="F345" i="18"/>
  <c r="F339" i="18"/>
  <c r="F980" i="18"/>
  <c r="F445" i="18"/>
  <c r="F995" i="18"/>
  <c r="F472" i="18"/>
  <c r="F471" i="18"/>
  <c r="F781" i="18"/>
  <c r="F111" i="18"/>
  <c r="F181" i="18"/>
  <c r="F11" i="18"/>
  <c r="F741" i="18"/>
  <c r="F665" i="18"/>
  <c r="F80" i="18"/>
  <c r="F436" i="18"/>
  <c r="F223" i="18"/>
  <c r="F30" i="18"/>
  <c r="F948" i="18"/>
  <c r="F227" i="18"/>
  <c r="F993" i="18"/>
  <c r="F230" i="18"/>
  <c r="F961" i="18"/>
  <c r="F513" i="18"/>
  <c r="F653" i="18"/>
  <c r="F813" i="18"/>
  <c r="F29" i="18"/>
  <c r="F768" i="18"/>
  <c r="F727" i="18"/>
  <c r="F767" i="18"/>
  <c r="F269" i="18"/>
  <c r="F852" i="18"/>
  <c r="F554" i="18"/>
  <c r="F822" i="18"/>
  <c r="F580" i="18"/>
  <c r="F686" i="18"/>
  <c r="F45" i="18"/>
  <c r="F791" i="18"/>
  <c r="F219" i="18"/>
  <c r="F343" i="18"/>
  <c r="F540" i="18"/>
  <c r="F797" i="18"/>
  <c r="F452" i="18"/>
  <c r="F639" i="18"/>
  <c r="F890" i="18"/>
  <c r="F91" i="18"/>
  <c r="F914" i="18"/>
  <c r="F952" i="18"/>
  <c r="F394" i="18"/>
  <c r="F466" i="18"/>
  <c r="F275" i="18"/>
  <c r="F92" i="18"/>
  <c r="F396" i="18"/>
  <c r="F397" i="18"/>
  <c r="F934" i="18"/>
  <c r="F846" i="18"/>
  <c r="F845" i="18"/>
  <c r="F692" i="18"/>
  <c r="F780" i="18"/>
  <c r="F235" i="18"/>
  <c r="F641" i="18"/>
  <c r="F27" i="18"/>
  <c r="F515" i="18"/>
  <c r="F404" i="18"/>
  <c r="F3" i="18"/>
  <c r="F258" i="18"/>
  <c r="F367" i="18"/>
  <c r="F478" i="18"/>
  <c r="F511" i="18"/>
  <c r="F284" i="18"/>
  <c r="F683" i="18"/>
  <c r="F932" i="18"/>
  <c r="F931" i="18"/>
  <c r="F324" i="18"/>
  <c r="F403" i="18"/>
  <c r="F638" i="18"/>
  <c r="F713" i="18"/>
  <c r="F839" i="18"/>
  <c r="F783" i="18"/>
  <c r="F792" i="18"/>
  <c r="F34" i="18"/>
  <c r="F282" i="18"/>
  <c r="F854" i="18"/>
  <c r="F165" i="18"/>
  <c r="F906" i="18"/>
  <c r="F844" i="18"/>
  <c r="F66" i="18"/>
  <c r="F363" i="18"/>
  <c r="F983" i="18"/>
  <c r="F326" i="18"/>
  <c r="F493" i="18"/>
  <c r="F492" i="18"/>
  <c r="F760" i="18"/>
  <c r="F669" i="18"/>
  <c r="F35" i="18"/>
  <c r="F652" i="18"/>
  <c r="F861" i="18"/>
  <c r="F693" i="18"/>
  <c r="F720" i="18"/>
  <c r="F944" i="18"/>
  <c r="F291" i="18"/>
  <c r="F788" i="18"/>
  <c r="F762" i="18"/>
  <c r="F88" i="18"/>
  <c r="F146" i="18"/>
  <c r="F674" i="18"/>
  <c r="F785" i="18"/>
  <c r="F583" i="18"/>
  <c r="F285" i="18"/>
  <c r="F964" i="18"/>
  <c r="F217" i="18"/>
  <c r="F882" i="18"/>
  <c r="F160" i="18"/>
  <c r="F562" i="18"/>
  <c r="F69" i="18"/>
  <c r="F469" i="18"/>
  <c r="F486" i="18"/>
  <c r="F487" i="18"/>
  <c r="F527" i="18"/>
  <c r="F424" i="18"/>
  <c r="F234" i="18"/>
  <c r="F410" i="18"/>
  <c r="F543" i="18"/>
  <c r="F262" i="18"/>
  <c r="F81" i="18"/>
  <c r="F860" i="18"/>
  <c r="F293" i="18"/>
  <c r="F185" i="18"/>
  <c r="F47" i="18"/>
  <c r="F725" i="18"/>
  <c r="F423" i="18"/>
  <c r="F804" i="18"/>
  <c r="F584" i="18"/>
  <c r="F902" i="18"/>
  <c r="F322" i="18"/>
  <c r="F387" i="18"/>
  <c r="F613" i="18"/>
  <c r="F320" i="18"/>
  <c r="F37" i="18"/>
  <c r="F413" i="18"/>
  <c r="F828" i="18"/>
  <c r="F581" i="18"/>
  <c r="F721" i="18"/>
  <c r="F627" i="18"/>
  <c r="F738" i="18"/>
  <c r="F166" i="18"/>
  <c r="F321" i="18"/>
  <c r="F984" i="18"/>
  <c r="F806" i="18"/>
  <c r="F147" i="18"/>
  <c r="F462" i="18"/>
  <c r="F503" i="18"/>
  <c r="F75" i="18"/>
  <c r="F950" i="18"/>
  <c r="F162" i="18"/>
  <c r="F786" i="18"/>
  <c r="F276" i="18"/>
  <c r="F129" i="18"/>
  <c r="F632" i="18"/>
  <c r="F633" i="18"/>
  <c r="F862" i="18"/>
  <c r="F194" i="18"/>
  <c r="F668" i="18"/>
  <c r="F395" i="18"/>
  <c r="F509" i="18"/>
  <c r="F586" i="18"/>
  <c r="F784" i="18"/>
  <c r="F558" i="18"/>
  <c r="F754" i="18"/>
  <c r="F210" i="18"/>
  <c r="F542" i="18"/>
  <c r="F535" i="18"/>
  <c r="F506" i="18"/>
  <c r="F192" i="18"/>
  <c r="F909" i="18"/>
  <c r="F77" i="18"/>
  <c r="F450" i="18"/>
  <c r="F560" i="18"/>
  <c r="F561" i="18"/>
  <c r="F389" i="18"/>
  <c r="F358" i="18"/>
  <c r="F453" i="18"/>
  <c r="F124" i="18"/>
  <c r="F863" i="18"/>
  <c r="F646" i="18"/>
  <c r="F610" i="18"/>
  <c r="F121" i="18"/>
  <c r="F771" i="18"/>
  <c r="F866" i="18"/>
  <c r="F567" i="18"/>
  <c r="F265" i="18"/>
  <c r="F700" i="18"/>
  <c r="F807" i="18"/>
  <c r="F551" i="18"/>
  <c r="F585" i="18"/>
  <c r="F280" i="18"/>
  <c r="F499" i="18"/>
  <c r="F498" i="18"/>
  <c r="F497" i="18"/>
  <c r="F496" i="18"/>
  <c r="F270" i="18"/>
  <c r="F400" i="18"/>
  <c r="F366" i="18"/>
  <c r="F946" i="18"/>
  <c r="F962" i="18"/>
  <c r="F766" i="18"/>
  <c r="F297" i="18"/>
  <c r="F261" i="18"/>
  <c r="F158" i="18"/>
  <c r="F606" i="18"/>
  <c r="F153" i="18"/>
  <c r="F972" i="18"/>
  <c r="F734" i="18"/>
  <c r="F211" i="18"/>
  <c r="F286" i="18"/>
  <c r="F598" i="18"/>
  <c r="F334" i="18"/>
  <c r="F443" i="18"/>
  <c r="F764" i="18"/>
  <c r="F19" i="18"/>
  <c r="F534" i="18"/>
  <c r="F488" i="18"/>
  <c r="F412" i="18"/>
  <c r="F707" i="18"/>
  <c r="F263" i="18"/>
  <c r="F892" i="18"/>
  <c r="F430" i="18"/>
  <c r="F240" i="18"/>
  <c r="F695" i="18"/>
  <c r="F251" i="18"/>
  <c r="F565" i="18"/>
  <c r="F155" i="18"/>
  <c r="F154" i="18"/>
  <c r="F405" i="18"/>
  <c r="F714" i="18"/>
  <c r="F899" i="18"/>
  <c r="F657" i="18"/>
  <c r="F9" i="18"/>
  <c r="F798" i="18"/>
  <c r="F246" i="18"/>
  <c r="F333" i="18"/>
  <c r="F616" i="18"/>
  <c r="T897" i="18" l="1"/>
  <c r="T447" i="18"/>
  <c r="T313" i="18"/>
  <c r="T616" i="18"/>
  <c r="T696" i="18"/>
  <c r="T53" i="18"/>
  <c r="T518" i="18"/>
  <c r="T533" i="18"/>
  <c r="T751" i="18"/>
  <c r="T377" i="18"/>
  <c r="T747" i="18"/>
  <c r="T127" i="18"/>
  <c r="T885" i="18"/>
  <c r="T298" i="18"/>
  <c r="T545" i="18"/>
  <c r="T314" i="18"/>
  <c r="T52" i="18"/>
  <c r="T733" i="18"/>
  <c r="T427" i="18"/>
  <c r="T644" i="18"/>
  <c r="T337" i="18"/>
  <c r="T663" i="18"/>
  <c r="T406" i="18"/>
  <c r="T243" i="18"/>
  <c r="T253" i="18"/>
  <c r="T724" i="18"/>
  <c r="T87" i="18"/>
  <c r="T206" i="18"/>
  <c r="T999" i="18"/>
  <c r="T926" i="18"/>
  <c r="T529" i="18"/>
  <c r="T617" i="18"/>
  <c r="AA899" i="18"/>
  <c r="AA534" i="18"/>
  <c r="AA265" i="18"/>
  <c r="AA786" i="18"/>
  <c r="AA423" i="18"/>
  <c r="AA652" i="18"/>
  <c r="AA641" i="18"/>
  <c r="AA269" i="18"/>
  <c r="AA57" i="18"/>
  <c r="AA85" i="18"/>
  <c r="AA679" i="18"/>
  <c r="AA307" i="18"/>
  <c r="AA409" i="18"/>
  <c r="AA428" i="18"/>
  <c r="AA309" i="18"/>
  <c r="AA149" i="18"/>
  <c r="AA21" i="18"/>
  <c r="AA174" i="18"/>
  <c r="AA364" i="18"/>
  <c r="AA457" i="18"/>
  <c r="AA369" i="18"/>
  <c r="AA8" i="18"/>
  <c r="AA444" i="18"/>
  <c r="AA533" i="18"/>
  <c r="AA290" i="18"/>
  <c r="AA77" i="18"/>
  <c r="AA828" i="18"/>
  <c r="AA674" i="18"/>
  <c r="AA638" i="18"/>
  <c r="AA91" i="18"/>
  <c r="AA436" i="18"/>
  <c r="AA731" i="18"/>
  <c r="AA391" i="18"/>
  <c r="AA525" i="18"/>
  <c r="AA20" i="18"/>
  <c r="AA250" i="18"/>
  <c r="AA559" i="18"/>
  <c r="AA501" i="18"/>
  <c r="AA386" i="18"/>
  <c r="AA763" i="18"/>
  <c r="AA618" i="18"/>
  <c r="AA115" i="18"/>
  <c r="AA56" i="18"/>
  <c r="AA773" i="18"/>
  <c r="AA215" i="18"/>
  <c r="AA566" i="18"/>
  <c r="AA417" i="18"/>
  <c r="AA694" i="18"/>
  <c r="AA841" i="18"/>
  <c r="AA52" i="18"/>
  <c r="AA73" i="18"/>
  <c r="AA751" i="18"/>
  <c r="AA978" i="18"/>
  <c r="AA481" i="18"/>
  <c r="AA829" i="18"/>
  <c r="AA429" i="18"/>
  <c r="AA750" i="18"/>
  <c r="AA246" i="18"/>
  <c r="AA714" i="18"/>
  <c r="AA251" i="18"/>
  <c r="AA263" i="18"/>
  <c r="AA19" i="18"/>
  <c r="AA286" i="18"/>
  <c r="AA606" i="18"/>
  <c r="AA962" i="18"/>
  <c r="AA496" i="18"/>
  <c r="AA585" i="18"/>
  <c r="AA567" i="18"/>
  <c r="AA646" i="18"/>
  <c r="AA389" i="18"/>
  <c r="AA909" i="18"/>
  <c r="AA210" i="18"/>
  <c r="AA509" i="18"/>
  <c r="AA633" i="18"/>
  <c r="AA766" i="18"/>
  <c r="AA358" i="18"/>
  <c r="AA542" i="18"/>
  <c r="AA166" i="18"/>
  <c r="AA387" i="18"/>
  <c r="AA234" i="18"/>
  <c r="AA291" i="18"/>
  <c r="AA844" i="18"/>
  <c r="AA258" i="18"/>
  <c r="AA275" i="18"/>
  <c r="AA813" i="18"/>
  <c r="AA181" i="18"/>
  <c r="AA176" i="18"/>
  <c r="AA455" i="18"/>
  <c r="AA605" i="18"/>
  <c r="AA573" i="18"/>
  <c r="AA591" i="18"/>
  <c r="AA651" i="18"/>
  <c r="AA803" i="18"/>
  <c r="AA208" i="18"/>
  <c r="AA523" i="18"/>
  <c r="AA448" i="18"/>
  <c r="AA891" i="18"/>
  <c r="AA440" i="18"/>
  <c r="AA432" i="18"/>
  <c r="AA811" i="18"/>
  <c r="AA372" i="18"/>
  <c r="AA770" i="18"/>
  <c r="AA847" i="18"/>
  <c r="AA568" i="18"/>
  <c r="AA924" i="18"/>
  <c r="AA411" i="18"/>
  <c r="AA289" i="18"/>
  <c r="AA831" i="18"/>
  <c r="AA348" i="18"/>
  <c r="AA518" i="18"/>
  <c r="AA881" i="18"/>
  <c r="AA848" i="18"/>
  <c r="AA119" i="18"/>
  <c r="AA476" i="18"/>
  <c r="AA885" i="18"/>
  <c r="AA298" i="18"/>
  <c r="AA243" i="18"/>
  <c r="AA253" i="18"/>
  <c r="AA565" i="18"/>
  <c r="AA598" i="18"/>
  <c r="AA280" i="18"/>
  <c r="AA586" i="18"/>
  <c r="AA860" i="18"/>
  <c r="AA493" i="18"/>
  <c r="AA846" i="18"/>
  <c r="AA993" i="18"/>
  <c r="AA965" i="18"/>
  <c r="AA342" i="18"/>
  <c r="AA637" i="18"/>
  <c r="AA303" i="18"/>
  <c r="AA317" i="18"/>
  <c r="AA582" i="18"/>
  <c r="AA287" i="18"/>
  <c r="AA856" i="18"/>
  <c r="AA105" i="18"/>
  <c r="AA415" i="18"/>
  <c r="AA712" i="18"/>
  <c r="AA226" i="18"/>
  <c r="AA59" i="18"/>
  <c r="AA619" i="18"/>
  <c r="AA789" i="18"/>
  <c r="AA133" i="18"/>
  <c r="AA849" i="18"/>
  <c r="AA183" i="18"/>
  <c r="AA629" i="18"/>
  <c r="AA837" i="18"/>
  <c r="AA749" i="18"/>
  <c r="AA894" i="18"/>
  <c r="AA747" i="18"/>
  <c r="AA127" i="18"/>
  <c r="AA663" i="18"/>
  <c r="AA600" i="18"/>
  <c r="AA678" i="18"/>
  <c r="AA385" i="18"/>
  <c r="AA892" i="18"/>
  <c r="AA270" i="18"/>
  <c r="AA862" i="18"/>
  <c r="AA469" i="18"/>
  <c r="AA34" i="18"/>
  <c r="AA540" i="18"/>
  <c r="AA995" i="18"/>
  <c r="AA716" i="18"/>
  <c r="AA114" i="18"/>
  <c r="AA539" i="18"/>
  <c r="AA769" i="18"/>
  <c r="AA556" i="18"/>
  <c r="AA55" i="18"/>
  <c r="AA502" i="18"/>
  <c r="AA981" i="18"/>
  <c r="AA335" i="18"/>
  <c r="AA793" i="18"/>
  <c r="AA717" i="18"/>
  <c r="AA1001" i="18"/>
  <c r="AA279" i="18"/>
  <c r="AA157" i="18"/>
  <c r="AA722" i="18"/>
  <c r="AA347" i="18"/>
  <c r="AA144" i="18"/>
  <c r="AA84" i="18"/>
  <c r="AA752" i="18"/>
  <c r="AA78" i="18"/>
  <c r="AA377" i="18"/>
  <c r="AA17" i="18"/>
  <c r="AA305" i="18"/>
  <c r="AA406" i="18"/>
  <c r="AA314" i="18"/>
  <c r="AA333" i="18"/>
  <c r="AA153" i="18"/>
  <c r="AA610" i="18"/>
  <c r="AA462" i="18"/>
  <c r="AA217" i="18"/>
  <c r="AA683" i="18"/>
  <c r="AA686" i="18"/>
  <c r="AA130" i="18"/>
  <c r="AA832" i="18"/>
  <c r="AA204" i="18"/>
  <c r="AA236" i="18"/>
  <c r="AA919" i="18"/>
  <c r="AA812" i="18"/>
  <c r="AA577" i="18"/>
  <c r="AA241" i="18"/>
  <c r="AA988" i="18"/>
  <c r="AA508" i="18"/>
  <c r="AA838" i="18"/>
  <c r="AA555" i="18"/>
  <c r="AA626" i="18"/>
  <c r="AA116" i="18"/>
  <c r="AA855" i="18"/>
  <c r="AA418" i="18"/>
  <c r="AA33" i="18"/>
  <c r="AA630" i="18"/>
  <c r="AA510" i="18"/>
  <c r="AA489" i="18"/>
  <c r="AA337" i="18"/>
  <c r="AA359" i="18"/>
  <c r="AA545" i="18"/>
  <c r="AA532" i="18"/>
  <c r="AA81" i="18"/>
  <c r="AA35" i="18"/>
  <c r="AA235" i="18"/>
  <c r="AA745" i="18"/>
  <c r="AA51" i="18"/>
  <c r="AA517" i="18"/>
  <c r="AA61" i="18"/>
  <c r="AA464" i="18"/>
  <c r="AA991" i="18"/>
  <c r="AA971" i="18"/>
  <c r="AA134" i="18"/>
  <c r="AA943" i="18"/>
  <c r="AA162" i="18"/>
  <c r="AA147" i="18"/>
  <c r="AA738" i="18"/>
  <c r="AA413" i="18"/>
  <c r="AA322" i="18"/>
  <c r="AA725" i="18"/>
  <c r="AA424" i="18"/>
  <c r="AA69" i="18"/>
  <c r="AA964" i="18"/>
  <c r="AA146" i="18"/>
  <c r="AA944" i="18"/>
  <c r="AA326" i="18"/>
  <c r="AA906" i="18"/>
  <c r="AA792" i="18"/>
  <c r="AA403" i="18"/>
  <c r="AA284" i="18"/>
  <c r="AA3" i="18"/>
  <c r="AA934" i="18"/>
  <c r="AA466" i="18"/>
  <c r="AA890" i="18"/>
  <c r="AA343" i="18"/>
  <c r="AA580" i="18"/>
  <c r="AA767" i="18"/>
  <c r="AA653" i="18"/>
  <c r="AA80" i="18"/>
  <c r="AA111" i="18"/>
  <c r="AA445" i="18"/>
  <c r="AA951" i="18"/>
  <c r="AA776" i="18"/>
  <c r="AA67" i="18"/>
  <c r="AA706" i="18"/>
  <c r="AA233" i="18"/>
  <c r="AA735" i="18"/>
  <c r="AA710" i="18"/>
  <c r="AA14" i="18"/>
  <c r="AA623" i="18"/>
  <c r="AA740" i="18"/>
  <c r="AA392" i="18"/>
  <c r="AA10" i="18"/>
  <c r="AA875" i="18"/>
  <c r="AA97" i="18"/>
  <c r="AA819" i="18"/>
  <c r="AA699" i="18"/>
  <c r="AA910" i="18"/>
  <c r="AA294" i="18"/>
  <c r="AA541" i="18"/>
  <c r="AA883" i="18"/>
  <c r="AA341" i="18"/>
  <c r="AA590" i="18"/>
  <c r="AA609" i="18"/>
  <c r="AA985" i="18"/>
  <c r="AA164" i="18"/>
  <c r="AA787" i="18"/>
  <c r="AA39" i="18"/>
  <c r="AA570" i="18"/>
  <c r="AA836" i="18"/>
  <c r="AA264" i="18"/>
  <c r="AA54" i="18"/>
  <c r="AA329" i="18"/>
  <c r="AA864" i="18"/>
  <c r="AA711" i="18"/>
  <c r="AA108" i="18"/>
  <c r="AA463" i="18"/>
  <c r="AA495" i="18"/>
  <c r="AA544" i="18"/>
  <c r="AA132" i="18"/>
  <c r="AA933" i="18"/>
  <c r="AA842" i="18"/>
  <c r="AA351" i="18"/>
  <c r="AA458" i="18"/>
  <c r="AA992" i="18"/>
  <c r="AA107" i="18"/>
  <c r="AA755" i="18"/>
  <c r="AA209" i="18"/>
  <c r="AA434" i="18"/>
  <c r="AA388" i="18"/>
  <c r="AA987" i="18"/>
  <c r="AA295" i="18"/>
  <c r="AA109" i="18"/>
  <c r="AA743" i="18"/>
  <c r="AA685" i="18"/>
  <c r="AA901" i="18"/>
  <c r="AA238" i="18"/>
  <c r="AA826" i="18"/>
  <c r="AA798" i="18"/>
  <c r="AA405" i="18"/>
  <c r="AA695" i="18"/>
  <c r="AA707" i="18"/>
  <c r="AA764" i="18"/>
  <c r="AA211" i="18"/>
  <c r="AA158" i="18"/>
  <c r="AA946" i="18"/>
  <c r="AA497" i="18"/>
  <c r="AA551" i="18"/>
  <c r="AA632" i="18"/>
  <c r="AA904" i="18"/>
  <c r="AA612" i="18"/>
  <c r="AA117" i="18"/>
  <c r="AA650" i="18"/>
  <c r="AA310" i="18"/>
  <c r="AA870" i="18"/>
  <c r="AA156" i="18"/>
  <c r="AA422" i="18"/>
  <c r="AA179" i="18"/>
  <c r="AA148" i="18"/>
  <c r="AA911" i="18"/>
  <c r="AA357" i="18"/>
  <c r="AA232" i="18"/>
  <c r="AA259" i="18"/>
  <c r="AA680" i="18"/>
  <c r="AA22" i="18"/>
  <c r="AA782" i="18"/>
  <c r="AA913" i="18"/>
  <c r="AA576" i="18"/>
  <c r="AA895" i="18"/>
  <c r="AA480" i="18"/>
  <c r="AA93" i="18"/>
  <c r="AA182" i="18"/>
  <c r="AA355" i="18"/>
  <c r="AA475" i="18"/>
  <c r="AA254" i="18"/>
  <c r="AA945" i="18"/>
  <c r="AA853" i="18"/>
  <c r="AA454" i="18"/>
  <c r="AA479" i="18"/>
  <c r="AA927" i="18"/>
  <c r="AA459" i="18"/>
  <c r="AA634" i="18"/>
  <c r="AA536" i="18"/>
  <c r="AA482" i="18"/>
  <c r="AA244" i="18"/>
  <c r="AA947" i="18"/>
  <c r="AA228" i="18"/>
  <c r="AA48" i="18"/>
  <c r="AA379" i="18"/>
  <c r="AA202" i="18"/>
  <c r="AA753" i="18"/>
  <c r="AA420" i="18"/>
  <c r="AA957" i="18"/>
  <c r="AA691" i="18"/>
  <c r="AA873" i="18"/>
  <c r="AA522" i="18"/>
  <c r="AA408" i="18"/>
  <c r="AA594" i="18"/>
  <c r="AA682" i="18"/>
  <c r="AA222" i="18"/>
  <c r="AA43" i="18"/>
  <c r="AA4" i="18"/>
  <c r="AA500" i="18"/>
  <c r="AA350" i="18"/>
  <c r="AA938" i="18"/>
  <c r="AA177" i="18"/>
  <c r="AA599" i="18"/>
  <c r="AA245" i="18"/>
  <c r="AA553" i="18"/>
  <c r="AA621" i="18"/>
  <c r="AA647" i="18"/>
  <c r="AA941" i="18"/>
  <c r="AA528" i="18"/>
  <c r="AA850" i="18"/>
  <c r="AA564" i="18"/>
  <c r="AA963" i="18"/>
  <c r="AA318" i="18"/>
  <c r="AA915" i="18"/>
  <c r="AA300" i="18"/>
  <c r="AA426" i="18"/>
  <c r="AA896" i="18"/>
  <c r="AA671" i="18"/>
  <c r="AA775" i="18"/>
  <c r="AA128" i="18"/>
  <c r="AA795" i="18"/>
  <c r="AA278" i="18"/>
  <c r="AA687" i="18"/>
  <c r="AA87" i="18"/>
  <c r="AA214" i="18"/>
  <c r="AA733" i="18"/>
  <c r="AA338" i="18"/>
  <c r="AA206" i="18"/>
  <c r="AA384" i="18"/>
  <c r="AA866" i="18"/>
  <c r="AA863" i="18"/>
  <c r="AA561" i="18"/>
  <c r="AA192" i="18"/>
  <c r="AA754" i="18"/>
  <c r="AA395" i="18"/>
  <c r="AA950" i="18"/>
  <c r="AA806" i="18"/>
  <c r="AA37" i="18"/>
  <c r="AA902" i="18"/>
  <c r="AA47" i="18"/>
  <c r="AA262" i="18"/>
  <c r="AA527" i="18"/>
  <c r="AA562" i="18"/>
  <c r="AA285" i="18"/>
  <c r="AA88" i="18"/>
  <c r="AA720" i="18"/>
  <c r="AA669" i="18"/>
  <c r="AA983" i="18"/>
  <c r="AA165" i="18"/>
  <c r="AA783" i="18"/>
  <c r="AA511" i="18"/>
  <c r="AA397" i="18"/>
  <c r="AA394" i="18"/>
  <c r="AA727" i="18"/>
  <c r="AA948" i="18"/>
  <c r="AA759" i="18"/>
  <c r="AA728" i="18"/>
  <c r="AA726" i="18"/>
  <c r="AA467" i="18"/>
  <c r="AA796" i="18"/>
  <c r="AA381" i="18"/>
  <c r="AA681" i="18"/>
  <c r="AA161" i="18"/>
  <c r="AA921" i="18"/>
  <c r="AA491" i="18"/>
  <c r="AA64" i="18"/>
  <c r="AA697" i="18"/>
  <c r="AA579" i="18"/>
  <c r="AA840" i="18"/>
  <c r="AA557" i="18"/>
  <c r="AA833" i="18"/>
  <c r="AA656" i="18"/>
  <c r="AA163" i="18"/>
  <c r="AA393" i="18"/>
  <c r="AA71" i="18"/>
  <c r="AA72" i="18"/>
  <c r="AA835" i="18"/>
  <c r="AA737" i="18"/>
  <c r="AA212" i="18"/>
  <c r="AA252" i="18"/>
  <c r="AA516" i="18"/>
  <c r="AA974" i="18"/>
  <c r="AA925" i="18"/>
  <c r="AA328" i="18"/>
  <c r="AA94" i="18"/>
  <c r="AA658" i="18"/>
  <c r="AA325" i="18"/>
  <c r="AA859" i="18"/>
  <c r="AA774" i="18"/>
  <c r="AA818" i="18"/>
  <c r="AA461" i="18"/>
  <c r="AA996" i="18"/>
  <c r="AA353" i="18"/>
  <c r="AA608" i="18"/>
  <c r="AA368" i="18"/>
  <c r="AA255" i="18"/>
  <c r="AA907" i="18"/>
  <c r="AA920" i="18"/>
  <c r="AA438" i="18"/>
  <c r="AA138" i="18"/>
  <c r="AA880" i="18"/>
  <c r="AA808" i="18"/>
  <c r="AA724" i="18"/>
  <c r="AA207" i="18"/>
  <c r="AA780" i="18"/>
  <c r="AA639" i="18"/>
  <c r="AA822" i="18"/>
  <c r="AA513" i="18"/>
  <c r="AA665" i="18"/>
  <c r="AA449" i="18"/>
  <c r="AA402" i="18"/>
  <c r="AA101" i="18"/>
  <c r="AA122" i="18"/>
  <c r="AA990" i="18"/>
  <c r="AA867" i="18"/>
  <c r="AA90" i="18"/>
  <c r="AA823" i="18"/>
  <c r="AA382" i="18"/>
  <c r="AA474" i="18"/>
  <c r="AA167" i="18"/>
  <c r="AA460" i="18"/>
  <c r="AA912" i="18"/>
  <c r="AA136" i="18"/>
  <c r="AA273" i="18"/>
  <c r="AA824" i="18"/>
  <c r="AA593" i="18"/>
  <c r="AA886" i="18"/>
  <c r="AA5" i="18"/>
  <c r="AA142" i="18"/>
  <c r="AA595" i="18"/>
  <c r="AA547" i="18"/>
  <c r="AA688" i="18"/>
  <c r="AA145" i="18"/>
  <c r="AA437" i="18"/>
  <c r="AA654" i="18"/>
  <c r="AA102" i="18"/>
  <c r="AA441" i="18"/>
  <c r="AA99" i="18"/>
  <c r="AA224" i="18"/>
  <c r="AA336" i="18"/>
  <c r="AA361" i="18"/>
  <c r="AA18" i="18"/>
  <c r="AA521" i="18"/>
  <c r="AA277" i="18"/>
  <c r="AA370" i="18"/>
  <c r="AA414" i="18"/>
  <c r="AA662" i="18"/>
  <c r="AA170" i="18"/>
  <c r="AA942" i="18"/>
  <c r="AA644" i="18"/>
  <c r="AA154" i="18"/>
  <c r="AA240" i="18"/>
  <c r="AA412" i="18"/>
  <c r="AA734" i="18"/>
  <c r="AA261" i="18"/>
  <c r="AA366" i="18"/>
  <c r="AA498" i="18"/>
  <c r="AA807" i="18"/>
  <c r="AA124" i="18"/>
  <c r="AA506" i="18"/>
  <c r="AA75" i="18"/>
  <c r="AA984" i="18"/>
  <c r="AA583" i="18"/>
  <c r="AA760" i="18"/>
  <c r="AA931" i="18"/>
  <c r="AA478" i="18"/>
  <c r="AA692" i="18"/>
  <c r="AA452" i="18"/>
  <c r="AA554" i="18"/>
  <c r="AA961" i="18"/>
  <c r="AA887" i="18"/>
  <c r="AA596" i="18"/>
  <c r="AA123" i="18"/>
  <c r="AA168" i="18"/>
  <c r="AA451" i="18"/>
  <c r="AA923" i="18"/>
  <c r="AA173" i="18"/>
  <c r="AA13" i="18"/>
  <c r="AA484" i="18"/>
  <c r="AA74" i="18"/>
  <c r="AA41" i="18"/>
  <c r="AA592" i="18"/>
  <c r="AA201" i="18"/>
  <c r="AA505" i="18"/>
  <c r="AA799" i="18"/>
  <c r="AA758" i="18"/>
  <c r="AA805" i="18"/>
  <c r="AA960" i="18"/>
  <c r="AA526" i="18"/>
  <c r="AA597" i="18"/>
  <c r="AA888" i="18"/>
  <c r="AA936" i="18"/>
  <c r="AA28" i="18"/>
  <c r="AA956" i="18"/>
  <c r="AA76" i="18"/>
  <c r="AA199" i="18"/>
  <c r="AA98" i="18"/>
  <c r="AA664" i="18"/>
  <c r="AA667" i="18"/>
  <c r="AA723" i="18"/>
  <c r="AA756" i="18"/>
  <c r="AA172" i="18"/>
  <c r="AA312" i="18"/>
  <c r="AA732" i="18"/>
  <c r="AA967" i="18"/>
  <c r="AA195" i="18"/>
  <c r="AA736" i="18"/>
  <c r="AA574" i="18"/>
  <c r="AA125" i="18"/>
  <c r="AA865" i="18"/>
  <c r="AA171" i="18"/>
  <c r="AA196" i="18"/>
  <c r="AA65" i="18"/>
  <c r="AA483" i="18"/>
  <c r="AA12" i="18"/>
  <c r="AA648" i="18"/>
  <c r="AA939" i="18"/>
  <c r="AA821" i="18"/>
  <c r="AA601" i="18"/>
  <c r="AA520" i="18"/>
  <c r="AA131" i="18"/>
  <c r="AA178" i="18"/>
  <c r="AA739" i="18"/>
  <c r="AA997" i="18"/>
  <c r="AA435" i="18"/>
  <c r="AA292" i="18"/>
  <c r="AA661" i="18"/>
  <c r="AA100" i="18"/>
  <c r="AA239" i="18"/>
  <c r="AA672" i="18"/>
  <c r="AA999" i="18"/>
  <c r="AA113" i="18"/>
  <c r="AA159" i="18"/>
  <c r="AA200" i="18"/>
  <c r="AA834" i="18"/>
  <c r="AA617" i="18"/>
  <c r="AA324" i="18"/>
  <c r="AA404" i="18"/>
  <c r="AA219" i="18"/>
  <c r="AA980" i="18"/>
  <c r="AA272" i="18"/>
  <c r="AA702" i="18"/>
  <c r="AA809" i="18"/>
  <c r="AA390" i="18"/>
  <c r="AA868" i="18"/>
  <c r="AA120" i="18"/>
  <c r="AA1000" i="18"/>
  <c r="AA126" i="18"/>
  <c r="AA969" i="18"/>
  <c r="AA103" i="18"/>
  <c r="AA761" i="18"/>
  <c r="AA152" i="18"/>
  <c r="AA524" i="18"/>
  <c r="AA918" i="18"/>
  <c r="AA917" i="18"/>
  <c r="AA151" i="18"/>
  <c r="AA548" i="18"/>
  <c r="AA62" i="18"/>
  <c r="AA106" i="18"/>
  <c r="AA673" i="18"/>
  <c r="AA36" i="18"/>
  <c r="AA989" i="18"/>
  <c r="AA271" i="18"/>
  <c r="AA288" i="18"/>
  <c r="AA383" i="18"/>
  <c r="AA221" i="18"/>
  <c r="AA935" i="18"/>
  <c r="AA955" i="18"/>
  <c r="AA602" i="18"/>
  <c r="AA249" i="18"/>
  <c r="AA319" i="18"/>
  <c r="AA266" i="18"/>
  <c r="AA365" i="18"/>
  <c r="AA869" i="18"/>
  <c r="AA267" i="18"/>
  <c r="AA60" i="18"/>
  <c r="AA83" i="18"/>
  <c r="AA843" i="18"/>
  <c r="AA465" i="18"/>
  <c r="AA50" i="18"/>
  <c r="AA624" i="18"/>
  <c r="AA26" i="18"/>
  <c r="AA169" i="18"/>
  <c r="AA830" i="18"/>
  <c r="AA427" i="18"/>
  <c r="AA851" i="18"/>
  <c r="AA708" i="18"/>
  <c r="AA242" i="18"/>
  <c r="R700" i="18"/>
  <c r="R804" i="18"/>
  <c r="R92" i="18"/>
  <c r="R874" i="18"/>
  <c r="R225" i="18"/>
  <c r="R666" i="18"/>
  <c r="R274" i="18"/>
  <c r="R549" i="18"/>
  <c r="AA129" i="18"/>
  <c r="AA762" i="18"/>
  <c r="AA2" i="18"/>
  <c r="AA690" i="18"/>
  <c r="AA470" i="18"/>
  <c r="AA689" i="18"/>
  <c r="AA110" i="18"/>
  <c r="AA42" i="18"/>
  <c r="AA670" i="18"/>
  <c r="AA190" i="18"/>
  <c r="AA89" i="18"/>
  <c r="AA490" i="18"/>
  <c r="AA529" i="18"/>
  <c r="R972" i="18"/>
  <c r="R535" i="18"/>
  <c r="R882" i="18"/>
  <c r="R852" i="18"/>
  <c r="R975" i="18"/>
  <c r="R709" i="18"/>
  <c r="R800" i="18"/>
  <c r="R311" i="18"/>
  <c r="R922" i="18"/>
  <c r="R330" i="18"/>
  <c r="R718" i="18"/>
  <c r="R757" i="18"/>
  <c r="R571" i="18"/>
  <c r="R979" i="18"/>
  <c r="R63" i="18"/>
  <c r="AA9" i="18"/>
  <c r="AA30" i="18"/>
  <c r="AA530" i="18"/>
  <c r="AA362" i="18"/>
  <c r="AA550" i="18"/>
  <c r="AA802" i="18"/>
  <c r="AA82" i="18"/>
  <c r="AA949" i="18"/>
  <c r="AA622" i="18"/>
  <c r="AA569" i="18"/>
  <c r="AA229" i="18"/>
  <c r="R503" i="18"/>
  <c r="R11" i="18"/>
  <c r="R425" i="18"/>
  <c r="R442" i="18"/>
  <c r="R820" i="18"/>
  <c r="R900" i="18"/>
  <c r="R315" i="18"/>
  <c r="R281" i="18"/>
  <c r="R631" i="18"/>
  <c r="R477" i="18"/>
  <c r="R898" i="18"/>
  <c r="R546" i="18"/>
  <c r="R119" i="18"/>
  <c r="R17" i="18"/>
  <c r="R829" i="18"/>
  <c r="V892" i="18"/>
  <c r="X892" i="18" s="1"/>
  <c r="V766" i="18"/>
  <c r="X766" i="18" s="1"/>
  <c r="V610" i="18"/>
  <c r="X610" i="18" s="1"/>
  <c r="V586" i="18"/>
  <c r="X586" i="18" s="1"/>
  <c r="V166" i="18"/>
  <c r="X166" i="18" s="1"/>
  <c r="V860" i="18"/>
  <c r="X860" i="18" s="1"/>
  <c r="V674" i="18"/>
  <c r="X674" i="18" s="1"/>
  <c r="V844" i="18"/>
  <c r="X844" i="18" s="1"/>
  <c r="V258" i="18"/>
  <c r="X258" i="18" s="1"/>
  <c r="V91" i="18"/>
  <c r="X91" i="18" s="1"/>
  <c r="V813" i="18"/>
  <c r="X813" i="18" s="1"/>
  <c r="V995" i="18"/>
  <c r="X995" i="18" s="1"/>
  <c r="V965" i="18"/>
  <c r="X965" i="18" s="1"/>
  <c r="V455" i="18"/>
  <c r="X455" i="18" s="1"/>
  <c r="V114" i="18"/>
  <c r="X114" i="18" s="1"/>
  <c r="V204" i="18"/>
  <c r="X204" i="18" s="1"/>
  <c r="V769" i="18"/>
  <c r="X769" i="18" s="1"/>
  <c r="V919" i="18"/>
  <c r="X919" i="18" s="1"/>
  <c r="V582" i="18"/>
  <c r="X582" i="18" s="1"/>
  <c r="V803" i="18"/>
  <c r="X803" i="18" s="1"/>
  <c r="V501" i="18"/>
  <c r="X501" i="18" s="1"/>
  <c r="V502" i="18"/>
  <c r="X502" i="18" s="1"/>
  <c r="V149" i="18"/>
  <c r="X149" i="18" s="1"/>
  <c r="V335" i="18"/>
  <c r="X335" i="18" s="1"/>
  <c r="V432" i="18"/>
  <c r="X432" i="18" s="1"/>
  <c r="V811" i="18"/>
  <c r="X811" i="18" s="1"/>
  <c r="V717" i="18"/>
  <c r="X717" i="18" s="1"/>
  <c r="V226" i="18"/>
  <c r="X226" i="18" s="1"/>
  <c r="V773" i="18"/>
  <c r="X773" i="18" s="1"/>
  <c r="V279" i="18"/>
  <c r="X279" i="18" s="1"/>
  <c r="V619" i="18"/>
  <c r="X619" i="18" s="1"/>
  <c r="V566" i="18"/>
  <c r="X566" i="18" s="1"/>
  <c r="V411" i="18"/>
  <c r="X411" i="18" s="1"/>
  <c r="V347" i="18"/>
  <c r="X347" i="18" s="1"/>
  <c r="V849" i="18"/>
  <c r="X849" i="18" s="1"/>
  <c r="V841" i="18"/>
  <c r="X841" i="18" s="1"/>
  <c r="V348" i="18"/>
  <c r="X348" i="18" s="1"/>
  <c r="R359" i="18"/>
  <c r="R600" i="18"/>
  <c r="R678" i="18"/>
  <c r="V968" i="18"/>
  <c r="X968" i="18" s="1"/>
  <c r="V698" i="18"/>
  <c r="X698" i="18" s="1"/>
  <c r="V939" i="18"/>
  <c r="X939" i="18" s="1"/>
  <c r="V807" i="18"/>
  <c r="X807" i="18" s="1"/>
  <c r="V506" i="18"/>
  <c r="X506" i="18" s="1"/>
  <c r="V160" i="18"/>
  <c r="X160" i="18" s="1"/>
  <c r="V168" i="18"/>
  <c r="X168" i="18" s="1"/>
  <c r="V268" i="18"/>
  <c r="X268" i="18" s="1"/>
  <c r="V760" i="18"/>
  <c r="X760" i="18" s="1"/>
  <c r="V741" i="18"/>
  <c r="X741" i="18" s="1"/>
  <c r="V689" i="18"/>
  <c r="X689" i="18" s="1"/>
  <c r="V46" i="18"/>
  <c r="X46" i="18" s="1"/>
  <c r="V1001" i="18"/>
  <c r="X1001" i="18" s="1"/>
  <c r="V981" i="18"/>
  <c r="X981" i="18" s="1"/>
  <c r="V961" i="18"/>
  <c r="X961" i="18" s="1"/>
  <c r="V941" i="18"/>
  <c r="X941" i="18" s="1"/>
  <c r="V921" i="18"/>
  <c r="X921" i="18" s="1"/>
  <c r="V901" i="18"/>
  <c r="X901" i="18" s="1"/>
  <c r="V881" i="18"/>
  <c r="X881" i="18" s="1"/>
  <c r="V861" i="18"/>
  <c r="X861" i="18" s="1"/>
  <c r="V821" i="18"/>
  <c r="X821" i="18" s="1"/>
  <c r="V801" i="18"/>
  <c r="X801" i="18" s="1"/>
  <c r="V781" i="18"/>
  <c r="X781" i="18" s="1"/>
  <c r="V761" i="18"/>
  <c r="X761" i="18" s="1"/>
  <c r="V721" i="18"/>
  <c r="X721" i="18" s="1"/>
  <c r="V701" i="18"/>
  <c r="X701" i="18" s="1"/>
  <c r="V681" i="18"/>
  <c r="X681" i="18" s="1"/>
  <c r="V661" i="18"/>
  <c r="X661" i="18" s="1"/>
  <c r="V641" i="18"/>
  <c r="X641" i="18" s="1"/>
  <c r="V621" i="18"/>
  <c r="X621" i="18" s="1"/>
  <c r="V601" i="18"/>
  <c r="X601" i="18" s="1"/>
  <c r="V581" i="18"/>
  <c r="X581" i="18" s="1"/>
  <c r="V561" i="18"/>
  <c r="X561" i="18" s="1"/>
  <c r="V541" i="18"/>
  <c r="X541" i="18" s="1"/>
  <c r="V521" i="18"/>
  <c r="X521" i="18" s="1"/>
  <c r="V481" i="18"/>
  <c r="X481" i="18" s="1"/>
  <c r="V461" i="18"/>
  <c r="X461" i="18" s="1"/>
  <c r="V441" i="18"/>
  <c r="X441" i="18" s="1"/>
  <c r="V421" i="18"/>
  <c r="X421" i="18" s="1"/>
  <c r="V401" i="18"/>
  <c r="X401" i="18" s="1"/>
  <c r="V381" i="18"/>
  <c r="X381" i="18" s="1"/>
  <c r="V361" i="18"/>
  <c r="X361" i="18" s="1"/>
  <c r="V341" i="18"/>
  <c r="X341" i="18" s="1"/>
  <c r="V321" i="18"/>
  <c r="X321" i="18" s="1"/>
  <c r="V301" i="18"/>
  <c r="X301" i="18" s="1"/>
  <c r="V281" i="18"/>
  <c r="X281" i="18" s="1"/>
  <c r="V261" i="18"/>
  <c r="X261" i="18" s="1"/>
  <c r="V241" i="18"/>
  <c r="X241" i="18" s="1"/>
  <c r="V221" i="18"/>
  <c r="X221" i="18" s="1"/>
  <c r="V201" i="18"/>
  <c r="X201" i="18" s="1"/>
  <c r="V181" i="18"/>
  <c r="X181" i="18" s="1"/>
  <c r="V161" i="18"/>
  <c r="X161" i="18" s="1"/>
  <c r="V141" i="18"/>
  <c r="X141" i="18" s="1"/>
  <c r="V121" i="18"/>
  <c r="X121" i="18" s="1"/>
  <c r="V101" i="18"/>
  <c r="X101" i="18" s="1"/>
  <c r="V81" i="18"/>
  <c r="X81" i="18" s="1"/>
  <c r="V61" i="18"/>
  <c r="X61" i="18" s="1"/>
  <c r="V41" i="18"/>
  <c r="X41" i="18" s="1"/>
  <c r="V21" i="18"/>
  <c r="X21" i="18" s="1"/>
  <c r="V1000" i="18"/>
  <c r="X1000" i="18" s="1"/>
  <c r="V980" i="18"/>
  <c r="X980" i="18" s="1"/>
  <c r="V960" i="18"/>
  <c r="X960" i="18" s="1"/>
  <c r="V940" i="18"/>
  <c r="X940" i="18" s="1"/>
  <c r="V920" i="18"/>
  <c r="X920" i="18" s="1"/>
  <c r="V900" i="18"/>
  <c r="X900" i="18" s="1"/>
  <c r="V880" i="18"/>
  <c r="X880" i="18" s="1"/>
  <c r="V840" i="18"/>
  <c r="X840" i="18" s="1"/>
  <c r="V820" i="18"/>
  <c r="X820" i="18" s="1"/>
  <c r="V800" i="18"/>
  <c r="X800" i="18" s="1"/>
  <c r="V780" i="18"/>
  <c r="X780" i="18" s="1"/>
  <c r="V740" i="18"/>
  <c r="X740" i="18" s="1"/>
  <c r="V720" i="18"/>
  <c r="X720" i="18" s="1"/>
  <c r="V700" i="18"/>
  <c r="X700" i="18" s="1"/>
  <c r="V680" i="18"/>
  <c r="X680" i="18" s="1"/>
  <c r="V660" i="18"/>
  <c r="X660" i="18" s="1"/>
  <c r="V640" i="18"/>
  <c r="X640" i="18" s="1"/>
  <c r="V620" i="18"/>
  <c r="X620" i="18" s="1"/>
  <c r="V600" i="18"/>
  <c r="X600" i="18" s="1"/>
  <c r="V580" i="18"/>
  <c r="X580" i="18" s="1"/>
  <c r="V560" i="18"/>
  <c r="X560" i="18" s="1"/>
  <c r="V540" i="18"/>
  <c r="X540" i="18" s="1"/>
  <c r="V520" i="18"/>
  <c r="X520" i="18" s="1"/>
  <c r="V500" i="18"/>
  <c r="X500" i="18" s="1"/>
  <c r="V480" i="18"/>
  <c r="X480" i="18" s="1"/>
  <c r="V460" i="18"/>
  <c r="X460" i="18" s="1"/>
  <c r="V440" i="18"/>
  <c r="X440" i="18" s="1"/>
  <c r="V420" i="18"/>
  <c r="X420" i="18" s="1"/>
  <c r="V400" i="18"/>
  <c r="X400" i="18" s="1"/>
  <c r="V380" i="18"/>
  <c r="X380" i="18" s="1"/>
  <c r="V360" i="18"/>
  <c r="X360" i="18" s="1"/>
  <c r="V340" i="18"/>
  <c r="X340" i="18" s="1"/>
  <c r="V320" i="18"/>
  <c r="X320" i="18" s="1"/>
  <c r="V300" i="18"/>
  <c r="X300" i="18" s="1"/>
  <c r="V280" i="18"/>
  <c r="X280" i="18" s="1"/>
  <c r="V260" i="18"/>
  <c r="X260" i="18" s="1"/>
  <c r="V240" i="18"/>
  <c r="X240" i="18" s="1"/>
  <c r="V220" i="18"/>
  <c r="X220" i="18" s="1"/>
  <c r="V200" i="18"/>
  <c r="X200" i="18" s="1"/>
  <c r="V180" i="18"/>
  <c r="X180" i="18" s="1"/>
  <c r="V140" i="18"/>
  <c r="X140" i="18" s="1"/>
  <c r="V120" i="18"/>
  <c r="X120" i="18" s="1"/>
  <c r="V100" i="18"/>
  <c r="X100" i="18" s="1"/>
  <c r="V80" i="18"/>
  <c r="X80" i="18" s="1"/>
  <c r="V60" i="18"/>
  <c r="X60" i="18" s="1"/>
  <c r="V40" i="18"/>
  <c r="X40" i="18" s="1"/>
  <c r="V20" i="18"/>
  <c r="X20" i="18" s="1"/>
  <c r="V999" i="18"/>
  <c r="X999" i="18" s="1"/>
  <c r="V979" i="18"/>
  <c r="X979" i="18" s="1"/>
  <c r="V959" i="18"/>
  <c r="X959" i="18" s="1"/>
  <c r="V899" i="18"/>
  <c r="X899" i="18" s="1"/>
  <c r="V879" i="18"/>
  <c r="X879" i="18" s="1"/>
  <c r="V859" i="18"/>
  <c r="X859" i="18" s="1"/>
  <c r="V839" i="18"/>
  <c r="X839" i="18" s="1"/>
  <c r="V819" i="18"/>
  <c r="X819" i="18" s="1"/>
  <c r="V799" i="18"/>
  <c r="X799" i="18" s="1"/>
  <c r="V779" i="18"/>
  <c r="X779" i="18" s="1"/>
  <c r="V759" i="18"/>
  <c r="X759" i="18" s="1"/>
  <c r="V739" i="18"/>
  <c r="X739" i="18" s="1"/>
  <c r="V719" i="18"/>
  <c r="X719" i="18" s="1"/>
  <c r="V699" i="18"/>
  <c r="X699" i="18" s="1"/>
  <c r="V679" i="18"/>
  <c r="X679" i="18" s="1"/>
  <c r="V659" i="18"/>
  <c r="X659" i="18" s="1"/>
  <c r="V639" i="18"/>
  <c r="X639" i="18" s="1"/>
  <c r="V599" i="18"/>
  <c r="X599" i="18" s="1"/>
  <c r="V579" i="18"/>
  <c r="X579" i="18" s="1"/>
  <c r="V559" i="18"/>
  <c r="X559" i="18" s="1"/>
  <c r="V539" i="18"/>
  <c r="X539" i="18" s="1"/>
  <c r="V519" i="18"/>
  <c r="X519" i="18" s="1"/>
  <c r="V499" i="18"/>
  <c r="X499" i="18" s="1"/>
  <c r="V479" i="18"/>
  <c r="X479" i="18" s="1"/>
  <c r="V459" i="18"/>
  <c r="X459" i="18" s="1"/>
  <c r="V439" i="18"/>
  <c r="X439" i="18" s="1"/>
  <c r="V419" i="18"/>
  <c r="X419" i="18" s="1"/>
  <c r="V399" i="18"/>
  <c r="X399" i="18" s="1"/>
  <c r="V379" i="18"/>
  <c r="X379" i="18" s="1"/>
  <c r="V359" i="18"/>
  <c r="X359" i="18" s="1"/>
  <c r="V339" i="18"/>
  <c r="X339" i="18" s="1"/>
  <c r="V319" i="18"/>
  <c r="X319" i="18" s="1"/>
  <c r="V299" i="18"/>
  <c r="X299" i="18" s="1"/>
  <c r="V259" i="18"/>
  <c r="X259" i="18" s="1"/>
  <c r="V239" i="18"/>
  <c r="X239" i="18" s="1"/>
  <c r="V219" i="18"/>
  <c r="X219" i="18" s="1"/>
  <c r="V199" i="18"/>
  <c r="X199" i="18" s="1"/>
  <c r="V179" i="18"/>
  <c r="X179" i="18" s="1"/>
  <c r="V159" i="18"/>
  <c r="X159" i="18" s="1"/>
  <c r="V139" i="18"/>
  <c r="X139" i="18" s="1"/>
  <c r="V119" i="18"/>
  <c r="X119" i="18" s="1"/>
  <c r="V99" i="18"/>
  <c r="X99" i="18" s="1"/>
  <c r="V79" i="18"/>
  <c r="X79" i="18" s="1"/>
  <c r="V59" i="18"/>
  <c r="X59" i="18" s="1"/>
  <c r="V39" i="18"/>
  <c r="X39" i="18" s="1"/>
  <c r="V19" i="18"/>
  <c r="X19" i="18" s="1"/>
  <c r="V998" i="18"/>
  <c r="X998" i="18" s="1"/>
  <c r="V978" i="18"/>
  <c r="X978" i="18" s="1"/>
  <c r="V958" i="18"/>
  <c r="X958" i="18" s="1"/>
  <c r="V938" i="18"/>
  <c r="X938" i="18" s="1"/>
  <c r="V918" i="18"/>
  <c r="X918" i="18" s="1"/>
  <c r="V898" i="18"/>
  <c r="X898" i="18" s="1"/>
  <c r="V878" i="18"/>
  <c r="X878" i="18" s="1"/>
  <c r="V858" i="18"/>
  <c r="X858" i="18" s="1"/>
  <c r="V838" i="18"/>
  <c r="X838" i="18" s="1"/>
  <c r="V818" i="18"/>
  <c r="X818" i="18" s="1"/>
  <c r="V798" i="18"/>
  <c r="X798" i="18" s="1"/>
  <c r="V778" i="18"/>
  <c r="X778" i="18" s="1"/>
  <c r="V758" i="18"/>
  <c r="X758" i="18" s="1"/>
  <c r="V738" i="18"/>
  <c r="X738" i="18" s="1"/>
  <c r="V718" i="18"/>
  <c r="X718" i="18" s="1"/>
  <c r="V678" i="18"/>
  <c r="X678" i="18" s="1"/>
  <c r="V658" i="18"/>
  <c r="X658" i="18" s="1"/>
  <c r="V638" i="18"/>
  <c r="X638" i="18" s="1"/>
  <c r="V618" i="18"/>
  <c r="X618" i="18" s="1"/>
  <c r="V598" i="18"/>
  <c r="X598" i="18" s="1"/>
  <c r="V578" i="18"/>
  <c r="X578" i="18" s="1"/>
  <c r="V558" i="18"/>
  <c r="X558" i="18" s="1"/>
  <c r="V538" i="18"/>
  <c r="X538" i="18" s="1"/>
  <c r="V518" i="18"/>
  <c r="X518" i="18" s="1"/>
  <c r="V498" i="18"/>
  <c r="X498" i="18" s="1"/>
  <c r="V478" i="18"/>
  <c r="X478" i="18" s="1"/>
  <c r="V458" i="18"/>
  <c r="X458" i="18" s="1"/>
  <c r="V438" i="18"/>
  <c r="X438" i="18" s="1"/>
  <c r="V418" i="18"/>
  <c r="X418" i="18" s="1"/>
  <c r="V398" i="18"/>
  <c r="X398" i="18" s="1"/>
  <c r="V378" i="18"/>
  <c r="X378" i="18" s="1"/>
  <c r="V358" i="18"/>
  <c r="X358" i="18" s="1"/>
  <c r="V338" i="18"/>
  <c r="X338" i="18" s="1"/>
  <c r="V318" i="18"/>
  <c r="X318" i="18" s="1"/>
  <c r="V298" i="18"/>
  <c r="X298" i="18" s="1"/>
  <c r="V278" i="18"/>
  <c r="X278" i="18" s="1"/>
  <c r="V238" i="18"/>
  <c r="X238" i="18" s="1"/>
  <c r="V218" i="18"/>
  <c r="X218" i="18" s="1"/>
  <c r="V198" i="18"/>
  <c r="X198" i="18" s="1"/>
  <c r="V178" i="18"/>
  <c r="X178" i="18" s="1"/>
  <c r="V158" i="18"/>
  <c r="X158" i="18" s="1"/>
  <c r="V138" i="18"/>
  <c r="X138" i="18" s="1"/>
  <c r="V118" i="18"/>
  <c r="X118" i="18" s="1"/>
  <c r="V98" i="18"/>
  <c r="X98" i="18" s="1"/>
  <c r="V78" i="18"/>
  <c r="X78" i="18" s="1"/>
  <c r="V58" i="18"/>
  <c r="X58" i="18" s="1"/>
  <c r="V38" i="18"/>
  <c r="X38" i="18" s="1"/>
  <c r="V18" i="18"/>
  <c r="X18" i="18" s="1"/>
  <c r="V997" i="18"/>
  <c r="X997" i="18" s="1"/>
  <c r="V977" i="18"/>
  <c r="X977" i="18" s="1"/>
  <c r="V957" i="18"/>
  <c r="X957" i="18" s="1"/>
  <c r="V937" i="18"/>
  <c r="X937" i="18" s="1"/>
  <c r="V917" i="18"/>
  <c r="X917" i="18" s="1"/>
  <c r="V897" i="18"/>
  <c r="X897" i="18" s="1"/>
  <c r="V877" i="18"/>
  <c r="X877" i="18" s="1"/>
  <c r="V857" i="18"/>
  <c r="X857" i="18" s="1"/>
  <c r="V837" i="18"/>
  <c r="X837" i="18" s="1"/>
  <c r="V817" i="18"/>
  <c r="X817" i="18" s="1"/>
  <c r="V797" i="18"/>
  <c r="X797" i="18" s="1"/>
  <c r="V777" i="18"/>
  <c r="X777" i="18" s="1"/>
  <c r="V757" i="18"/>
  <c r="X757" i="18" s="1"/>
  <c r="V737" i="18"/>
  <c r="X737" i="18" s="1"/>
  <c r="V697" i="18"/>
  <c r="X697" i="18" s="1"/>
  <c r="V677" i="18"/>
  <c r="X677" i="18" s="1"/>
  <c r="V657" i="18"/>
  <c r="X657" i="18" s="1"/>
  <c r="V637" i="18"/>
  <c r="X637" i="18" s="1"/>
  <c r="V617" i="18"/>
  <c r="X617" i="18" s="1"/>
  <c r="V597" i="18"/>
  <c r="X597" i="18" s="1"/>
  <c r="V577" i="18"/>
  <c r="X577" i="18" s="1"/>
  <c r="V557" i="18"/>
  <c r="X557" i="18" s="1"/>
  <c r="V537" i="18"/>
  <c r="X537" i="18" s="1"/>
  <c r="V517" i="18"/>
  <c r="X517" i="18" s="1"/>
  <c r="V497" i="18"/>
  <c r="X497" i="18" s="1"/>
  <c r="V477" i="18"/>
  <c r="X477" i="18" s="1"/>
  <c r="V457" i="18"/>
  <c r="X457" i="18" s="1"/>
  <c r="V437" i="18"/>
  <c r="X437" i="18" s="1"/>
  <c r="V417" i="18"/>
  <c r="X417" i="18" s="1"/>
  <c r="V397" i="18"/>
  <c r="X397" i="18" s="1"/>
  <c r="V377" i="18"/>
  <c r="X377" i="18" s="1"/>
  <c r="V357" i="18"/>
  <c r="X357" i="18" s="1"/>
  <c r="V337" i="18"/>
  <c r="X337" i="18" s="1"/>
  <c r="V317" i="18"/>
  <c r="X317" i="18" s="1"/>
  <c r="V297" i="18"/>
  <c r="X297" i="18" s="1"/>
  <c r="V277" i="18"/>
  <c r="X277" i="18" s="1"/>
  <c r="V257" i="18"/>
  <c r="X257" i="18" s="1"/>
  <c r="V237" i="18"/>
  <c r="X237" i="18" s="1"/>
  <c r="V217" i="18"/>
  <c r="X217" i="18" s="1"/>
  <c r="V197" i="18"/>
  <c r="X197" i="18" s="1"/>
  <c r="V177" i="18"/>
  <c r="X177" i="18" s="1"/>
  <c r="V157" i="18"/>
  <c r="X157" i="18" s="1"/>
  <c r="V137" i="18"/>
  <c r="X137" i="18" s="1"/>
  <c r="V117" i="18"/>
  <c r="X117" i="18" s="1"/>
  <c r="V97" i="18"/>
  <c r="X97" i="18" s="1"/>
  <c r="V77" i="18"/>
  <c r="X77" i="18" s="1"/>
  <c r="V57" i="18"/>
  <c r="X57" i="18" s="1"/>
  <c r="V37" i="18"/>
  <c r="X37" i="18" s="1"/>
  <c r="V17" i="18"/>
  <c r="X17" i="18" s="1"/>
  <c r="V996" i="18"/>
  <c r="X996" i="18" s="1"/>
  <c r="V976" i="18"/>
  <c r="X976" i="18" s="1"/>
  <c r="V956" i="18"/>
  <c r="X956" i="18" s="1"/>
  <c r="V936" i="18"/>
  <c r="X936" i="18" s="1"/>
  <c r="V916" i="18"/>
  <c r="X916" i="18" s="1"/>
  <c r="V896" i="18"/>
  <c r="X896" i="18" s="1"/>
  <c r="V876" i="18"/>
  <c r="X876" i="18" s="1"/>
  <c r="V856" i="18"/>
  <c r="X856" i="18" s="1"/>
  <c r="V836" i="18"/>
  <c r="X836" i="18" s="1"/>
  <c r="V816" i="18"/>
  <c r="X816" i="18" s="1"/>
  <c r="V796" i="18"/>
  <c r="X796" i="18" s="1"/>
  <c r="V776" i="18"/>
  <c r="X776" i="18" s="1"/>
  <c r="V756" i="18"/>
  <c r="X756" i="18" s="1"/>
  <c r="V736" i="18"/>
  <c r="X736" i="18" s="1"/>
  <c r="V716" i="18"/>
  <c r="X716" i="18" s="1"/>
  <c r="V696" i="18"/>
  <c r="X696" i="18" s="1"/>
  <c r="V676" i="18"/>
  <c r="X676" i="18" s="1"/>
  <c r="V656" i="18"/>
  <c r="X656" i="18" s="1"/>
  <c r="V636" i="18"/>
  <c r="X636" i="18" s="1"/>
  <c r="V616" i="18"/>
  <c r="X616" i="18" s="1"/>
  <c r="V596" i="18"/>
  <c r="X596" i="18" s="1"/>
  <c r="V576" i="18"/>
  <c r="X576" i="18" s="1"/>
  <c r="V556" i="18"/>
  <c r="X556" i="18" s="1"/>
  <c r="V536" i="18"/>
  <c r="X536" i="18" s="1"/>
  <c r="V516" i="18"/>
  <c r="X516" i="18" s="1"/>
  <c r="V496" i="18"/>
  <c r="X496" i="18" s="1"/>
  <c r="V476" i="18"/>
  <c r="X476" i="18" s="1"/>
  <c r="V456" i="18"/>
  <c r="X456" i="18" s="1"/>
  <c r="V436" i="18"/>
  <c r="X436" i="18" s="1"/>
  <c r="V416" i="18"/>
  <c r="X416" i="18" s="1"/>
  <c r="V396" i="18"/>
  <c r="X396" i="18" s="1"/>
  <c r="V376" i="18"/>
  <c r="X376" i="18" s="1"/>
  <c r="V356" i="18"/>
  <c r="X356" i="18" s="1"/>
  <c r="V336" i="18"/>
  <c r="X336" i="18" s="1"/>
  <c r="V316" i="18"/>
  <c r="X316" i="18" s="1"/>
  <c r="V296" i="18"/>
  <c r="X296" i="18" s="1"/>
  <c r="V276" i="18"/>
  <c r="X276" i="18" s="1"/>
  <c r="V256" i="18"/>
  <c r="X256" i="18" s="1"/>
  <c r="V236" i="18"/>
  <c r="X236" i="18" s="1"/>
  <c r="V216" i="18"/>
  <c r="X216" i="18" s="1"/>
  <c r="V196" i="18"/>
  <c r="X196" i="18" s="1"/>
  <c r="V176" i="18"/>
  <c r="X176" i="18" s="1"/>
  <c r="V156" i="18"/>
  <c r="X156" i="18" s="1"/>
  <c r="V136" i="18"/>
  <c r="X136" i="18" s="1"/>
  <c r="V116" i="18"/>
  <c r="X116" i="18" s="1"/>
  <c r="V96" i="18"/>
  <c r="X96" i="18" s="1"/>
  <c r="V76" i="18"/>
  <c r="X76" i="18" s="1"/>
  <c r="V56" i="18"/>
  <c r="X56" i="18" s="1"/>
  <c r="V36" i="18"/>
  <c r="X36" i="18" s="1"/>
  <c r="V16" i="18"/>
  <c r="X16" i="18" s="1"/>
  <c r="V975" i="18"/>
  <c r="X975" i="18" s="1"/>
  <c r="V955" i="18"/>
  <c r="X955" i="18" s="1"/>
  <c r="V935" i="18"/>
  <c r="X935" i="18" s="1"/>
  <c r="V915" i="18"/>
  <c r="X915" i="18" s="1"/>
  <c r="V895" i="18"/>
  <c r="X895" i="18" s="1"/>
  <c r="V875" i="18"/>
  <c r="X875" i="18" s="1"/>
  <c r="V855" i="18"/>
  <c r="X855" i="18" s="1"/>
  <c r="V835" i="18"/>
  <c r="X835" i="18" s="1"/>
  <c r="V815" i="18"/>
  <c r="X815" i="18" s="1"/>
  <c r="V795" i="18"/>
  <c r="X795" i="18" s="1"/>
  <c r="V775" i="18"/>
  <c r="X775" i="18" s="1"/>
  <c r="V755" i="18"/>
  <c r="X755" i="18" s="1"/>
  <c r="V735" i="18"/>
  <c r="X735" i="18" s="1"/>
  <c r="V715" i="18"/>
  <c r="X715" i="18" s="1"/>
  <c r="V695" i="18"/>
  <c r="X695" i="18" s="1"/>
  <c r="V675" i="18"/>
  <c r="X675" i="18" s="1"/>
  <c r="V655" i="18"/>
  <c r="X655" i="18" s="1"/>
  <c r="V635" i="18"/>
  <c r="X635" i="18" s="1"/>
  <c r="V615" i="18"/>
  <c r="X615" i="18" s="1"/>
  <c r="V595" i="18"/>
  <c r="X595" i="18" s="1"/>
  <c r="V575" i="18"/>
  <c r="X575" i="18" s="1"/>
  <c r="V555" i="18"/>
  <c r="X555" i="18" s="1"/>
  <c r="V535" i="18"/>
  <c r="X535" i="18" s="1"/>
  <c r="V515" i="18"/>
  <c r="X515" i="18" s="1"/>
  <c r="V495" i="18"/>
  <c r="X495" i="18" s="1"/>
  <c r="V475" i="18"/>
  <c r="X475" i="18" s="1"/>
  <c r="V435" i="18"/>
  <c r="X435" i="18" s="1"/>
  <c r="V415" i="18"/>
  <c r="X415" i="18" s="1"/>
  <c r="V395" i="18"/>
  <c r="X395" i="18" s="1"/>
  <c r="V375" i="18"/>
  <c r="X375" i="18" s="1"/>
  <c r="V355" i="18"/>
  <c r="X355" i="18" s="1"/>
  <c r="V315" i="18"/>
  <c r="X315" i="18" s="1"/>
  <c r="V295" i="18"/>
  <c r="X295" i="18" s="1"/>
  <c r="V275" i="18"/>
  <c r="X275" i="18" s="1"/>
  <c r="V255" i="18"/>
  <c r="X255" i="18" s="1"/>
  <c r="V235" i="18"/>
  <c r="X235" i="18" s="1"/>
  <c r="V215" i="18"/>
  <c r="X215" i="18" s="1"/>
  <c r="V195" i="18"/>
  <c r="X195" i="18" s="1"/>
  <c r="V175" i="18"/>
  <c r="X175" i="18" s="1"/>
  <c r="V155" i="18"/>
  <c r="X155" i="18" s="1"/>
  <c r="V135" i="18"/>
  <c r="X135" i="18" s="1"/>
  <c r="V115" i="18"/>
  <c r="X115" i="18" s="1"/>
  <c r="V95" i="18"/>
  <c r="X95" i="18" s="1"/>
  <c r="V75" i="18"/>
  <c r="X75" i="18" s="1"/>
  <c r="V55" i="18"/>
  <c r="X55" i="18" s="1"/>
  <c r="V35" i="18"/>
  <c r="X35" i="18" s="1"/>
  <c r="V15" i="18"/>
  <c r="X15" i="18" s="1"/>
  <c r="V994" i="18"/>
  <c r="X994" i="18" s="1"/>
  <c r="V974" i="18"/>
  <c r="X974" i="18" s="1"/>
  <c r="V954" i="18"/>
  <c r="X954" i="18" s="1"/>
  <c r="V934" i="18"/>
  <c r="X934" i="18" s="1"/>
  <c r="V914" i="18"/>
  <c r="X914" i="18" s="1"/>
  <c r="V894" i="18"/>
  <c r="X894" i="18" s="1"/>
  <c r="V874" i="18"/>
  <c r="X874" i="18" s="1"/>
  <c r="V854" i="18"/>
  <c r="X854" i="18" s="1"/>
  <c r="V834" i="18"/>
  <c r="X834" i="18" s="1"/>
  <c r="V814" i="18"/>
  <c r="X814" i="18" s="1"/>
  <c r="V794" i="18"/>
  <c r="X794" i="18" s="1"/>
  <c r="V774" i="18"/>
  <c r="X774" i="18" s="1"/>
  <c r="V754" i="18"/>
  <c r="X754" i="18" s="1"/>
  <c r="V734" i="18"/>
  <c r="X734" i="18" s="1"/>
  <c r="V714" i="18"/>
  <c r="X714" i="18" s="1"/>
  <c r="V694" i="18"/>
  <c r="X694" i="18" s="1"/>
  <c r="V654" i="18"/>
  <c r="X654" i="18" s="1"/>
  <c r="V634" i="18"/>
  <c r="X634" i="18" s="1"/>
  <c r="V614" i="18"/>
  <c r="X614" i="18" s="1"/>
  <c r="V594" i="18"/>
  <c r="X594" i="18" s="1"/>
  <c r="V574" i="18"/>
  <c r="X574" i="18" s="1"/>
  <c r="V554" i="18"/>
  <c r="X554" i="18" s="1"/>
  <c r="V534" i="18"/>
  <c r="X534" i="18" s="1"/>
  <c r="V514" i="18"/>
  <c r="X514" i="18" s="1"/>
  <c r="V494" i="18"/>
  <c r="X494" i="18" s="1"/>
  <c r="V474" i="18"/>
  <c r="X474" i="18" s="1"/>
  <c r="V454" i="18"/>
  <c r="X454" i="18" s="1"/>
  <c r="V434" i="18"/>
  <c r="X434" i="18" s="1"/>
  <c r="V414" i="18"/>
  <c r="X414" i="18" s="1"/>
  <c r="V394" i="18"/>
  <c r="X394" i="18" s="1"/>
  <c r="V374" i="18"/>
  <c r="X374" i="18" s="1"/>
  <c r="V354" i="18"/>
  <c r="X354" i="18" s="1"/>
  <c r="V334" i="18"/>
  <c r="X334" i="18" s="1"/>
  <c r="V314" i="18"/>
  <c r="X314" i="18" s="1"/>
  <c r="V294" i="18"/>
  <c r="X294" i="18" s="1"/>
  <c r="V274" i="18"/>
  <c r="X274" i="18" s="1"/>
  <c r="V254" i="18"/>
  <c r="X254" i="18" s="1"/>
  <c r="V234" i="18"/>
  <c r="X234" i="18" s="1"/>
  <c r="V214" i="18"/>
  <c r="X214" i="18" s="1"/>
  <c r="V194" i="18"/>
  <c r="X194" i="18" s="1"/>
  <c r="V174" i="18"/>
  <c r="X174" i="18" s="1"/>
  <c r="V154" i="18"/>
  <c r="X154" i="18" s="1"/>
  <c r="V134" i="18"/>
  <c r="X134" i="18" s="1"/>
  <c r="V94" i="18"/>
  <c r="X94" i="18" s="1"/>
  <c r="V74" i="18"/>
  <c r="X74" i="18" s="1"/>
  <c r="V54" i="18"/>
  <c r="X54" i="18" s="1"/>
  <c r="V34" i="18"/>
  <c r="X34" i="18" s="1"/>
  <c r="V14" i="18"/>
  <c r="X14" i="18" s="1"/>
  <c r="V993" i="18"/>
  <c r="X993" i="18" s="1"/>
  <c r="V973" i="18"/>
  <c r="X973" i="18" s="1"/>
  <c r="V953" i="18"/>
  <c r="X953" i="18" s="1"/>
  <c r="V933" i="18"/>
  <c r="X933" i="18" s="1"/>
  <c r="V913" i="18"/>
  <c r="X913" i="18" s="1"/>
  <c r="V893" i="18"/>
  <c r="X893" i="18" s="1"/>
  <c r="V873" i="18"/>
  <c r="X873" i="18" s="1"/>
  <c r="V853" i="18"/>
  <c r="X853" i="18" s="1"/>
  <c r="V833" i="18"/>
  <c r="X833" i="18" s="1"/>
  <c r="V793" i="18"/>
  <c r="X793" i="18" s="1"/>
  <c r="V753" i="18"/>
  <c r="X753" i="18" s="1"/>
  <c r="V733" i="18"/>
  <c r="X733" i="18" s="1"/>
  <c r="V713" i="18"/>
  <c r="X713" i="18" s="1"/>
  <c r="V693" i="18"/>
  <c r="X693" i="18" s="1"/>
  <c r="V673" i="18"/>
  <c r="X673" i="18" s="1"/>
  <c r="V653" i="18"/>
  <c r="X653" i="18" s="1"/>
  <c r="V633" i="18"/>
  <c r="X633" i="18" s="1"/>
  <c r="V613" i="18"/>
  <c r="X613" i="18" s="1"/>
  <c r="V593" i="18"/>
  <c r="X593" i="18" s="1"/>
  <c r="V573" i="18"/>
  <c r="X573" i="18" s="1"/>
  <c r="V553" i="18"/>
  <c r="X553" i="18" s="1"/>
  <c r="V533" i="18"/>
  <c r="X533" i="18" s="1"/>
  <c r="V513" i="18"/>
  <c r="X513" i="18" s="1"/>
  <c r="V493" i="18"/>
  <c r="X493" i="18" s="1"/>
  <c r="V473" i="18"/>
  <c r="X473" i="18" s="1"/>
  <c r="V453" i="18"/>
  <c r="X453" i="18" s="1"/>
  <c r="V433" i="18"/>
  <c r="X433" i="18" s="1"/>
  <c r="V413" i="18"/>
  <c r="X413" i="18" s="1"/>
  <c r="V393" i="18"/>
  <c r="X393" i="18" s="1"/>
  <c r="V373" i="18"/>
  <c r="X373" i="18" s="1"/>
  <c r="V353" i="18"/>
  <c r="X353" i="18" s="1"/>
  <c r="V333" i="18"/>
  <c r="X333" i="18" s="1"/>
  <c r="V313" i="18"/>
  <c r="X313" i="18" s="1"/>
  <c r="V293" i="18"/>
  <c r="X293" i="18" s="1"/>
  <c r="V273" i="18"/>
  <c r="X273" i="18" s="1"/>
  <c r="V253" i="18"/>
  <c r="X253" i="18" s="1"/>
  <c r="V233" i="18"/>
  <c r="X233" i="18" s="1"/>
  <c r="V213" i="18"/>
  <c r="X213" i="18" s="1"/>
  <c r="V193" i="18"/>
  <c r="X193" i="18" s="1"/>
  <c r="V173" i="18"/>
  <c r="X173" i="18" s="1"/>
  <c r="V153" i="18"/>
  <c r="X153" i="18" s="1"/>
  <c r="V133" i="18"/>
  <c r="X133" i="18" s="1"/>
  <c r="V113" i="18"/>
  <c r="X113" i="18" s="1"/>
  <c r="V93" i="18"/>
  <c r="X93" i="18" s="1"/>
  <c r="V73" i="18"/>
  <c r="X73" i="18" s="1"/>
  <c r="V53" i="18"/>
  <c r="X53" i="18" s="1"/>
  <c r="V33" i="18"/>
  <c r="X33" i="18" s="1"/>
  <c r="V13" i="18"/>
  <c r="X13" i="18" s="1"/>
  <c r="V992" i="18"/>
  <c r="X992" i="18" s="1"/>
  <c r="V972" i="18"/>
  <c r="X972" i="18" s="1"/>
  <c r="V952" i="18"/>
  <c r="X952" i="18" s="1"/>
  <c r="V932" i="18"/>
  <c r="X932" i="18" s="1"/>
  <c r="V912" i="18"/>
  <c r="X912" i="18" s="1"/>
  <c r="V872" i="18"/>
  <c r="X872" i="18" s="1"/>
  <c r="V852" i="18"/>
  <c r="X852" i="18" s="1"/>
  <c r="V832" i="18"/>
  <c r="X832" i="18" s="1"/>
  <c r="V812" i="18"/>
  <c r="X812" i="18" s="1"/>
  <c r="V792" i="18"/>
  <c r="X792" i="18" s="1"/>
  <c r="V772" i="18"/>
  <c r="X772" i="18" s="1"/>
  <c r="V752" i="18"/>
  <c r="X752" i="18" s="1"/>
  <c r="V732" i="18"/>
  <c r="X732" i="18" s="1"/>
  <c r="V712" i="18"/>
  <c r="X712" i="18" s="1"/>
  <c r="V692" i="18"/>
  <c r="X692" i="18" s="1"/>
  <c r="V672" i="18"/>
  <c r="X672" i="18" s="1"/>
  <c r="V652" i="18"/>
  <c r="X652" i="18" s="1"/>
  <c r="V632" i="18"/>
  <c r="X632" i="18" s="1"/>
  <c r="V612" i="18"/>
  <c r="X612" i="18" s="1"/>
  <c r="V592" i="18"/>
  <c r="X592" i="18" s="1"/>
  <c r="V572" i="18"/>
  <c r="X572" i="18" s="1"/>
  <c r="V552" i="18"/>
  <c r="X552" i="18" s="1"/>
  <c r="V532" i="18"/>
  <c r="X532" i="18" s="1"/>
  <c r="V512" i="18"/>
  <c r="X512" i="18" s="1"/>
  <c r="V492" i="18"/>
  <c r="X492" i="18" s="1"/>
  <c r="V472" i="18"/>
  <c r="X472" i="18" s="1"/>
  <c r="V452" i="18"/>
  <c r="X452" i="18" s="1"/>
  <c r="V412" i="18"/>
  <c r="X412" i="18" s="1"/>
  <c r="V392" i="18"/>
  <c r="X392" i="18" s="1"/>
  <c r="V372" i="18"/>
  <c r="X372" i="18" s="1"/>
  <c r="V352" i="18"/>
  <c r="X352" i="18" s="1"/>
  <c r="V332" i="18"/>
  <c r="X332" i="18" s="1"/>
  <c r="V312" i="18"/>
  <c r="X312" i="18" s="1"/>
  <c r="V292" i="18"/>
  <c r="X292" i="18" s="1"/>
  <c r="V272" i="18"/>
  <c r="X272" i="18" s="1"/>
  <c r="V252" i="18"/>
  <c r="X252" i="18" s="1"/>
  <c r="V232" i="18"/>
  <c r="X232" i="18" s="1"/>
  <c r="V212" i="18"/>
  <c r="X212" i="18" s="1"/>
  <c r="V192" i="18"/>
  <c r="X192" i="18" s="1"/>
  <c r="V172" i="18"/>
  <c r="X172" i="18" s="1"/>
  <c r="V152" i="18"/>
  <c r="X152" i="18" s="1"/>
  <c r="V132" i="18"/>
  <c r="X132" i="18" s="1"/>
  <c r="V112" i="18"/>
  <c r="X112" i="18" s="1"/>
  <c r="V92" i="18"/>
  <c r="X92" i="18" s="1"/>
  <c r="V72" i="18"/>
  <c r="X72" i="18" s="1"/>
  <c r="V52" i="18"/>
  <c r="X52" i="18" s="1"/>
  <c r="V32" i="18"/>
  <c r="X32" i="18" s="1"/>
  <c r="V12" i="18"/>
  <c r="X12" i="18" s="1"/>
  <c r="V991" i="18"/>
  <c r="X991" i="18" s="1"/>
  <c r="V971" i="18"/>
  <c r="X971" i="18" s="1"/>
  <c r="V951" i="18"/>
  <c r="X951" i="18" s="1"/>
  <c r="V931" i="18"/>
  <c r="X931" i="18" s="1"/>
  <c r="V911" i="18"/>
  <c r="X911" i="18" s="1"/>
  <c r="V891" i="18"/>
  <c r="X891" i="18" s="1"/>
  <c r="V871" i="18"/>
  <c r="X871" i="18" s="1"/>
  <c r="V851" i="18"/>
  <c r="X851" i="18" s="1"/>
  <c r="V831" i="18"/>
  <c r="X831" i="18" s="1"/>
  <c r="V791" i="18"/>
  <c r="X791" i="18" s="1"/>
  <c r="V771" i="18"/>
  <c r="X771" i="18" s="1"/>
  <c r="V751" i="18"/>
  <c r="X751" i="18" s="1"/>
  <c r="V731" i="18"/>
  <c r="X731" i="18" s="1"/>
  <c r="V711" i="18"/>
  <c r="X711" i="18" s="1"/>
  <c r="V691" i="18"/>
  <c r="X691" i="18" s="1"/>
  <c r="V671" i="18"/>
  <c r="X671" i="18" s="1"/>
  <c r="V651" i="18"/>
  <c r="X651" i="18" s="1"/>
  <c r="V631" i="18"/>
  <c r="X631" i="18" s="1"/>
  <c r="V611" i="18"/>
  <c r="X611" i="18" s="1"/>
  <c r="V591" i="18"/>
  <c r="X591" i="18" s="1"/>
  <c r="V571" i="18"/>
  <c r="X571" i="18" s="1"/>
  <c r="V551" i="18"/>
  <c r="X551" i="18" s="1"/>
  <c r="V531" i="18"/>
  <c r="X531" i="18" s="1"/>
  <c r="V511" i="18"/>
  <c r="X511" i="18" s="1"/>
  <c r="V491" i="18"/>
  <c r="X491" i="18" s="1"/>
  <c r="V471" i="18"/>
  <c r="X471" i="18" s="1"/>
  <c r="V451" i="18"/>
  <c r="X451" i="18" s="1"/>
  <c r="V431" i="18"/>
  <c r="X431" i="18" s="1"/>
  <c r="V391" i="18"/>
  <c r="X391" i="18" s="1"/>
  <c r="V371" i="18"/>
  <c r="X371" i="18" s="1"/>
  <c r="V351" i="18"/>
  <c r="X351" i="18" s="1"/>
  <c r="V331" i="18"/>
  <c r="X331" i="18" s="1"/>
  <c r="V311" i="18"/>
  <c r="X311" i="18" s="1"/>
  <c r="V291" i="18"/>
  <c r="X291" i="18" s="1"/>
  <c r="V271" i="18"/>
  <c r="X271" i="18" s="1"/>
  <c r="V251" i="18"/>
  <c r="X251" i="18" s="1"/>
  <c r="V231" i="18"/>
  <c r="X231" i="18" s="1"/>
  <c r="V211" i="18"/>
  <c r="X211" i="18" s="1"/>
  <c r="V191" i="18"/>
  <c r="X191" i="18" s="1"/>
  <c r="V171" i="18"/>
  <c r="X171" i="18" s="1"/>
  <c r="V151" i="18"/>
  <c r="X151" i="18" s="1"/>
  <c r="V131" i="18"/>
  <c r="X131" i="18" s="1"/>
  <c r="V111" i="18"/>
  <c r="X111" i="18" s="1"/>
  <c r="V71" i="18"/>
  <c r="X71" i="18" s="1"/>
  <c r="V51" i="18"/>
  <c r="X51" i="18" s="1"/>
  <c r="V31" i="18"/>
  <c r="X31" i="18" s="1"/>
  <c r="V11" i="18"/>
  <c r="X11" i="18" s="1"/>
  <c r="V990" i="18"/>
  <c r="X990" i="18" s="1"/>
  <c r="V970" i="18"/>
  <c r="X970" i="18" s="1"/>
  <c r="V950" i="18"/>
  <c r="X950" i="18" s="1"/>
  <c r="V930" i="18"/>
  <c r="X930" i="18" s="1"/>
  <c r="V910" i="18"/>
  <c r="X910" i="18" s="1"/>
  <c r="V890" i="18"/>
  <c r="X890" i="18" s="1"/>
  <c r="V870" i="18"/>
  <c r="X870" i="18" s="1"/>
  <c r="V850" i="18"/>
  <c r="X850" i="18" s="1"/>
  <c r="V830" i="18"/>
  <c r="X830" i="18" s="1"/>
  <c r="V810" i="18"/>
  <c r="X810" i="18" s="1"/>
  <c r="V790" i="18"/>
  <c r="X790" i="18" s="1"/>
  <c r="V770" i="18"/>
  <c r="X770" i="18" s="1"/>
  <c r="V750" i="18"/>
  <c r="X750" i="18" s="1"/>
  <c r="V730" i="18"/>
  <c r="X730" i="18" s="1"/>
  <c r="V710" i="18"/>
  <c r="X710" i="18" s="1"/>
  <c r="V690" i="18"/>
  <c r="X690" i="18" s="1"/>
  <c r="V670" i="18"/>
  <c r="X670" i="18" s="1"/>
  <c r="V650" i="18"/>
  <c r="X650" i="18" s="1"/>
  <c r="V630" i="18"/>
  <c r="X630" i="18" s="1"/>
  <c r="V590" i="18"/>
  <c r="X590" i="18" s="1"/>
  <c r="V570" i="18"/>
  <c r="X570" i="18" s="1"/>
  <c r="V550" i="18"/>
  <c r="X550" i="18" s="1"/>
  <c r="V530" i="18"/>
  <c r="X530" i="18" s="1"/>
  <c r="V510" i="18"/>
  <c r="X510" i="18" s="1"/>
  <c r="V490" i="18"/>
  <c r="X490" i="18" s="1"/>
  <c r="V470" i="18"/>
  <c r="X470" i="18" s="1"/>
  <c r="V450" i="18"/>
  <c r="X450" i="18" s="1"/>
  <c r="V430" i="18"/>
  <c r="X430" i="18" s="1"/>
  <c r="V410" i="18"/>
  <c r="X410" i="18" s="1"/>
  <c r="V390" i="18"/>
  <c r="X390" i="18" s="1"/>
  <c r="V370" i="18"/>
  <c r="X370" i="18" s="1"/>
  <c r="V350" i="18"/>
  <c r="X350" i="18" s="1"/>
  <c r="V330" i="18"/>
  <c r="X330" i="18" s="1"/>
  <c r="V310" i="18"/>
  <c r="X310" i="18" s="1"/>
  <c r="V290" i="18"/>
  <c r="X290" i="18" s="1"/>
  <c r="V270" i="18"/>
  <c r="X270" i="18" s="1"/>
  <c r="V250" i="18"/>
  <c r="X250" i="18" s="1"/>
  <c r="V230" i="18"/>
  <c r="X230" i="18" s="1"/>
  <c r="V210" i="18"/>
  <c r="X210" i="18" s="1"/>
  <c r="V190" i="18"/>
  <c r="X190" i="18" s="1"/>
  <c r="V170" i="18"/>
  <c r="X170" i="18" s="1"/>
  <c r="V150" i="18"/>
  <c r="X150" i="18" s="1"/>
  <c r="V130" i="18"/>
  <c r="X130" i="18" s="1"/>
  <c r="V110" i="18"/>
  <c r="X110" i="18" s="1"/>
  <c r="V90" i="18"/>
  <c r="X90" i="18" s="1"/>
  <c r="V70" i="18"/>
  <c r="X70" i="18" s="1"/>
  <c r="V50" i="18"/>
  <c r="X50" i="18" s="1"/>
  <c r="V30" i="18"/>
  <c r="X30" i="18" s="1"/>
  <c r="V10" i="18"/>
  <c r="X10" i="18" s="1"/>
  <c r="V989" i="18"/>
  <c r="X989" i="18" s="1"/>
  <c r="V969" i="18"/>
  <c r="X969" i="18" s="1"/>
  <c r="V949" i="18"/>
  <c r="X949" i="18" s="1"/>
  <c r="V929" i="18"/>
  <c r="X929" i="18" s="1"/>
  <c r="V909" i="18"/>
  <c r="X909" i="18" s="1"/>
  <c r="V889" i="18"/>
  <c r="X889" i="18" s="1"/>
  <c r="V869" i="18"/>
  <c r="X869" i="18" s="1"/>
  <c r="V829" i="18"/>
  <c r="X829" i="18" s="1"/>
  <c r="V809" i="18"/>
  <c r="X809" i="18" s="1"/>
  <c r="V789" i="18"/>
  <c r="X789" i="18" s="1"/>
  <c r="V749" i="18"/>
  <c r="X749" i="18" s="1"/>
  <c r="V729" i="18"/>
  <c r="X729" i="18" s="1"/>
  <c r="V709" i="18"/>
  <c r="X709" i="18" s="1"/>
  <c r="V669" i="18"/>
  <c r="X669" i="18" s="1"/>
  <c r="V649" i="18"/>
  <c r="X649" i="18" s="1"/>
  <c r="V629" i="18"/>
  <c r="X629" i="18" s="1"/>
  <c r="V609" i="18"/>
  <c r="X609" i="18" s="1"/>
  <c r="V589" i="18"/>
  <c r="X589" i="18" s="1"/>
  <c r="V569" i="18"/>
  <c r="X569" i="18" s="1"/>
  <c r="V549" i="18"/>
  <c r="X549" i="18" s="1"/>
  <c r="V529" i="18"/>
  <c r="X529" i="18" s="1"/>
  <c r="V509" i="18"/>
  <c r="X509" i="18" s="1"/>
  <c r="V489" i="18"/>
  <c r="X489" i="18" s="1"/>
  <c r="V469" i="18"/>
  <c r="X469" i="18" s="1"/>
  <c r="V449" i="18"/>
  <c r="X449" i="18" s="1"/>
  <c r="V429" i="18"/>
  <c r="X429" i="18" s="1"/>
  <c r="V409" i="18"/>
  <c r="X409" i="18" s="1"/>
  <c r="V389" i="18"/>
  <c r="X389" i="18" s="1"/>
  <c r="V369" i="18"/>
  <c r="X369" i="18" s="1"/>
  <c r="V349" i="18"/>
  <c r="X349" i="18" s="1"/>
  <c r="V329" i="18"/>
  <c r="X329" i="18" s="1"/>
  <c r="V309" i="18"/>
  <c r="X309" i="18" s="1"/>
  <c r="V289" i="18"/>
  <c r="X289" i="18" s="1"/>
  <c r="V269" i="18"/>
  <c r="X269" i="18" s="1"/>
  <c r="V249" i="18"/>
  <c r="X249" i="18" s="1"/>
  <c r="V229" i="18"/>
  <c r="X229" i="18" s="1"/>
  <c r="V209" i="18"/>
  <c r="X209" i="18" s="1"/>
  <c r="V189" i="18"/>
  <c r="X189" i="18" s="1"/>
  <c r="V169" i="18"/>
  <c r="X169" i="18" s="1"/>
  <c r="V129" i="18"/>
  <c r="X129" i="18" s="1"/>
  <c r="V109" i="18"/>
  <c r="X109" i="18" s="1"/>
  <c r="V89" i="18"/>
  <c r="X89" i="18" s="1"/>
  <c r="V69" i="18"/>
  <c r="X69" i="18" s="1"/>
  <c r="V49" i="18"/>
  <c r="X49" i="18" s="1"/>
  <c r="V29" i="18"/>
  <c r="X29" i="18" s="1"/>
  <c r="V9" i="18"/>
  <c r="X9" i="18" s="1"/>
  <c r="V988" i="18"/>
  <c r="X988" i="18" s="1"/>
  <c r="V948" i="18"/>
  <c r="X948" i="18" s="1"/>
  <c r="V928" i="18"/>
  <c r="X928" i="18" s="1"/>
  <c r="V908" i="18"/>
  <c r="X908" i="18" s="1"/>
  <c r="V888" i="18"/>
  <c r="X888" i="18" s="1"/>
  <c r="V868" i="18"/>
  <c r="X868" i="18" s="1"/>
  <c r="V848" i="18"/>
  <c r="X848" i="18" s="1"/>
  <c r="V828" i="18"/>
  <c r="X828" i="18" s="1"/>
  <c r="V808" i="18"/>
  <c r="X808" i="18" s="1"/>
  <c r="V788" i="18"/>
  <c r="X788" i="18" s="1"/>
  <c r="V768" i="18"/>
  <c r="X768" i="18" s="1"/>
  <c r="V748" i="18"/>
  <c r="X748" i="18" s="1"/>
  <c r="V728" i="18"/>
  <c r="X728" i="18" s="1"/>
  <c r="V708" i="18"/>
  <c r="X708" i="18" s="1"/>
  <c r="V688" i="18"/>
  <c r="X688" i="18" s="1"/>
  <c r="V668" i="18"/>
  <c r="X668" i="18" s="1"/>
  <c r="V648" i="18"/>
  <c r="X648" i="18" s="1"/>
  <c r="V628" i="18"/>
  <c r="X628" i="18" s="1"/>
  <c r="V608" i="18"/>
  <c r="X608" i="18" s="1"/>
  <c r="V588" i="18"/>
  <c r="X588" i="18" s="1"/>
  <c r="V568" i="18"/>
  <c r="X568" i="18" s="1"/>
  <c r="V548" i="18"/>
  <c r="X548" i="18" s="1"/>
  <c r="V528" i="18"/>
  <c r="X528" i="18" s="1"/>
  <c r="V508" i="18"/>
  <c r="X508" i="18" s="1"/>
  <c r="V488" i="18"/>
  <c r="X488" i="18" s="1"/>
  <c r="V468" i="18"/>
  <c r="X468" i="18" s="1"/>
  <c r="V448" i="18"/>
  <c r="X448" i="18" s="1"/>
  <c r="V428" i="18"/>
  <c r="X428" i="18" s="1"/>
  <c r="V408" i="18"/>
  <c r="X408" i="18" s="1"/>
  <c r="V388" i="18"/>
  <c r="X388" i="18" s="1"/>
  <c r="V368" i="18"/>
  <c r="X368" i="18" s="1"/>
  <c r="V328" i="18"/>
  <c r="X328" i="18" s="1"/>
  <c r="V308" i="18"/>
  <c r="X308" i="18" s="1"/>
  <c r="V288" i="18"/>
  <c r="X288" i="18" s="1"/>
  <c r="V248" i="18"/>
  <c r="X248" i="18" s="1"/>
  <c r="V228" i="18"/>
  <c r="X228" i="18" s="1"/>
  <c r="V208" i="18"/>
  <c r="X208" i="18" s="1"/>
  <c r="V188" i="18"/>
  <c r="X188" i="18" s="1"/>
  <c r="V148" i="18"/>
  <c r="X148" i="18" s="1"/>
  <c r="V128" i="18"/>
  <c r="X128" i="18" s="1"/>
  <c r="V108" i="18"/>
  <c r="X108" i="18" s="1"/>
  <c r="V88" i="18"/>
  <c r="X88" i="18" s="1"/>
  <c r="V68" i="18"/>
  <c r="X68" i="18" s="1"/>
  <c r="V48" i="18"/>
  <c r="X48" i="18" s="1"/>
  <c r="V28" i="18"/>
  <c r="X28" i="18" s="1"/>
  <c r="V8" i="18"/>
  <c r="X8" i="18" s="1"/>
  <c r="V987" i="18"/>
  <c r="X987" i="18" s="1"/>
  <c r="V967" i="18"/>
  <c r="X967" i="18" s="1"/>
  <c r="V947" i="18"/>
  <c r="X947" i="18" s="1"/>
  <c r="V927" i="18"/>
  <c r="X927" i="18" s="1"/>
  <c r="V907" i="18"/>
  <c r="X907" i="18" s="1"/>
  <c r="V887" i="18"/>
  <c r="X887" i="18" s="1"/>
  <c r="V867" i="18"/>
  <c r="X867" i="18" s="1"/>
  <c r="V847" i="18"/>
  <c r="X847" i="18" s="1"/>
  <c r="V827" i="18"/>
  <c r="X827" i="18" s="1"/>
  <c r="V787" i="18"/>
  <c r="X787" i="18" s="1"/>
  <c r="V767" i="18"/>
  <c r="X767" i="18" s="1"/>
  <c r="V747" i="18"/>
  <c r="X747" i="18" s="1"/>
  <c r="V727" i="18"/>
  <c r="X727" i="18" s="1"/>
  <c r="V707" i="18"/>
  <c r="X707" i="18" s="1"/>
  <c r="V687" i="18"/>
  <c r="X687" i="18" s="1"/>
  <c r="V667" i="18"/>
  <c r="X667" i="18" s="1"/>
  <c r="V647" i="18"/>
  <c r="X647" i="18" s="1"/>
  <c r="V627" i="18"/>
  <c r="X627" i="18" s="1"/>
  <c r="V607" i="18"/>
  <c r="X607" i="18" s="1"/>
  <c r="V587" i="18"/>
  <c r="X587" i="18" s="1"/>
  <c r="V567" i="18"/>
  <c r="X567" i="18" s="1"/>
  <c r="V547" i="18"/>
  <c r="X547" i="18" s="1"/>
  <c r="V527" i="18"/>
  <c r="X527" i="18" s="1"/>
  <c r="V507" i="18"/>
  <c r="X507" i="18" s="1"/>
  <c r="V487" i="18"/>
  <c r="X487" i="18" s="1"/>
  <c r="V467" i="18"/>
  <c r="X467" i="18" s="1"/>
  <c r="V447" i="18"/>
  <c r="X447" i="18" s="1"/>
  <c r="V427" i="18"/>
  <c r="X427" i="18" s="1"/>
  <c r="V407" i="18"/>
  <c r="X407" i="18" s="1"/>
  <c r="V387" i="18"/>
  <c r="X387" i="18" s="1"/>
  <c r="V367" i="18"/>
  <c r="X367" i="18" s="1"/>
  <c r="V327" i="18"/>
  <c r="X327" i="18" s="1"/>
  <c r="V307" i="18"/>
  <c r="X307" i="18" s="1"/>
  <c r="V287" i="18"/>
  <c r="X287" i="18" s="1"/>
  <c r="V267" i="18"/>
  <c r="X267" i="18" s="1"/>
  <c r="V247" i="18"/>
  <c r="X247" i="18" s="1"/>
  <c r="V227" i="18"/>
  <c r="X227" i="18" s="1"/>
  <c r="V207" i="18"/>
  <c r="X207" i="18" s="1"/>
  <c r="V187" i="18"/>
  <c r="X187" i="18" s="1"/>
  <c r="V167" i="18"/>
  <c r="X167" i="18" s="1"/>
  <c r="V147" i="18"/>
  <c r="X147" i="18" s="1"/>
  <c r="V127" i="18"/>
  <c r="X127" i="18" s="1"/>
  <c r="V107" i="18"/>
  <c r="X107" i="18" s="1"/>
  <c r="V87" i="18"/>
  <c r="X87" i="18" s="1"/>
  <c r="V67" i="18"/>
  <c r="X67" i="18" s="1"/>
  <c r="V47" i="18"/>
  <c r="X47" i="18" s="1"/>
  <c r="V27" i="18"/>
  <c r="X27" i="18" s="1"/>
  <c r="V7" i="18"/>
  <c r="X7" i="18" s="1"/>
  <c r="V986" i="18"/>
  <c r="X986" i="18" s="1"/>
  <c r="V966" i="18"/>
  <c r="X966" i="18" s="1"/>
  <c r="V946" i="18"/>
  <c r="X946" i="18" s="1"/>
  <c r="V926" i="18"/>
  <c r="X926" i="18" s="1"/>
  <c r="V906" i="18"/>
  <c r="X906" i="18" s="1"/>
  <c r="V886" i="18"/>
  <c r="X886" i="18" s="1"/>
  <c r="V866" i="18"/>
  <c r="X866" i="18" s="1"/>
  <c r="V846" i="18"/>
  <c r="X846" i="18" s="1"/>
  <c r="V826" i="18"/>
  <c r="X826" i="18" s="1"/>
  <c r="V806" i="18"/>
  <c r="X806" i="18" s="1"/>
  <c r="V786" i="18"/>
  <c r="X786" i="18" s="1"/>
  <c r="V746" i="18"/>
  <c r="X746" i="18" s="1"/>
  <c r="V726" i="18"/>
  <c r="X726" i="18" s="1"/>
  <c r="V706" i="18"/>
  <c r="X706" i="18" s="1"/>
  <c r="V686" i="18"/>
  <c r="X686" i="18" s="1"/>
  <c r="V666" i="18"/>
  <c r="X666" i="18" s="1"/>
  <c r="V646" i="18"/>
  <c r="X646" i="18" s="1"/>
  <c r="V626" i="18"/>
  <c r="X626" i="18" s="1"/>
  <c r="V606" i="18"/>
  <c r="X606" i="18" s="1"/>
  <c r="V546" i="18"/>
  <c r="X546" i="18" s="1"/>
  <c r="V526" i="18"/>
  <c r="X526" i="18" s="1"/>
  <c r="V486" i="18"/>
  <c r="X486" i="18" s="1"/>
  <c r="V466" i="18"/>
  <c r="X466" i="18" s="1"/>
  <c r="V446" i="18"/>
  <c r="X446" i="18" s="1"/>
  <c r="V426" i="18"/>
  <c r="X426" i="18" s="1"/>
  <c r="V406" i="18"/>
  <c r="X406" i="18" s="1"/>
  <c r="V386" i="18"/>
  <c r="X386" i="18" s="1"/>
  <c r="V366" i="18"/>
  <c r="X366" i="18" s="1"/>
  <c r="V346" i="18"/>
  <c r="X346" i="18" s="1"/>
  <c r="V326" i="18"/>
  <c r="X326" i="18" s="1"/>
  <c r="V306" i="18"/>
  <c r="X306" i="18" s="1"/>
  <c r="V286" i="18"/>
  <c r="X286" i="18" s="1"/>
  <c r="V266" i="18"/>
  <c r="X266" i="18" s="1"/>
  <c r="V246" i="18"/>
  <c r="X246" i="18" s="1"/>
  <c r="V206" i="18"/>
  <c r="X206" i="18" s="1"/>
  <c r="V186" i="18"/>
  <c r="X186" i="18" s="1"/>
  <c r="V146" i="18"/>
  <c r="X146" i="18" s="1"/>
  <c r="V126" i="18"/>
  <c r="X126" i="18" s="1"/>
  <c r="V106" i="18"/>
  <c r="X106" i="18" s="1"/>
  <c r="V86" i="18"/>
  <c r="X86" i="18" s="1"/>
  <c r="V66" i="18"/>
  <c r="X66" i="18" s="1"/>
  <c r="V26" i="18"/>
  <c r="X26" i="18" s="1"/>
  <c r="V6" i="18"/>
  <c r="X6" i="18" s="1"/>
  <c r="R734" i="18"/>
  <c r="R807" i="18"/>
  <c r="R506" i="18"/>
  <c r="R75" i="18"/>
  <c r="R584" i="18"/>
  <c r="R160" i="18"/>
  <c r="R760" i="18"/>
  <c r="R554" i="18"/>
  <c r="R741" i="18"/>
  <c r="R530" i="18"/>
  <c r="R168" i="18"/>
  <c r="R923" i="18"/>
  <c r="R689" i="18"/>
  <c r="R810" i="18"/>
  <c r="R550" i="18"/>
  <c r="R930" i="18"/>
  <c r="R937" i="18"/>
  <c r="R968" i="18"/>
  <c r="R46" i="18"/>
  <c r="R956" i="18"/>
  <c r="R970" i="18"/>
  <c r="R268" i="18"/>
  <c r="R670" i="18"/>
  <c r="R723" i="18"/>
  <c r="R756" i="18"/>
  <c r="R857" i="18"/>
  <c r="R195" i="18"/>
  <c r="R140" i="18"/>
  <c r="R698" i="18"/>
  <c r="R352" i="18"/>
  <c r="R622" i="18"/>
  <c r="R196" i="18"/>
  <c r="R65" i="18"/>
  <c r="R939" i="18"/>
  <c r="V985" i="18"/>
  <c r="X985" i="18" s="1"/>
  <c r="V945" i="18"/>
  <c r="X945" i="18" s="1"/>
  <c r="V925" i="18"/>
  <c r="X925" i="18" s="1"/>
  <c r="V905" i="18"/>
  <c r="X905" i="18" s="1"/>
  <c r="V885" i="18"/>
  <c r="X885" i="18" s="1"/>
  <c r="V865" i="18"/>
  <c r="X865" i="18" s="1"/>
  <c r="V845" i="18"/>
  <c r="X845" i="18" s="1"/>
  <c r="V825" i="18"/>
  <c r="X825" i="18" s="1"/>
  <c r="V805" i="18"/>
  <c r="X805" i="18" s="1"/>
  <c r="V785" i="18"/>
  <c r="X785" i="18" s="1"/>
  <c r="V765" i="18"/>
  <c r="X765" i="18" s="1"/>
  <c r="V745" i="18"/>
  <c r="X745" i="18" s="1"/>
  <c r="V725" i="18"/>
  <c r="X725" i="18" s="1"/>
  <c r="V705" i="18"/>
  <c r="X705" i="18" s="1"/>
  <c r="V685" i="18"/>
  <c r="X685" i="18" s="1"/>
  <c r="V665" i="18"/>
  <c r="X665" i="18" s="1"/>
  <c r="V645" i="18"/>
  <c r="X645" i="18" s="1"/>
  <c r="V625" i="18"/>
  <c r="X625" i="18" s="1"/>
  <c r="V605" i="18"/>
  <c r="X605" i="18" s="1"/>
  <c r="V585" i="18"/>
  <c r="X585" i="18" s="1"/>
  <c r="V565" i="18"/>
  <c r="X565" i="18" s="1"/>
  <c r="V545" i="18"/>
  <c r="X545" i="18" s="1"/>
  <c r="V525" i="18"/>
  <c r="X525" i="18" s="1"/>
  <c r="V505" i="18"/>
  <c r="X505" i="18" s="1"/>
  <c r="V485" i="18"/>
  <c r="X485" i="18" s="1"/>
  <c r="V465" i="18"/>
  <c r="X465" i="18" s="1"/>
  <c r="V445" i="18"/>
  <c r="X445" i="18" s="1"/>
  <c r="V425" i="18"/>
  <c r="X425" i="18" s="1"/>
  <c r="V405" i="18"/>
  <c r="X405" i="18" s="1"/>
  <c r="V385" i="18"/>
  <c r="X385" i="18" s="1"/>
  <c r="V365" i="18"/>
  <c r="X365" i="18" s="1"/>
  <c r="V345" i="18"/>
  <c r="X345" i="18" s="1"/>
  <c r="V325" i="18"/>
  <c r="X325" i="18" s="1"/>
  <c r="V305" i="18"/>
  <c r="X305" i="18" s="1"/>
  <c r="V285" i="18"/>
  <c r="X285" i="18" s="1"/>
  <c r="V265" i="18"/>
  <c r="X265" i="18" s="1"/>
  <c r="V245" i="18"/>
  <c r="X245" i="18" s="1"/>
  <c r="V225" i="18"/>
  <c r="X225" i="18" s="1"/>
  <c r="V205" i="18"/>
  <c r="X205" i="18" s="1"/>
  <c r="V185" i="18"/>
  <c r="X185" i="18" s="1"/>
  <c r="V165" i="18"/>
  <c r="X165" i="18" s="1"/>
  <c r="V145" i="18"/>
  <c r="X145" i="18" s="1"/>
  <c r="V125" i="18"/>
  <c r="X125" i="18" s="1"/>
  <c r="V105" i="18"/>
  <c r="X105" i="18" s="1"/>
  <c r="V85" i="18"/>
  <c r="X85" i="18" s="1"/>
  <c r="V65" i="18"/>
  <c r="X65" i="18" s="1"/>
  <c r="V45" i="18"/>
  <c r="X45" i="18" s="1"/>
  <c r="V25" i="18"/>
  <c r="X25" i="18" s="1"/>
  <c r="V5" i="18"/>
  <c r="X5" i="18" s="1"/>
  <c r="V984" i="18"/>
  <c r="X984" i="18" s="1"/>
  <c r="V964" i="18"/>
  <c r="X964" i="18" s="1"/>
  <c r="V944" i="18"/>
  <c r="X944" i="18" s="1"/>
  <c r="V924" i="18"/>
  <c r="X924" i="18" s="1"/>
  <c r="V904" i="18"/>
  <c r="X904" i="18" s="1"/>
  <c r="V884" i="18"/>
  <c r="X884" i="18" s="1"/>
  <c r="V864" i="18"/>
  <c r="X864" i="18" s="1"/>
  <c r="V824" i="18"/>
  <c r="X824" i="18" s="1"/>
  <c r="V804" i="18"/>
  <c r="X804" i="18" s="1"/>
  <c r="V784" i="18"/>
  <c r="X784" i="18" s="1"/>
  <c r="V764" i="18"/>
  <c r="X764" i="18" s="1"/>
  <c r="V744" i="18"/>
  <c r="X744" i="18" s="1"/>
  <c r="V724" i="18"/>
  <c r="X724" i="18" s="1"/>
  <c r="V704" i="18"/>
  <c r="X704" i="18" s="1"/>
  <c r="V684" i="18"/>
  <c r="X684" i="18" s="1"/>
  <c r="V664" i="18"/>
  <c r="X664" i="18" s="1"/>
  <c r="V644" i="18"/>
  <c r="X644" i="18" s="1"/>
  <c r="V624" i="18"/>
  <c r="X624" i="18" s="1"/>
  <c r="V604" i="18"/>
  <c r="X604" i="18" s="1"/>
  <c r="V584" i="18"/>
  <c r="X584" i="18" s="1"/>
  <c r="V564" i="18"/>
  <c r="X564" i="18" s="1"/>
  <c r="V544" i="18"/>
  <c r="X544" i="18" s="1"/>
  <c r="V524" i="18"/>
  <c r="X524" i="18" s="1"/>
  <c r="V504" i="18"/>
  <c r="X504" i="18" s="1"/>
  <c r="V484" i="18"/>
  <c r="X484" i="18" s="1"/>
  <c r="V464" i="18"/>
  <c r="X464" i="18" s="1"/>
  <c r="V444" i="18"/>
  <c r="X444" i="18" s="1"/>
  <c r="V424" i="18"/>
  <c r="X424" i="18" s="1"/>
  <c r="V404" i="18"/>
  <c r="X404" i="18" s="1"/>
  <c r="V384" i="18"/>
  <c r="X384" i="18" s="1"/>
  <c r="V364" i="18"/>
  <c r="X364" i="18" s="1"/>
  <c r="V344" i="18"/>
  <c r="X344" i="18" s="1"/>
  <c r="V324" i="18"/>
  <c r="X324" i="18" s="1"/>
  <c r="V304" i="18"/>
  <c r="X304" i="18" s="1"/>
  <c r="V284" i="18"/>
  <c r="X284" i="18" s="1"/>
  <c r="V264" i="18"/>
  <c r="X264" i="18" s="1"/>
  <c r="V244" i="18"/>
  <c r="X244" i="18" s="1"/>
  <c r="V224" i="18"/>
  <c r="X224" i="18" s="1"/>
  <c r="V184" i="18"/>
  <c r="X184" i="18" s="1"/>
  <c r="V164" i="18"/>
  <c r="X164" i="18" s="1"/>
  <c r="V144" i="18"/>
  <c r="X144" i="18" s="1"/>
  <c r="V124" i="18"/>
  <c r="X124" i="18" s="1"/>
  <c r="V104" i="18"/>
  <c r="X104" i="18" s="1"/>
  <c r="V84" i="18"/>
  <c r="X84" i="18" s="1"/>
  <c r="V64" i="18"/>
  <c r="X64" i="18" s="1"/>
  <c r="V44" i="18"/>
  <c r="X44" i="18" s="1"/>
  <c r="V24" i="18"/>
  <c r="X24" i="18" s="1"/>
  <c r="V4" i="18"/>
  <c r="X4" i="18" s="1"/>
  <c r="V983" i="18"/>
  <c r="X983" i="18" s="1"/>
  <c r="V963" i="18"/>
  <c r="X963" i="18" s="1"/>
  <c r="V943" i="18"/>
  <c r="X943" i="18" s="1"/>
  <c r="V923" i="18"/>
  <c r="X923" i="18" s="1"/>
  <c r="V903" i="18"/>
  <c r="X903" i="18" s="1"/>
  <c r="V883" i="18"/>
  <c r="X883" i="18" s="1"/>
  <c r="V863" i="18"/>
  <c r="X863" i="18" s="1"/>
  <c r="V843" i="18"/>
  <c r="X843" i="18" s="1"/>
  <c r="V823" i="18"/>
  <c r="X823" i="18" s="1"/>
  <c r="V783" i="18"/>
  <c r="X783" i="18" s="1"/>
  <c r="V763" i="18"/>
  <c r="X763" i="18" s="1"/>
  <c r="V743" i="18"/>
  <c r="X743" i="18" s="1"/>
  <c r="V723" i="18"/>
  <c r="X723" i="18" s="1"/>
  <c r="V703" i="18"/>
  <c r="X703" i="18" s="1"/>
  <c r="V683" i="18"/>
  <c r="X683" i="18" s="1"/>
  <c r="V663" i="18"/>
  <c r="X663" i="18" s="1"/>
  <c r="V643" i="18"/>
  <c r="X643" i="18" s="1"/>
  <c r="V623" i="18"/>
  <c r="X623" i="18" s="1"/>
  <c r="V603" i="18"/>
  <c r="X603" i="18" s="1"/>
  <c r="V583" i="18"/>
  <c r="X583" i="18" s="1"/>
  <c r="V563" i="18"/>
  <c r="X563" i="18" s="1"/>
  <c r="V543" i="18"/>
  <c r="X543" i="18" s="1"/>
  <c r="V523" i="18"/>
  <c r="X523" i="18" s="1"/>
  <c r="V503" i="18"/>
  <c r="X503" i="18" s="1"/>
  <c r="V483" i="18"/>
  <c r="X483" i="18" s="1"/>
  <c r="V463" i="18"/>
  <c r="X463" i="18" s="1"/>
  <c r="V443" i="18"/>
  <c r="X443" i="18" s="1"/>
  <c r="V423" i="18"/>
  <c r="X423" i="18" s="1"/>
  <c r="V403" i="18"/>
  <c r="X403" i="18" s="1"/>
  <c r="V383" i="18"/>
  <c r="X383" i="18" s="1"/>
  <c r="V363" i="18"/>
  <c r="X363" i="18" s="1"/>
  <c r="V343" i="18"/>
  <c r="X343" i="18" s="1"/>
  <c r="V323" i="18"/>
  <c r="X323" i="18" s="1"/>
  <c r="V303" i="18"/>
  <c r="X303" i="18" s="1"/>
  <c r="V283" i="18"/>
  <c r="X283" i="18" s="1"/>
  <c r="V263" i="18"/>
  <c r="X263" i="18" s="1"/>
  <c r="V243" i="18"/>
  <c r="X243" i="18" s="1"/>
  <c r="V223" i="18"/>
  <c r="X223" i="18" s="1"/>
  <c r="V203" i="18"/>
  <c r="X203" i="18" s="1"/>
  <c r="V183" i="18"/>
  <c r="X183" i="18" s="1"/>
  <c r="V163" i="18"/>
  <c r="X163" i="18" s="1"/>
  <c r="V143" i="18"/>
  <c r="X143" i="18" s="1"/>
  <c r="V123" i="18"/>
  <c r="X123" i="18" s="1"/>
  <c r="V103" i="18"/>
  <c r="X103" i="18" s="1"/>
  <c r="V83" i="18"/>
  <c r="X83" i="18" s="1"/>
  <c r="V63" i="18"/>
  <c r="X63" i="18" s="1"/>
  <c r="V43" i="18"/>
  <c r="X43" i="18" s="1"/>
  <c r="V23" i="18"/>
  <c r="X23" i="18" s="1"/>
  <c r="V3" i="18"/>
  <c r="X3" i="18" s="1"/>
  <c r="V982" i="18"/>
  <c r="X982" i="18" s="1"/>
  <c r="V962" i="18"/>
  <c r="X962" i="18" s="1"/>
  <c r="V942" i="18"/>
  <c r="X942" i="18" s="1"/>
  <c r="V922" i="18"/>
  <c r="X922" i="18" s="1"/>
  <c r="V902" i="18"/>
  <c r="X902" i="18" s="1"/>
  <c r="V882" i="18"/>
  <c r="X882" i="18" s="1"/>
  <c r="V862" i="18"/>
  <c r="X862" i="18" s="1"/>
  <c r="V842" i="18"/>
  <c r="X842" i="18" s="1"/>
  <c r="V822" i="18"/>
  <c r="X822" i="18" s="1"/>
  <c r="V802" i="18"/>
  <c r="X802" i="18" s="1"/>
  <c r="V782" i="18"/>
  <c r="X782" i="18" s="1"/>
  <c r="V762" i="18"/>
  <c r="X762" i="18" s="1"/>
  <c r="V742" i="18"/>
  <c r="X742" i="18" s="1"/>
  <c r="V722" i="18"/>
  <c r="X722" i="18" s="1"/>
  <c r="V702" i="18"/>
  <c r="X702" i="18" s="1"/>
  <c r="V682" i="18"/>
  <c r="X682" i="18" s="1"/>
  <c r="V662" i="18"/>
  <c r="X662" i="18" s="1"/>
  <c r="V642" i="18"/>
  <c r="X642" i="18" s="1"/>
  <c r="V622" i="18"/>
  <c r="X622" i="18" s="1"/>
  <c r="V602" i="18"/>
  <c r="X602" i="18" s="1"/>
  <c r="V562" i="18"/>
  <c r="X562" i="18" s="1"/>
  <c r="V542" i="18"/>
  <c r="X542" i="18" s="1"/>
  <c r="V522" i="18"/>
  <c r="X522" i="18" s="1"/>
  <c r="V482" i="18"/>
  <c r="X482" i="18" s="1"/>
  <c r="V462" i="18"/>
  <c r="X462" i="18" s="1"/>
  <c r="V442" i="18"/>
  <c r="X442" i="18" s="1"/>
  <c r="V422" i="18"/>
  <c r="X422" i="18" s="1"/>
  <c r="V402" i="18"/>
  <c r="X402" i="18" s="1"/>
  <c r="V382" i="18"/>
  <c r="X382" i="18" s="1"/>
  <c r="V362" i="18"/>
  <c r="X362" i="18" s="1"/>
  <c r="V342" i="18"/>
  <c r="X342" i="18" s="1"/>
  <c r="V322" i="18"/>
  <c r="X322" i="18" s="1"/>
  <c r="V302" i="18"/>
  <c r="X302" i="18" s="1"/>
  <c r="V282" i="18"/>
  <c r="X282" i="18" s="1"/>
  <c r="V262" i="18"/>
  <c r="X262" i="18" s="1"/>
  <c r="V242" i="18"/>
  <c r="X242" i="18" s="1"/>
  <c r="V222" i="18"/>
  <c r="X222" i="18" s="1"/>
  <c r="V202" i="18"/>
  <c r="X202" i="18" s="1"/>
  <c r="V182" i="18"/>
  <c r="X182" i="18" s="1"/>
  <c r="V162" i="18"/>
  <c r="X162" i="18" s="1"/>
  <c r="V142" i="18"/>
  <c r="X142" i="18" s="1"/>
  <c r="V122" i="18"/>
  <c r="X122" i="18" s="1"/>
  <c r="V102" i="18"/>
  <c r="X102" i="18" s="1"/>
  <c r="V82" i="18"/>
  <c r="X82" i="18" s="1"/>
  <c r="V62" i="18"/>
  <c r="X62" i="18" s="1"/>
  <c r="V42" i="18"/>
  <c r="X42" i="18" s="1"/>
  <c r="V22" i="18"/>
  <c r="X22" i="18" s="1"/>
  <c r="V2" i="18"/>
  <c r="X2" i="18" s="1"/>
  <c r="U75" i="18"/>
  <c r="U698" i="18"/>
  <c r="U956" i="18"/>
  <c r="U760" i="18"/>
  <c r="U140" i="18"/>
  <c r="U857" i="18"/>
  <c r="U756" i="18"/>
  <c r="R766" i="18"/>
  <c r="R166" i="18"/>
  <c r="R674" i="18"/>
  <c r="R813" i="18"/>
  <c r="R455" i="18"/>
  <c r="R501" i="18"/>
  <c r="R226" i="18"/>
  <c r="R566" i="18"/>
  <c r="R849" i="18"/>
  <c r="R348" i="18"/>
  <c r="U196" i="18"/>
  <c r="U195" i="18"/>
  <c r="U741" i="18"/>
  <c r="R610" i="18"/>
  <c r="R844" i="18"/>
  <c r="R91" i="18"/>
  <c r="R204" i="18"/>
  <c r="R919" i="18"/>
  <c r="R803" i="18"/>
  <c r="R502" i="18"/>
  <c r="R335" i="18"/>
  <c r="R811" i="18"/>
  <c r="R773" i="18"/>
  <c r="R619" i="18"/>
  <c r="R411" i="18"/>
  <c r="U939" i="18"/>
  <c r="U807" i="18"/>
  <c r="R892" i="18"/>
  <c r="R586" i="18"/>
  <c r="R860" i="18"/>
  <c r="R258" i="18"/>
  <c r="R995" i="18"/>
  <c r="R965" i="18"/>
  <c r="R114" i="18"/>
  <c r="R769" i="18"/>
  <c r="R582" i="18"/>
  <c r="R149" i="18"/>
  <c r="R432" i="18"/>
  <c r="R717" i="18"/>
  <c r="R279" i="18"/>
  <c r="R347" i="18"/>
  <c r="R841" i="18"/>
  <c r="U268" i="18"/>
  <c r="U937" i="18"/>
  <c r="U734" i="18"/>
  <c r="U554" i="18"/>
  <c r="U352" i="18"/>
  <c r="U168" i="18"/>
  <c r="U968" i="18"/>
  <c r="U160" i="18"/>
  <c r="U841" i="18"/>
  <c r="U501" i="18"/>
  <c r="U281" i="18"/>
  <c r="U900" i="18"/>
  <c r="U860" i="18"/>
  <c r="U820" i="18"/>
  <c r="U800" i="18"/>
  <c r="U700" i="18"/>
  <c r="U600" i="18"/>
  <c r="U979" i="18"/>
  <c r="U919" i="18"/>
  <c r="U619" i="18"/>
  <c r="U359" i="18"/>
  <c r="U279" i="18"/>
  <c r="U119" i="18"/>
  <c r="U898" i="18"/>
  <c r="U718" i="18"/>
  <c r="U678" i="18"/>
  <c r="U258" i="18"/>
  <c r="U757" i="18"/>
  <c r="U717" i="18"/>
  <c r="U477" i="18"/>
  <c r="U17" i="18"/>
  <c r="U995" i="18"/>
  <c r="U975" i="18"/>
  <c r="U535" i="18"/>
  <c r="U455" i="18"/>
  <c r="U335" i="18"/>
  <c r="U315" i="18"/>
  <c r="U874" i="18"/>
  <c r="U674" i="18"/>
  <c r="U274" i="18"/>
  <c r="U114" i="18"/>
  <c r="U813" i="18"/>
  <c r="U773" i="18"/>
  <c r="U972" i="18"/>
  <c r="U892" i="18"/>
  <c r="U852" i="18"/>
  <c r="U432" i="18"/>
  <c r="U92" i="18"/>
  <c r="U811" i="18"/>
  <c r="U631" i="18"/>
  <c r="U571" i="18"/>
  <c r="U411" i="18"/>
  <c r="U311" i="18"/>
  <c r="U91" i="18"/>
  <c r="U11" i="18"/>
  <c r="U970" i="18"/>
  <c r="U930" i="18"/>
  <c r="U810" i="18"/>
  <c r="U670" i="18"/>
  <c r="U610" i="18"/>
  <c r="U550" i="18"/>
  <c r="U530" i="18"/>
  <c r="U330" i="18"/>
  <c r="U849" i="18"/>
  <c r="U829" i="18"/>
  <c r="U769" i="18"/>
  <c r="U709" i="18"/>
  <c r="U689" i="18"/>
  <c r="U549" i="18"/>
  <c r="U149" i="18"/>
  <c r="U766" i="18"/>
  <c r="U666" i="18"/>
  <c r="U586" i="18"/>
  <c r="U566" i="18"/>
  <c r="U546" i="18"/>
  <c r="U506" i="18"/>
  <c r="U226" i="18"/>
  <c r="U166" i="18"/>
  <c r="U46" i="18"/>
  <c r="R257" i="18"/>
  <c r="R834" i="18"/>
  <c r="U965" i="18"/>
  <c r="U425" i="18"/>
  <c r="U225" i="18"/>
  <c r="U65" i="18"/>
  <c r="U844" i="18"/>
  <c r="U804" i="18"/>
  <c r="U584" i="18"/>
  <c r="U204" i="18"/>
  <c r="U348" i="18"/>
  <c r="U347" i="18"/>
  <c r="U923" i="18"/>
  <c r="U803" i="18"/>
  <c r="U723" i="18"/>
  <c r="U503" i="18"/>
  <c r="U63" i="18"/>
  <c r="U922" i="18"/>
  <c r="U882" i="18"/>
  <c r="U622" i="18"/>
  <c r="U582" i="18"/>
  <c r="U502" i="18"/>
  <c r="U442" i="18"/>
  <c r="R695" i="18"/>
  <c r="R158" i="18"/>
  <c r="R866" i="18"/>
  <c r="R754" i="18"/>
  <c r="R658" i="18"/>
  <c r="R859" i="18"/>
  <c r="R277" i="18"/>
  <c r="R368" i="18"/>
  <c r="R920" i="18"/>
  <c r="R973" i="18"/>
  <c r="R26" i="18"/>
  <c r="R830" i="18"/>
  <c r="R851" i="18"/>
  <c r="R708" i="18"/>
  <c r="R899" i="18"/>
  <c r="R846" i="18"/>
  <c r="R436" i="18"/>
  <c r="R679" i="18"/>
  <c r="R409" i="18"/>
  <c r="R448" i="18"/>
  <c r="R415" i="18"/>
  <c r="R59" i="18"/>
  <c r="R333" i="18"/>
  <c r="R598" i="18"/>
  <c r="R280" i="18"/>
  <c r="R77" i="18"/>
  <c r="R786" i="18"/>
  <c r="R469" i="18"/>
  <c r="R686" i="18"/>
  <c r="R716" i="18"/>
  <c r="R236" i="18"/>
  <c r="R208" i="18"/>
  <c r="R712" i="18"/>
  <c r="R626" i="18"/>
  <c r="R534" i="18"/>
  <c r="R270" i="18"/>
  <c r="R358" i="18"/>
  <c r="R862" i="18"/>
  <c r="R387" i="18"/>
  <c r="R638" i="18"/>
  <c r="R130" i="18"/>
  <c r="R539" i="18"/>
  <c r="R559" i="18"/>
  <c r="R523" i="18"/>
  <c r="R241" i="18"/>
  <c r="R1001" i="18"/>
  <c r="R568" i="18"/>
  <c r="R722" i="18"/>
  <c r="R652" i="18"/>
  <c r="R342" i="18"/>
  <c r="R556" i="18"/>
  <c r="R763" i="18"/>
  <c r="R793" i="18"/>
  <c r="R56" i="18"/>
  <c r="R246" i="18"/>
  <c r="R714" i="18"/>
  <c r="R19" i="18"/>
  <c r="R286" i="18"/>
  <c r="R585" i="18"/>
  <c r="R389" i="18"/>
  <c r="R909" i="18"/>
  <c r="R162" i="18"/>
  <c r="R413" i="18"/>
  <c r="R322" i="18"/>
  <c r="R424" i="18"/>
  <c r="R69" i="18"/>
  <c r="R944" i="18"/>
  <c r="R35" i="18"/>
  <c r="R792" i="18"/>
  <c r="R403" i="18"/>
  <c r="R235" i="18"/>
  <c r="R934" i="18"/>
  <c r="R343" i="18"/>
  <c r="R580" i="18"/>
  <c r="R227" i="18"/>
  <c r="R80" i="18"/>
  <c r="R371" i="18"/>
  <c r="R951" i="18"/>
  <c r="R67" i="18"/>
  <c r="R706" i="18"/>
  <c r="R710" i="18"/>
  <c r="R14" i="18"/>
  <c r="R740" i="18"/>
  <c r="R392" i="18"/>
  <c r="R97" i="18"/>
  <c r="R517" i="18"/>
  <c r="R910" i="18"/>
  <c r="R294" i="18"/>
  <c r="R341" i="18"/>
  <c r="R61" i="18"/>
  <c r="R985" i="18"/>
  <c r="R164" i="18"/>
  <c r="R570" i="18"/>
  <c r="R836" i="18"/>
  <c r="R329" i="18"/>
  <c r="R108" i="18"/>
  <c r="R463" i="18"/>
  <c r="R132" i="18"/>
  <c r="R991" i="18"/>
  <c r="R351" i="18"/>
  <c r="R458" i="18"/>
  <c r="R755" i="18"/>
  <c r="R209" i="18"/>
  <c r="R295" i="18"/>
  <c r="R971" i="18"/>
  <c r="R685" i="18"/>
  <c r="R826" i="18"/>
  <c r="R904" i="18"/>
  <c r="R650" i="18"/>
  <c r="R310" i="18"/>
  <c r="R422" i="18"/>
  <c r="R357" i="18"/>
  <c r="R232" i="18"/>
  <c r="R22" i="18"/>
  <c r="R782" i="18"/>
  <c r="R576" i="18"/>
  <c r="R895" i="18"/>
  <c r="R182" i="18"/>
  <c r="R945" i="18"/>
  <c r="R927" i="18"/>
  <c r="R482" i="18"/>
  <c r="R48" i="18"/>
  <c r="R420" i="18"/>
  <c r="R222" i="18"/>
  <c r="R350" i="18"/>
  <c r="R599" i="18"/>
  <c r="R647" i="18"/>
  <c r="R564" i="18"/>
  <c r="R300" i="18"/>
  <c r="R426" i="18"/>
  <c r="R775" i="18"/>
  <c r="R278" i="18"/>
  <c r="R687" i="18"/>
  <c r="R733" i="18"/>
  <c r="R338" i="18"/>
  <c r="R405" i="18"/>
  <c r="R211" i="18"/>
  <c r="R551" i="18"/>
  <c r="R192" i="18"/>
  <c r="R950" i="18"/>
  <c r="R806" i="18"/>
  <c r="R902" i="18"/>
  <c r="R47" i="18"/>
  <c r="R562" i="18"/>
  <c r="R285" i="18"/>
  <c r="R669" i="18"/>
  <c r="R983" i="18"/>
  <c r="R324" i="18"/>
  <c r="R511" i="18"/>
  <c r="R394" i="18"/>
  <c r="R822" i="18"/>
  <c r="R727" i="18"/>
  <c r="R665" i="18"/>
  <c r="R781" i="18"/>
  <c r="R272" i="18"/>
  <c r="R759" i="18"/>
  <c r="R809" i="18"/>
  <c r="R816" i="18"/>
  <c r="R122" i="18"/>
  <c r="R390" i="18"/>
  <c r="R467" i="18"/>
  <c r="R120" i="18"/>
  <c r="R796" i="18"/>
  <c r="R969" i="18"/>
  <c r="R90" i="18"/>
  <c r="R161" i="18"/>
  <c r="R823" i="18"/>
  <c r="R761" i="18"/>
  <c r="R474" i="18"/>
  <c r="R64" i="18"/>
  <c r="R524" i="18"/>
  <c r="R167" i="18"/>
  <c r="R918" i="18"/>
  <c r="R557" i="18"/>
  <c r="R151" i="18"/>
  <c r="R912" i="18"/>
  <c r="R62" i="18"/>
  <c r="R656" i="18"/>
  <c r="R903" i="18"/>
  <c r="R184" i="18"/>
  <c r="R673" i="18"/>
  <c r="R163" i="18"/>
  <c r="R393" i="18"/>
  <c r="R271" i="18"/>
  <c r="R593" i="18"/>
  <c r="R323" i="18"/>
  <c r="R5" i="18"/>
  <c r="R383" i="18"/>
  <c r="R419" i="18"/>
  <c r="R141" i="18"/>
  <c r="R547" i="18"/>
  <c r="R137" i="18"/>
  <c r="R145" i="18"/>
  <c r="R935" i="18"/>
  <c r="R212" i="18"/>
  <c r="R437" i="18"/>
  <c r="R660" i="18"/>
  <c r="R102" i="18"/>
  <c r="R974" i="18"/>
  <c r="R249" i="18"/>
  <c r="R99" i="18"/>
  <c r="R319" i="18"/>
  <c r="R328" i="18"/>
  <c r="R814" i="18"/>
  <c r="R365" i="18"/>
  <c r="R18" i="18"/>
  <c r="R267" i="18"/>
  <c r="R325" i="18"/>
  <c r="R818" i="18"/>
  <c r="R370" i="18"/>
  <c r="R843" i="18"/>
  <c r="R907" i="18"/>
  <c r="R138" i="18"/>
  <c r="R662" i="18"/>
  <c r="R724" i="18"/>
  <c r="R828" i="18"/>
  <c r="R234" i="18"/>
  <c r="R291" i="18"/>
  <c r="R34" i="18"/>
  <c r="R641" i="18"/>
  <c r="R540" i="18"/>
  <c r="R993" i="18"/>
  <c r="R57" i="18"/>
  <c r="R731" i="18"/>
  <c r="R832" i="18"/>
  <c r="R605" i="18"/>
  <c r="R525" i="18"/>
  <c r="R303" i="18"/>
  <c r="R317" i="18"/>
  <c r="R250" i="18"/>
  <c r="R428" i="18"/>
  <c r="R309" i="18"/>
  <c r="R856" i="18"/>
  <c r="R981" i="18"/>
  <c r="R21" i="18"/>
  <c r="R618" i="18"/>
  <c r="R115" i="18"/>
  <c r="R372" i="18"/>
  <c r="R770" i="18"/>
  <c r="R847" i="18"/>
  <c r="R215" i="18"/>
  <c r="R157" i="18"/>
  <c r="R563" i="18"/>
  <c r="R628" i="18"/>
  <c r="R178" i="18"/>
  <c r="R256" i="18"/>
  <c r="R15" i="18"/>
  <c r="R672" i="18"/>
  <c r="R143" i="18"/>
  <c r="R200" i="18"/>
  <c r="R331" i="18"/>
  <c r="R771" i="18"/>
  <c r="R185" i="18"/>
  <c r="R952" i="18"/>
  <c r="R484" i="18"/>
  <c r="R805" i="18"/>
  <c r="R98" i="18"/>
  <c r="R376" i="18"/>
  <c r="R929" i="18"/>
  <c r="R240" i="18"/>
  <c r="R558" i="18"/>
  <c r="R583" i="18"/>
  <c r="R363" i="18"/>
  <c r="R768" i="18"/>
  <c r="R887" i="18"/>
  <c r="R765" i="18"/>
  <c r="R799" i="18"/>
  <c r="R888" i="18"/>
  <c r="R936" i="18"/>
  <c r="R994" i="18"/>
  <c r="R190" i="18"/>
  <c r="R705" i="18"/>
  <c r="R327" i="18"/>
  <c r="R139" i="18"/>
  <c r="R375" i="18"/>
  <c r="R171" i="18"/>
  <c r="R40" i="18"/>
  <c r="R483" i="18"/>
  <c r="R645" i="18"/>
  <c r="R261" i="18"/>
  <c r="R984" i="18"/>
  <c r="R478" i="18"/>
  <c r="R719" i="18"/>
  <c r="R173" i="18"/>
  <c r="R299" i="18"/>
  <c r="R201" i="18"/>
  <c r="R526" i="18"/>
  <c r="R76" i="18"/>
  <c r="R82" i="18"/>
  <c r="R172" i="18"/>
  <c r="R430" i="18"/>
  <c r="R297" i="18"/>
  <c r="R121" i="18"/>
  <c r="R784" i="18"/>
  <c r="R321" i="18"/>
  <c r="R293" i="18"/>
  <c r="R785" i="18"/>
  <c r="R66" i="18"/>
  <c r="R367" i="18"/>
  <c r="R914" i="18"/>
  <c r="R29" i="18"/>
  <c r="R587" i="18"/>
  <c r="R32" i="18"/>
  <c r="R31" i="18"/>
  <c r="R572" i="18"/>
  <c r="R378" i="18"/>
  <c r="R779" i="18"/>
  <c r="R446" i="18"/>
  <c r="R197" i="18"/>
  <c r="R916" i="18"/>
  <c r="R118" i="18"/>
  <c r="R340" i="18"/>
  <c r="R704" i="18"/>
  <c r="R468" i="18"/>
  <c r="R825" i="18"/>
  <c r="R344" i="18"/>
  <c r="R744" i="18"/>
  <c r="R191" i="18"/>
  <c r="R175" i="18"/>
  <c r="R625" i="18"/>
  <c r="R615" i="18"/>
  <c r="R801" i="18"/>
  <c r="R742" i="18"/>
  <c r="R905" i="18"/>
  <c r="R575" i="18"/>
  <c r="R112" i="18"/>
  <c r="R74" i="18"/>
  <c r="R355" i="18"/>
  <c r="R853" i="18"/>
  <c r="R459" i="18"/>
  <c r="R244" i="18"/>
  <c r="R379" i="18"/>
  <c r="R957" i="18"/>
  <c r="R873" i="18"/>
  <c r="R408" i="18"/>
  <c r="R682" i="18"/>
  <c r="R43" i="18"/>
  <c r="R500" i="18"/>
  <c r="R938" i="18"/>
  <c r="R177" i="18"/>
  <c r="R245" i="18"/>
  <c r="R621" i="18"/>
  <c r="R941" i="18"/>
  <c r="R850" i="18"/>
  <c r="R963" i="18"/>
  <c r="R915" i="18"/>
  <c r="R671" i="18"/>
  <c r="R795" i="18"/>
  <c r="R214" i="18"/>
  <c r="R657" i="18"/>
  <c r="R276" i="18"/>
  <c r="R861" i="18"/>
  <c r="R713" i="18"/>
  <c r="R45" i="18"/>
  <c r="R649" i="18"/>
  <c r="R872" i="18"/>
  <c r="R193" i="18"/>
  <c r="R95" i="18"/>
  <c r="R220" i="18"/>
  <c r="R512" i="18"/>
  <c r="R462" i="18"/>
  <c r="R217" i="18"/>
  <c r="R683" i="18"/>
  <c r="R275" i="18"/>
  <c r="R269" i="18"/>
  <c r="R181" i="18"/>
  <c r="R176" i="18"/>
  <c r="R85" i="18"/>
  <c r="R391" i="18"/>
  <c r="R637" i="18"/>
  <c r="R573" i="18"/>
  <c r="R20" i="18"/>
  <c r="R651" i="18"/>
  <c r="R812" i="18"/>
  <c r="R287" i="18"/>
  <c r="R577" i="18"/>
  <c r="R386" i="18"/>
  <c r="R891" i="18"/>
  <c r="R440" i="18"/>
  <c r="R174" i="18"/>
  <c r="R508" i="18"/>
  <c r="R364" i="18"/>
  <c r="R838" i="18"/>
  <c r="R457" i="18"/>
  <c r="R555" i="18"/>
  <c r="R369" i="18"/>
  <c r="R924" i="18"/>
  <c r="R790" i="18"/>
  <c r="R155" i="18"/>
  <c r="R334" i="18"/>
  <c r="R450" i="18"/>
  <c r="R613" i="18"/>
  <c r="R932" i="18"/>
  <c r="R845" i="18"/>
  <c r="R223" i="18"/>
  <c r="R398" i="18"/>
  <c r="R953" i="18"/>
  <c r="R203" i="18"/>
  <c r="R25" i="18"/>
  <c r="R346" i="18"/>
  <c r="R485" i="18"/>
  <c r="R730" i="18"/>
  <c r="R407" i="18"/>
  <c r="R456" i="18"/>
  <c r="R189" i="18"/>
  <c r="R614" i="18"/>
  <c r="R565" i="18"/>
  <c r="R153" i="18"/>
  <c r="R265" i="18"/>
  <c r="R542" i="18"/>
  <c r="R423" i="18"/>
  <c r="R374" i="18"/>
  <c r="R251" i="18"/>
  <c r="R210" i="18"/>
  <c r="R147" i="18"/>
  <c r="R964" i="18"/>
  <c r="R284" i="18"/>
  <c r="R767" i="18"/>
  <c r="R776" i="18"/>
  <c r="R51" i="18"/>
  <c r="R819" i="18"/>
  <c r="R787" i="18"/>
  <c r="R495" i="18"/>
  <c r="R992" i="18"/>
  <c r="R612" i="18"/>
  <c r="R259" i="18"/>
  <c r="R480" i="18"/>
  <c r="R454" i="18"/>
  <c r="R947" i="18"/>
  <c r="R594" i="18"/>
  <c r="R606" i="18"/>
  <c r="R567" i="18"/>
  <c r="R725" i="18"/>
  <c r="R326" i="18"/>
  <c r="R466" i="18"/>
  <c r="R111" i="18"/>
  <c r="R233" i="18"/>
  <c r="R10" i="18"/>
  <c r="R541" i="18"/>
  <c r="R464" i="18"/>
  <c r="R864" i="18"/>
  <c r="R933" i="18"/>
  <c r="R434" i="18"/>
  <c r="R109" i="18"/>
  <c r="R901" i="18"/>
  <c r="R870" i="18"/>
  <c r="R148" i="18"/>
  <c r="R913" i="18"/>
  <c r="R475" i="18"/>
  <c r="R634" i="18"/>
  <c r="R202" i="18"/>
  <c r="R691" i="18"/>
  <c r="R4" i="18"/>
  <c r="R134" i="18"/>
  <c r="R553" i="18"/>
  <c r="R528" i="18"/>
  <c r="R318" i="18"/>
  <c r="R896" i="18"/>
  <c r="R128" i="18"/>
  <c r="R87" i="18"/>
  <c r="R206" i="18"/>
  <c r="R531" i="18"/>
  <c r="R296" i="18"/>
  <c r="R954" i="18"/>
  <c r="R248" i="18"/>
  <c r="R611" i="18"/>
  <c r="R231" i="18"/>
  <c r="R966" i="18"/>
  <c r="R380" i="18"/>
  <c r="R247" i="18"/>
  <c r="R308" i="18"/>
  <c r="R643" i="18"/>
  <c r="R79" i="18"/>
  <c r="R399" i="18"/>
  <c r="R302" i="18"/>
  <c r="R70" i="18"/>
  <c r="R603" i="18"/>
  <c r="R958" i="18"/>
  <c r="R940" i="18"/>
  <c r="R642" i="18"/>
  <c r="R24" i="18"/>
  <c r="R884" i="18"/>
  <c r="R68" i="18"/>
  <c r="R507" i="18"/>
  <c r="R928" i="18"/>
  <c r="R416" i="18"/>
  <c r="R908" i="18"/>
  <c r="R49" i="18"/>
  <c r="R362" i="18"/>
  <c r="R126" i="18"/>
  <c r="R8" i="18"/>
  <c r="R116" i="18"/>
  <c r="R417" i="18"/>
  <c r="R133" i="18"/>
  <c r="R289" i="18"/>
  <c r="R694" i="18"/>
  <c r="R855" i="18"/>
  <c r="R144" i="18"/>
  <c r="R444" i="18"/>
  <c r="R831" i="18"/>
  <c r="R183" i="18"/>
  <c r="R418" i="18"/>
  <c r="R84" i="18"/>
  <c r="R752" i="18"/>
  <c r="R630" i="18"/>
  <c r="R533" i="18"/>
  <c r="R881" i="18"/>
  <c r="R78" i="18"/>
  <c r="R751" i="18"/>
  <c r="R510" i="18"/>
  <c r="R894" i="18"/>
  <c r="R377" i="18"/>
  <c r="R978" i="18"/>
  <c r="R489" i="18"/>
  <c r="R481" i="18"/>
  <c r="R476" i="18"/>
  <c r="R127" i="18"/>
  <c r="R305" i="18"/>
  <c r="R885" i="18"/>
  <c r="R429" i="18"/>
  <c r="R298" i="18"/>
  <c r="R290" i="18"/>
  <c r="R545" i="18"/>
  <c r="R750" i="18"/>
  <c r="R688" i="18"/>
  <c r="R263" i="18"/>
  <c r="R646" i="18"/>
  <c r="R81" i="18"/>
  <c r="R3" i="18"/>
  <c r="R875" i="18"/>
  <c r="R609" i="18"/>
  <c r="R911" i="18"/>
  <c r="R538" i="18"/>
  <c r="R536" i="18"/>
  <c r="R946" i="18"/>
  <c r="R395" i="18"/>
  <c r="R627" i="18"/>
  <c r="R88" i="18"/>
  <c r="R165" i="18"/>
  <c r="R404" i="18"/>
  <c r="R219" i="18"/>
  <c r="R513" i="18"/>
  <c r="R980" i="18"/>
  <c r="R449" i="18"/>
  <c r="R702" i="18"/>
  <c r="R402" i="18"/>
  <c r="R728" i="18"/>
  <c r="R101" i="18"/>
  <c r="R726" i="18"/>
  <c r="R868" i="18"/>
  <c r="R990" i="18"/>
  <c r="R1000" i="18"/>
  <c r="R867" i="18"/>
  <c r="R381" i="18"/>
  <c r="R103" i="18"/>
  <c r="R707" i="18"/>
  <c r="R262" i="18"/>
  <c r="R863" i="18"/>
  <c r="R962" i="18"/>
  <c r="R906" i="18"/>
  <c r="R623" i="18"/>
  <c r="R699" i="18"/>
  <c r="R883" i="18"/>
  <c r="R156" i="18"/>
  <c r="R479" i="18"/>
  <c r="R228" i="18"/>
  <c r="R798" i="18"/>
  <c r="R764" i="18"/>
  <c r="R632" i="18"/>
  <c r="R37" i="18"/>
  <c r="R527" i="18"/>
  <c r="R720" i="18"/>
  <c r="R783" i="18"/>
  <c r="R780" i="18"/>
  <c r="R639" i="18"/>
  <c r="R948" i="18"/>
  <c r="R680" i="18"/>
  <c r="R745" i="18"/>
  <c r="R590" i="18"/>
  <c r="R39" i="18"/>
  <c r="R711" i="18"/>
  <c r="R544" i="18"/>
  <c r="R388" i="18"/>
  <c r="R238" i="18"/>
  <c r="R93" i="18"/>
  <c r="R488" i="18"/>
  <c r="R194" i="18"/>
  <c r="R282" i="18"/>
  <c r="R877" i="18"/>
  <c r="R738" i="18"/>
  <c r="R146" i="18"/>
  <c r="R890" i="18"/>
  <c r="R445" i="18"/>
  <c r="R264" i="18"/>
  <c r="R743" i="18"/>
  <c r="R753" i="18"/>
  <c r="R498" i="18"/>
  <c r="R581" i="18"/>
  <c r="R410" i="18"/>
  <c r="R788" i="18"/>
  <c r="R27" i="18"/>
  <c r="R509" i="18"/>
  <c r="R653" i="18"/>
  <c r="R735" i="18"/>
  <c r="R55" i="18"/>
  <c r="R842" i="18"/>
  <c r="R117" i="18"/>
  <c r="R254" i="18"/>
  <c r="R400" i="18"/>
  <c r="R453" i="18"/>
  <c r="R493" i="18"/>
  <c r="R28" i="18"/>
  <c r="R382" i="18"/>
  <c r="R152" i="18"/>
  <c r="R579" i="18"/>
  <c r="R917" i="18"/>
  <c r="R548" i="18"/>
  <c r="R136" i="18"/>
  <c r="R955" i="18"/>
  <c r="R654" i="18"/>
  <c r="R516" i="18"/>
  <c r="R925" i="18"/>
  <c r="R224" i="18"/>
  <c r="R361" i="18"/>
  <c r="R94" i="18"/>
  <c r="R260" i="18"/>
  <c r="R644" i="18"/>
  <c r="R837" i="18"/>
  <c r="R337" i="18"/>
  <c r="R253" i="18"/>
  <c r="R9" i="18"/>
  <c r="R668" i="18"/>
  <c r="R721" i="18"/>
  <c r="R543" i="18"/>
  <c r="R693" i="18"/>
  <c r="R839" i="18"/>
  <c r="R397" i="18"/>
  <c r="R242" i="18"/>
  <c r="R41" i="18"/>
  <c r="R199" i="18"/>
  <c r="R772" i="18"/>
  <c r="R44" i="18"/>
  <c r="R664" i="18"/>
  <c r="R732" i="18"/>
  <c r="R655" i="18"/>
  <c r="R967" i="18"/>
  <c r="R893" i="18"/>
  <c r="R737" i="18"/>
  <c r="R283" i="18"/>
  <c r="R574" i="18"/>
  <c r="R125" i="18"/>
  <c r="R865" i="18"/>
  <c r="R701" i="18"/>
  <c r="R514" i="18"/>
  <c r="R301" i="18"/>
  <c r="R569" i="18"/>
  <c r="R703" i="18"/>
  <c r="R12" i="18"/>
  <c r="R648" i="18"/>
  <c r="R821" i="18"/>
  <c r="R607" i="18"/>
  <c r="R601" i="18"/>
  <c r="R229" i="18"/>
  <c r="R131" i="18"/>
  <c r="R89" i="18"/>
  <c r="R332" i="18"/>
  <c r="R186" i="18"/>
  <c r="R739" i="18"/>
  <c r="R504" i="18"/>
  <c r="R997" i="18"/>
  <c r="R435" i="18"/>
  <c r="R636" i="18"/>
  <c r="R490" i="18"/>
  <c r="R292" i="18"/>
  <c r="R198" i="18"/>
  <c r="R661" i="18"/>
  <c r="R100" i="18"/>
  <c r="R38" i="18"/>
  <c r="R239" i="18"/>
  <c r="R999" i="18"/>
  <c r="R113" i="18"/>
  <c r="R159" i="18"/>
  <c r="R926" i="18"/>
  <c r="R635" i="18"/>
  <c r="R529" i="18"/>
  <c r="R815" i="18"/>
  <c r="R617" i="18"/>
  <c r="R824" i="18"/>
  <c r="R71" i="18"/>
  <c r="R588" i="18"/>
  <c r="R288" i="18"/>
  <c r="R142" i="18"/>
  <c r="R835" i="18"/>
  <c r="R353" i="18"/>
  <c r="R255" i="18"/>
  <c r="R438" i="18"/>
  <c r="R414" i="18"/>
  <c r="R170" i="18"/>
  <c r="R808" i="18"/>
  <c r="R207" i="18"/>
  <c r="R629" i="18"/>
  <c r="R243" i="18"/>
  <c r="R817" i="18"/>
  <c r="R443" i="18"/>
  <c r="R762" i="18"/>
  <c r="R854" i="18"/>
  <c r="R692" i="18"/>
  <c r="R791" i="18"/>
  <c r="R30" i="18"/>
  <c r="R505" i="18"/>
  <c r="R802" i="18"/>
  <c r="R960" i="18"/>
  <c r="R959" i="18"/>
  <c r="R96" i="18"/>
  <c r="R213" i="18"/>
  <c r="R16" i="18"/>
  <c r="R667" i="18"/>
  <c r="R312" i="18"/>
  <c r="R33" i="18"/>
  <c r="R73" i="18"/>
  <c r="R749" i="18"/>
  <c r="R848" i="18"/>
  <c r="R532" i="18"/>
  <c r="R774" i="18"/>
  <c r="R83" i="18"/>
  <c r="R608" i="18"/>
  <c r="R465" i="18"/>
  <c r="R50" i="18"/>
  <c r="R624" i="18"/>
  <c r="R169" i="18"/>
  <c r="R427" i="18"/>
  <c r="R124" i="18"/>
  <c r="R129" i="18"/>
  <c r="R320" i="18"/>
  <c r="R339" i="18"/>
  <c r="R596" i="18"/>
  <c r="R690" i="18"/>
  <c r="R470" i="18"/>
  <c r="R13" i="18"/>
  <c r="R110" i="18"/>
  <c r="R758" i="18"/>
  <c r="R552" i="18"/>
  <c r="R42" i="18"/>
  <c r="R949" i="18"/>
  <c r="R681" i="18"/>
  <c r="R921" i="18"/>
  <c r="R491" i="18"/>
  <c r="R697" i="18"/>
  <c r="R840" i="18"/>
  <c r="R460" i="18"/>
  <c r="R833" i="18"/>
  <c r="R273" i="18"/>
  <c r="R36" i="18"/>
  <c r="R989" i="18"/>
  <c r="R886" i="18"/>
  <c r="R401" i="18"/>
  <c r="R72" i="18"/>
  <c r="R595" i="18"/>
  <c r="R221" i="18"/>
  <c r="R252" i="18"/>
  <c r="R602" i="18"/>
  <c r="R441" i="18"/>
  <c r="R266" i="18"/>
  <c r="R336" i="18"/>
  <c r="R869" i="18"/>
  <c r="R60" i="18"/>
  <c r="R659" i="18"/>
  <c r="R461" i="18"/>
  <c r="R663" i="18"/>
  <c r="R412" i="18"/>
  <c r="R366" i="18"/>
  <c r="R515" i="18"/>
  <c r="R452" i="18"/>
  <c r="R961" i="18"/>
  <c r="R2" i="18"/>
  <c r="R123" i="18"/>
  <c r="R451" i="18"/>
  <c r="R537" i="18"/>
  <c r="R205" i="18"/>
  <c r="R494" i="18"/>
  <c r="R597" i="18"/>
  <c r="R230" i="18"/>
  <c r="R354" i="18"/>
  <c r="R640" i="18"/>
  <c r="R373" i="18"/>
  <c r="R876" i="18"/>
  <c r="R675" i="18"/>
  <c r="R349" i="18"/>
  <c r="R58" i="18"/>
  <c r="R715" i="18"/>
  <c r="R447" i="18"/>
  <c r="R620" i="18"/>
  <c r="R729" i="18"/>
  <c r="R216" i="18"/>
  <c r="R789" i="18"/>
  <c r="R356" i="18"/>
  <c r="R982" i="18"/>
  <c r="R345" i="18"/>
  <c r="R473" i="18"/>
  <c r="R7" i="18"/>
  <c r="R889" i="18"/>
  <c r="R794" i="18"/>
  <c r="R696" i="18"/>
  <c r="R797" i="18"/>
  <c r="R431" i="18"/>
  <c r="R578" i="18"/>
  <c r="R433" i="18"/>
  <c r="R677" i="18"/>
  <c r="R6" i="18"/>
  <c r="R360" i="18"/>
  <c r="R604" i="18"/>
  <c r="R778" i="18"/>
  <c r="R86" i="18"/>
  <c r="R150" i="18"/>
  <c r="R977" i="18"/>
  <c r="R684" i="18"/>
  <c r="R135" i="18"/>
  <c r="R316" i="18"/>
  <c r="R52" i="18"/>
  <c r="R304" i="18"/>
  <c r="R998" i="18"/>
  <c r="R777" i="18"/>
  <c r="R827" i="18"/>
  <c r="R976" i="18"/>
  <c r="R748" i="18"/>
  <c r="R858" i="18"/>
  <c r="R218" i="18"/>
  <c r="R421" i="18"/>
  <c r="R871" i="18"/>
  <c r="R897" i="18"/>
  <c r="R439" i="18"/>
  <c r="R23" i="18"/>
  <c r="R314" i="18"/>
  <c r="R237" i="18"/>
  <c r="R747" i="18"/>
  <c r="R406" i="18"/>
  <c r="R591" i="18"/>
  <c r="R313" i="18"/>
  <c r="R307" i="18"/>
  <c r="R54" i="18"/>
  <c r="R53" i="18"/>
  <c r="R589" i="18"/>
  <c r="R592" i="18"/>
  <c r="R987" i="18"/>
  <c r="R988" i="18"/>
  <c r="R384" i="18"/>
  <c r="R385" i="18"/>
  <c r="R996" i="18"/>
  <c r="R633" i="18"/>
  <c r="R676" i="18"/>
  <c r="R180" i="18"/>
  <c r="R179" i="18"/>
  <c r="R942" i="18"/>
  <c r="R943" i="18"/>
  <c r="R986" i="18"/>
  <c r="R154" i="18"/>
  <c r="R560" i="18"/>
  <c r="R561" i="18"/>
  <c r="R104" i="18"/>
  <c r="R106" i="18"/>
  <c r="R107" i="18"/>
  <c r="R105" i="18"/>
  <c r="R519" i="18"/>
  <c r="R520" i="18"/>
  <c r="R521" i="18"/>
  <c r="R522" i="18"/>
  <c r="R518" i="18"/>
  <c r="R396" i="18"/>
  <c r="R736" i="18"/>
  <c r="R931" i="18"/>
  <c r="R492" i="18"/>
  <c r="R499" i="18"/>
  <c r="R497" i="18"/>
  <c r="R496" i="18"/>
  <c r="R486" i="18"/>
  <c r="R487" i="18"/>
  <c r="R472" i="18"/>
  <c r="R471" i="18"/>
  <c r="R187" i="18"/>
  <c r="R188" i="18"/>
  <c r="R878" i="18"/>
  <c r="R879" i="18"/>
  <c r="R880" i="18"/>
  <c r="R616" i="18"/>
  <c r="R746" i="18"/>
  <c r="R306" i="18"/>
</calcChain>
</file>

<file path=xl/sharedStrings.xml><?xml version="1.0" encoding="utf-8"?>
<sst xmlns="http://schemas.openxmlformats.org/spreadsheetml/2006/main" count="14317" uniqueCount="6281">
  <si>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</si>
  <si>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</si>
  <si>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</si>
  <si>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</si>
  <si>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</si>
  <si>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</si>
  <si>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</si>
  <si>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</si>
  <si>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</si>
  <si>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</si>
  <si>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</si>
  <si>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</si>
  <si>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</si>
  <si>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</si>
  <si>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</si>
  <si>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</si>
  <si>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</si>
  <si>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</si>
  <si>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</si>
  <si>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</si>
  <si>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</si>
  <si>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</si>
  <si>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</si>
  <si>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</si>
  <si>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</si>
  <si>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</si>
  <si>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</si>
  <si>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</si>
  <si>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</si>
  <si>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</si>
  <si>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</si>
  <si>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</si>
  <si>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</si>
  <si>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</si>
  <si>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</si>
  <si>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</si>
  <si>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</si>
  <si>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</si>
  <si>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</si>
  <si>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</si>
  <si>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</si>
  <si>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</si>
  <si>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</si>
  <si>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</si>
  <si>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</si>
  <si>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</si>
  <si>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</si>
  <si>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</si>
  <si>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</si>
  <si>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</si>
  <si>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</si>
  <si>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</si>
  <si>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</si>
  <si>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</si>
  <si>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</si>
  <si>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</si>
  <si>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</si>
  <si>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</si>
  <si>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</si>
  <si>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</si>
  <si>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</si>
  <si>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</si>
  <si>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</si>
  <si>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</si>
  <si>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</si>
  <si>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</si>
  <si>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</si>
  <si>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</si>
  <si>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</si>
  <si>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</si>
  <si>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</si>
  <si>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</si>
  <si>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</si>
  <si>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</si>
  <si>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</si>
  <si>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</si>
  <si>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</si>
  <si>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</si>
  <si>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</si>
  <si>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</si>
  <si>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</si>
  <si>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</si>
  <si>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</si>
  <si>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</si>
  <si>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</si>
  <si>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</si>
  <si>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</si>
  <si>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</si>
  <si>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</si>
  <si>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</si>
  <si>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</si>
  <si>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</si>
  <si>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</si>
  <si>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</si>
  <si>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</si>
  <si>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</si>
  <si>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</si>
  <si>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</si>
  <si>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</si>
  <si>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</si>
  <si>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</si>
  <si>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</si>
  <si>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</si>
  <si>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</si>
  <si>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</si>
  <si>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</si>
  <si>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</si>
  <si>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</si>
  <si>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</si>
  <si>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</si>
  <si>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</si>
  <si>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</si>
  <si>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</si>
  <si>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</si>
  <si>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</si>
  <si>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</si>
  <si>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</si>
  <si>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</si>
  <si>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</si>
  <si>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</si>
  <si>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</si>
  <si>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</si>
  <si>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</si>
  <si>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</si>
  <si>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</si>
  <si>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</si>
  <si>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</si>
  <si>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</si>
  <si>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</si>
  <si>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</si>
  <si>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</si>
  <si>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</si>
  <si>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</si>
  <si>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</si>
  <si>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</si>
  <si>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</si>
  <si>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</si>
  <si>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</si>
  <si>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</si>
  <si>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</si>
  <si>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</si>
  <si>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</si>
  <si>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</si>
  <si>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</si>
  <si>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</si>
  <si>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</si>
  <si>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</si>
  <si>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</si>
  <si>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</si>
  <si>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</si>
  <si>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</si>
  <si>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</si>
  <si>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</si>
  <si>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</si>
  <si>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</si>
  <si>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</si>
  <si>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</si>
  <si>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</si>
  <si>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</si>
  <si>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</si>
  <si>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</si>
  <si>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</si>
  <si>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</si>
  <si>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</si>
  <si>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</si>
  <si>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</si>
  <si>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</si>
  <si>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</si>
  <si>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</si>
  <si>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</si>
  <si>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</si>
  <si>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</si>
  <si>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</si>
  <si>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</si>
  <si>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</si>
  <si>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</si>
  <si>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</si>
  <si>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</si>
  <si>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</si>
  <si>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</si>
  <si>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</si>
  <si>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</si>
  <si>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</si>
  <si>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</si>
  <si>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</si>
  <si>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</si>
  <si>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</si>
  <si>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</si>
  <si>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</si>
  <si>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</si>
  <si>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</si>
  <si>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</si>
  <si>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</si>
  <si>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</si>
  <si>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</si>
  <si>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</si>
  <si>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</si>
  <si>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</si>
  <si>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</si>
  <si>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</si>
  <si>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</si>
  <si>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</si>
  <si>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</si>
  <si>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</si>
  <si>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</si>
  <si>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</si>
  <si>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</si>
  <si>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</si>
  <si>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</si>
  <si>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</si>
  <si>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</si>
  <si>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</si>
  <si>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</si>
  <si>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</si>
  <si>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</si>
  <si>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</si>
  <si>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</si>
  <si>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</si>
  <si>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</si>
  <si>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</si>
  <si>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</si>
  <si>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</si>
  <si>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</si>
  <si>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</si>
  <si>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</si>
  <si>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</si>
  <si>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</si>
  <si>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</si>
  <si>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</si>
  <si>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</si>
  <si>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</si>
  <si>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</si>
  <si>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</si>
  <si>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</si>
  <si>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</si>
  <si>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</si>
  <si>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</si>
  <si>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</si>
  <si>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</si>
  <si>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</si>
  <si>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</si>
  <si>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</si>
  <si>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</si>
  <si>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</si>
  <si>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</si>
  <si>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</si>
  <si>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</si>
  <si>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</si>
  <si>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</si>
  <si>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</si>
  <si>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</si>
  <si>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</si>
  <si>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</si>
  <si>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</si>
  <si>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</si>
  <si>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</si>
  <si>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</si>
  <si>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</si>
  <si>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</si>
  <si>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</si>
  <si>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</si>
  <si>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</si>
  <si>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</si>
  <si>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</si>
  <si>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</si>
  <si>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</si>
  <si>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</si>
  <si>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</si>
  <si>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</si>
  <si>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</si>
  <si>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</si>
  <si>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</si>
  <si>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</si>
  <si>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</si>
  <si>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</si>
  <si>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</si>
  <si>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</si>
  <si>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</si>
  <si>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</si>
  <si>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</si>
  <si>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</si>
  <si>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</si>
  <si>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</si>
  <si>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</si>
  <si>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</si>
  <si>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</si>
  <si>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</si>
  <si>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</si>
  <si>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</si>
  <si>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</si>
  <si>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</si>
  <si>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</si>
  <si>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</si>
  <si>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</si>
  <si>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</si>
  <si>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</si>
  <si>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</si>
  <si>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</si>
  <si>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</si>
  <si>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</si>
  <si>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</si>
  <si>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</si>
  <si>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</si>
  <si>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</si>
  <si>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</si>
  <si>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</si>
  <si>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</si>
  <si>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</si>
  <si>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</si>
  <si>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</si>
  <si>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</si>
  <si>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</si>
  <si>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</si>
  <si>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</si>
  <si>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</si>
  <si>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</si>
  <si>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</si>
  <si>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</si>
  <si>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</si>
  <si>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</si>
  <si>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</si>
  <si>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</si>
  <si>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</si>
  <si>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</si>
  <si>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</si>
  <si>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</si>
  <si>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</si>
  <si>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</si>
  <si>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</si>
  <si>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</si>
  <si>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</si>
  <si>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</si>
  <si>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</si>
  <si>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</si>
  <si>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</si>
  <si>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</si>
  <si>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</si>
  <si>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</si>
  <si>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</si>
  <si>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</si>
  <si>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</si>
  <si>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</si>
  <si>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</si>
  <si>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</si>
  <si>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</si>
  <si>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</si>
  <si>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</si>
  <si>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</si>
  <si>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</si>
  <si>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</si>
  <si>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</si>
  <si>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</si>
  <si>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</si>
  <si>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</si>
  <si>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</si>
  <si>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</si>
  <si>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</si>
  <si>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</si>
  <si>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</si>
  <si>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</si>
  <si>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</si>
  <si>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</si>
  <si>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</si>
  <si>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</si>
  <si>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</si>
  <si>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</si>
  <si>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</si>
  <si>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</si>
  <si>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</si>
  <si>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</si>
  <si>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</si>
  <si>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</si>
  <si>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</si>
  <si>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</si>
  <si>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</si>
  <si>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</si>
  <si>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</si>
  <si>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</si>
  <si>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</si>
  <si>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</si>
  <si>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</si>
  <si>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</si>
  <si>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</si>
  <si>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</si>
  <si>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</si>
  <si>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</si>
  <si>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</si>
  <si>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</si>
  <si>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</si>
  <si>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</si>
  <si>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</si>
  <si>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</si>
  <si>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</si>
  <si>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</si>
  <si>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</si>
  <si>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</si>
  <si>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</si>
  <si>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</si>
  <si>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</si>
  <si>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</si>
  <si>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</si>
  <si>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</si>
  <si>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</si>
  <si>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</si>
  <si>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</si>
  <si>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</si>
  <si>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</si>
  <si>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</si>
  <si>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</si>
  <si>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</si>
  <si>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</si>
  <si>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</si>
  <si>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</si>
  <si>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</si>
  <si>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</si>
  <si>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</si>
  <si>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</si>
  <si>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</si>
  <si>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</si>
  <si>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</si>
  <si>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</si>
  <si>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</si>
  <si>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</si>
  <si>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</si>
  <si>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</si>
  <si>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</si>
  <si>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</si>
  <si>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</si>
  <si>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</si>
  <si>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</si>
  <si>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</si>
  <si>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</si>
  <si>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</si>
  <si>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</si>
  <si>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</si>
  <si>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</si>
  <si>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</si>
  <si>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</si>
  <si>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</si>
  <si>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</si>
  <si>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</si>
  <si>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</si>
  <si>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</si>
  <si>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</si>
  <si>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</si>
  <si>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</si>
  <si>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</si>
  <si>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</si>
  <si>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</si>
  <si>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</si>
  <si>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</si>
  <si>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</si>
  <si>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</si>
  <si>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</si>
  <si>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</si>
  <si>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</si>
  <si>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</si>
  <si>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</si>
  <si>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</si>
  <si>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</si>
  <si>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</si>
  <si>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</si>
  <si>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</si>
  <si>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</si>
  <si>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</si>
  <si>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</si>
  <si>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</si>
  <si>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</si>
  <si>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</si>
  <si>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</si>
  <si>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</si>
  <si>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</si>
  <si>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</si>
  <si>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</si>
  <si>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</si>
  <si>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</si>
  <si>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</si>
  <si>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</si>
  <si>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</si>
  <si>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</si>
  <si>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</si>
  <si>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</si>
  <si>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</si>
  <si>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</si>
  <si>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</si>
  <si>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</si>
  <si>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</si>
  <si>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</si>
  <si>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</si>
  <si>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</si>
  <si>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</si>
  <si>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</si>
  <si>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</si>
  <si>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</si>
  <si>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</si>
  <si>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</si>
  <si>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</si>
  <si>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</si>
  <si>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</si>
  <si>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</si>
  <si>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</si>
  <si>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</si>
  <si>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</si>
  <si>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</si>
  <si>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</si>
  <si>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</si>
  <si>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</si>
  <si>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</si>
  <si>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</si>
  <si>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</si>
  <si>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</si>
  <si>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</si>
  <si>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</si>
  <si>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</si>
  <si>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</si>
  <si>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</si>
  <si>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</si>
  <si>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</si>
  <si>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</si>
  <si>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</si>
  <si>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</si>
  <si>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</si>
  <si>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</si>
  <si>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</si>
  <si>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</si>
  <si>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</si>
  <si>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</si>
  <si>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</si>
  <si>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</si>
  <si>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</si>
  <si>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</si>
  <si>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</si>
  <si>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</si>
  <si>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</si>
  <si>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</si>
  <si>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</si>
  <si>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</si>
  <si>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</si>
  <si>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</si>
  <si>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</si>
  <si>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</si>
  <si>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</si>
  <si>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</si>
  <si>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</si>
  <si>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</si>
  <si>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</si>
  <si>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</si>
  <si>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</si>
  <si>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</si>
  <si>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</si>
  <si>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</si>
  <si>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</si>
  <si>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</si>
  <si>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</si>
  <si>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</si>
  <si>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</si>
  <si>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</si>
  <si>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</si>
  <si>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</si>
  <si>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</si>
  <si>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</si>
  <si>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</si>
  <si>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</si>
  <si>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</si>
  <si>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</si>
  <si>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</si>
  <si>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</si>
  <si>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</si>
  <si>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</si>
  <si>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</si>
  <si>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</si>
  <si>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</si>
  <si>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</si>
  <si>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</si>
  <si>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</si>
  <si>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</si>
  <si>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</si>
  <si>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</si>
  <si>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</si>
  <si>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</si>
  <si>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</si>
  <si>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</si>
  <si>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</si>
  <si>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</si>
  <si>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</si>
  <si>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</si>
  <si>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</si>
  <si>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</si>
  <si>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</si>
  <si>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</si>
  <si>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</si>
  <si>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</si>
  <si>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</si>
  <si>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</si>
  <si>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</si>
  <si>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</si>
  <si>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</si>
  <si>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</si>
  <si>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</si>
  <si>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</si>
  <si>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</si>
  <si>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</si>
  <si>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</si>
  <si>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</si>
  <si>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</si>
  <si>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</si>
  <si>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</si>
  <si>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</si>
  <si>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</si>
  <si>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</si>
  <si>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</si>
  <si>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</si>
  <si>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</si>
  <si>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</si>
  <si>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</si>
  <si>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</si>
  <si>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</si>
  <si>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</si>
  <si>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</si>
  <si>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</si>
  <si>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</si>
  <si>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</si>
  <si>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</si>
  <si>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</si>
  <si>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</si>
  <si>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</si>
  <si>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</si>
  <si>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</si>
  <si>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</si>
  <si>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</si>
  <si>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</si>
  <si>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</si>
  <si>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</si>
  <si>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</si>
  <si>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</si>
  <si>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</si>
  <si>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</si>
  <si>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</si>
  <si>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</si>
  <si>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</si>
  <si>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</si>
  <si>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</si>
  <si>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</si>
  <si>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</si>
  <si>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</si>
  <si>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</si>
  <si>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</si>
  <si>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</si>
  <si>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</si>
  <si>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</si>
  <si>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</si>
  <si>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</si>
  <si>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</si>
  <si>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</si>
  <si>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</si>
  <si>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</si>
  <si>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</si>
  <si>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</si>
  <si>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</si>
  <si>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</si>
  <si>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</si>
  <si>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</si>
  <si>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</si>
  <si>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</si>
  <si>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</si>
  <si>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</si>
  <si>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</si>
  <si>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</si>
  <si>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</si>
  <si>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</si>
  <si>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</si>
  <si>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</si>
  <si>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</si>
  <si>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</si>
  <si>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</si>
  <si>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</si>
  <si>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</si>
  <si>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</si>
  <si>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</si>
  <si>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</si>
  <si>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</si>
  <si>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</si>
  <si>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</si>
  <si>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</si>
  <si>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</si>
  <si>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</si>
  <si>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</si>
  <si>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</si>
  <si>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</si>
  <si>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</si>
  <si>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</si>
  <si>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</si>
  <si>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</si>
  <si>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</si>
  <si>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</si>
  <si>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</si>
  <si>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</si>
  <si>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</si>
  <si>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</si>
  <si>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</si>
  <si>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</si>
  <si>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</si>
  <si>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</si>
  <si>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</si>
  <si>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</si>
  <si>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</si>
  <si>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</si>
  <si>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</si>
  <si>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</si>
  <si>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</si>
  <si>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</si>
  <si>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</si>
  <si>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</si>
  <si>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</si>
  <si>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</si>
  <si>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</si>
  <si>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</si>
  <si>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</si>
  <si>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</si>
  <si>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</si>
  <si>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</si>
  <si>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</si>
  <si>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</si>
  <si>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</si>
  <si>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</si>
  <si>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</si>
  <si>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</si>
  <si>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</si>
  <si>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</si>
  <si>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</si>
  <si>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</si>
  <si>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</si>
  <si>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</si>
  <si>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</si>
  <si>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</si>
  <si>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</si>
  <si>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</si>
  <si>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</si>
  <si>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</si>
  <si>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</si>
  <si>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</si>
  <si>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</si>
  <si>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</si>
  <si>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</si>
  <si>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</si>
  <si>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</si>
  <si>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</si>
  <si>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</si>
  <si>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</si>
  <si>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</si>
  <si>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</si>
  <si>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</si>
  <si>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</si>
  <si>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</si>
  <si>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</si>
  <si>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</si>
  <si>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</si>
  <si>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</si>
  <si>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</si>
  <si>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</si>
  <si>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</si>
  <si>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</si>
  <si>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</si>
  <si>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</si>
  <si>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</si>
  <si>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</si>
  <si>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</si>
  <si>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</si>
  <si>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</si>
  <si>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</si>
  <si>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</si>
  <si>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</si>
  <si>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</si>
  <si>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</si>
  <si>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</si>
  <si>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</si>
  <si>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</si>
  <si>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</si>
  <si>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</si>
  <si>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</si>
  <si>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</si>
  <si>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</si>
  <si>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</si>
  <si>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</si>
  <si>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</si>
  <si>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</si>
  <si>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</si>
  <si>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</si>
  <si>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</si>
  <si>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</si>
  <si>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</si>
  <si>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</si>
  <si>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</si>
  <si>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</si>
  <si>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</si>
  <si>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</si>
  <si>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</si>
  <si>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</si>
  <si>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</si>
  <si>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</si>
  <si>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</si>
  <si>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</si>
  <si>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</si>
  <si>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</si>
  <si>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</si>
  <si>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</si>
  <si>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</si>
  <si>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</si>
  <si>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</si>
  <si>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</si>
  <si>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</si>
  <si>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</si>
  <si>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</si>
  <si>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</si>
  <si>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</si>
  <si>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</si>
  <si>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</si>
  <si>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</si>
  <si>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</si>
  <si>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</si>
  <si>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</si>
  <si>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</si>
  <si>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</si>
  <si>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</si>
  <si>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</si>
  <si>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</si>
  <si>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</si>
  <si>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</si>
  <si>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</si>
  <si>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</si>
  <si>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</si>
  <si>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</si>
  <si>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</si>
  <si>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</si>
  <si>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</si>
  <si>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</si>
  <si>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</si>
  <si>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</si>
  <si>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</si>
  <si>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</si>
  <si>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</si>
  <si>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</si>
  <si>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</si>
  <si>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</si>
  <si>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</si>
  <si>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</si>
  <si>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</si>
  <si>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</si>
  <si>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</si>
  <si>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</si>
  <si>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</si>
  <si>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</si>
  <si>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</si>
  <si>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</si>
  <si>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</si>
  <si>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</si>
  <si>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</si>
  <si>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</si>
  <si>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</si>
  <si>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</si>
  <si>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</si>
  <si>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</si>
  <si>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</si>
  <si>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</si>
  <si>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</si>
  <si>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</si>
  <si>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</si>
  <si>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</si>
  <si>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</si>
  <si>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</si>
  <si>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</si>
  <si>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</si>
  <si>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</si>
  <si>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</si>
  <si>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</si>
  <si>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</si>
  <si>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</si>
  <si>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</si>
  <si>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</si>
  <si>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</si>
  <si>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</si>
  <si>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</si>
  <si>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</si>
  <si>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</si>
  <si>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</si>
  <si>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</si>
  <si>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</si>
  <si>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</si>
  <si>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</si>
  <si>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</si>
  <si>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</si>
  <si>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</si>
  <si>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</si>
  <si>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</si>
  <si>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</si>
  <si>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</si>
  <si>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</si>
  <si>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</si>
  <si>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</si>
  <si>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</si>
  <si>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</si>
  <si>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</si>
  <si>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</si>
  <si>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</si>
  <si>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</si>
  <si>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</si>
  <si>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</si>
  <si>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</si>
  <si>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</si>
  <si>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</si>
  <si>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</si>
  <si>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</si>
  <si>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</si>
  <si>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</si>
  <si>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</si>
  <si>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</si>
  <si>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</si>
  <si>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</si>
  <si>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</si>
  <si>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</si>
  <si>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</si>
  <si>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</si>
  <si>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</si>
  <si>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</si>
  <si>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</si>
  <si>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</si>
  <si>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</si>
  <si>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</si>
  <si>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</si>
  <si>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</si>
  <si>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</si>
  <si>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</si>
  <si>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</si>
  <si>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</si>
  <si>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</si>
  <si>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</si>
  <si>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</si>
  <si>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</si>
  <si>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</si>
  <si>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</si>
  <si>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</si>
  <si>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</si>
  <si>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</si>
  <si>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</si>
  <si>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</si>
  <si>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</si>
  <si>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</si>
  <si>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</si>
  <si>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</si>
  <si>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</si>
  <si>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</si>
  <si>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</si>
  <si>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</si>
  <si>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</si>
  <si>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</si>
  <si>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</si>
  <si>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</si>
  <si>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</si>
  <si>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</si>
  <si>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</si>
  <si>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</si>
  <si>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</si>
  <si>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</si>
  <si>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</si>
  <si>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</si>
  <si>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</si>
  <si>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</si>
  <si>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</si>
  <si>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</si>
  <si>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</si>
  <si>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</si>
  <si>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</si>
  <si>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</si>
  <si>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</si>
  <si>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</si>
  <si>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</si>
  <si>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</si>
  <si>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</si>
  <si>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</si>
  <si>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</si>
  <si>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</si>
  <si>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</si>
  <si>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</si>
  <si>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</si>
  <si>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</si>
  <si>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</si>
  <si>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</si>
  <si>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</si>
  <si>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</si>
  <si>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</si>
  <si>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</si>
  <si>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</si>
  <si>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</si>
  <si>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</si>
  <si>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</si>
  <si>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</si>
  <si>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</si>
  <si>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</si>
  <si>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</si>
  <si>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</si>
  <si>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</si>
  <si>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</si>
  <si>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</si>
  <si>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</si>
  <si>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</si>
  <si>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</si>
  <si>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</si>
  <si>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</si>
  <si>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</si>
  <si>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</si>
  <si>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</si>
  <si>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</si>
  <si>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</si>
  <si>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</si>
  <si>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</si>
  <si>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</si>
  <si>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</si>
  <si>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</si>
  <si>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</si>
  <si>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</si>
  <si>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</si>
  <si>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</si>
  <si>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</si>
  <si>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</si>
  <si>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</si>
  <si>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</si>
  <si>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</si>
  <si>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</si>
  <si>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</si>
  <si>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</si>
  <si>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</si>
  <si>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</si>
  <si>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</si>
  <si>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</si>
  <si>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</si>
  <si>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</si>
  <si>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</si>
  <si>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</si>
  <si>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</si>
  <si>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</si>
  <si>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</si>
  <si>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</si>
  <si>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</si>
  <si>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</si>
  <si>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</si>
  <si>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</si>
  <si>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</si>
  <si>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</si>
  <si>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</si>
  <si>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</si>
  <si>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</si>
  <si>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</si>
  <si>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</si>
  <si>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</si>
  <si>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</si>
  <si>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</si>
  <si>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</si>
  <si>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</si>
  <si>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</si>
  <si>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</si>
  <si>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</si>
  <si>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</si>
  <si>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</si>
  <si>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</si>
  <si>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</si>
  <si>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</si>
  <si>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</si>
  <si>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</si>
  <si>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</si>
  <si>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</si>
  <si>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</si>
  <si>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</si>
  <si>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</si>
  <si>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</si>
  <si>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</si>
  <si>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</si>
  <si>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</si>
  <si>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</si>
  <si>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</si>
  <si>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</si>
  <si>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</si>
  <si>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</si>
  <si>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</si>
  <si>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</si>
  <si>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</si>
  <si>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</si>
  <si>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</si>
  <si>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</si>
  <si>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</si>
  <si>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</si>
  <si>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</si>
  <si>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</si>
  <si>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</si>
  <si>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</si>
  <si>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</si>
  <si>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</si>
  <si>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</si>
  <si>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</si>
  <si>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</si>
  <si>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</si>
  <si>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</si>
  <si>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</si>
  <si>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</si>
  <si>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</si>
  <si>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</si>
  <si>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</si>
  <si>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</si>
  <si>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</si>
  <si>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</si>
  <si>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</si>
  <si>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</si>
  <si>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</si>
  <si>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</si>
  <si>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</si>
  <si>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</si>
  <si>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</si>
  <si>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</si>
  <si>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</si>
  <si>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</si>
  <si>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</si>
  <si>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</si>
  <si>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</si>
  <si>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</si>
  <si>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</si>
  <si>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</si>
  <si>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</si>
  <si>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</si>
  <si>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</si>
  <si>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</si>
  <si>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</si>
  <si>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</si>
  <si>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</si>
  <si>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</si>
  <si>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</si>
  <si>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</si>
  <si>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</si>
  <si>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</si>
  <si>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</si>
  <si>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</si>
  <si>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</si>
  <si>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</si>
  <si>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</si>
  <si>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</si>
  <si>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</si>
  <si>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</si>
  <si>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</si>
  <si>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</si>
  <si>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</si>
  <si>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</si>
  <si>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</si>
  <si>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</si>
  <si>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</si>
  <si>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</si>
  <si>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</si>
  <si>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</si>
  <si>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</si>
  <si>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</si>
  <si>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</si>
  <si>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</si>
  <si>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</si>
  <si>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</si>
  <si>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</si>
  <si>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</si>
  <si>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</si>
  <si>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</si>
  <si>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</si>
  <si>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</si>
  <si>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</si>
  <si>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</si>
  <si>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</si>
  <si>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</si>
  <si>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</si>
  <si>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</si>
  <si>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</si>
  <si>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</si>
  <si>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</si>
  <si>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</si>
  <si>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</si>
  <si>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</si>
  <si>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</si>
  <si>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</si>
  <si>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</si>
  <si>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</si>
  <si>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</si>
  <si>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</si>
  <si>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</si>
  <si>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</si>
  <si>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</si>
  <si>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</si>
  <si>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</si>
  <si>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</si>
  <si>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</si>
  <si>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</si>
  <si>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</si>
  <si>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</si>
  <si>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</si>
  <si>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</si>
  <si>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</si>
  <si>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</si>
  <si>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</si>
  <si>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</si>
  <si>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</si>
  <si>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</si>
  <si>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</si>
  <si>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</si>
  <si>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</si>
  <si>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</si>
  <si>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</si>
  <si>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</si>
  <si>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</si>
  <si>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</si>
  <si>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</si>
  <si>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</si>
  <si>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</si>
  <si>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</si>
  <si>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</si>
  <si>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</si>
  <si>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</si>
  <si>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</si>
  <si>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</si>
  <si>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</si>
  <si>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</si>
  <si>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</si>
  <si>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</si>
  <si>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</si>
  <si>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</si>
  <si>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</si>
  <si>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</si>
  <si>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</si>
  <si>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</si>
  <si>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</si>
  <si>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</si>
  <si>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</si>
  <si>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</si>
  <si>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</si>
  <si>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</si>
  <si>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</si>
  <si>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</si>
  <si>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</si>
  <si>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</si>
  <si>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</si>
  <si>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</si>
  <si>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</si>
  <si>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</si>
  <si>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</si>
  <si>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</si>
  <si>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</si>
  <si>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</si>
  <si>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</si>
  <si>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</si>
  <si>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</si>
  <si>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</si>
  <si>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</si>
  <si>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</si>
  <si>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</si>
  <si>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</si>
  <si>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</si>
  <si>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</si>
  <si>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</si>
  <si>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</si>
  <si>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</si>
  <si>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</si>
  <si>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</si>
  <si>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</si>
  <si>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</si>
  <si>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</si>
  <si>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</si>
  <si>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</si>
  <si>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</si>
  <si>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</si>
  <si>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</si>
  <si>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</si>
  <si>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</si>
  <si>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</si>
  <si>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</si>
  <si>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</si>
  <si>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</si>
  <si>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</si>
  <si>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</si>
  <si>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</si>
  <si>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</si>
  <si>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</si>
  <si>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</si>
  <si>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</si>
  <si>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</si>
  <si>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</si>
  <si>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</si>
  <si>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</si>
  <si>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</si>
  <si>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</si>
  <si>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</si>
  <si>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</si>
  <si>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</si>
  <si>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</si>
  <si>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</si>
  <si>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</si>
  <si>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</si>
  <si>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</si>
  <si>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</si>
  <si>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</si>
  <si>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</si>
  <si>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</si>
  <si>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</si>
  <si>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</si>
  <si>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</si>
  <si>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</si>
  <si>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</si>
  <si>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</si>
  <si>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</si>
  <si>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</si>
  <si>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</si>
  <si>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</si>
  <si>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</si>
  <si>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</si>
  <si>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</si>
  <si>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</si>
  <si>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</si>
  <si>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</si>
  <si>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</si>
  <si>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</si>
  <si>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</si>
  <si>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</si>
  <si>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</si>
  <si>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</si>
  <si>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</si>
  <si>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</si>
  <si>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</si>
  <si>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</si>
  <si>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</si>
  <si>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</si>
  <si>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</si>
  <si>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</si>
  <si>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</si>
  <si>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</si>
  <si>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</si>
  <si>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</si>
  <si>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</si>
  <si>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</si>
  <si>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</si>
  <si>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</si>
  <si>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</si>
  <si>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</si>
  <si>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</si>
  <si>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</si>
  <si>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</si>
  <si>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</si>
  <si>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</si>
  <si>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</si>
  <si>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</si>
  <si>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</si>
  <si>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</si>
  <si>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</si>
  <si>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</si>
  <si>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</si>
  <si>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</si>
  <si>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</si>
  <si>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</si>
  <si>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</si>
  <si>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</si>
  <si>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</si>
  <si>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</si>
  <si>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</si>
  <si>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</si>
  <si>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</si>
  <si>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</si>
  <si>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</si>
  <si>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</si>
  <si>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</si>
  <si>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</si>
  <si>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</si>
  <si>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</si>
  <si>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</si>
  <si>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</si>
  <si>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</si>
  <si>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</si>
  <si>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</si>
  <si>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</si>
  <si>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</si>
  <si>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</si>
  <si>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</si>
  <si>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</si>
  <si>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</si>
  <si>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</si>
  <si>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</si>
  <si>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</si>
  <si>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</si>
  <si>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</si>
  <si>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</si>
  <si>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</si>
  <si>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</si>
  <si>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</si>
  <si>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</si>
  <si>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</si>
  <si>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</si>
  <si>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</si>
  <si>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</si>
  <si>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</si>
  <si>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</si>
  <si>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</si>
  <si>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</si>
  <si>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</si>
  <si>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</si>
  <si>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</si>
  <si>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</si>
  <si>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</si>
  <si>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</si>
  <si>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</si>
  <si>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</si>
  <si>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</si>
  <si>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</si>
  <si>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</si>
  <si>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</si>
  <si>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</si>
  <si>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</si>
  <si>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</si>
  <si>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</si>
  <si>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</si>
  <si>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</si>
  <si>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</si>
  <si>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</si>
  <si>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</si>
  <si>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</si>
  <si>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</si>
  <si>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</si>
  <si>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</si>
  <si>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</si>
  <si>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</si>
  <si>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</si>
  <si>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</si>
  <si>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</si>
  <si>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</si>
  <si>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</si>
  <si>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</si>
  <si>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</si>
  <si>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</si>
  <si>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</si>
  <si>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</si>
  <si>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</si>
  <si>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</si>
  <si>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</si>
  <si>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</si>
  <si>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</si>
  <si>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</si>
  <si>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</si>
  <si>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</si>
  <si>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</si>
  <si>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</si>
  <si>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</si>
  <si>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</si>
  <si>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</si>
  <si>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</si>
  <si>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</si>
  <si>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</si>
  <si>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</si>
  <si>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</si>
  <si>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</si>
  <si>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</si>
  <si>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</si>
  <si>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</si>
  <si>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</si>
  <si>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</si>
  <si>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</si>
  <si>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</si>
  <si>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</si>
  <si>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</si>
  <si>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</si>
  <si>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</si>
  <si>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</si>
  <si>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</si>
  <si>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</si>
  <si>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</si>
  <si>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</si>
  <si>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</si>
  <si>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</si>
  <si>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</si>
  <si>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</si>
  <si>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</si>
  <si>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</si>
  <si>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</si>
  <si>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</si>
  <si>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</si>
  <si>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</si>
  <si>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</si>
  <si>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</si>
  <si>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</si>
  <si>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</si>
  <si>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</si>
  <si>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</si>
  <si>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</si>
  <si>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</si>
  <si>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</si>
  <si>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</si>
  <si>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</si>
  <si>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</si>
  <si>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</si>
  <si>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</si>
  <si>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</si>
  <si>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</si>
  <si>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</si>
  <si>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</si>
  <si>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</si>
  <si>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</si>
  <si>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</si>
  <si>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</si>
  <si>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</si>
  <si>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</si>
  <si>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</si>
  <si>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</si>
  <si>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</si>
  <si>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</si>
  <si>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</si>
  <si>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</si>
  <si>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</si>
  <si>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</si>
  <si>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</si>
  <si>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</si>
  <si>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</si>
  <si>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</si>
  <si>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</si>
  <si>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</si>
  <si>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</si>
  <si>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</si>
  <si>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</si>
  <si>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</si>
  <si>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</si>
  <si>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</si>
  <si>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</si>
  <si>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</si>
  <si>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</si>
  <si>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</si>
  <si>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</si>
  <si>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</si>
  <si>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</si>
  <si>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</si>
  <si>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</si>
  <si>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</si>
  <si>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</si>
  <si>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</si>
  <si>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</si>
  <si>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</si>
  <si>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</si>
  <si>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</si>
  <si>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</si>
  <si>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</si>
  <si>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</si>
  <si>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</si>
  <si>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</si>
  <si>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</si>
  <si>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</si>
  <si>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</si>
  <si>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</si>
  <si>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</si>
  <si>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</si>
  <si>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</si>
  <si>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</si>
  <si>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</si>
  <si>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</si>
  <si>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</si>
  <si>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</si>
  <si>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</si>
  <si>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</si>
  <si>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</si>
  <si>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</si>
  <si>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</si>
  <si>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</si>
  <si>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</si>
  <si>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</si>
  <si>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</si>
  <si>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</si>
  <si>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</si>
  <si>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</si>
  <si>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</si>
  <si>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</si>
  <si>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</si>
  <si>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</si>
  <si>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</si>
  <si>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</si>
  <si>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</si>
  <si>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</si>
  <si>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</si>
  <si>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</si>
  <si>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</si>
  <si>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</si>
  <si>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</si>
  <si>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</si>
  <si>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</si>
  <si>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</si>
  <si>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</si>
  <si>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</si>
  <si>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</si>
  <si>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</si>
  <si>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</si>
  <si>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</si>
  <si>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</si>
  <si>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</si>
  <si>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</si>
  <si>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</si>
  <si>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</si>
  <si>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</si>
  <si>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</si>
  <si>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</si>
  <si>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</si>
  <si>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</si>
  <si>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</si>
  <si>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</si>
  <si>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</si>
  <si>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</si>
  <si>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</si>
  <si>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</si>
  <si>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</si>
  <si>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</si>
  <si>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</si>
  <si>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</si>
  <si>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</si>
  <si>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</si>
  <si>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</si>
  <si>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</si>
  <si>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</si>
  <si>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</si>
  <si>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</si>
  <si>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</si>
  <si>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</si>
  <si>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</si>
  <si>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</si>
  <si>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</si>
  <si>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</si>
  <si>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</si>
  <si>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</si>
  <si>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</si>
  <si>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</si>
  <si>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</si>
  <si>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</si>
  <si>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</si>
  <si>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</si>
  <si>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</si>
  <si>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</si>
  <si>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</si>
  <si>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</si>
  <si>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</si>
  <si>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</si>
  <si>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</si>
  <si>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</si>
  <si>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</si>
  <si>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</si>
  <si>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</si>
  <si>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</si>
  <si>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</si>
  <si>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</si>
  <si>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</si>
  <si>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</si>
  <si>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</si>
  <si>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</si>
  <si>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</si>
  <si>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</si>
  <si>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</si>
  <si>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</si>
  <si>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</si>
  <si>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</si>
  <si>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</si>
  <si>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</si>
  <si>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</si>
  <si>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</si>
  <si>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</si>
  <si>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</si>
  <si>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</si>
  <si>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</si>
  <si>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</si>
  <si>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</si>
  <si>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</si>
  <si>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</si>
  <si>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</si>
  <si>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</si>
  <si>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</si>
  <si>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</si>
  <si>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</si>
  <si>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</si>
  <si>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</si>
  <si>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</si>
  <si>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</si>
  <si>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</si>
  <si>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</si>
  <si>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</si>
  <si>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</si>
  <si>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</si>
  <si>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</si>
  <si>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</si>
  <si>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</si>
  <si>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</si>
  <si>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</si>
  <si>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</si>
  <si>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</si>
  <si>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</si>
  <si>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</si>
  <si>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</si>
  <si>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</si>
  <si>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</si>
  <si>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</si>
  <si>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</si>
  <si>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</si>
  <si>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</si>
  <si>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</si>
  <si>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</si>
  <si>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</si>
  <si>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</si>
  <si>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</si>
  <si>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</si>
  <si>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</si>
  <si>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</si>
  <si>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</si>
  <si>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</si>
  <si>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</si>
  <si>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</si>
  <si>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</si>
  <si>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</si>
  <si>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</si>
  <si>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</si>
  <si>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</si>
  <si>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</si>
  <si>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</si>
  <si>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</si>
  <si>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</si>
  <si>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</si>
  <si>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</si>
  <si>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</si>
  <si>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</si>
  <si>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</si>
  <si>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</si>
  <si>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</si>
  <si>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</si>
  <si>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</si>
  <si>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</si>
  <si>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</si>
  <si>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</si>
  <si>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</si>
  <si>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</si>
  <si>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</si>
  <si>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</si>
  <si>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</si>
  <si>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</si>
  <si>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</si>
  <si>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</si>
  <si>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</si>
  <si>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</si>
  <si>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</si>
  <si>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</si>
  <si>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</si>
  <si>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</si>
  <si>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</si>
  <si>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</si>
  <si>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</si>
  <si>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</si>
  <si>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</si>
  <si>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</si>
  <si>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</si>
  <si>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</si>
  <si>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</si>
  <si>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</si>
  <si>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</si>
  <si>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</si>
  <si>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</si>
  <si>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</si>
  <si>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</si>
  <si>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</si>
  <si>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</si>
  <si>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</si>
  <si>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</si>
  <si>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</si>
  <si>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</si>
  <si>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</si>
  <si>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</si>
  <si>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</si>
  <si>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</si>
  <si>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</si>
  <si>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</si>
  <si>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</si>
  <si>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</si>
  <si>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</si>
  <si>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</si>
  <si>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</si>
  <si>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</si>
  <si>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</si>
  <si>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</si>
  <si>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</si>
  <si>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</si>
  <si>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</si>
  <si>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</si>
  <si>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</si>
  <si>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</si>
  <si>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</si>
  <si>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</si>
  <si>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</si>
  <si>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</si>
  <si>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</si>
  <si>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</si>
  <si>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</si>
  <si>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</si>
  <si>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</si>
  <si>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</si>
  <si>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</si>
  <si>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</si>
  <si>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</si>
  <si>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</si>
  <si>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</si>
  <si>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</si>
  <si>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</si>
  <si>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</si>
  <si>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</si>
  <si>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</si>
  <si>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</si>
  <si>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</si>
  <si>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</si>
  <si>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</si>
  <si>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</si>
  <si>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</si>
  <si>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</si>
  <si>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</si>
  <si>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</si>
  <si>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</si>
  <si>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</si>
  <si>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</si>
  <si>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</si>
  <si>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</si>
  <si>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</si>
  <si>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</si>
  <si>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</si>
  <si>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</si>
  <si>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</si>
  <si>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</si>
  <si>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</si>
  <si>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</si>
  <si>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</si>
  <si>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</si>
  <si>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</si>
  <si>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</si>
  <si>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</si>
  <si>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</si>
  <si>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</si>
  <si>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</si>
  <si>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</si>
  <si>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</si>
  <si>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</si>
  <si>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</si>
  <si>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</si>
  <si>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</si>
  <si>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</si>
  <si>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</si>
  <si>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</si>
  <si>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</si>
  <si>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</si>
  <si>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</si>
  <si>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</si>
  <si>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</si>
  <si>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</si>
  <si>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</si>
  <si>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</si>
  <si>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</si>
  <si>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</si>
  <si>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</si>
  <si>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</si>
  <si>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</si>
  <si>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</si>
  <si>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</si>
  <si>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</si>
  <si>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</si>
  <si>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</si>
  <si>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</si>
  <si>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</si>
  <si>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</si>
  <si>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</si>
  <si>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</si>
  <si>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</si>
  <si>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</si>
  <si>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</si>
  <si>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</si>
  <si>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</si>
  <si>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</si>
  <si>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</si>
  <si>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</si>
  <si>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</si>
  <si>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</si>
  <si>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</si>
  <si>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</si>
  <si>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</si>
  <si>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</si>
  <si>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</si>
  <si>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</si>
  <si>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</si>
  <si>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</si>
  <si>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</si>
  <si>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</si>
  <si>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</si>
  <si>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</si>
  <si>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</si>
  <si>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</si>
  <si>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</si>
  <si>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</si>
  <si>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</si>
  <si>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</si>
  <si>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</si>
  <si>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</si>
  <si>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</si>
  <si>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</si>
  <si>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</si>
  <si>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</si>
  <si>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</si>
  <si>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</si>
  <si>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</si>
  <si>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</si>
  <si>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</si>
  <si>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</si>
  <si>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</si>
  <si>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</si>
  <si>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</si>
  <si>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</si>
  <si>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</si>
  <si>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</si>
  <si>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</si>
  <si>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</si>
  <si>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</si>
  <si>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</si>
  <si>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</si>
  <si>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</si>
  <si>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</si>
  <si>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</si>
  <si>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</si>
  <si>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</si>
  <si>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</si>
  <si>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</si>
  <si>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</si>
  <si>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</si>
  <si>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</si>
  <si>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</si>
  <si>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</si>
  <si>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</si>
  <si>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</si>
  <si>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</si>
  <si>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</si>
  <si>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</si>
  <si>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</si>
  <si>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</si>
  <si>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</si>
  <si>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</si>
  <si>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</si>
  <si>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</si>
  <si>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</si>
  <si>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</si>
  <si>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</si>
  <si>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</si>
  <si>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</si>
  <si>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</si>
  <si>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</si>
  <si>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</si>
  <si>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</si>
  <si>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</si>
  <si>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</si>
  <si>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</si>
  <si>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</si>
  <si>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</si>
  <si>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</si>
  <si>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</si>
  <si>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</si>
  <si>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</si>
  <si>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</si>
  <si>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</si>
  <si>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</si>
  <si>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</si>
  <si>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</si>
  <si>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</si>
  <si>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</si>
  <si>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</si>
  <si>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</si>
  <si>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</si>
  <si>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</si>
  <si>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</si>
  <si>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</si>
  <si>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</si>
  <si>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</si>
  <si>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</si>
  <si>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</si>
  <si>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</si>
  <si>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</si>
  <si>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</si>
  <si>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</si>
  <si>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</si>
  <si>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</si>
  <si>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</si>
  <si>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</si>
  <si>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</si>
  <si>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</si>
  <si>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</si>
  <si>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</si>
  <si>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</si>
  <si>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</si>
  <si>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</si>
  <si>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</si>
  <si>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</si>
  <si>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</si>
  <si>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</si>
  <si>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</si>
  <si>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</si>
  <si>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</si>
  <si>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</si>
  <si>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</si>
  <si>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</si>
  <si>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</si>
  <si>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</si>
  <si>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</si>
  <si>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</si>
  <si>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</si>
  <si>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</si>
  <si>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</si>
  <si>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</si>
  <si>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</si>
  <si>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</si>
  <si>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</si>
  <si>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</si>
  <si>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</si>
  <si>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</si>
  <si>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</si>
  <si>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</si>
  <si>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</si>
  <si>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</si>
  <si>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</si>
  <si>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</si>
  <si>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</si>
  <si>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</si>
  <si>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</si>
  <si>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</si>
  <si>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</si>
  <si>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</si>
  <si>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</si>
  <si>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</si>
  <si>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</si>
  <si>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</si>
  <si>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</si>
  <si>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</si>
  <si>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</si>
  <si>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</si>
  <si>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</si>
  <si>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</si>
  <si>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</si>
  <si>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</si>
  <si>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</si>
  <si>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</si>
  <si>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</si>
  <si>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</si>
  <si>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</si>
  <si>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</si>
  <si>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</si>
  <si>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</si>
  <si>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</si>
  <si>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</si>
  <si>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</si>
  <si>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</si>
  <si>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</si>
  <si>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</si>
  <si>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</si>
  <si>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</si>
  <si>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</si>
  <si>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</si>
  <si>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</si>
  <si>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</si>
  <si>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</si>
  <si>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</si>
  <si>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</si>
  <si>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</si>
  <si>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</si>
  <si>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</si>
  <si>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</si>
  <si>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</si>
  <si>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</si>
  <si>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</si>
  <si>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</si>
  <si>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</si>
  <si>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</si>
  <si>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</si>
  <si>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</si>
  <si>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</si>
  <si>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</si>
  <si>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</si>
  <si>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</si>
  <si>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</si>
  <si>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</si>
  <si>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</si>
  <si>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</si>
  <si>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</si>
  <si>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</si>
  <si>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</si>
  <si>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</si>
  <si>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</si>
  <si>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</si>
  <si>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</si>
  <si>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</si>
  <si>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</si>
  <si>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</si>
  <si>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</si>
  <si>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</si>
  <si>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</si>
  <si>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</si>
  <si>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</si>
  <si>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</si>
  <si>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</si>
  <si>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</si>
  <si>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</si>
  <si>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</si>
  <si>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</si>
  <si>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</si>
  <si>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</si>
  <si>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</si>
  <si>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</si>
  <si>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</si>
  <si>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</si>
  <si>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</si>
  <si>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</si>
  <si>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</si>
  <si>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</si>
  <si>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</si>
  <si>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</si>
  <si>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</si>
  <si>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</si>
  <si>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</si>
  <si>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</si>
  <si>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</si>
  <si>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</si>
  <si>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</si>
  <si>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</si>
  <si>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</si>
  <si>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</si>
  <si>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</si>
  <si>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</si>
  <si>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</si>
  <si>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</si>
  <si>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</si>
  <si>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</si>
  <si>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</si>
  <si>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</si>
  <si>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</si>
  <si>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</si>
  <si>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</si>
  <si>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</si>
  <si>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</si>
  <si>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</si>
  <si>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</si>
  <si>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</si>
  <si>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</si>
  <si>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</si>
  <si>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</si>
  <si>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</si>
  <si>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</si>
  <si>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</si>
  <si>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</si>
  <si>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</si>
  <si>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</si>
  <si>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</si>
  <si>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</si>
  <si>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</si>
  <si>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</si>
  <si>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</si>
  <si>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</si>
  <si>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</si>
  <si>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</si>
  <si>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</si>
  <si>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</si>
  <si>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</si>
  <si>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</si>
  <si>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</si>
  <si>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</si>
  <si>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</si>
  <si>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</si>
  <si>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</si>
  <si>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</si>
  <si>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</si>
  <si>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</si>
  <si>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</si>
  <si>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</si>
  <si>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</si>
  <si>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</si>
  <si>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</si>
  <si>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</si>
  <si>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</si>
  <si>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</si>
  <si>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</si>
  <si>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</si>
  <si>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</si>
  <si>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</si>
  <si>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</si>
  <si>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</si>
  <si>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</si>
  <si>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</si>
  <si>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</si>
  <si>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</si>
  <si>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</si>
  <si>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</si>
  <si>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</si>
  <si>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</si>
  <si>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</si>
  <si>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</si>
  <si>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</si>
  <si>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</si>
  <si>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</si>
  <si>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</si>
  <si>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</si>
  <si>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</si>
  <si>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</si>
  <si>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</si>
  <si>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</si>
  <si>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</si>
  <si>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</si>
  <si>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</si>
  <si>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</si>
  <si>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</si>
  <si>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</si>
  <si>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</si>
  <si>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</si>
  <si>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</si>
  <si>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</si>
  <si>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</si>
  <si>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</si>
  <si>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</si>
  <si>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</si>
  <si>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</si>
  <si>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</si>
  <si>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</si>
  <si>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</si>
  <si>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</si>
  <si>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</si>
  <si>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</si>
  <si>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</si>
  <si>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</si>
  <si>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</si>
  <si>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</si>
  <si>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</si>
  <si>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</si>
  <si>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</si>
  <si>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</si>
  <si>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</si>
  <si>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</si>
  <si>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</si>
  <si>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</si>
  <si>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</si>
  <si>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</si>
  <si>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</si>
  <si>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</si>
  <si>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</si>
  <si>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</si>
  <si>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</si>
  <si>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</si>
  <si>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</si>
  <si>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</si>
  <si>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</si>
  <si>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</si>
  <si>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</si>
  <si>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</si>
  <si>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</si>
  <si>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</si>
  <si>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</si>
  <si>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</si>
  <si>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</si>
  <si>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</si>
  <si>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</si>
  <si>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</si>
  <si>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</si>
  <si>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</si>
  <si>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</si>
  <si>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</si>
  <si>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</si>
  <si>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</si>
  <si>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</si>
  <si>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</si>
  <si>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</si>
  <si>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</si>
  <si>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</si>
  <si>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</si>
  <si>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</si>
  <si>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</si>
  <si>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</si>
  <si>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</si>
  <si>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</si>
  <si>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</si>
  <si>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</si>
  <si>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</si>
  <si>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</si>
  <si>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</si>
  <si>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</si>
  <si>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</si>
  <si>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</si>
  <si>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</si>
  <si>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</si>
  <si>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</si>
  <si>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</si>
  <si>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</si>
  <si>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</si>
  <si>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</si>
  <si>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</si>
  <si>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</si>
  <si>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</si>
  <si>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</si>
  <si>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</si>
  <si>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</si>
  <si>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</si>
  <si>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</si>
  <si>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</si>
  <si>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</si>
  <si>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</si>
  <si>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</si>
  <si>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</si>
  <si>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</si>
  <si>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</si>
  <si>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</si>
  <si>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</si>
  <si>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</si>
  <si>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</si>
  <si>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</si>
  <si>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</si>
  <si>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</si>
  <si>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</si>
  <si>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</si>
  <si>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</si>
  <si>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</si>
  <si>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</si>
  <si>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</si>
  <si>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</si>
  <si>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</si>
  <si>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</si>
  <si>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</si>
  <si>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</si>
  <si>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</si>
  <si>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</si>
  <si>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</si>
  <si>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</si>
  <si>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</si>
  <si>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</si>
  <si>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</si>
  <si>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</si>
  <si>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</si>
  <si>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</si>
  <si>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</si>
  <si>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</si>
  <si>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</si>
  <si>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</si>
  <si>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</si>
  <si>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</si>
  <si>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</si>
  <si>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</si>
  <si>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</si>
  <si>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</si>
  <si>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</si>
  <si>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</si>
  <si>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</si>
  <si>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</si>
  <si>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</si>
  <si>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</si>
  <si>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</si>
  <si>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</si>
  <si>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</si>
  <si>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</si>
  <si>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</si>
  <si>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</si>
  <si>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</si>
  <si>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</si>
  <si>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</si>
  <si>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</si>
  <si>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</si>
  <si>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</si>
  <si>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</si>
  <si>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</si>
  <si>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</si>
  <si>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</si>
  <si>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</si>
  <si>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</si>
  <si>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</si>
  <si>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</si>
  <si>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</si>
  <si>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</si>
  <si>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</si>
  <si>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</si>
  <si>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</si>
  <si>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</si>
  <si>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</si>
  <si>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</si>
  <si>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</si>
  <si>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</si>
  <si>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</si>
  <si>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</si>
  <si>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</si>
  <si>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</si>
  <si>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</si>
  <si>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</si>
  <si>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</si>
  <si>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</si>
  <si>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</si>
  <si>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</si>
  <si>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</si>
  <si>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</si>
  <si>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</si>
  <si>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</si>
  <si>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</si>
  <si>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</si>
  <si>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</si>
  <si>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</si>
  <si>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</si>
  <si>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</si>
  <si>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</si>
  <si>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</si>
  <si>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</si>
  <si>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</si>
  <si>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</si>
  <si>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</si>
  <si>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</si>
  <si>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</si>
  <si>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</si>
  <si>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</si>
  <si>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</si>
  <si>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</si>
  <si>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</si>
  <si>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</si>
  <si>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</si>
  <si>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</si>
  <si>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</si>
  <si>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</si>
  <si>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</si>
  <si>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</si>
  <si>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</si>
  <si>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</si>
  <si>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</si>
  <si>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</si>
  <si>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</si>
  <si>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</si>
  <si>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</si>
  <si>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</si>
  <si>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</si>
  <si>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</si>
  <si>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</si>
  <si>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</si>
  <si>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</si>
  <si>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</si>
  <si>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</si>
  <si>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</si>
  <si>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</si>
  <si>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</si>
  <si>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</si>
  <si>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</si>
  <si>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</si>
  <si>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</si>
  <si>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</si>
  <si>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</si>
  <si>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</si>
  <si>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</si>
  <si>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</si>
  <si>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</si>
  <si>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</si>
  <si>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</si>
  <si>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</si>
  <si>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</si>
  <si>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</si>
  <si>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</si>
  <si>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</si>
  <si>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</si>
  <si>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</si>
  <si>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</si>
  <si>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</si>
  <si>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</si>
  <si>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</si>
  <si>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</si>
  <si>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</si>
  <si>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</si>
  <si>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</si>
  <si>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</si>
  <si>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</si>
  <si>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</si>
  <si>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</si>
  <si>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</si>
  <si>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</si>
  <si>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</si>
  <si>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</si>
  <si>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</si>
  <si>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</si>
  <si>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</si>
  <si>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</si>
  <si>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</si>
  <si>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</si>
  <si>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</si>
  <si>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</si>
  <si>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</si>
  <si>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</si>
  <si>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</si>
  <si>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</si>
  <si>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</si>
  <si>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</si>
  <si>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</si>
  <si>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</si>
  <si>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</si>
  <si>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</si>
  <si>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</si>
  <si>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</si>
  <si>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</si>
  <si>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</si>
  <si>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</si>
  <si>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</si>
  <si>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</si>
  <si>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</si>
  <si>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</si>
  <si>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</si>
  <si>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</si>
  <si>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</si>
  <si>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</si>
  <si>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</si>
  <si>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</si>
  <si>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</si>
  <si>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</si>
  <si>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</si>
  <si>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</si>
  <si>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</si>
  <si>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</si>
  <si>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</si>
  <si>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</si>
  <si>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</si>
  <si>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</si>
  <si>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</si>
  <si>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</si>
  <si>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</si>
  <si>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</si>
  <si>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</si>
  <si>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</si>
  <si>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</si>
  <si>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</si>
  <si>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</si>
  <si>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</si>
  <si>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</si>
  <si>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</si>
  <si>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</si>
  <si>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</si>
  <si>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</si>
  <si>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</si>
  <si>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</si>
  <si>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</si>
  <si>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</si>
  <si>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</si>
  <si>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</si>
  <si>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</si>
  <si>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</si>
  <si>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</si>
  <si>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</si>
  <si>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</si>
  <si>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</si>
  <si>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</si>
  <si>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</si>
  <si>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</si>
  <si>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</si>
  <si>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</si>
  <si>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</si>
  <si>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</si>
  <si>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</si>
  <si>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</si>
  <si>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</si>
  <si>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</si>
  <si>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</si>
  <si>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</si>
  <si>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</si>
  <si>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</si>
  <si>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</si>
  <si>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</si>
  <si>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</si>
  <si>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</si>
  <si>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</si>
  <si>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</si>
  <si>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</si>
  <si>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</si>
  <si>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</si>
  <si>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</si>
  <si>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</si>
  <si>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</si>
  <si>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</si>
  <si>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</si>
  <si>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</si>
  <si>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</si>
  <si>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</si>
  <si>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</si>
  <si>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</si>
  <si>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</si>
  <si>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</si>
  <si>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</si>
  <si>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</si>
  <si>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</si>
  <si>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</si>
  <si>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</si>
  <si>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</si>
  <si>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</si>
  <si>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</si>
  <si>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</si>
  <si>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</si>
  <si>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</si>
  <si>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</si>
  <si>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</si>
  <si>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</si>
  <si>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</si>
  <si>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</si>
  <si>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</si>
  <si>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</si>
  <si>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</si>
  <si>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</si>
  <si>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</si>
  <si>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</si>
  <si>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</si>
  <si>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</si>
  <si>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</si>
  <si>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</si>
  <si>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</si>
  <si>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</si>
  <si>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</si>
  <si>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</si>
  <si>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</si>
  <si>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</si>
  <si>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</si>
  <si>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</si>
  <si>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</si>
  <si>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</si>
  <si>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</si>
  <si>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</si>
  <si>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</si>
  <si>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</si>
  <si>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</si>
  <si>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</si>
  <si>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</si>
  <si>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</si>
  <si>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</si>
  <si>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</si>
  <si>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</si>
  <si>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</si>
  <si>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</si>
  <si>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</si>
  <si>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</si>
  <si>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</si>
  <si>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</si>
  <si>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</si>
  <si>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</si>
  <si>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</si>
  <si>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</si>
  <si>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</si>
  <si>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</si>
  <si>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</si>
  <si>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</si>
  <si>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</si>
  <si>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</si>
  <si>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</si>
  <si>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</si>
  <si>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</si>
  <si>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</si>
  <si>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</si>
  <si>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</si>
  <si>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</si>
  <si>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</si>
  <si>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</si>
  <si>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</si>
  <si>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</si>
  <si>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</si>
  <si>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</si>
  <si>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</si>
  <si>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</si>
  <si>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</si>
  <si>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</si>
  <si>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</si>
  <si>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</si>
  <si>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</si>
  <si>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</si>
  <si>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</si>
  <si>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</si>
  <si>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</si>
  <si>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</si>
  <si>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</si>
  <si>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</si>
  <si>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</si>
  <si>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</si>
  <si>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</si>
  <si>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</si>
  <si>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</si>
  <si>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</si>
  <si>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</si>
  <si>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</si>
  <si>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</si>
  <si>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</si>
  <si>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</si>
  <si>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</si>
  <si>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</si>
  <si>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</si>
  <si>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</si>
  <si>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</si>
  <si>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</si>
  <si>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</si>
  <si>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</si>
  <si>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</si>
  <si>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</si>
  <si>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</si>
  <si>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</si>
  <si>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</si>
  <si>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</si>
  <si>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</si>
  <si>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</si>
  <si>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</si>
  <si>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</si>
  <si>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</si>
  <si>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</si>
  <si>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</si>
  <si>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</si>
  <si>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</si>
  <si>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</si>
  <si>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</si>
  <si>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</si>
  <si>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</si>
  <si>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</si>
  <si>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</si>
  <si>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</si>
  <si>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</si>
  <si>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</si>
  <si>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</si>
  <si>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</si>
  <si>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</si>
  <si>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</si>
  <si>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</si>
  <si>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</si>
  <si>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</si>
  <si>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</si>
  <si>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</si>
  <si>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</si>
  <si>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</si>
  <si>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</si>
  <si>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</si>
  <si>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</si>
  <si>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</si>
  <si>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</si>
  <si>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</si>
  <si>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</si>
  <si>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</si>
  <si>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</si>
  <si>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</si>
  <si>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</si>
  <si>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</si>
  <si>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</si>
  <si>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</si>
  <si>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</si>
  <si>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</si>
  <si>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</si>
  <si>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</si>
  <si>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</si>
  <si>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</si>
  <si>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</si>
  <si>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</si>
  <si>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</si>
  <si>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</si>
  <si>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</si>
  <si>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</si>
  <si>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</si>
  <si>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</si>
  <si>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</si>
  <si>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</si>
  <si>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</si>
  <si>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</si>
  <si>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</si>
  <si>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</si>
  <si>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</si>
  <si>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</si>
  <si>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</si>
  <si>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</si>
  <si>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</si>
  <si>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</si>
  <si>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</si>
  <si>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</si>
  <si>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</si>
  <si>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</si>
  <si>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</si>
  <si>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</si>
  <si>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</si>
  <si>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</si>
  <si>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</si>
  <si>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</si>
  <si>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</si>
  <si>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</si>
  <si>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</si>
  <si>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</si>
  <si>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</si>
  <si>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</si>
  <si>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</si>
  <si>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</si>
  <si>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</si>
  <si>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</si>
  <si>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</si>
  <si>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</si>
  <si>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</si>
  <si>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</si>
  <si>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</si>
  <si>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</si>
  <si>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</si>
  <si>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</si>
  <si>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</si>
  <si>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</si>
  <si>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</si>
  <si>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</si>
  <si>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</si>
  <si>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</si>
  <si>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</si>
  <si>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</si>
  <si>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</si>
  <si>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</si>
  <si>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</si>
  <si>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</si>
  <si>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</si>
  <si>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</si>
  <si>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</si>
  <si>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</si>
  <si>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</si>
  <si>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</si>
  <si>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</si>
  <si>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</si>
  <si>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</si>
  <si>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</si>
  <si>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</si>
  <si>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</si>
  <si>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</si>
  <si>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</si>
  <si>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</si>
  <si>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</si>
  <si>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</si>
  <si>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</si>
  <si>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</si>
  <si>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</si>
  <si>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</si>
  <si>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</si>
  <si>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</si>
  <si>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</si>
  <si>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</si>
  <si>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</si>
  <si>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</si>
  <si>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</si>
  <si>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</si>
  <si>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</si>
  <si>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</si>
  <si>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</si>
  <si>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</si>
  <si>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</si>
  <si>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</si>
  <si>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</si>
  <si>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</si>
  <si>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</si>
  <si>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</si>
  <si>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</si>
  <si>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</si>
  <si>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</si>
  <si>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</si>
  <si>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</si>
  <si>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</si>
  <si>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</si>
  <si>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</si>
  <si>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</si>
  <si>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</si>
  <si>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</si>
  <si>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</si>
  <si>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</si>
  <si>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</si>
  <si>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</si>
  <si>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</si>
  <si>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</si>
  <si>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</si>
  <si>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</si>
  <si>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</si>
  <si>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</si>
  <si>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</si>
  <si>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</si>
  <si>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</si>
  <si>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</si>
  <si>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</si>
  <si>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</si>
  <si>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</si>
  <si>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</si>
  <si>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</si>
  <si>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</si>
  <si>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</si>
  <si>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</si>
  <si>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</si>
  <si>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</si>
  <si>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</si>
  <si>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</si>
  <si>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</si>
  <si>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</si>
  <si>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</si>
  <si>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</si>
  <si>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</si>
  <si>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</si>
  <si>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</si>
  <si>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</si>
  <si>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</si>
  <si>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</si>
  <si>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</si>
  <si>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</si>
  <si>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</si>
  <si>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</si>
  <si>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</si>
  <si>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</si>
  <si>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</si>
  <si>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</si>
  <si>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</si>
  <si>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</si>
  <si>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</si>
  <si>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</si>
  <si>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</si>
  <si>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</si>
  <si>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</si>
  <si>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</si>
  <si>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</si>
  <si>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</si>
  <si>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</si>
  <si>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</si>
  <si>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</si>
  <si>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</si>
  <si>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</si>
  <si>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</si>
  <si>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</si>
  <si>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</si>
  <si>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</si>
  <si>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</si>
  <si>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</si>
  <si>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</si>
  <si>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</si>
  <si>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</si>
  <si>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</si>
  <si>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</si>
  <si>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</si>
  <si>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</si>
  <si>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</si>
  <si>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</si>
  <si>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</si>
  <si>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</si>
  <si>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</si>
  <si>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</si>
  <si>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</si>
  <si>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</si>
  <si>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</si>
  <si>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</si>
  <si>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</si>
  <si>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</si>
  <si>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</si>
  <si>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</si>
  <si>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</si>
  <si>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</si>
  <si>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</si>
  <si>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</si>
  <si>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</si>
  <si>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</si>
  <si>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</si>
  <si>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</si>
  <si>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</si>
  <si>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</si>
  <si>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</si>
  <si>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</si>
  <si>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</si>
  <si>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</si>
  <si>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</si>
  <si>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</si>
  <si>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</si>
  <si>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</si>
  <si>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</si>
  <si>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</si>
  <si>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</si>
  <si>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</si>
  <si>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</si>
  <si>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</si>
  <si>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</si>
  <si>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</si>
  <si>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</si>
  <si>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</si>
  <si>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</si>
  <si>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</si>
  <si>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</si>
  <si>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</si>
  <si>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</si>
  <si>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</si>
  <si>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</si>
  <si>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</si>
  <si>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</si>
  <si>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</si>
  <si>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</si>
  <si>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</si>
  <si>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</si>
  <si>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</si>
  <si>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</si>
  <si>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</si>
  <si>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</si>
  <si>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</si>
  <si>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</si>
  <si>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</si>
  <si>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</si>
  <si>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</si>
  <si>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</si>
  <si>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</si>
  <si>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</si>
  <si>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</si>
  <si>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</si>
  <si>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</si>
  <si>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</si>
  <si>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</si>
  <si>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</si>
  <si>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</si>
  <si>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</si>
  <si>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</si>
  <si>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</si>
  <si>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</si>
  <si>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</si>
  <si>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</si>
  <si>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</si>
  <si>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</si>
  <si>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</si>
  <si>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</si>
  <si>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</si>
  <si>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</si>
  <si>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</si>
  <si>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</si>
  <si>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</si>
  <si>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</si>
  <si>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</si>
  <si>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</si>
  <si>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</si>
  <si>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</si>
  <si>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</si>
  <si>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</si>
  <si>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</si>
  <si>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</si>
  <si>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</si>
  <si>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</si>
  <si>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</si>
  <si>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</si>
  <si>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</si>
  <si>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</si>
  <si>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</si>
  <si>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</si>
  <si>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</si>
  <si>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</si>
  <si>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</si>
  <si>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</si>
  <si>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</si>
  <si>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</si>
  <si>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</si>
  <si>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</si>
  <si>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</si>
  <si>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</si>
  <si>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</si>
  <si>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</si>
  <si>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</si>
  <si>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</si>
  <si>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</si>
  <si>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</si>
  <si>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</si>
  <si>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</si>
  <si>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</si>
  <si>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</si>
  <si>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</si>
  <si>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</si>
  <si>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</si>
  <si>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</si>
  <si>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</si>
  <si>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</si>
  <si>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</si>
  <si>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</si>
  <si>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</si>
  <si>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</si>
  <si>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</si>
  <si>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</si>
  <si>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</si>
  <si>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</si>
  <si>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</si>
  <si>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</si>
  <si>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</si>
  <si>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</si>
  <si>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</si>
  <si>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</si>
  <si>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</si>
  <si>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</si>
  <si>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</si>
  <si>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</si>
  <si>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</si>
  <si>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</si>
  <si>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</si>
  <si>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</si>
  <si>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</si>
  <si>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</si>
  <si>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</si>
  <si>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</si>
  <si>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</si>
  <si>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</si>
  <si>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</si>
  <si>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</si>
  <si>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</si>
  <si>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</si>
  <si>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</si>
  <si>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</si>
  <si>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</si>
  <si>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</si>
  <si>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</si>
  <si>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</si>
  <si>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</si>
  <si>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</si>
  <si>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</si>
  <si>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</si>
  <si>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</si>
  <si>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</si>
  <si>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</si>
  <si>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</si>
  <si>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</si>
  <si>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</si>
  <si>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</si>
  <si>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</si>
  <si>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</si>
  <si>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</si>
  <si>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</si>
  <si>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</si>
  <si>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</si>
  <si>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</si>
  <si>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</si>
  <si>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</si>
  <si>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</si>
  <si>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</si>
  <si>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</si>
  <si>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</si>
  <si>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</si>
  <si>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</si>
  <si>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</si>
  <si>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</si>
  <si>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</si>
  <si>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</si>
  <si>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</si>
  <si>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</si>
  <si>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</si>
  <si>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</si>
  <si>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</si>
  <si>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</si>
  <si>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</si>
  <si>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</si>
  <si>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</si>
  <si>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</si>
  <si>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</si>
  <si>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</si>
  <si>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</si>
  <si>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</si>
  <si>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</si>
  <si>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</si>
  <si>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</si>
  <si>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</si>
  <si>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</si>
  <si>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</si>
  <si>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</si>
  <si>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</si>
  <si>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</si>
  <si>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</si>
  <si>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</si>
  <si>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</si>
  <si>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</si>
  <si>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</si>
  <si>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</si>
  <si>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</si>
  <si>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</si>
  <si>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</si>
  <si>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</si>
  <si>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</si>
  <si>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</si>
  <si>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</si>
  <si>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</si>
  <si>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</si>
  <si>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</si>
  <si>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</si>
  <si>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</si>
  <si>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</si>
  <si>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</si>
  <si>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</si>
  <si>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</si>
  <si>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</si>
  <si>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</si>
  <si>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</si>
  <si>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</si>
  <si>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</si>
  <si>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</si>
  <si>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</si>
  <si>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</si>
  <si>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</si>
  <si>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</si>
  <si>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</si>
  <si>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</si>
  <si>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</si>
  <si>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</si>
  <si>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</si>
  <si>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</si>
  <si>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</si>
  <si>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</si>
  <si>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</si>
  <si>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</si>
  <si>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</si>
  <si>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</si>
  <si>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</si>
  <si>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</si>
  <si>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</si>
  <si>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</si>
  <si>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</si>
  <si>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</si>
  <si>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</si>
  <si>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</si>
  <si>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</si>
  <si>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</si>
  <si>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</si>
  <si>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</si>
  <si>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</si>
  <si>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</si>
  <si>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</si>
  <si>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</si>
  <si>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</si>
  <si>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</si>
  <si>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</si>
  <si>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</si>
  <si>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</si>
  <si>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</si>
  <si>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</si>
  <si>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</si>
  <si>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</si>
  <si>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</si>
  <si>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</si>
  <si>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</si>
  <si>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</si>
  <si>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</si>
  <si>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</si>
  <si>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</si>
  <si>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</si>
  <si>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</si>
  <si>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</si>
  <si>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</si>
  <si>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</si>
  <si>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</si>
  <si>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</si>
  <si>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</si>
  <si>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</si>
  <si>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</si>
  <si>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</si>
  <si>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</si>
  <si>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</si>
  <si>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</si>
  <si>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</si>
  <si>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</si>
  <si>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</si>
  <si>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</si>
  <si>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</si>
  <si>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</si>
  <si>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</si>
  <si>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</si>
  <si>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</si>
  <si>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</si>
  <si>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</si>
  <si>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</si>
  <si>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</si>
  <si>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</si>
  <si>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</si>
  <si>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</si>
  <si>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</si>
  <si>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</si>
  <si>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</si>
  <si>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</si>
  <si>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</si>
  <si>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</si>
  <si>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</si>
  <si>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</si>
  <si>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</si>
  <si>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</si>
  <si>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</si>
  <si>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</si>
  <si>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</si>
  <si>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</si>
  <si>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</si>
  <si>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</si>
  <si>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</si>
  <si>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</si>
  <si>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</si>
  <si>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</si>
  <si>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</si>
  <si>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</si>
  <si>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</si>
  <si>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</si>
  <si>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</si>
  <si>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</si>
  <si>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</si>
  <si>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</si>
  <si>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</si>
  <si>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</si>
  <si>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</si>
  <si>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</si>
  <si>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</si>
  <si>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</si>
  <si>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</si>
  <si>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</si>
  <si>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</si>
  <si>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</si>
  <si>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</si>
  <si>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</si>
  <si>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</si>
  <si>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</si>
  <si>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</si>
  <si>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</si>
  <si>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</si>
  <si>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</si>
  <si>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</si>
  <si>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</si>
  <si>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</si>
  <si>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</si>
  <si>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</si>
  <si>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</si>
  <si>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</si>
  <si>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</si>
  <si>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</si>
  <si>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</si>
  <si>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</si>
  <si>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</si>
  <si>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</si>
  <si>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</si>
  <si>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</si>
  <si>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</si>
  <si>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</si>
  <si>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</si>
  <si>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</si>
  <si>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</si>
  <si>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</si>
  <si>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</si>
  <si>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</si>
  <si>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</si>
  <si>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</si>
  <si>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</si>
  <si>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</si>
  <si>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</si>
  <si>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</si>
  <si>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</si>
  <si>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</si>
  <si>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</si>
  <si>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</si>
  <si>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</si>
  <si>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</si>
  <si>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</si>
  <si>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</si>
  <si>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</si>
  <si>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</si>
  <si>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</si>
  <si>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</si>
  <si>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</si>
  <si>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</si>
  <si>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</si>
  <si>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</si>
  <si>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</si>
  <si>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</si>
  <si>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</si>
  <si>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</si>
  <si>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</si>
  <si>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</si>
  <si>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</si>
  <si>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</si>
  <si>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</si>
  <si>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</si>
  <si>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</si>
  <si>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</si>
  <si>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</si>
  <si>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</si>
  <si>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</si>
  <si>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</si>
  <si>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</si>
  <si>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</si>
  <si>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</si>
  <si>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</si>
  <si>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</si>
  <si>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</si>
  <si>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</si>
  <si>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</si>
  <si>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</si>
  <si>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</si>
  <si>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</si>
  <si>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</si>
  <si>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</si>
  <si>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</si>
  <si>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</si>
  <si>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</si>
  <si>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</si>
  <si>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</si>
  <si>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</si>
  <si>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</si>
  <si>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</si>
  <si>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</si>
  <si>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</si>
  <si>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</si>
  <si>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</si>
  <si>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</si>
  <si>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</si>
  <si>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</si>
  <si>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</si>
  <si>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</si>
  <si>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</si>
  <si>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</si>
  <si>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</si>
  <si>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</si>
  <si>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</si>
  <si>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</si>
  <si>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</si>
  <si>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</si>
  <si>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</si>
  <si>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</si>
  <si>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</si>
  <si>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</si>
  <si>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</si>
  <si>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</si>
  <si>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</si>
  <si>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</si>
  <si>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</si>
  <si>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</si>
  <si>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</si>
  <si>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</si>
  <si>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</si>
  <si>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</si>
  <si>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</si>
  <si>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</si>
  <si>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</si>
  <si>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</si>
  <si>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</si>
  <si>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</si>
  <si>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</si>
  <si>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</si>
  <si>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</si>
  <si>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</si>
  <si>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</si>
  <si>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</si>
  <si>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</si>
  <si>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</si>
  <si>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</si>
  <si>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</si>
  <si>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</si>
  <si>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</si>
  <si>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</si>
  <si>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</si>
  <si>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</si>
  <si>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</si>
  <si>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</si>
  <si>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</si>
  <si>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</si>
  <si>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</si>
  <si>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</si>
  <si>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</si>
  <si>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</si>
  <si>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</si>
  <si>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</si>
  <si>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</si>
  <si>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</si>
  <si>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</si>
  <si>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</si>
  <si>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</si>
  <si>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</si>
  <si>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</si>
  <si>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</si>
  <si>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</si>
  <si>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</si>
  <si>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</si>
  <si>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</si>
  <si>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</si>
  <si>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</si>
  <si>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</si>
  <si>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</si>
  <si>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</si>
  <si>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</si>
  <si>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</si>
  <si>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</si>
  <si>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</si>
  <si>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</si>
  <si>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</si>
  <si>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</si>
  <si>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</si>
  <si>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</si>
  <si>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</si>
  <si>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</si>
  <si>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</si>
  <si>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</si>
  <si>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</si>
  <si>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</si>
  <si>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</si>
  <si>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</si>
  <si>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</si>
  <si>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</si>
  <si>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</si>
  <si>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</si>
  <si>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</si>
  <si>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</si>
  <si>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</si>
  <si>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</si>
  <si>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</si>
  <si>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</si>
  <si>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</si>
  <si>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</si>
  <si>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</si>
  <si>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</si>
  <si>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</si>
  <si>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</si>
  <si>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</si>
  <si>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</si>
  <si>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</si>
  <si>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</si>
  <si>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</si>
  <si>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</si>
  <si>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</si>
  <si>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</si>
  <si>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</si>
  <si>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</si>
  <si>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</si>
  <si>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</si>
  <si>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</si>
  <si>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</si>
  <si>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</si>
  <si>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</si>
  <si>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</si>
  <si>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</si>
  <si>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</si>
  <si>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</si>
  <si>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</si>
  <si>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</si>
  <si>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</si>
  <si>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</si>
  <si>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</si>
  <si>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</si>
  <si>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</si>
  <si>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</si>
  <si>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</si>
  <si>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</si>
  <si>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</si>
  <si>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</si>
  <si>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</si>
  <si>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</si>
  <si>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</si>
  <si>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</si>
  <si>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</si>
  <si>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</si>
  <si>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</si>
  <si>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</si>
  <si>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</si>
  <si>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</si>
  <si>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</si>
  <si>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</si>
  <si>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</si>
  <si>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</si>
  <si>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</si>
  <si>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</si>
  <si>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</si>
  <si>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</si>
  <si>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</si>
  <si>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</si>
  <si>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</si>
  <si>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</si>
  <si>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</si>
  <si>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</si>
  <si>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</si>
  <si>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</si>
  <si>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</si>
  <si>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</si>
  <si>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</si>
  <si>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</si>
  <si>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</si>
  <si>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</si>
  <si>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</si>
  <si>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</si>
  <si>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</si>
  <si>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</si>
  <si>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</si>
  <si>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</si>
  <si>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</si>
  <si>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</si>
  <si>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</si>
  <si>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</si>
  <si>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</si>
  <si>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</si>
  <si>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</si>
  <si>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</si>
  <si>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</si>
  <si>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</si>
  <si>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</si>
  <si>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</si>
  <si>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</si>
  <si>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</si>
  <si>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</si>
  <si>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</si>
  <si>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</si>
  <si>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</si>
  <si>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</si>
  <si>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</si>
  <si>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</si>
  <si>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</si>
  <si>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</si>
  <si>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</si>
  <si>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</si>
  <si>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</si>
  <si>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</si>
  <si>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</si>
  <si>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</si>
  <si>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</si>
  <si>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</si>
  <si>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</si>
  <si>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</si>
  <si>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</si>
  <si>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</si>
  <si>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</si>
  <si>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</si>
  <si>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</si>
  <si>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</si>
  <si>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</si>
  <si>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</si>
  <si>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</si>
  <si>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</si>
  <si>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</si>
  <si>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</si>
  <si>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</si>
  <si>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</si>
  <si>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</si>
  <si>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</si>
  <si>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</si>
  <si>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</si>
  <si>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</si>
  <si>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</si>
  <si>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</si>
  <si>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</si>
  <si>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</si>
  <si>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</si>
  <si>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</si>
  <si>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</si>
  <si>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</si>
  <si>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</si>
  <si>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</si>
  <si>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</si>
  <si>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</si>
  <si>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</si>
  <si>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</si>
  <si>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</si>
  <si>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</si>
  <si>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</si>
  <si>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</si>
  <si>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</si>
  <si>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</si>
  <si>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</si>
  <si>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</si>
  <si>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</si>
  <si>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</si>
  <si>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</si>
  <si>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</si>
  <si>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</si>
  <si>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</si>
  <si>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</si>
  <si>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</si>
  <si>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</si>
  <si>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</si>
  <si>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</si>
  <si>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</si>
  <si>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</si>
  <si>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</si>
  <si>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</si>
  <si>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</si>
  <si>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</si>
  <si>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</si>
  <si>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</si>
  <si>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</si>
  <si>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</si>
  <si>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</si>
  <si>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</si>
  <si>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</si>
  <si>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</si>
  <si>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</si>
  <si>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</si>
  <si>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</si>
  <si>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</si>
  <si>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</si>
  <si>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</si>
  <si>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</si>
  <si>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</si>
  <si>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</si>
  <si>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</si>
  <si>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</si>
  <si>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</si>
  <si>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</si>
  <si>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</si>
  <si>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</si>
  <si>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</si>
  <si>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</si>
  <si>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</si>
  <si>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</si>
  <si>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</si>
  <si>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</si>
  <si>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</si>
  <si>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</si>
  <si>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</si>
  <si>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</si>
  <si>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</si>
  <si>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</si>
  <si>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</si>
  <si>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</si>
  <si>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</si>
  <si>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</si>
  <si>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</si>
  <si>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</si>
  <si>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</si>
  <si>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</si>
  <si>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</si>
  <si>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</si>
  <si>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</si>
  <si>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</si>
  <si>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</si>
  <si>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</si>
  <si>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</si>
  <si>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</si>
  <si>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</si>
  <si>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</si>
  <si>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</si>
  <si>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</si>
  <si>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</si>
  <si>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</si>
  <si>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</si>
  <si>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</si>
  <si>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</si>
  <si>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</si>
  <si>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</si>
  <si>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</si>
  <si>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</si>
  <si>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</si>
  <si>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</si>
  <si>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</si>
  <si>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</si>
  <si>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</si>
  <si>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</si>
  <si>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</si>
  <si>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</si>
  <si>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</si>
  <si>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</si>
  <si>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</si>
  <si>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</si>
  <si>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</si>
  <si>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</si>
  <si>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</si>
  <si>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</si>
  <si>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</si>
  <si>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</si>
  <si>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</si>
  <si>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</si>
  <si>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</si>
  <si>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</si>
  <si>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</si>
  <si>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</si>
  <si>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</si>
  <si>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</si>
  <si>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</si>
  <si>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</si>
  <si>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</si>
  <si>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</si>
  <si>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</si>
  <si>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</si>
  <si>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</si>
  <si>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</si>
  <si>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</si>
  <si>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</si>
  <si>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</si>
  <si>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</si>
  <si>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</si>
  <si>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</si>
  <si>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</si>
  <si>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</si>
  <si>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</si>
  <si>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</si>
  <si>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</si>
  <si>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</si>
  <si>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</si>
  <si>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</si>
  <si>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</si>
  <si>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</si>
  <si>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</si>
  <si>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</si>
  <si>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</si>
  <si>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</si>
  <si>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</si>
  <si>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</si>
  <si>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</si>
  <si>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</si>
  <si>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</si>
  <si>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</si>
  <si>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</si>
  <si>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</si>
  <si>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</si>
  <si>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</si>
  <si>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</si>
  <si>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</si>
  <si>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</si>
  <si>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</si>
  <si>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</si>
  <si>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</si>
  <si>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</si>
  <si>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</si>
  <si>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</si>
  <si>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</si>
  <si>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</si>
  <si>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</si>
  <si>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</si>
  <si>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</si>
  <si>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</si>
  <si>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</si>
  <si>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</si>
  <si>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</si>
  <si>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</si>
  <si>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</si>
  <si>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</si>
  <si>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</si>
  <si>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</si>
  <si>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</si>
  <si>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</si>
  <si>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</si>
  <si>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</si>
  <si>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</si>
  <si>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</si>
  <si>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</si>
  <si>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</si>
  <si>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</si>
  <si>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</si>
  <si>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</si>
  <si>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</si>
  <si>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</si>
  <si>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</si>
  <si>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</si>
  <si>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</si>
  <si>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</si>
  <si>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</si>
  <si>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</si>
  <si>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</si>
  <si>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</si>
  <si>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</si>
  <si>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</si>
  <si>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</si>
  <si>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</si>
  <si>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</si>
  <si>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</si>
  <si>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</si>
  <si>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</si>
  <si>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</si>
  <si>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</si>
  <si>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</si>
  <si>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</si>
  <si>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</si>
  <si>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</si>
  <si>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</si>
  <si>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</si>
  <si>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</si>
  <si>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</si>
  <si>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</si>
  <si>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</si>
  <si>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</si>
  <si>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</si>
  <si>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</si>
  <si>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</si>
  <si>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</si>
  <si>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</si>
  <si>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</si>
  <si>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</si>
  <si>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</si>
  <si>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</si>
  <si>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</si>
  <si>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</si>
  <si>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</si>
  <si>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</si>
  <si>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</si>
  <si>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</si>
  <si>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</si>
  <si>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</si>
  <si>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</si>
  <si>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</si>
  <si>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</si>
  <si>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</si>
  <si>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</si>
  <si>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</si>
  <si>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</si>
  <si>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</si>
  <si>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</si>
  <si>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</si>
  <si>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</si>
  <si>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</si>
  <si>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</si>
  <si>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</si>
  <si>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</si>
  <si>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</si>
  <si>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</si>
  <si>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</si>
  <si>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</si>
  <si>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</si>
  <si>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</si>
  <si>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</si>
  <si>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</si>
  <si>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</si>
  <si>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</si>
  <si>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</si>
  <si>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</si>
  <si>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</si>
  <si>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</si>
  <si>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</si>
  <si>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</si>
  <si>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</si>
  <si>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</si>
  <si>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</si>
  <si>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</si>
  <si>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</si>
  <si>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</si>
  <si>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</si>
  <si>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</si>
  <si>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</si>
  <si>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</si>
  <si>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</si>
  <si>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</si>
  <si>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</si>
  <si>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</si>
  <si>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</si>
  <si>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</si>
  <si>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</si>
  <si>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</si>
  <si>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</si>
  <si>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</si>
  <si>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</si>
  <si>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</si>
  <si>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</si>
  <si>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</si>
  <si>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</si>
  <si>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</si>
  <si>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</si>
  <si>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</si>
  <si>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</si>
  <si>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</si>
  <si>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</si>
  <si>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</si>
  <si>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</si>
  <si>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</si>
  <si>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</si>
  <si>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</si>
  <si>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</si>
  <si>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</si>
  <si>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</si>
  <si>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</si>
  <si>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</si>
  <si>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</si>
  <si>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</si>
  <si>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</si>
  <si>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</si>
  <si>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</si>
  <si>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</si>
  <si>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</si>
  <si>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</si>
  <si>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</si>
  <si>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</si>
  <si>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</si>
  <si>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</si>
  <si>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</si>
  <si>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</si>
  <si>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</si>
  <si>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</si>
  <si>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</si>
  <si>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</si>
  <si>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</si>
  <si>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</si>
  <si>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</si>
  <si>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</si>
  <si>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</si>
  <si>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</si>
  <si>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</si>
  <si>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</si>
  <si>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</si>
  <si>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</si>
  <si>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</si>
  <si>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</si>
  <si>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</si>
  <si>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</si>
  <si>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</si>
  <si>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</si>
  <si>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</si>
  <si>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</si>
  <si>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</si>
  <si>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</si>
  <si>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</si>
  <si>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</si>
  <si>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</si>
  <si>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</si>
  <si>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</si>
  <si>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</si>
  <si>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</si>
  <si>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</si>
  <si>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</si>
  <si>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</si>
  <si>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</si>
  <si>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</si>
  <si>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</si>
  <si>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</si>
  <si>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</si>
  <si>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</si>
  <si>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</si>
  <si>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</si>
  <si>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</si>
  <si>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</si>
  <si>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</si>
  <si>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</si>
  <si>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</si>
  <si>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</si>
  <si>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</si>
  <si>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</si>
  <si>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</si>
  <si>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</si>
  <si>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</si>
  <si>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</si>
  <si>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</si>
  <si>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</si>
  <si>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</si>
  <si>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</si>
  <si>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</si>
  <si>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</si>
  <si>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</si>
  <si>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</si>
  <si>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</si>
  <si>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</si>
  <si>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</si>
  <si>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</si>
  <si>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</si>
  <si>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</si>
  <si>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</si>
  <si>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</si>
  <si>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</si>
  <si>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</si>
  <si>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</si>
  <si>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</si>
  <si>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</si>
  <si>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</si>
  <si>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</si>
  <si>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</si>
  <si>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</si>
  <si>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</si>
  <si>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</si>
  <si>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</si>
  <si>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</si>
  <si>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</si>
  <si>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</si>
  <si>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</si>
  <si>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</si>
  <si>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</si>
  <si>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</si>
  <si>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</si>
  <si>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</si>
  <si>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</si>
  <si>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</si>
  <si>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</si>
  <si>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</si>
  <si>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</si>
  <si>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</si>
  <si>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</si>
  <si>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</si>
  <si>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</si>
  <si>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</si>
  <si>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</si>
  <si>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</si>
  <si>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</si>
  <si>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</si>
  <si>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</si>
  <si>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</si>
  <si>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</si>
  <si>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</si>
  <si>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</si>
  <si>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</si>
  <si>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</si>
  <si>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</si>
  <si>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</si>
  <si>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</si>
  <si>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</si>
  <si>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</si>
  <si>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</si>
  <si>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</si>
  <si>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</si>
  <si>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</si>
  <si>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</si>
  <si>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</si>
  <si>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</si>
  <si>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</si>
  <si>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</si>
  <si>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</si>
  <si>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</si>
  <si>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</si>
  <si>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</si>
  <si>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</si>
  <si>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</si>
  <si>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</si>
  <si>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</si>
  <si>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</si>
  <si>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</si>
  <si>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</si>
  <si>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</si>
  <si>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</si>
  <si>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</si>
  <si>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</si>
  <si>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</si>
  <si>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</si>
  <si>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</si>
  <si>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</si>
  <si>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</si>
  <si>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</si>
  <si>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</si>
  <si>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</si>
  <si>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</si>
  <si>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</si>
  <si>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</si>
  <si>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</si>
  <si>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</si>
  <si>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</si>
  <si>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</si>
  <si>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</si>
  <si>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</si>
  <si>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</si>
  <si>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</si>
  <si>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</si>
  <si>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</si>
  <si>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</si>
  <si>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</si>
  <si>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</si>
  <si>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</si>
  <si>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</si>
  <si>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</si>
  <si>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</si>
  <si>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</si>
  <si>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</si>
  <si>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</si>
  <si>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</si>
  <si>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</si>
  <si>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</si>
  <si>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</si>
  <si>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</si>
  <si>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</si>
  <si>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</si>
  <si>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</si>
  <si>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</si>
  <si>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</si>
  <si>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</si>
  <si>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</si>
  <si>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</si>
  <si>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</si>
  <si>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</si>
  <si>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</si>
  <si>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</si>
  <si>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</si>
  <si>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</si>
  <si>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</si>
  <si>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</si>
  <si>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</si>
  <si>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</si>
  <si>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</si>
  <si>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</si>
  <si>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</si>
  <si>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</si>
  <si>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</si>
  <si>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</si>
  <si>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</si>
  <si>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</si>
  <si>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</si>
  <si>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</si>
  <si>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</si>
  <si>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</si>
  <si>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</si>
  <si>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</si>
  <si>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</si>
  <si>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</si>
  <si>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</si>
  <si>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</si>
  <si>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</si>
  <si>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</si>
  <si>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</si>
  <si>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</si>
  <si>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</si>
  <si>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</si>
  <si>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</si>
  <si>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</si>
  <si>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</si>
  <si>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</si>
  <si>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</si>
  <si>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</si>
  <si>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</si>
  <si>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</si>
  <si>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</si>
  <si>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</si>
  <si>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</si>
  <si>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</si>
  <si>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</si>
  <si>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</si>
  <si>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</si>
  <si>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</si>
  <si>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</si>
  <si>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</si>
  <si>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</si>
  <si>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</si>
  <si>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</si>
  <si>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</si>
  <si>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</si>
  <si>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</si>
  <si>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</si>
  <si>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</si>
  <si>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</si>
  <si>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</si>
  <si>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</si>
  <si>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</si>
  <si>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</si>
  <si>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</si>
  <si>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</si>
  <si>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</si>
  <si>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</si>
  <si>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</si>
  <si>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</si>
  <si>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</si>
  <si>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</si>
  <si>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</si>
  <si>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</si>
  <si>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</si>
  <si>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</si>
  <si>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</si>
  <si>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</si>
  <si>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</si>
  <si>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</si>
  <si>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</si>
  <si>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</si>
  <si>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</si>
  <si>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</si>
  <si>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</si>
  <si>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</si>
  <si>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</si>
  <si>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</si>
  <si>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</si>
  <si>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</si>
  <si>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</si>
  <si>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</si>
  <si>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</si>
  <si>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</si>
  <si>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</si>
  <si>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</si>
  <si>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</si>
  <si>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</si>
  <si>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</si>
  <si>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</si>
  <si>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</si>
  <si>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</si>
  <si>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</si>
  <si>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</si>
  <si>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</si>
  <si>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</si>
  <si>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</si>
  <si>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</si>
  <si>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</si>
  <si>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</si>
  <si>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</si>
  <si>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</si>
  <si>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</si>
  <si>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</si>
  <si>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</si>
  <si>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</si>
  <si>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</si>
  <si>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</si>
  <si>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</si>
  <si>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</si>
  <si>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</si>
  <si>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</si>
  <si>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</si>
  <si>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</si>
  <si>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</si>
  <si>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</si>
  <si>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</si>
  <si>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</si>
  <si>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</si>
  <si>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</si>
  <si>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</si>
  <si>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</si>
  <si>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</si>
  <si>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</si>
  <si>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</si>
  <si>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</si>
  <si>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</si>
  <si>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</si>
  <si>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</si>
  <si>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</si>
  <si>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</si>
  <si>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</si>
  <si>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</si>
  <si>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</si>
  <si>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</si>
  <si>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</si>
  <si>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</si>
  <si>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</si>
  <si>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</si>
  <si>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</si>
  <si>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</si>
  <si>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</si>
  <si>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</si>
  <si>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</si>
  <si>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</si>
  <si>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</si>
  <si>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</si>
  <si>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</si>
  <si>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</si>
  <si>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</si>
  <si>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</si>
  <si>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</si>
  <si>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</si>
  <si>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</si>
  <si>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</si>
  <si>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</si>
  <si>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</si>
  <si>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</si>
  <si>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</si>
  <si>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</si>
  <si>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</si>
  <si>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</si>
  <si>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</si>
  <si>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</si>
  <si>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</si>
  <si>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</si>
  <si>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</si>
  <si>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</si>
  <si>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</si>
  <si>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</si>
  <si>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</si>
  <si>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</si>
  <si>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</si>
  <si>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</si>
  <si>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</si>
  <si>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</si>
  <si>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</si>
  <si>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</si>
  <si>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</si>
  <si>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</si>
  <si>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</si>
  <si>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</si>
  <si>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</si>
  <si>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</si>
  <si>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</si>
  <si>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</si>
  <si>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</si>
  <si>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</si>
  <si>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</si>
  <si>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</si>
  <si>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</si>
  <si>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</si>
  <si>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</si>
  <si>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</si>
  <si>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</si>
  <si>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</si>
  <si>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</si>
  <si>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</si>
  <si>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</si>
  <si>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</si>
  <si>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</si>
  <si>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</si>
  <si>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</si>
  <si>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</si>
  <si>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</si>
  <si>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</si>
  <si>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</si>
  <si>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</si>
  <si>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</si>
  <si>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</si>
  <si>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</si>
  <si>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</si>
  <si>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</si>
  <si>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</si>
  <si>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</si>
  <si>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</si>
  <si>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</si>
  <si>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</si>
  <si>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</si>
  <si>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</si>
  <si>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</si>
  <si>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</si>
  <si>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</si>
  <si>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</si>
  <si>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</si>
  <si>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</si>
  <si>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</si>
  <si>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</si>
  <si>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</si>
  <si>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</si>
  <si>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</si>
  <si>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</si>
  <si>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</si>
  <si>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</si>
  <si>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</si>
  <si>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</si>
  <si>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</si>
  <si>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</si>
  <si>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</si>
  <si>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</si>
  <si>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</si>
  <si>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</si>
  <si>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</si>
  <si>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</si>
  <si>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</si>
  <si>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</si>
  <si>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</si>
  <si>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</si>
  <si>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</si>
  <si>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</si>
  <si>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</si>
  <si>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</si>
  <si>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</si>
  <si>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</si>
  <si>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</si>
  <si>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</si>
  <si>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</si>
  <si>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</si>
  <si>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</si>
  <si>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</si>
  <si>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</si>
  <si>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</si>
  <si>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</si>
  <si>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</si>
  <si>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</si>
  <si>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</si>
  <si>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</si>
  <si>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</si>
  <si>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</si>
  <si>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</si>
  <si>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</si>
  <si>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</si>
  <si>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</si>
  <si>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</si>
  <si>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</si>
  <si>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</si>
  <si>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</si>
  <si>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</si>
  <si>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</si>
  <si>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</si>
  <si>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</si>
  <si>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</si>
  <si>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</si>
  <si>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</si>
  <si>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</si>
  <si>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</si>
  <si>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</si>
  <si>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</si>
  <si>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</si>
  <si>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</si>
  <si>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</si>
  <si>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</si>
  <si>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</si>
  <si>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</si>
  <si>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</si>
  <si>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</si>
  <si>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</si>
  <si>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</si>
  <si>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</si>
  <si>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</si>
  <si>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</si>
  <si>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</si>
  <si>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</si>
  <si>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</si>
  <si>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</si>
  <si>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</si>
  <si>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</si>
  <si>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</si>
  <si>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</si>
  <si>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</si>
  <si>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</si>
  <si>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</si>
  <si>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</si>
  <si>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</si>
  <si>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</si>
  <si>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</si>
  <si>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</si>
  <si>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</si>
  <si>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</si>
  <si>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</si>
  <si>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</si>
  <si>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</si>
  <si>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</si>
  <si>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</si>
  <si>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</si>
  <si>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</si>
  <si>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</si>
  <si>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</si>
  <si>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</si>
  <si>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</si>
  <si>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</si>
  <si>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</si>
  <si>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</si>
  <si>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</si>
  <si>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</si>
  <si>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</si>
  <si>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</si>
  <si>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</si>
  <si>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</si>
  <si>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</si>
  <si>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</si>
  <si>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</si>
  <si>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</si>
  <si>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</si>
  <si>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</si>
  <si>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</si>
  <si>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</si>
  <si>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</si>
  <si>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</si>
  <si>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</si>
  <si>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</si>
  <si>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</si>
  <si>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</si>
  <si>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</si>
  <si>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</si>
  <si>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</si>
  <si>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</si>
  <si>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</si>
  <si>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</si>
  <si>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</si>
  <si>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</si>
  <si>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</si>
  <si>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</si>
  <si>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</si>
  <si>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</si>
  <si>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</si>
  <si>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</si>
  <si>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</si>
  <si>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</si>
  <si>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</si>
  <si>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</si>
  <si>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</si>
  <si>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</si>
  <si>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</si>
  <si>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</si>
  <si>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</si>
  <si>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</si>
  <si>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</si>
  <si>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</si>
  <si>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</si>
  <si>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</si>
  <si>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</si>
  <si>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</si>
  <si>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</si>
  <si>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</si>
  <si>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</si>
  <si>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</si>
  <si>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</si>
  <si>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</si>
  <si>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</si>
  <si>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</si>
  <si>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</si>
  <si>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</si>
  <si>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</si>
  <si>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</si>
  <si>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</si>
  <si>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</si>
  <si>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</si>
  <si>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</si>
  <si>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</si>
  <si>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</si>
  <si>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</si>
  <si>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</si>
  <si>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</si>
  <si>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</si>
  <si>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</si>
  <si>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</si>
  <si>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</si>
  <si>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</si>
  <si>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</si>
  <si>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</si>
  <si>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</si>
  <si>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</si>
  <si>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</si>
  <si>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</si>
  <si>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</si>
  <si>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</si>
  <si>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</si>
  <si>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</si>
  <si>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</si>
  <si>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</si>
  <si>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</si>
  <si>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</si>
  <si>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</si>
  <si>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</si>
  <si>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</si>
  <si>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</si>
  <si>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</si>
  <si>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</si>
  <si>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</si>
  <si>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</si>
  <si>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</si>
  <si>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</si>
  <si>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</si>
  <si>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</si>
  <si>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</si>
  <si>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</si>
  <si>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</si>
  <si>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</si>
  <si>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</si>
  <si>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</si>
  <si>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</si>
  <si>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</si>
  <si>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</si>
  <si>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</si>
  <si>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</si>
  <si>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</si>
  <si>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</si>
  <si>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</si>
  <si>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</si>
  <si>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</si>
  <si>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</si>
  <si>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</si>
  <si>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</si>
  <si>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</si>
  <si>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</si>
  <si>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</si>
  <si>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</si>
  <si>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</si>
  <si>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</si>
  <si>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</si>
  <si>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</si>
  <si>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</si>
  <si>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</si>
  <si>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</si>
  <si>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</si>
  <si>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</si>
  <si>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</si>
  <si>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</si>
  <si>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</si>
  <si>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</si>
  <si>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</si>
  <si>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</si>
  <si>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</si>
  <si>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</si>
  <si>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</si>
  <si>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</si>
  <si>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</si>
  <si>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</si>
  <si>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</si>
  <si>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</si>
  <si>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</si>
  <si>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</si>
  <si>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</si>
  <si>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</si>
  <si>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</si>
  <si>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</si>
  <si>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</si>
  <si>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</si>
  <si>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</si>
  <si>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</si>
  <si>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</si>
  <si>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</si>
  <si>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</si>
  <si>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</si>
  <si>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</si>
  <si>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</si>
  <si>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</si>
  <si>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</si>
  <si>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</si>
  <si>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</si>
  <si>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</si>
  <si>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</si>
  <si>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</si>
  <si>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</si>
  <si>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</si>
  <si>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</si>
  <si>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</si>
  <si>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</si>
  <si>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</si>
  <si>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</si>
  <si>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</si>
  <si>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</si>
  <si>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</si>
  <si>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</si>
  <si>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</si>
  <si>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</si>
  <si>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</si>
  <si>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</si>
  <si>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</si>
  <si>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</si>
  <si>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</si>
  <si>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</si>
  <si>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</si>
  <si>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</si>
  <si>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</si>
  <si>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</si>
  <si>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</si>
  <si>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</si>
  <si>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</si>
  <si>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</si>
  <si>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</si>
  <si>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</si>
  <si>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</si>
  <si>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</si>
  <si>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</si>
  <si>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</si>
  <si>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</si>
  <si>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</si>
  <si>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</si>
  <si>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</si>
  <si>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</si>
  <si>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</si>
  <si>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</si>
  <si>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</si>
  <si>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</si>
  <si>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</si>
  <si>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</si>
  <si>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</si>
  <si>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</si>
  <si>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</si>
  <si>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</si>
  <si>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</si>
  <si>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</si>
  <si>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</si>
  <si>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</si>
  <si>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</si>
  <si>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</si>
  <si>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</si>
  <si>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</si>
  <si>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</si>
  <si>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</si>
  <si>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</si>
  <si>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</si>
  <si>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</si>
  <si>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</si>
  <si>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</si>
  <si>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</si>
  <si>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</si>
  <si>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</si>
  <si>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</si>
  <si>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</si>
  <si>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</si>
  <si>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</si>
  <si>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</si>
  <si>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</si>
  <si>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</si>
  <si>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</si>
  <si>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</si>
  <si>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</si>
  <si>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</si>
  <si>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</si>
  <si>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</si>
  <si>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</si>
  <si>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</si>
  <si>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</si>
  <si>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</si>
  <si>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</si>
  <si>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</si>
  <si>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</si>
  <si>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</si>
  <si>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</si>
  <si>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</si>
  <si>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</si>
  <si>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</si>
  <si>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</si>
  <si>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</si>
  <si>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</si>
  <si>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</si>
  <si>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</si>
  <si>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</si>
  <si>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</si>
  <si>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</si>
  <si>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</si>
  <si>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</si>
  <si>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</si>
  <si>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</si>
  <si>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</si>
  <si>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</si>
  <si>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</si>
  <si>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</si>
  <si>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</si>
  <si>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</si>
  <si>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</si>
  <si>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</si>
  <si>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</si>
  <si>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</si>
  <si>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</si>
  <si>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</si>
  <si>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</si>
  <si>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</si>
  <si>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</si>
  <si>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</si>
  <si>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</si>
  <si>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</si>
  <si>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</si>
  <si>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</si>
  <si>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</si>
  <si>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</si>
  <si>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</si>
  <si>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</si>
  <si>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</si>
  <si>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</si>
  <si>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</si>
  <si>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</si>
  <si>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</si>
  <si>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</si>
  <si>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</si>
  <si>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</si>
  <si>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</si>
  <si>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</si>
  <si>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</si>
  <si>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</si>
  <si>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</si>
  <si>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</si>
  <si>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</si>
  <si>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</si>
  <si>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</si>
  <si>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</si>
  <si>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</si>
  <si>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</si>
  <si>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</si>
  <si>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</si>
  <si>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</si>
  <si>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</si>
  <si>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</si>
  <si>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</si>
  <si>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</si>
  <si>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</si>
  <si>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</si>
  <si>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</si>
  <si>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</si>
  <si>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</si>
  <si>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</si>
  <si>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</si>
  <si>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</si>
  <si>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</si>
  <si>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</si>
  <si>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</si>
  <si>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</si>
  <si>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</si>
  <si>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</si>
  <si>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</si>
  <si>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</si>
  <si>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</si>
  <si>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</si>
  <si>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</si>
  <si>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</si>
  <si>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</si>
  <si>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</si>
  <si>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</si>
  <si>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</si>
  <si>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</si>
  <si>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</si>
  <si>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</si>
  <si>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</si>
  <si>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</si>
  <si>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</si>
  <si>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</si>
  <si>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</si>
  <si>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</si>
  <si>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</si>
  <si>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</si>
  <si>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</si>
  <si>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</si>
  <si>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</si>
  <si>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</si>
  <si>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</si>
  <si>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</si>
  <si>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</si>
  <si>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</si>
  <si>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</si>
  <si>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</si>
  <si>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</si>
  <si>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</si>
  <si>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</si>
  <si>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</si>
  <si>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</si>
  <si>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</si>
  <si>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</si>
  <si>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</si>
  <si>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</si>
  <si>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</si>
  <si>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</si>
  <si>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</si>
  <si>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</si>
  <si>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</si>
  <si>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</si>
  <si>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</si>
  <si>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</si>
  <si>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</si>
  <si>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</si>
  <si>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</si>
  <si>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</si>
  <si>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</si>
  <si>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</si>
  <si>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</si>
  <si>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</si>
  <si>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</si>
  <si>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</si>
  <si>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</si>
  <si>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</si>
  <si>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</si>
  <si>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</si>
  <si>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</si>
  <si>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</si>
  <si>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</si>
  <si>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</si>
  <si>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</si>
  <si>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</si>
  <si>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</si>
  <si>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</si>
  <si>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</si>
  <si>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</si>
  <si>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</si>
  <si>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</si>
  <si>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</si>
  <si>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</si>
  <si>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</si>
  <si>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</si>
  <si>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</si>
  <si>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</si>
  <si>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</si>
  <si>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</si>
  <si>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</si>
  <si>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</si>
  <si>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</si>
  <si>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</si>
  <si>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</si>
  <si>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</si>
  <si>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</si>
  <si>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</si>
  <si>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</si>
  <si>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</si>
  <si>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</si>
  <si>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</si>
  <si>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</si>
  <si>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</si>
  <si>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</si>
  <si>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</si>
  <si>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</si>
  <si>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</si>
  <si>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</si>
  <si>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</si>
  <si>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</si>
  <si>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</si>
  <si>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</si>
  <si>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</si>
  <si>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</si>
  <si>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</si>
  <si>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</si>
  <si>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</si>
  <si>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</si>
  <si>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</si>
  <si>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</si>
  <si>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</si>
  <si>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</si>
  <si>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</si>
  <si>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</si>
  <si>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</si>
  <si>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</si>
  <si>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</si>
  <si>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</si>
  <si>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</si>
  <si>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</si>
  <si>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</si>
  <si>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</si>
  <si>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</si>
  <si>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</si>
  <si>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</si>
  <si>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</si>
  <si>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</si>
  <si>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</si>
  <si>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</si>
  <si>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</si>
  <si>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</si>
  <si>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</si>
  <si>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</si>
  <si>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</si>
  <si>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</si>
  <si>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</si>
  <si>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</si>
  <si>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</si>
  <si>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</si>
  <si>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</si>
  <si>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</si>
  <si>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</si>
  <si>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</si>
  <si>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</si>
  <si>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</si>
  <si>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</si>
  <si>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</si>
  <si>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</si>
  <si>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</si>
  <si>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</si>
  <si>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</si>
  <si>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</si>
  <si>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</si>
  <si>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</si>
  <si>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</si>
  <si>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</si>
  <si>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</si>
  <si>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</si>
  <si>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</si>
  <si>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</si>
  <si>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</si>
  <si>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</si>
  <si>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</si>
  <si>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</si>
  <si>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</si>
  <si>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</si>
  <si>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</si>
  <si>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</si>
  <si>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</si>
  <si>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</si>
  <si>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</si>
  <si>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</si>
  <si>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</si>
  <si>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</si>
  <si>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</si>
  <si>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</si>
  <si>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</si>
  <si>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</si>
  <si>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</si>
  <si>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</si>
  <si>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</si>
  <si>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</si>
  <si>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</si>
  <si>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</si>
  <si>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</si>
  <si>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</si>
  <si>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</si>
  <si>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</si>
  <si>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</si>
  <si>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</si>
  <si>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</si>
  <si>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</si>
  <si>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</si>
  <si>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</si>
  <si>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</si>
  <si>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</si>
  <si>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</si>
  <si>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</si>
  <si>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</si>
  <si>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</si>
  <si>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</si>
  <si>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</si>
  <si>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</si>
  <si>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</si>
  <si>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</si>
  <si>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</si>
  <si>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</si>
  <si>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</si>
  <si>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</si>
  <si>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</si>
  <si>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</si>
  <si>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</si>
  <si>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</si>
  <si>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</si>
  <si>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</si>
  <si>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</si>
  <si>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</si>
  <si>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</si>
  <si>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</si>
  <si>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</si>
  <si>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</si>
  <si>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</si>
  <si>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</si>
  <si>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</si>
  <si>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</si>
  <si>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</si>
  <si>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</si>
  <si>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</si>
  <si>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</si>
  <si>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</si>
  <si>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</si>
  <si>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</si>
  <si>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</si>
  <si>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</si>
  <si>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</si>
  <si>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</si>
  <si>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</si>
  <si>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</si>
  <si>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</si>
  <si>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</si>
  <si>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</si>
  <si>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</si>
  <si>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</si>
  <si>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</si>
  <si>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</si>
  <si>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</si>
  <si>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</si>
  <si>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</si>
  <si>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</si>
  <si>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</si>
  <si>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</si>
  <si>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</si>
  <si>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</si>
  <si>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</si>
  <si>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</si>
  <si>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</si>
  <si>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</si>
  <si>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</si>
  <si>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</si>
  <si>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</si>
  <si>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</si>
  <si>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</si>
  <si>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</si>
  <si>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</si>
  <si>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</si>
  <si>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</si>
  <si>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</si>
  <si>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</si>
  <si>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</si>
  <si>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</si>
  <si>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</si>
  <si>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</si>
  <si>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</si>
  <si>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</si>
  <si>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</si>
  <si>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</si>
  <si>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</si>
  <si>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</si>
  <si>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</si>
  <si>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</si>
  <si>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</si>
  <si>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</si>
  <si>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</si>
  <si>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</si>
  <si>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</si>
  <si>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</si>
  <si>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</si>
  <si>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</si>
  <si>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</si>
  <si>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</si>
  <si>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</si>
  <si>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</si>
  <si>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</si>
  <si>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</si>
  <si>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</si>
  <si>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</si>
  <si>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</si>
  <si>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</si>
  <si>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</si>
  <si>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</si>
  <si>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</si>
  <si>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</si>
  <si>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</si>
  <si>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</si>
  <si>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</si>
  <si>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</si>
  <si>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</si>
  <si>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</si>
  <si>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</si>
  <si>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</si>
  <si>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</si>
  <si>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</si>
  <si>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</si>
  <si>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</si>
  <si>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</si>
  <si>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</si>
  <si>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</si>
  <si>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</si>
  <si>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</si>
  <si>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</si>
  <si>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</si>
  <si>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</si>
  <si>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</si>
  <si>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</si>
  <si>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</si>
  <si>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</si>
  <si>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</si>
  <si>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</si>
  <si>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</si>
  <si>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</si>
  <si>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</si>
  <si>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</si>
  <si>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</si>
  <si>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</si>
  <si>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</si>
  <si>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</si>
  <si>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</si>
  <si>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</si>
  <si>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</si>
  <si>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</si>
  <si>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</si>
  <si>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</si>
  <si>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</si>
  <si>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</si>
  <si>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</si>
  <si>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</si>
  <si>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</si>
  <si>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</si>
  <si>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</si>
  <si>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</si>
  <si>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</si>
  <si>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</si>
  <si>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</si>
  <si>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</si>
  <si>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</si>
  <si>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</si>
  <si>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</si>
  <si>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</si>
  <si>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</si>
  <si>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</si>
  <si>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</si>
  <si>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</si>
  <si>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</si>
  <si>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</si>
  <si>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</si>
  <si>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</si>
  <si>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</si>
  <si>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</si>
  <si>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</si>
  <si>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</si>
  <si>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</si>
  <si>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</si>
  <si>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</si>
  <si>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</si>
  <si>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</si>
  <si>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</si>
  <si>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</si>
  <si>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</si>
  <si>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</si>
  <si>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</si>
  <si>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</si>
  <si>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</si>
  <si>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</si>
  <si>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</si>
  <si>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</si>
  <si>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</si>
  <si>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</si>
  <si>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</si>
  <si>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</si>
  <si>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</si>
  <si>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</si>
  <si>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</si>
  <si>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</si>
  <si>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</si>
  <si>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</si>
  <si>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</si>
  <si>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</si>
  <si>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</si>
  <si>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</si>
  <si>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</si>
  <si>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</si>
  <si>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</si>
  <si>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</si>
  <si>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</si>
  <si>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</si>
  <si>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</si>
  <si>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</si>
  <si>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</si>
  <si>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</si>
  <si>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</si>
  <si>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</si>
  <si>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</si>
  <si>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</si>
  <si>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</si>
  <si>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</si>
  <si>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</si>
  <si>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</si>
  <si>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</si>
  <si>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</si>
  <si>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</si>
  <si>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</si>
  <si>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</si>
  <si>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</si>
  <si>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</si>
  <si>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</si>
  <si>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</si>
  <si>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</si>
  <si>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</si>
  <si>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</si>
  <si>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</si>
  <si>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</si>
  <si>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</si>
  <si>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</si>
  <si>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</si>
  <si>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</si>
  <si>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</si>
  <si>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</si>
  <si>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</si>
  <si>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</si>
  <si>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</si>
  <si>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</si>
  <si>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</si>
  <si>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</si>
  <si>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</si>
  <si>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</si>
  <si>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</si>
  <si>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</si>
  <si>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</si>
  <si>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</si>
  <si>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</si>
  <si>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</si>
  <si>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</si>
  <si>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</si>
  <si>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</si>
  <si>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</si>
  <si>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</si>
  <si>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</si>
  <si>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</si>
  <si>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</si>
  <si>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</si>
  <si>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</si>
  <si>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</si>
  <si>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</si>
  <si>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</si>
  <si>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</si>
  <si>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</si>
  <si>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</si>
  <si>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</si>
  <si>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</si>
  <si>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</si>
  <si>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</si>
  <si>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</si>
  <si>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</si>
  <si>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</si>
  <si>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</si>
  <si>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</si>
  <si>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</si>
  <si>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</si>
  <si>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</si>
  <si>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</si>
  <si>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</si>
  <si>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</si>
  <si>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</si>
  <si>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</si>
  <si>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</si>
  <si>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</si>
  <si>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</si>
  <si>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</si>
  <si>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</si>
  <si>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</si>
  <si>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</si>
  <si>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</si>
  <si>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</si>
  <si>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</si>
  <si>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</si>
  <si>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</si>
  <si>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</si>
  <si>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</si>
  <si>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</si>
  <si>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</si>
  <si>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</si>
  <si>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</si>
  <si>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</si>
  <si>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</si>
  <si>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</si>
  <si>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</si>
  <si>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</si>
  <si>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</si>
  <si>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</si>
  <si>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</si>
  <si>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</si>
  <si>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</si>
  <si>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</si>
  <si>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</si>
  <si>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</si>
  <si>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</si>
  <si>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</si>
  <si>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</si>
  <si>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</si>
  <si>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</si>
  <si>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</si>
  <si>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</si>
  <si>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</si>
  <si>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</si>
  <si>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</si>
  <si>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</si>
  <si>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</si>
  <si>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</si>
  <si>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</si>
  <si>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</si>
  <si>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</si>
  <si>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</si>
  <si>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</si>
  <si>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</si>
  <si>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</si>
  <si>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</si>
  <si>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</si>
  <si>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</si>
  <si>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</si>
  <si>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</si>
  <si>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</si>
  <si>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</si>
  <si>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</si>
  <si>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</si>
  <si>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</si>
  <si>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</si>
  <si>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</si>
  <si>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</si>
  <si>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</si>
  <si>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</si>
  <si>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</si>
  <si>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</si>
  <si>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</si>
  <si>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</si>
  <si>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</si>
  <si>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</si>
  <si>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</si>
  <si>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</si>
  <si>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</si>
  <si>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</si>
  <si>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</si>
  <si>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</si>
  <si>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</si>
  <si>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</si>
  <si>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</si>
  <si>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</si>
  <si>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</si>
  <si>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</si>
  <si>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</si>
  <si>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</si>
  <si>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</si>
  <si>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</si>
  <si>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</si>
  <si>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</si>
  <si>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</si>
  <si>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</si>
  <si>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</si>
  <si>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</si>
  <si>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</si>
  <si>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</si>
  <si>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</si>
  <si>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</si>
  <si>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</si>
  <si>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</si>
  <si>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</si>
  <si>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</si>
  <si>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</si>
  <si>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</si>
  <si>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</si>
  <si>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</si>
  <si>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</si>
  <si>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</si>
  <si>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</si>
  <si>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</si>
  <si>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</si>
  <si>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</si>
  <si>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</si>
  <si>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</si>
  <si>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</si>
  <si>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</si>
  <si>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</si>
  <si>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</si>
  <si>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</si>
  <si>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</si>
  <si>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</si>
  <si>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</si>
  <si>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</si>
  <si>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</si>
  <si>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</si>
  <si>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</si>
  <si>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</si>
  <si>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</si>
  <si>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</si>
  <si>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</si>
  <si>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</si>
  <si>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</si>
  <si>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</si>
  <si>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</si>
  <si>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</si>
  <si>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</si>
  <si>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</si>
  <si>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</si>
  <si>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</si>
  <si>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</si>
  <si>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</si>
  <si>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</si>
  <si>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</si>
  <si>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</si>
  <si>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</si>
  <si>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</si>
  <si>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</si>
  <si>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</si>
  <si>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</si>
  <si>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</si>
  <si>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</si>
  <si>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</si>
  <si>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</si>
  <si>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</si>
  <si>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</si>
  <si>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</si>
  <si>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</si>
  <si>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</si>
  <si>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</si>
  <si>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</si>
  <si>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</si>
  <si>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</si>
  <si>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</si>
  <si>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</si>
  <si>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</si>
  <si>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</si>
  <si>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</si>
  <si>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</si>
  <si>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</si>
  <si>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</si>
  <si>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</si>
  <si>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</si>
  <si>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</si>
  <si>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</si>
  <si>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</si>
  <si>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</si>
  <si>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</si>
  <si>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</si>
  <si>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</si>
  <si>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</si>
  <si>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</si>
  <si>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</si>
  <si>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</si>
  <si>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</si>
  <si>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</si>
  <si>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</si>
  <si>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</si>
  <si>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</si>
  <si>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</si>
  <si>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</si>
  <si>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</si>
  <si>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</si>
  <si>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</si>
  <si>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</si>
  <si>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</si>
  <si>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</si>
  <si>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</si>
  <si>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</si>
  <si>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</si>
  <si>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</si>
  <si>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</si>
  <si>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</si>
  <si>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</si>
  <si>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</si>
  <si>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</si>
  <si>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</si>
  <si>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</si>
  <si>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</si>
  <si>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</si>
  <si>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</si>
  <si>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</si>
  <si>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</si>
  <si>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</si>
  <si>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</si>
  <si>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</si>
  <si>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</si>
  <si>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</si>
  <si>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</si>
  <si>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</si>
  <si>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</si>
  <si>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</si>
  <si>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</si>
  <si>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</si>
  <si>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</si>
  <si>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</si>
  <si>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</si>
  <si>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</si>
  <si>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</si>
  <si>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</si>
  <si>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</si>
  <si>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</si>
  <si>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</si>
  <si>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</si>
  <si>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</si>
  <si>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</si>
  <si>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</si>
  <si>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</si>
  <si>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</si>
  <si>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</si>
  <si>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</si>
  <si>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</si>
  <si>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</si>
  <si>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</si>
  <si>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</si>
  <si>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</si>
  <si>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</si>
  <si>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</si>
  <si>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</si>
  <si>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</si>
  <si>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</si>
  <si>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</si>
  <si>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</si>
  <si>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</si>
  <si>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</si>
  <si>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</si>
  <si>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</si>
  <si>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</si>
  <si>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</si>
  <si>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</si>
  <si>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</si>
  <si>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</si>
  <si>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</si>
  <si>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</si>
  <si>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</si>
  <si>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</si>
  <si>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</si>
  <si>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</si>
  <si>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</si>
  <si>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</si>
  <si>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</si>
  <si>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</si>
  <si>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</si>
  <si>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</si>
  <si>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</si>
  <si>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</si>
  <si>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</si>
  <si>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</si>
  <si>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</si>
  <si>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</si>
  <si>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</si>
  <si>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</si>
  <si>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</si>
  <si>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</si>
  <si>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</si>
  <si>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</si>
  <si>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</si>
  <si>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</si>
  <si>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</si>
  <si>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</si>
  <si>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</si>
  <si>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</si>
  <si>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</si>
  <si>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</si>
  <si>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</si>
  <si>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</si>
  <si>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</si>
  <si>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</si>
  <si>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</si>
  <si>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</si>
  <si>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</si>
  <si>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</si>
  <si>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</si>
  <si>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</si>
  <si>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</si>
  <si>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</si>
  <si>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</si>
  <si>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</si>
  <si>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</si>
  <si>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</si>
  <si>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</si>
  <si>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</si>
  <si>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</si>
  <si>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</si>
  <si>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</si>
  <si>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</si>
  <si>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</si>
  <si>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</si>
  <si>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</si>
  <si>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</si>
  <si>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</si>
  <si>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</si>
  <si>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</si>
  <si>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</si>
  <si>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</si>
  <si>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</si>
  <si>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</si>
  <si>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</si>
  <si>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</si>
  <si>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</si>
  <si>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</si>
  <si>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</si>
  <si>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</si>
  <si>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</si>
  <si>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</si>
  <si>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</si>
  <si>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</si>
  <si>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</si>
  <si>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</si>
  <si>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</si>
  <si>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</si>
  <si>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</si>
  <si>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</si>
  <si>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</si>
  <si>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</si>
  <si>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</si>
  <si>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</si>
  <si>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</si>
  <si>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</si>
  <si>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</si>
  <si>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</si>
  <si>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</si>
  <si>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</si>
  <si>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</si>
  <si>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</si>
  <si>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</si>
  <si>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</si>
  <si>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</si>
  <si>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</si>
  <si>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</si>
  <si>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</si>
  <si>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</si>
  <si>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</si>
  <si>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</si>
  <si>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</si>
  <si>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</si>
  <si>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</si>
  <si>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</si>
  <si>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</si>
  <si>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</si>
  <si>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</si>
  <si>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</si>
  <si>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</si>
  <si>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</si>
  <si>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</si>
  <si>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</si>
  <si>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</si>
  <si>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</si>
  <si>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</si>
  <si>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</si>
  <si>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</si>
  <si>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</si>
  <si>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</si>
  <si>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</si>
  <si>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</si>
  <si>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</si>
  <si>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</si>
  <si>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</si>
  <si>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</si>
  <si>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</si>
  <si>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</si>
  <si>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</si>
  <si>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</si>
  <si>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</si>
  <si>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</si>
  <si>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</si>
  <si>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</si>
  <si>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</si>
  <si>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</si>
  <si>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</si>
  <si>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</si>
  <si>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</si>
  <si>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</si>
  <si>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</si>
  <si>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</si>
  <si>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</si>
  <si>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</si>
  <si>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</si>
  <si>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</si>
  <si>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</si>
  <si>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</si>
  <si>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</si>
  <si>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</si>
  <si>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</si>
  <si>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</si>
  <si>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</si>
  <si>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</si>
  <si>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</si>
  <si>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</si>
  <si>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</si>
  <si>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</si>
  <si>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</si>
  <si>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</si>
  <si>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</si>
  <si>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</si>
  <si>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</si>
  <si>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</si>
  <si>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</si>
  <si>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</si>
  <si>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</si>
  <si>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</si>
  <si>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</si>
  <si>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</si>
  <si>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</si>
  <si>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</si>
  <si>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</si>
  <si>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</si>
  <si>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</si>
  <si>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</si>
  <si>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</si>
  <si>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</si>
  <si>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</si>
  <si>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</si>
  <si>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</si>
  <si>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</si>
  <si>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</si>
  <si>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</si>
  <si>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</si>
  <si>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</si>
  <si>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</si>
  <si>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</si>
  <si>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</si>
  <si>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</si>
  <si>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</si>
  <si>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</si>
  <si>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</si>
  <si>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</si>
  <si>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</si>
  <si>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</si>
  <si>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</si>
  <si>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</si>
  <si>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</si>
  <si>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</si>
  <si>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</si>
  <si>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</si>
  <si>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</si>
  <si>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</si>
  <si>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</si>
  <si>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</si>
  <si>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</si>
  <si>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</si>
  <si>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</si>
  <si>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</si>
  <si>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</si>
  <si>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</si>
  <si>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</si>
  <si>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</si>
  <si>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</si>
  <si>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</si>
  <si>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</si>
  <si>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</si>
  <si>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</si>
  <si>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</si>
  <si>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</si>
  <si>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</si>
  <si>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</si>
  <si>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</si>
  <si>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</si>
  <si>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</si>
  <si>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</si>
  <si>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</si>
  <si>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</si>
  <si>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</si>
  <si>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</si>
  <si>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</si>
  <si>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</si>
  <si>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</si>
  <si>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</si>
  <si>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</si>
  <si>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</si>
  <si>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</si>
  <si>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</si>
  <si>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</si>
  <si>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</si>
  <si>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</si>
  <si>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</si>
  <si>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</si>
  <si>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</si>
  <si>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</si>
  <si>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</si>
  <si>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</si>
  <si>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</si>
  <si>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</si>
  <si>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</si>
  <si>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</si>
  <si>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</si>
  <si>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</si>
  <si>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</si>
  <si>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</si>
  <si>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</si>
  <si>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</si>
  <si>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</si>
  <si>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</si>
  <si>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</si>
  <si>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</si>
  <si>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</si>
  <si>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</si>
  <si>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</si>
  <si>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</si>
  <si>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</si>
  <si>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</si>
  <si>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</si>
  <si>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</si>
  <si>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</si>
  <si>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</si>
  <si>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</si>
  <si>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</si>
  <si>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</si>
  <si>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</si>
  <si>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</si>
  <si>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</si>
  <si>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</si>
  <si>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</si>
  <si>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</si>
  <si>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</si>
  <si>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</si>
  <si>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</si>
  <si>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</si>
  <si>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</si>
  <si>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</si>
  <si>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</si>
  <si>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</si>
  <si>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</si>
  <si>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</si>
  <si>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</si>
  <si>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</si>
  <si>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</si>
  <si>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</si>
  <si>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</si>
  <si>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</si>
  <si>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</si>
  <si>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</si>
  <si>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</si>
  <si>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</si>
  <si>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</si>
  <si>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</si>
  <si>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</si>
  <si>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</si>
  <si>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</si>
  <si>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</si>
  <si>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</si>
  <si>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</si>
  <si>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</si>
  <si>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</si>
  <si>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</si>
  <si>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</si>
  <si>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</si>
  <si>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</si>
  <si>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</si>
  <si>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</si>
  <si>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</si>
  <si>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</si>
  <si>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</si>
  <si>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</si>
  <si>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</si>
  <si>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</si>
  <si>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</si>
  <si>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</si>
  <si>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</si>
  <si>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</si>
  <si>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</si>
  <si>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</si>
  <si>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</si>
  <si>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</si>
  <si>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</si>
  <si>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</si>
  <si>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</si>
  <si>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</si>
  <si>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</si>
  <si>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</si>
  <si>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</si>
  <si>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</si>
  <si>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</si>
  <si>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</si>
  <si>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</si>
  <si>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</si>
  <si>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</si>
  <si>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</si>
  <si>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</si>
  <si>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</si>
  <si>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</si>
  <si>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</si>
  <si>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</si>
  <si>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</si>
  <si>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</si>
  <si>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</si>
  <si>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</si>
  <si>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</si>
  <si>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</si>
  <si>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</si>
  <si>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</si>
  <si>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</si>
  <si>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</si>
  <si>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</si>
  <si>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</si>
  <si>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</si>
  <si>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</si>
  <si>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</si>
  <si>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</si>
  <si>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</si>
  <si>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</si>
  <si>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</si>
  <si>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</si>
  <si>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</si>
  <si>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</si>
  <si>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</si>
  <si>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</si>
  <si>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</si>
  <si>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</si>
  <si>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</si>
  <si>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</si>
  <si>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</si>
  <si>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</si>
  <si>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</si>
  <si>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</si>
  <si>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</si>
  <si>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</si>
  <si>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</si>
  <si>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</si>
  <si>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</si>
  <si>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</si>
  <si>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</si>
  <si>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</si>
  <si>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</si>
  <si>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</si>
  <si>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</si>
  <si>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</si>
  <si>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</si>
  <si>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</si>
  <si>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</si>
  <si>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</si>
  <si>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</si>
  <si>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</si>
  <si>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</si>
  <si>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</si>
  <si>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</si>
  <si>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</si>
  <si>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</si>
  <si>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</si>
  <si>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</si>
  <si>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</si>
  <si>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</si>
  <si>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</si>
  <si>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</si>
  <si>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</si>
  <si>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</si>
  <si>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</si>
  <si>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</si>
  <si>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</si>
  <si>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</si>
  <si>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</si>
  <si>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</si>
  <si>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</si>
  <si>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</si>
  <si>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</si>
  <si>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</si>
  <si>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</si>
  <si>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</si>
  <si>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</si>
  <si>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</si>
  <si>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</si>
  <si>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</si>
  <si>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</si>
  <si>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</si>
  <si>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</si>
  <si>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</si>
  <si>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</si>
  <si>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</si>
  <si>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</si>
  <si>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</si>
  <si>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</si>
  <si>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</si>
  <si>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</si>
  <si>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</si>
  <si>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</si>
  <si>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</si>
  <si>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</si>
  <si>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</si>
  <si>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</si>
  <si>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</si>
  <si>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</si>
  <si>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</si>
  <si>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</si>
  <si>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</si>
  <si>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</si>
  <si>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</si>
  <si>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</si>
  <si>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</si>
  <si>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</si>
  <si>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</si>
  <si>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</si>
  <si>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</si>
  <si>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</si>
  <si>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</si>
  <si>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</si>
  <si>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</si>
  <si>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</si>
  <si>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</si>
  <si>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</si>
  <si>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</si>
  <si>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</si>
  <si>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</si>
  <si>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</si>
  <si>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</si>
  <si>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</si>
  <si>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</si>
  <si>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</si>
  <si>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</si>
  <si>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</si>
  <si>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</si>
  <si>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</si>
  <si>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</si>
  <si>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</si>
  <si>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</si>
  <si>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</si>
  <si>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</si>
  <si>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</si>
  <si>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</si>
  <si>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</si>
  <si>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</si>
  <si>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</si>
  <si>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</si>
  <si>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</si>
  <si>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</si>
  <si>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</si>
  <si>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</si>
  <si>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</si>
  <si>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</si>
  <si>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</si>
  <si>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</si>
  <si>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</si>
  <si>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</si>
  <si>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</si>
  <si>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</si>
  <si>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</si>
  <si>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</si>
  <si>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</si>
  <si>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</si>
  <si>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</si>
  <si>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</si>
  <si>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</si>
  <si>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</si>
  <si>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</si>
  <si>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</si>
  <si>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</si>
  <si>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</si>
  <si>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</si>
  <si>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</si>
  <si>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</si>
  <si>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</si>
  <si>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</si>
  <si>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</si>
  <si>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</si>
  <si>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</si>
  <si>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</si>
  <si>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</si>
  <si>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</si>
  <si>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</si>
  <si>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</si>
  <si>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</si>
  <si>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</si>
  <si>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</si>
  <si>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</si>
  <si>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</si>
  <si>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</si>
  <si>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</si>
  <si>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</si>
  <si>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</si>
  <si>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</si>
  <si>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</si>
  <si>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</si>
  <si>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</si>
  <si>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</si>
  <si>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</si>
  <si>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</si>
  <si>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</si>
  <si>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</si>
  <si>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</si>
  <si>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</si>
  <si>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</si>
  <si>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</si>
  <si>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</si>
  <si>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</si>
  <si>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</si>
  <si>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</si>
  <si>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</si>
  <si>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</si>
  <si>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</si>
  <si>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</si>
  <si>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</si>
  <si>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</si>
  <si>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</si>
  <si>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</si>
  <si>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</si>
  <si>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</si>
  <si>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</si>
  <si>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</si>
  <si>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</si>
  <si>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</si>
  <si>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</si>
  <si>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</si>
  <si>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</si>
  <si>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</si>
  <si>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</si>
  <si>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</si>
  <si>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</si>
  <si>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</si>
  <si>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</si>
  <si>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</si>
  <si>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</si>
  <si>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</si>
  <si>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</si>
  <si>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</si>
  <si>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</si>
  <si>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</si>
  <si>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</si>
  <si>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</si>
  <si>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</si>
  <si>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</si>
  <si>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</si>
  <si>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</si>
  <si>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</si>
  <si>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</si>
  <si>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</si>
  <si>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</si>
  <si>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</si>
  <si>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</si>
  <si>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</si>
  <si>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</si>
  <si>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</si>
  <si>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</si>
  <si>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</si>
  <si>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</si>
  <si>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</si>
  <si>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</si>
  <si>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</si>
  <si>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</si>
  <si>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</si>
  <si>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</si>
  <si>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</si>
  <si>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</si>
  <si>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</si>
  <si>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</si>
  <si>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</si>
  <si>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</si>
  <si>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</si>
  <si>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</si>
  <si>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</si>
  <si>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</si>
  <si>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</si>
  <si>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</si>
  <si>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</si>
  <si>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</si>
  <si>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</si>
  <si>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</si>
  <si>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</si>
  <si>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</si>
  <si>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</si>
  <si>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</si>
  <si>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</si>
  <si>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Roast Type Name</t>
  </si>
  <si>
    <t>Grand Total</t>
  </si>
  <si>
    <t>2019</t>
  </si>
  <si>
    <t>2020</t>
  </si>
  <si>
    <t>2021</t>
  </si>
  <si>
    <t>2022</t>
  </si>
  <si>
    <t>Years (Order Date)</t>
  </si>
  <si>
    <t>Months (Order Date)</t>
  </si>
  <si>
    <t>Arabica</t>
  </si>
  <si>
    <t>Excelsa</t>
  </si>
  <si>
    <t>Liberica</t>
  </si>
  <si>
    <t>Robusta</t>
  </si>
  <si>
    <t>Sum of Sales</t>
  </si>
  <si>
    <t>Row Labels</t>
  </si>
  <si>
    <t>Coffee Sales Dashboard</t>
  </si>
  <si>
    <t>Sum of Quantity</t>
  </si>
  <si>
    <t>Average</t>
  </si>
  <si>
    <t>Units Sold</t>
  </si>
  <si>
    <t>High-Volume vs. High-Value Coffees by Country</t>
  </si>
  <si>
    <t>Order Frequency</t>
  </si>
  <si>
    <t>Frequency Group</t>
  </si>
  <si>
    <t>Customer Count</t>
  </si>
  <si>
    <t>Customer Segment</t>
  </si>
  <si>
    <t>Average Order Cost</t>
  </si>
  <si>
    <t>Average of Average Order Cost</t>
  </si>
  <si>
    <t>Average Order Cost (AOC)</t>
  </si>
  <si>
    <t>Order Frequency (OF)</t>
  </si>
  <si>
    <t>High Value</t>
  </si>
  <si>
    <t>Low Value</t>
  </si>
  <si>
    <t>Medium Value</t>
  </si>
  <si>
    <t>Column Labels</t>
  </si>
  <si>
    <t>Light</t>
  </si>
  <si>
    <t>Medium</t>
  </si>
  <si>
    <t>Dark</t>
  </si>
  <si>
    <t>Average of Sales</t>
  </si>
  <si>
    <t>Average Sales (AS)</t>
  </si>
  <si>
    <t>Spend Distribution</t>
  </si>
  <si>
    <t>$0-50</t>
  </si>
  <si>
    <t>$101-150</t>
  </si>
  <si>
    <t>$150+</t>
  </si>
  <si>
    <t>$50-100</t>
  </si>
  <si>
    <t>Average Unit Price (AUP)</t>
  </si>
  <si>
    <t>Total Quantity</t>
  </si>
  <si>
    <t>Sales Tier</t>
  </si>
  <si>
    <t>Quantity Tier</t>
  </si>
  <si>
    <t>Quadrant Label</t>
  </si>
  <si>
    <t>High Price-High Volume</t>
  </si>
  <si>
    <t>High Price-Low Volume</t>
  </si>
  <si>
    <t>Low Price-High Volume</t>
  </si>
  <si>
    <t>Low Price-Low Volume</t>
  </si>
  <si>
    <t>Price–Volume Tradeoffs Across Product Sizes</t>
  </si>
  <si>
    <t>Investigating Top Customers’ Buying Behavior</t>
  </si>
  <si>
    <t>Month</t>
  </si>
  <si>
    <t>Quarter</t>
  </si>
  <si>
    <t>First Quarter</t>
  </si>
  <si>
    <t>Fourth Quarter</t>
  </si>
  <si>
    <t>Second Quarter</t>
  </si>
  <si>
    <t>Third Quarter</t>
  </si>
  <si>
    <t>Coffee-Roast</t>
  </si>
  <si>
    <t>Arabica-Dark</t>
  </si>
  <si>
    <t>Arabica-Light</t>
  </si>
  <si>
    <t>Arabica-Medium</t>
  </si>
  <si>
    <t>Excelsa-Dark</t>
  </si>
  <si>
    <t>Excelsa-Light</t>
  </si>
  <si>
    <t>Excelsa-Medium</t>
  </si>
  <si>
    <t>Liberica-Dark</t>
  </si>
  <si>
    <t>Liberica-Light</t>
  </si>
  <si>
    <t>Liberica-Medium</t>
  </si>
  <si>
    <t>Robusta-Dark</t>
  </si>
  <si>
    <t>Robusta-Light</t>
  </si>
  <si>
    <t>Robusta-Medium</t>
  </si>
  <si>
    <t>Season</t>
  </si>
  <si>
    <t>Autumn</t>
  </si>
  <si>
    <t>Spring</t>
  </si>
  <si>
    <t>Summer</t>
  </si>
  <si>
    <t>Winter</t>
  </si>
  <si>
    <t>Total Sales</t>
  </si>
  <si>
    <t>YoY Growth %</t>
  </si>
  <si>
    <t>How Sales Evolve: Growth Trends &amp; Seasonal Coffee Patterns</t>
  </si>
  <si>
    <t>Global Average</t>
  </si>
  <si>
    <t>Less than 2</t>
  </si>
  <si>
    <t>Between 4 and 2</t>
  </si>
  <si>
    <t>More than 4</t>
  </si>
  <si>
    <t>Loyalty Program Effectiveness: Spending &amp; Frequency Impact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</si>
</sst>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0.0"/>
    <numFmt numFmtId="165" formatCode="dd\-mmm\-yyyy"/>
    <numFmt numFmtId="166" formatCode="0.0\ &quot;kg&quot;"/>
    <numFmt numFmtId="167" formatCode="_([$$-409]* #,##0.00_);_([$$-409]* \(#,##0.00\);_([$$-409]* &quot;-&quot;??_);_(@_)"/>
    <numFmt numFmtId="168" formatCode="_([$$-409]* #,##0_);_([$$-409]* \(#,##0\);_([$$-409]* &quot;-&quot;??_);_(@_)"/>
  </numFmts>
  <fonts count="7" x14ac:knownFonts="1">
    <font>
      <sz val="11"/>
      <color theme="1"/>
      <name val="Calibri"/>
      <family val="2"/>
      <scheme val="minor"/>
    </font>
    <font>
      <sz val="11"/>
      <color indexed="8"/>
      <name val="Calibri"/>
      <family val="2"/>
    </font>
    <font>
      <b/>
      <sz val="48"/>
      <color theme="0"/>
      <name val="Calibri"/>
      <family val="2"/>
      <scheme val="minor"/>
    </font>
    <font>
      <b/>
      <sz val="36"/>
      <color theme="0"/>
      <name val="Calibri"/>
      <family val="2"/>
      <scheme val="minor"/>
    </font>
    <font>
      <sz val="36"/>
      <name val="Calibri"/>
      <family val="2"/>
      <scheme val="minor"/>
    </font>
    <font>
      <b/>
      <sz val="11"/>
      <color theme="1"/>
      <name val="Calibri"/>
      <family val="2"/>
      <scheme val="minor"/>
    </font>
    <font>
      <b/>
      <sz val="34"/>
      <color theme="0"/>
      <name val="Calibri"/>
      <family val="2"/>
      <scheme val="minor"/>
    </font>
  </fonts>
  <fills count="4">
    <fill>
      <patternFill patternType="none"/>
    </fill>
    <fill>
      <patternFill patternType="gray125"/>
    </fill>
    <fill>
      <patternFill patternType="solid">
        <fgColor rgb="FF3C1464"/>
        <bgColor indexed="64"/>
      </patternFill>
    </fill>
    <fill>
      <patternFill patternType="solid">
        <fgColor theme="4" tint="0.79998168889431442"/>
        <bgColor theme="4" tint="0.79998168889431442"/>
      </patternFill>
    </fill>
  </fills>
  <borders count="3">
    <border>
      <left/>
      <right/>
      <top/>
      <bottom/>
      <diagonal/>
    </border>
    <border>
      <left/>
      <right/>
      <top/>
      <bottom style="thick">
        <color theme="0"/>
      </bottom>
      <diagonal/>
    </border>
    <border>
      <left/>
      <right/>
      <top/>
      <bottom style="medium">
        <color theme="4" tint="-0.249977111117893"/>
      </bottom>
      <diagonal/>
    </border>
  </borders>
  <cellStyleXfs count="1">
    <xf numFmtId="0" fontId="0" fillId="0" borderId="0"/>
  </cellStyleXfs>
  <cellXfs count="33">
    <xf numFmtId="0" fontId="0" fillId="0" borderId="0" xfId="0"/>
    <xf numFmtId="164" fontId="0" fillId="0" borderId="0" xfId="0" applyNumberFormat="1"/>
    <xf numFmtId="0" fontId="1" fillId="0" borderId="0" xfId="0" applyFont="1" applyAlignment="1">
      <alignment vertical="center"/>
    </xf>
    <xf numFmtId="14" fontId="1" fillId="0" borderId="0" xfId="0" applyNumberFormat="1" applyFont="1" applyAlignment="1">
      <alignment vertical="center"/>
    </xf>
    <xf numFmtId="165" fontId="1" fillId="0" borderId="0" xfId="0" applyNumberFormat="1" applyFont="1" applyAlignment="1">
      <alignment vertical="center"/>
    </xf>
    <xf numFmtId="166" fontId="0" fillId="0" borderId="0" xfId="0" applyNumberFormat="1"/>
    <xf numFmtId="167" fontId="0" fillId="0" borderId="0" xfId="0" applyNumberFormat="1"/>
    <xf numFmtId="0" fontId="0" fillId="0" borderId="0" xfId="0" pivotButton="1"/>
    <xf numFmtId="168" fontId="0" fillId="0" borderId="0" xfId="0" applyNumberFormat="1"/>
    <xf numFmtId="0" fontId="0" fillId="0" borderId="0" xfId="0" applyAlignment="1">
      <alignment horizontal="left"/>
    </xf>
    <xf numFmtId="2" fontId="0" fillId="0" borderId="0" xfId="0" applyNumberFormat="1"/>
    <xf numFmtId="0" fontId="5" fillId="3" borderId="0" xfId="0" applyFont="1" applyFill="1" applyAlignment="1">
      <alignment horizontal="left"/>
    </xf>
    <xf numFmtId="167" fontId="5" fillId="3" borderId="0" xfId="0" applyNumberFormat="1" applyFont="1" applyFill="1"/>
    <xf numFmtId="0" fontId="0" fillId="0" borderId="0" xfId="0" applyAlignment="1">
      <alignment horizontal="left" indent="1"/>
    </xf>
    <xf numFmtId="0" fontId="5" fillId="0" borderId="2" xfId="0" applyFont="1" applyBorder="1"/>
    <xf numFmtId="167" fontId="5" fillId="0" borderId="2" xfId="0" applyNumberFormat="1" applyFont="1" applyBorder="1"/>
    <xf numFmtId="2" fontId="1" fillId="0" borderId="0" xfId="0" applyNumberFormat="1" applyFont="1" applyAlignment="1">
      <alignment vertical="center"/>
    </xf>
    <xf numFmtId="2" fontId="0" fillId="0" borderId="0" xfId="0" applyNumberFormat="1" applyAlignment="1">
      <alignment horizontal="left"/>
    </xf>
    <xf numFmtId="0" fontId="0" fillId="2" borderId="0" xfId="0" applyFill="1"/>
    <xf numFmtId="168" fontId="0" fillId="2" borderId="0" xfId="0" applyNumberFormat="1" applyFill="1"/>
    <xf numFmtId="0" fontId="0" fillId="2" borderId="0" xfId="0" applyFill="1" applyAlignment="1">
      <alignment horizontal="left"/>
    </xf>
    <xf numFmtId="167" fontId="0" fillId="2" borderId="0" xfId="0" applyNumberFormat="1" applyFill="1"/>
    <xf numFmtId="166" fontId="0" fillId="0" borderId="0" xfId="0" applyNumberFormat="1" applyAlignment="1">
      <alignment horizontal="left"/>
    </xf>
    <xf numFmtId="10" fontId="0" fillId="0" borderId="0" xfId="0" applyNumberFormat="1"/>
    <xf numFmtId="0" fontId="6" fillId="2" borderId="0" xfId="0" applyFont="1" applyFill="1" applyAlignment="1">
      <alignment horizontal="center"/>
    </xf>
    <xf numFmtId="0" fontId="3" fillId="2" borderId="0" xfId="0" applyFont="1" applyFill="1" applyAlignment="1">
      <alignment horizontal="center"/>
    </xf>
    <xf numFmtId="0" fontId="0" fillId="2" borderId="0" xfId="0" applyFill="1" applyAlignment="1">
      <alignment horizontal="center"/>
    </xf>
    <xf numFmtId="0" fontId="2" fillId="2" borderId="0" xfId="0" applyFont="1" applyFill="1" applyAlignment="1">
      <alignment horizontal="center" vertical="center"/>
    </xf>
    <xf numFmtId="0" fontId="0" fillId="2" borderId="0" xfId="0" applyFill="1" applyAlignment="1">
      <alignment horizontal="center" vertical="center"/>
    </xf>
    <xf numFmtId="0" fontId="0" fillId="2" borderId="1" xfId="0" applyFill="1" applyBorder="1" applyAlignment="1">
      <alignment horizontal="center" vertical="center"/>
    </xf>
    <xf numFmtId="0" fontId="4" fillId="2" borderId="0" xfId="0" applyFont="1" applyFill="1" applyAlignment="1">
      <alignment horizontal="center"/>
    </xf>
    <xf numFmtId="0" fontId="3" fillId="2" borderId="1" xfId="0" applyFont="1" applyFill="1" applyBorder="1" applyAlignment="1">
      <alignment horizontal="center"/>
    </xf>
    <xf numFmtId="0" fontId="4" fillId="2" borderId="1" xfId="0" applyFont="1" applyFill="1" applyBorder="1" applyAlignment="1">
      <alignment horizontal="center"/>
    </xf>
  </cellXfs>
  <cellStyles count="1">
    <cellStyle name="Normal" xfId="0" builtinId="0"/>
  </cellStyles>
  <dxfs count="35">
    <dxf>
      <numFmt numFmtId="168" formatCode="_([$$-409]* #,##0_);_([$$-409]* \(#,##0\);_([$$-409]* &quot;-&quot;??_);_(@_)"/>
    </dxf>
    <dxf>
      <numFmt numFmtId="168" formatCode="_([$$-409]* #,##0_);_([$$-409]* \(#,##0\);_([$$-409]* &quot;-&quot;??_);_(@_)"/>
    </dxf>
    <dxf>
      <numFmt numFmtId="168" formatCode="_([$$-409]* #,##0_);_([$$-409]* \(#,##0\);_([$$-409]* &quot;-&quot;??_);_(@_)"/>
    </dxf>
    <dxf>
      <numFmt numFmtId="2" formatCode="0.00"/>
    </dxf>
    <dxf>
      <numFmt numFmtId="2" formatCode="0.00"/>
    </dxf>
    <dxf>
      <numFmt numFmtId="2" formatCode="0.00"/>
    </dxf>
    <dxf>
      <numFmt numFmtId="168" formatCode="_([$$-409]* #,##0_);_([$$-409]* \(#,##0\);_([$$-409]*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 formatCode="0.00"/>
    </dxf>
    <dxf>
      <numFmt numFmtId="0" formatCode="General"/>
    </dxf>
    <dxf>
      <numFmt numFmtId="0" formatCode="General"/>
    </dxf>
    <dxf>
      <numFmt numFmtId="167" formatCode="_([$$-409]* #,##0.00_);_([$$-409]* \(#,##0.00\);_([$$-409]* &quot;-&quot;??_);_(@_)"/>
    </dxf>
    <dxf>
      <numFmt numFmtId="167" formatCode="_([$$-409]* #,##0.00_);_([$$-409]* \(#,##0.00\);_([$$-409]* &quot;-&quot;??_);_(@_)"/>
    </dxf>
    <dxf>
      <numFmt numFmtId="166" formatCode="0.0\ &quot;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5"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i val="0"/>
        <sz val="11"/>
        <color theme="0"/>
        <name val="Calibri"/>
        <family val="2"/>
        <scheme val="minor"/>
      </font>
      <border>
        <left style="thin">
          <color theme="0"/>
        </left>
        <right style="thin">
          <color theme="0"/>
        </right>
        <top style="thin">
          <color theme="0"/>
        </top>
        <bottom style="thin">
          <color theme="0"/>
        </bottom>
      </border>
    </dxf>
    <dxf>
      <font>
        <b val="0"/>
        <i val="0"/>
        <sz val="11"/>
        <color theme="0"/>
        <name val="Calibri"/>
        <family val="2"/>
        <scheme val="minor"/>
      </font>
      <fill>
        <patternFill patternType="solid">
          <fgColor theme="0"/>
          <bgColor rgb="FF3C1464"/>
        </patternFill>
      </fill>
      <border>
        <left style="thin">
          <color rgb="FF3C1464"/>
        </left>
        <right style="thin">
          <color rgb="FF3C1464"/>
        </right>
        <top style="thin">
          <color rgb="FF3C1464"/>
        </top>
        <bottom style="thin">
          <color rgb="FF3C1464"/>
        </bottom>
      </border>
    </dxf>
    <dxf>
      <font>
        <b/>
        <i val="0"/>
        <color theme="0"/>
        <name val="Calibri"/>
        <family val="2"/>
        <scheme val="minor"/>
      </font>
    </dxf>
    <dxf>
      <font>
        <b val="0"/>
        <i val="0"/>
        <color theme="0"/>
        <name val="Calibri"/>
        <family val="2"/>
        <scheme val="minor"/>
      </font>
      <fill>
        <patternFill>
          <bgColor rgb="FF3C1464"/>
        </patternFill>
      </fill>
      <border>
        <left style="thin">
          <color theme="0"/>
        </left>
        <right style="thin">
          <color theme="0"/>
        </right>
        <top style="thin">
          <color theme="0"/>
        </top>
        <bottom style="thin">
          <color theme="0"/>
        </bottom>
      </border>
    </dxf>
  </dxfs>
  <tableStyles count="2" defaultTableStyle="TableStyleMedium2" defaultPivotStyle="PivotStyleMedium9">
    <tableStyle name="Purple Slicer" pivot="0" table="0" count="6" xr9:uid="{D27FAD97-CB52-4474-9517-AF014A9943CC}">
      <tableStyleElement type="wholeTable" dxfId="34"/>
      <tableStyleElement type="headerRow" dxfId="33"/>
    </tableStyle>
    <tableStyle name="Purple Timeline Style" pivot="0" table="0" count="8" xr9:uid="{E74DBCE9-9359-4A6A-8817-6029B60E5C09}">
      <tableStyleElement type="wholeTable" dxfId="32"/>
      <tableStyleElement type="headerRow" dxfId="31"/>
    </tableStyle>
  </tableStyles>
  <colors>
    <mruColors>
      <color rgb="FF3C1464"/>
      <color rgb="FFE0CBF5"/>
      <color rgb="FF9650DC"/>
    </mruColors>
  </colors>
  <extLst>
    <ext xmlns:x14="http://schemas.microsoft.com/office/spreadsheetml/2009/9/main" uri="{46F421CA-312F-682f-3DD2-61675219B42D}">
      <x14:dxfs count="4">
        <dxf>
          <font>
            <b/>
            <i val="0"/>
            <color theme="0"/>
            <name val="Calibri"/>
            <family val="2"/>
            <scheme val="minor"/>
          </font>
          <border>
            <left style="thin">
              <color theme="0"/>
            </left>
            <right style="thin">
              <color theme="0"/>
            </right>
            <top style="thin">
              <color theme="0"/>
            </top>
            <bottom style="thin">
              <color theme="0"/>
            </bottom>
          </border>
        </dxf>
        <dxf>
          <font>
            <b/>
            <i val="0"/>
            <name val="Calibri"/>
            <family val="2"/>
            <scheme val="minor"/>
          </font>
          <border>
            <left style="thin">
              <color theme="0"/>
            </left>
            <right style="thin">
              <color theme="0"/>
            </right>
            <top style="thin">
              <color theme="0"/>
            </top>
            <bottom style="thin">
              <color theme="0"/>
            </bottom>
          </border>
        </dxf>
        <dxf>
          <font>
            <b val="0"/>
            <i val="0"/>
            <strike/>
            <color theme="0" tint="-4.9989318521683403E-2"/>
            <name val="Calibri"/>
            <family val="2"/>
            <scheme val="minor"/>
          </font>
          <border>
            <left style="thin">
              <color theme="0"/>
            </left>
            <right style="thin">
              <color theme="0"/>
            </right>
            <top style="thin">
              <color theme="0"/>
            </top>
            <bottom style="thin">
              <color theme="0"/>
            </bottom>
          </border>
        </dxf>
        <dxf>
          <font>
            <b val="0"/>
            <i val="0"/>
            <strike/>
            <color theme="0" tint="-4.9989318521683403E-2"/>
            <name val="Calibri"/>
            <family val="2"/>
            <scheme val="minor"/>
          </font>
          <border>
            <left style="thin">
              <color theme="0"/>
            </left>
            <right style="thin">
              <color theme="0"/>
            </right>
            <top style="thin">
              <color theme="0"/>
            </top>
            <bottom style="thin">
              <color theme="0"/>
            </bottom>
          </border>
        </dxf>
      </x14:dxfs>
    </ext>
    <ext xmlns:x14="http://schemas.microsoft.com/office/spreadsheetml/2009/9/main" uri="{EB79DEF2-80B8-43e5-95BD-54CBDDF9020C}">
      <x14:slicerStyles defaultSlicerStyle="Purple Slicer">
        <x14:slicerStyle name="Purple Slicer">
          <x14:slicerStyleElements>
            <x14:slicerStyleElement type="unselectedItemWithData" dxfId="3"/>
            <x14:slicerStyleElement type="unselectedItemWithNoData" dxfId="2"/>
            <x14:slicerStyleElement type="selectedItemWithData" dxfId="1"/>
            <x14:slicerStyleElement type="selectedItemWithNoData" dxfId="0"/>
          </x14:slicerStyleElements>
        </x14:slicerStyle>
      </x14:slicerStyles>
    </ext>
    <ext xmlns:x15="http://schemas.microsoft.com/office/spreadsheetml/2010/11/main" uri="{A0A4C193-F2C1-4fcb-8827-314CF55A85BB}">
      <x15:dxfs count="6">
        <dxf>
          <fill>
            <patternFill patternType="solid">
              <fgColor theme="0" tint="-0.14996795556505021"/>
              <bgColor theme="0"/>
            </patternFill>
          </fill>
        </dxf>
        <dxf>
          <fill>
            <patternFill patternType="solid">
              <fgColor theme="0"/>
              <bgColor rgb="FF9650DC"/>
            </patternFill>
          </fill>
          <border>
            <left style="thin">
              <color theme="0"/>
            </left>
            <right style="thin">
              <color theme="0"/>
            </right>
            <top style="thin">
              <color theme="0"/>
            </top>
            <bottom style="thin">
              <color theme="0"/>
            </bottom>
          </border>
        </dxf>
        <dxf>
          <font>
            <b/>
            <i val="0"/>
            <sz val="9"/>
            <color theme="0"/>
            <name val="Calibri"/>
            <family val="2"/>
            <scheme val="minor"/>
          </font>
        </dxf>
        <dxf>
          <font>
            <b/>
            <i val="0"/>
            <sz val="9"/>
            <color theme="0"/>
            <name val="Calibri"/>
            <family val="2"/>
            <scheme val="minor"/>
          </font>
        </dxf>
        <dxf>
          <font>
            <b/>
            <i val="0"/>
            <sz val="9"/>
            <color theme="0"/>
            <name val="Calibri"/>
            <family val="2"/>
            <scheme val="minor"/>
          </font>
        </dxf>
        <dxf>
          <font>
            <b/>
            <i val="0"/>
            <sz val="10"/>
            <color theme="0"/>
            <name val="Calibri"/>
            <family val="2"/>
            <scheme val="minor"/>
          </font>
        </dxf>
      </x15:dxfs>
    </ext>
    <ext xmlns:x15="http://schemas.microsoft.com/office/spreadsheetml/2010/11/main" uri="{9260A510-F301-46a8-8635-F512D64BE5F5}">
      <x15:timelineStyles defaultTimelineStyle="TimeSlicerStyleLight1">
        <x15:timelineStyle name="Purple Timeline Style">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microsoft.com/office/2007/relationships/slicerCache" Target="slicerCaches/slicerCache6.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07/relationships/slicerCache" Target="slicerCaches/slicerCache5.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theme" Target="theme/theme1.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microsoft.com/office/2011/relationships/timelineCache" Target="timelineCaches/timeline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[coffeeOrdersData.xlsx]Pivot Tables!TopQuantity</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400" b="0" i="0" u="none" strike="noStrike" baseline="0">
                <a:solidFill>
                  <a:srgbClr val="3C1464"/>
                </a:solidFill>
              </a:rPr>
              <a:t>Top 10 Products by Quantity</a:t>
            </a:r>
            <a:endParaRPr lang="en-US" b="0">
              <a:solidFill>
                <a:srgbClr val="3C1464"/>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Tables'!$G$11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Tables'!$F$12:$F$23</c:f>
              <c:strCache>
                <c:ptCount val="11"/>
                <c:pt idx="0">
                  <c:v>A-D-0.5</c:v>
                </c:pt>
                <c:pt idx="1">
                  <c:v>E-M-1</c:v>
                </c:pt>
                <c:pt idx="2">
                  <c:v>E-L-0.5</c:v>
                </c:pt>
                <c:pt idx="3">
                  <c:v>R-L-1</c:v>
                </c:pt>
                <c:pt idx="4">
                  <c:v>R-D-0.2</c:v>
                </c:pt>
                <c:pt idx="5">
                  <c:v>L-L-0.2</c:v>
                </c:pt>
                <c:pt idx="6">
                  <c:v>A-M-2.5</c:v>
                </c:pt>
                <c:pt idx="7">
                  <c:v>A-D-0.2</c:v>
                </c:pt>
                <c:pt idx="8">
                  <c:v>A-M-1</c:v>
                </c:pt>
                <c:pt idx="9">
                  <c:v>A-M-0.5</c:v>
                </c:pt>
                <c:pt idx="10">
                  <c:v>R-L-0.2</c:v>
                </c:pt>
              </c:strCache>
            </c:strRef>
          </c:cat>
          <c:val>
            <c:numRef>
              <c:f>'Pivot Tables'!$G$12:$G$23</c:f>
              <c:numCache>
                <c:formatCode>General</c:formatCode>
                <c:ptCount val="11"/>
                <c:pt idx="0">
                  <c:v>89</c:v>
                </c:pt>
                <c:pt idx="1">
                  <c:v>89</c:v>
                </c:pt>
                <c:pt idx="2">
                  <c:v>91</c:v>
                </c:pt>
                <c:pt idx="3">
                  <c:v>92</c:v>
                </c:pt>
                <c:pt idx="4">
                  <c:v>92</c:v>
                </c:pt>
                <c:pt idx="5">
                  <c:v>92</c:v>
                </c:pt>
                <c:pt idx="6">
                  <c:v>97</c:v>
                </c:pt>
                <c:pt idx="7">
                  <c:v>97</c:v>
                </c:pt>
                <c:pt idx="8">
                  <c:v>97</c:v>
                </c:pt>
                <c:pt idx="9">
                  <c:v>99</c:v>
                </c:pt>
                <c:pt idx="10">
                  <c:v>100</c:v>
                </c:pt>
              </c:numCache>
            </c:numRef>
          </c:val>
          <c:extLst>
            <c:ext xmlns:c16="http://schemas.microsoft.com/office/drawing/2014/chart" uri="{C3380CC4-5D6E-409C-BE32-E72D297353CC}">
              <c16:uniqueId val="{00000000-5681-4726-B744-58C0C05E8ABB}"/>
            </c:ext>
          </c:extLst>
        </c:ser>
        <c:dLbls>
          <c:showLegendKey val="0"/>
          <c:showVal val="0"/>
          <c:showCatName val="0"/>
          <c:showSerName val="0"/>
          <c:showPercent val="0"/>
          <c:showBubbleSize val="0"/>
        </c:dLbls>
        <c:gapWidth val="182"/>
        <c:axId val="2103648336"/>
        <c:axId val="2103653616"/>
      </c:barChart>
      <c:catAx>
        <c:axId val="210364833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solidFill>
                      <a:srgbClr val="3C1464"/>
                    </a:solidFill>
                  </a:rPr>
                  <a:t>Product</a:t>
                </a:r>
                <a:r>
                  <a:rPr lang="en-GB" baseline="0"/>
                  <a:t> </a:t>
                </a:r>
                <a:r>
                  <a:rPr lang="en-GB" baseline="0">
                    <a:solidFill>
                      <a:srgbClr val="3C1464"/>
                    </a:solidFill>
                  </a:rPr>
                  <a:t>ID</a:t>
                </a:r>
                <a:endParaRPr lang="en-GB">
                  <a:solidFill>
                    <a:srgbClr val="3C1464"/>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GB"/>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2103653616"/>
        <c:crosses val="autoZero"/>
        <c:auto val="1"/>
        <c:lblAlgn val="ctr"/>
        <c:lblOffset val="100"/>
        <c:noMultiLvlLbl val="0"/>
      </c:catAx>
      <c:valAx>
        <c:axId val="2103653616"/>
        <c:scaling>
          <c:orientation val="minMax"/>
        </c:scaling>
        <c:delete val="0"/>
        <c:axPos val="b"/>
        <c:majorGridlines>
          <c:spPr>
            <a:ln w="9525" cap="flat" cmpd="sng" algn="ctr">
              <a:solidFill>
                <a:schemeClr val="bg1"/>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21036483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0CBF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[coffeeOrdersData.xlsx]Pivot Tables!TopSales</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solidFill>
                  <a:srgbClr val="3C1464"/>
                </a:solidFill>
              </a:rPr>
              <a:t>Top</a:t>
            </a:r>
            <a:r>
              <a:rPr lang="en-US" baseline="0">
                <a:solidFill>
                  <a:srgbClr val="3C1464"/>
                </a:solidFill>
              </a:rPr>
              <a:t> 10 Products by Sales</a:t>
            </a:r>
            <a:endParaRPr lang="en-US">
              <a:solidFill>
                <a:srgbClr val="3C1464"/>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Tables'!$J$11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Tables'!$I$12:$I$23</c:f>
              <c:strCache>
                <c:ptCount val="11"/>
                <c:pt idx="0">
                  <c:v>L-M-2.5</c:v>
                </c:pt>
                <c:pt idx="1">
                  <c:v>R-D-2.5</c:v>
                </c:pt>
                <c:pt idx="2">
                  <c:v>A-D-2.5</c:v>
                </c:pt>
                <c:pt idx="3">
                  <c:v>R-L-2.5</c:v>
                </c:pt>
                <c:pt idx="4">
                  <c:v>E-D-2.5</c:v>
                </c:pt>
                <c:pt idx="5">
                  <c:v>E-M-2.5</c:v>
                </c:pt>
                <c:pt idx="6">
                  <c:v>L-L-2.5</c:v>
                </c:pt>
                <c:pt idx="7">
                  <c:v>L-D-2.5</c:v>
                </c:pt>
                <c:pt idx="8">
                  <c:v>E-L-2.5</c:v>
                </c:pt>
                <c:pt idx="9">
                  <c:v>A-M-2.5</c:v>
                </c:pt>
                <c:pt idx="10">
                  <c:v>A-L-2.5</c:v>
                </c:pt>
              </c:strCache>
            </c:strRef>
          </c:cat>
          <c:val>
            <c:numRef>
              <c:f>'Pivot Tables'!$J$12:$J$23</c:f>
              <c:numCache>
                <c:formatCode>_([$$-409]* #,##0.00_);_([$$-409]* \(#,##0.00\);_([$$-409]* "-"??_);_(@_)</c:formatCode>
                <c:ptCount val="11"/>
                <c:pt idx="0">
                  <c:v>1372.0649999999996</c:v>
                </c:pt>
                <c:pt idx="1">
                  <c:v>1523.2899999999997</c:v>
                </c:pt>
                <c:pt idx="2">
                  <c:v>1739.2599999999995</c:v>
                </c:pt>
                <c:pt idx="3">
                  <c:v>1814.0099999999998</c:v>
                </c:pt>
                <c:pt idx="4">
                  <c:v>1844.3700000000001</c:v>
                </c:pt>
                <c:pt idx="5">
                  <c:v>2087.2499999999995</c:v>
                </c:pt>
                <c:pt idx="6">
                  <c:v>2150.8449999999998</c:v>
                </c:pt>
                <c:pt idx="7">
                  <c:v>2442.3699999999994</c:v>
                </c:pt>
                <c:pt idx="8">
                  <c:v>2459.1599999999994</c:v>
                </c:pt>
                <c:pt idx="9">
                  <c:v>2509.8749999999995</c:v>
                </c:pt>
                <c:pt idx="10">
                  <c:v>2561.5099999999998</c:v>
                </c:pt>
              </c:numCache>
            </c:numRef>
          </c:val>
          <c:extLst>
            <c:ext xmlns:c16="http://schemas.microsoft.com/office/drawing/2014/chart" uri="{C3380CC4-5D6E-409C-BE32-E72D297353CC}">
              <c16:uniqueId val="{00000000-BEF4-478C-A5B9-05D5BD0DBCB3}"/>
            </c:ext>
          </c:extLst>
        </c:ser>
        <c:dLbls>
          <c:showLegendKey val="0"/>
          <c:showVal val="0"/>
          <c:showCatName val="0"/>
          <c:showSerName val="0"/>
          <c:showPercent val="0"/>
          <c:showBubbleSize val="0"/>
        </c:dLbls>
        <c:gapWidth val="182"/>
        <c:axId val="2103704016"/>
        <c:axId val="2103709296"/>
      </c:barChart>
      <c:catAx>
        <c:axId val="210370401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solidFill>
                      <a:srgbClr val="3C1464"/>
                    </a:solidFill>
                  </a:rPr>
                  <a:t>Product</a:t>
                </a:r>
                <a:r>
                  <a:rPr lang="en-GB" baseline="0">
                    <a:solidFill>
                      <a:srgbClr val="3C1464"/>
                    </a:solidFill>
                  </a:rPr>
                  <a:t> ID</a:t>
                </a:r>
                <a:endParaRPr lang="en-GB">
                  <a:solidFill>
                    <a:srgbClr val="3C1464"/>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GB"/>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2103709296"/>
        <c:crosses val="autoZero"/>
        <c:auto val="1"/>
        <c:lblAlgn val="ctr"/>
        <c:lblOffset val="100"/>
        <c:noMultiLvlLbl val="0"/>
      </c:catAx>
      <c:valAx>
        <c:axId val="2103709296"/>
        <c:scaling>
          <c:orientation val="minMax"/>
        </c:scaling>
        <c:delete val="0"/>
        <c:axPos val="b"/>
        <c:majorGridlines>
          <c:spPr>
            <a:ln w="9525" cap="flat" cmpd="sng" algn="ctr">
              <a:solidFill>
                <a:schemeClr val="bg1"/>
              </a:solidFill>
              <a:round/>
            </a:ln>
            <a:effectLst/>
          </c:spPr>
        </c:majorGridlines>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21037040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0CBF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[coffeeOrdersData.xlsx]Pivot Tables!SalesVSQuantity</c:name>
    <c:fmtId val="3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400" b="0" i="0" u="none" strike="noStrike" baseline="0">
                <a:solidFill>
                  <a:srgbClr val="3C1464"/>
                </a:solidFill>
              </a:rPr>
              <a:t>Sales vs. Quantity by Product - Identifying High-Volume, Low-Revenue Items</a:t>
            </a:r>
            <a:endParaRPr lang="en-GB">
              <a:solidFill>
                <a:srgbClr val="3C1464"/>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Tables'!$B$11</c:f>
              <c:strCache>
                <c:ptCount val="1"/>
                <c:pt idx="0">
                  <c:v>Units Sold</c:v>
                </c:pt>
              </c:strCache>
            </c:strRef>
          </c:tx>
          <c:spPr>
            <a:solidFill>
              <a:schemeClr val="accent1"/>
            </a:solidFill>
            <a:ln>
              <a:noFill/>
            </a:ln>
            <a:effectLst/>
          </c:spPr>
          <c:invertIfNegative val="0"/>
          <c:cat>
            <c:strRef>
              <c:f>'Pivot Tables'!$A$12:$A$23</c:f>
              <c:strCache>
                <c:ptCount val="11"/>
                <c:pt idx="0">
                  <c:v>R-L-0.2</c:v>
                </c:pt>
                <c:pt idx="1">
                  <c:v>A-M-0.5</c:v>
                </c:pt>
                <c:pt idx="2">
                  <c:v>A-M-2.5</c:v>
                </c:pt>
                <c:pt idx="3">
                  <c:v>A-M-1</c:v>
                </c:pt>
                <c:pt idx="4">
                  <c:v>A-D-0.2</c:v>
                </c:pt>
                <c:pt idx="5">
                  <c:v>R-L-1</c:v>
                </c:pt>
                <c:pt idx="6">
                  <c:v>R-D-0.2</c:v>
                </c:pt>
                <c:pt idx="7">
                  <c:v>L-L-0.2</c:v>
                </c:pt>
                <c:pt idx="8">
                  <c:v>E-L-0.5</c:v>
                </c:pt>
                <c:pt idx="9">
                  <c:v>E-M-1</c:v>
                </c:pt>
                <c:pt idx="10">
                  <c:v>A-D-0.5</c:v>
                </c:pt>
              </c:strCache>
            </c:strRef>
          </c:cat>
          <c:val>
            <c:numRef>
              <c:f>'Pivot Tables'!$B$12:$B$23</c:f>
              <c:numCache>
                <c:formatCode>General</c:formatCode>
                <c:ptCount val="11"/>
                <c:pt idx="0">
                  <c:v>100</c:v>
                </c:pt>
                <c:pt idx="1">
                  <c:v>99</c:v>
                </c:pt>
                <c:pt idx="2">
                  <c:v>97</c:v>
                </c:pt>
                <c:pt idx="3">
                  <c:v>97</c:v>
                </c:pt>
                <c:pt idx="4">
                  <c:v>97</c:v>
                </c:pt>
                <c:pt idx="5">
                  <c:v>92</c:v>
                </c:pt>
                <c:pt idx="6">
                  <c:v>92</c:v>
                </c:pt>
                <c:pt idx="7">
                  <c:v>92</c:v>
                </c:pt>
                <c:pt idx="8">
                  <c:v>91</c:v>
                </c:pt>
                <c:pt idx="9">
                  <c:v>89</c:v>
                </c:pt>
                <c:pt idx="10">
                  <c:v>89</c:v>
                </c:pt>
              </c:numCache>
            </c:numRef>
          </c:val>
          <c:extLst>
            <c:ext xmlns:c16="http://schemas.microsoft.com/office/drawing/2014/chart" uri="{C3380CC4-5D6E-409C-BE32-E72D297353CC}">
              <c16:uniqueId val="{00000000-711C-4D5B-B259-F81612674558}"/>
            </c:ext>
          </c:extLst>
        </c:ser>
        <c:dLbls>
          <c:showLegendKey val="0"/>
          <c:showVal val="0"/>
          <c:showCatName val="0"/>
          <c:showSerName val="0"/>
          <c:showPercent val="0"/>
          <c:showBubbleSize val="0"/>
        </c:dLbls>
        <c:gapWidth val="214"/>
        <c:overlap val="-27"/>
        <c:axId val="463878096"/>
        <c:axId val="463895376"/>
      </c:barChart>
      <c:lineChart>
        <c:grouping val="standard"/>
        <c:varyColors val="0"/>
        <c:ser>
          <c:idx val="1"/>
          <c:order val="1"/>
          <c:tx>
            <c:strRef>
              <c:f>'Pivot Tables'!$C$11</c:f>
              <c:strCache>
                <c:ptCount val="1"/>
                <c:pt idx="0">
                  <c:v>Average</c:v>
                </c:pt>
              </c:strCache>
            </c:strRef>
          </c:tx>
          <c:spPr>
            <a:ln w="28575" cap="rnd">
              <a:solidFill>
                <a:schemeClr val="accent2"/>
              </a:solidFill>
              <a:round/>
            </a:ln>
            <a:effectLst/>
          </c:spPr>
          <c:marker>
            <c:symbol val="none"/>
          </c:marker>
          <c:cat>
            <c:strRef>
              <c:f>'Pivot Tables'!$A$12:$A$23</c:f>
              <c:strCache>
                <c:ptCount val="11"/>
                <c:pt idx="0">
                  <c:v>R-L-0.2</c:v>
                </c:pt>
                <c:pt idx="1">
                  <c:v>A-M-0.5</c:v>
                </c:pt>
                <c:pt idx="2">
                  <c:v>A-M-2.5</c:v>
                </c:pt>
                <c:pt idx="3">
                  <c:v>A-M-1</c:v>
                </c:pt>
                <c:pt idx="4">
                  <c:v>A-D-0.2</c:v>
                </c:pt>
                <c:pt idx="5">
                  <c:v>R-L-1</c:v>
                </c:pt>
                <c:pt idx="6">
                  <c:v>R-D-0.2</c:v>
                </c:pt>
                <c:pt idx="7">
                  <c:v>L-L-0.2</c:v>
                </c:pt>
                <c:pt idx="8">
                  <c:v>E-L-0.5</c:v>
                </c:pt>
                <c:pt idx="9">
                  <c:v>E-M-1</c:v>
                </c:pt>
                <c:pt idx="10">
                  <c:v>A-D-0.5</c:v>
                </c:pt>
              </c:strCache>
            </c:strRef>
          </c:cat>
          <c:val>
            <c:numRef>
              <c:f>'Pivot Tables'!$C$12:$C$23</c:f>
              <c:numCache>
                <c:formatCode>0.00</c:formatCode>
                <c:ptCount val="11"/>
                <c:pt idx="0">
                  <c:v>3.5849999999999995</c:v>
                </c:pt>
                <c:pt idx="1">
                  <c:v>6.75</c:v>
                </c:pt>
                <c:pt idx="2">
                  <c:v>25.874999999999996</c:v>
                </c:pt>
                <c:pt idx="3">
                  <c:v>11.25</c:v>
                </c:pt>
                <c:pt idx="4">
                  <c:v>2.9850000000000003</c:v>
                </c:pt>
                <c:pt idx="5">
                  <c:v>11.95</c:v>
                </c:pt>
                <c:pt idx="6">
                  <c:v>2.6850000000000009</c:v>
                </c:pt>
                <c:pt idx="7">
                  <c:v>4.754999999999999</c:v>
                </c:pt>
                <c:pt idx="8">
                  <c:v>8.9100000000000019</c:v>
                </c:pt>
                <c:pt idx="9">
                  <c:v>13.75</c:v>
                </c:pt>
                <c:pt idx="10">
                  <c:v>5.9700000000000015</c:v>
                </c:pt>
              </c:numCache>
            </c:numRef>
          </c:val>
          <c:smooth val="0"/>
          <c:extLst>
            <c:ext xmlns:c16="http://schemas.microsoft.com/office/drawing/2014/chart" uri="{C3380CC4-5D6E-409C-BE32-E72D297353CC}">
              <c16:uniqueId val="{00000001-711C-4D5B-B259-F81612674558}"/>
            </c:ext>
          </c:extLst>
        </c:ser>
        <c:ser>
          <c:idx val="2"/>
          <c:order val="2"/>
          <c:tx>
            <c:strRef>
              <c:f>'Pivot Tables'!$D$11</c:f>
              <c:strCache>
                <c:ptCount val="1"/>
                <c:pt idx="0">
                  <c:v>Global Average</c:v>
                </c:pt>
              </c:strCache>
            </c:strRef>
          </c:tx>
          <c:spPr>
            <a:ln w="28575" cap="rnd">
              <a:solidFill>
                <a:schemeClr val="accent3"/>
              </a:solidFill>
              <a:prstDash val="dash"/>
              <a:round/>
            </a:ln>
            <a:effectLst/>
          </c:spPr>
          <c:marker>
            <c:symbol val="none"/>
          </c:marker>
          <c:cat>
            <c:strRef>
              <c:f>'Pivot Tables'!$A$12:$A$23</c:f>
              <c:strCache>
                <c:ptCount val="11"/>
                <c:pt idx="0">
                  <c:v>R-L-0.2</c:v>
                </c:pt>
                <c:pt idx="1">
                  <c:v>A-M-0.5</c:v>
                </c:pt>
                <c:pt idx="2">
                  <c:v>A-M-2.5</c:v>
                </c:pt>
                <c:pt idx="3">
                  <c:v>A-M-1</c:v>
                </c:pt>
                <c:pt idx="4">
                  <c:v>A-D-0.2</c:v>
                </c:pt>
                <c:pt idx="5">
                  <c:v>R-L-1</c:v>
                </c:pt>
                <c:pt idx="6">
                  <c:v>R-D-0.2</c:v>
                </c:pt>
                <c:pt idx="7">
                  <c:v>L-L-0.2</c:v>
                </c:pt>
                <c:pt idx="8">
                  <c:v>E-L-0.5</c:v>
                </c:pt>
                <c:pt idx="9">
                  <c:v>E-M-1</c:v>
                </c:pt>
                <c:pt idx="10">
                  <c:v>A-D-0.5</c:v>
                </c:pt>
              </c:strCache>
            </c:strRef>
          </c:cat>
          <c:val>
            <c:numRef>
              <c:f>'Pivot Tables'!$D$12:$D$23</c:f>
              <c:numCache>
                <c:formatCode>General</c:formatCode>
                <c:ptCount val="11"/>
                <c:pt idx="0">
                  <c:v>12.71</c:v>
                </c:pt>
                <c:pt idx="1">
                  <c:v>12.71</c:v>
                </c:pt>
                <c:pt idx="2">
                  <c:v>12.71</c:v>
                </c:pt>
                <c:pt idx="3">
                  <c:v>12.71</c:v>
                </c:pt>
                <c:pt idx="4">
                  <c:v>12.71</c:v>
                </c:pt>
                <c:pt idx="5">
                  <c:v>12.71</c:v>
                </c:pt>
                <c:pt idx="6">
                  <c:v>12.71</c:v>
                </c:pt>
                <c:pt idx="7">
                  <c:v>12.71</c:v>
                </c:pt>
                <c:pt idx="8">
                  <c:v>12.71</c:v>
                </c:pt>
                <c:pt idx="9">
                  <c:v>12.71</c:v>
                </c:pt>
                <c:pt idx="10">
                  <c:v>12.71</c:v>
                </c:pt>
              </c:numCache>
            </c:numRef>
          </c:val>
          <c:smooth val="0"/>
          <c:extLst>
            <c:ext xmlns:c16="http://schemas.microsoft.com/office/drawing/2014/chart" uri="{C3380CC4-5D6E-409C-BE32-E72D297353CC}">
              <c16:uniqueId val="{00000002-711C-4D5B-B259-F81612674558}"/>
            </c:ext>
          </c:extLst>
        </c:ser>
        <c:dLbls>
          <c:showLegendKey val="0"/>
          <c:showVal val="0"/>
          <c:showCatName val="0"/>
          <c:showSerName val="0"/>
          <c:showPercent val="0"/>
          <c:showBubbleSize val="0"/>
        </c:dLbls>
        <c:marker val="1"/>
        <c:smooth val="0"/>
        <c:axId val="463898736"/>
        <c:axId val="463881936"/>
      </c:lineChart>
      <c:catAx>
        <c:axId val="463878096"/>
        <c:scaling>
          <c:orientation val="minMax"/>
        </c:scaling>
        <c:delete val="0"/>
        <c:axPos val="b"/>
        <c:title>
          <c:tx>
            <c:rich>
              <a:bodyPr rot="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GB">
                    <a:solidFill>
                      <a:srgbClr val="3C1464"/>
                    </a:solidFill>
                  </a:rPr>
                  <a:t>Product</a:t>
                </a:r>
                <a:r>
                  <a:rPr lang="en-GB" baseline="0">
                    <a:solidFill>
                      <a:srgbClr val="3C1464"/>
                    </a:solidFill>
                  </a:rPr>
                  <a:t> ID</a:t>
                </a:r>
                <a:endParaRPr lang="en-GB">
                  <a:solidFill>
                    <a:srgbClr val="3C1464"/>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GB"/>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463895376"/>
        <c:crosses val="autoZero"/>
        <c:auto val="1"/>
        <c:lblAlgn val="ctr"/>
        <c:lblOffset val="100"/>
        <c:noMultiLvlLbl val="0"/>
      </c:catAx>
      <c:valAx>
        <c:axId val="463895376"/>
        <c:scaling>
          <c:orientation val="minMax"/>
        </c:scaling>
        <c:delete val="0"/>
        <c:axPos val="l"/>
        <c:majorGridlines>
          <c:spPr>
            <a:ln w="9525" cap="flat" cmpd="sng" algn="ctr">
              <a:solidFill>
                <a:schemeClr val="bg1"/>
              </a:solidFill>
              <a:round/>
            </a:ln>
            <a:effectLst/>
          </c:spPr>
        </c:majorGridlines>
        <c:title>
          <c:tx>
            <c:rich>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GB">
                    <a:solidFill>
                      <a:srgbClr val="3C1464"/>
                    </a:solidFill>
                  </a:rPr>
                  <a:t>Total</a:t>
                </a:r>
                <a:r>
                  <a:rPr lang="en-GB" baseline="0">
                    <a:solidFill>
                      <a:srgbClr val="3C1464"/>
                    </a:solidFill>
                  </a:rPr>
                  <a:t> Units Sold</a:t>
                </a:r>
                <a:endParaRPr lang="en-GB">
                  <a:solidFill>
                    <a:srgbClr val="3C1464"/>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GB"/>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463878096"/>
        <c:crosses val="autoZero"/>
        <c:crossBetween val="between"/>
      </c:valAx>
      <c:valAx>
        <c:axId val="463881936"/>
        <c:scaling>
          <c:orientation val="minMax"/>
        </c:scaling>
        <c:delete val="0"/>
        <c:axPos val="r"/>
        <c:title>
          <c:tx>
            <c:rich>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GB" baseline="0">
                    <a:solidFill>
                      <a:srgbClr val="3C1464"/>
                    </a:solidFill>
                  </a:rPr>
                  <a:t>Revenue per Unit (USD)</a:t>
                </a:r>
                <a:endParaRPr lang="en-GB">
                  <a:solidFill>
                    <a:srgbClr val="3C1464"/>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GB"/>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463898736"/>
        <c:crosses val="max"/>
        <c:crossBetween val="between"/>
      </c:valAx>
      <c:catAx>
        <c:axId val="463898736"/>
        <c:scaling>
          <c:orientation val="minMax"/>
        </c:scaling>
        <c:delete val="1"/>
        <c:axPos val="b"/>
        <c:numFmt formatCode="General" sourceLinked="1"/>
        <c:majorTickMark val="out"/>
        <c:minorTickMark val="none"/>
        <c:tickLblPos val="nextTo"/>
        <c:crossAx val="46388193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0CBF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[coffeeOrdersData.xlsx]Pivot Tables!AverageOrderSizeVSFrequency</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400" b="0" i="0" u="none" strike="noStrike" kern="1200" spc="0" baseline="0">
                <a:solidFill>
                  <a:srgbClr val="3C1464"/>
                </a:solidFill>
              </a:rPr>
              <a:t>Average Order Value vs Purchase Frequency - Identifying High-Impact Customers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Tables'!$B$29</c:f>
              <c:strCache>
                <c:ptCount val="1"/>
                <c:pt idx="0">
                  <c:v>Average Order Cost (AOC)</c:v>
                </c:pt>
              </c:strCache>
            </c:strRef>
          </c:tx>
          <c:spPr>
            <a:solidFill>
              <a:schemeClr val="accent1"/>
            </a:solidFill>
            <a:ln>
              <a:noFill/>
            </a:ln>
            <a:effectLst/>
          </c:spPr>
          <c:invertIfNegative val="0"/>
          <c:cat>
            <c:strRef>
              <c:f>'Pivot Tables'!$A$30:$A$48</c:f>
              <c:strCache>
                <c:ptCount val="18"/>
                <c:pt idx="0">
                  <c:v>Brenn Dundredge</c:v>
                </c:pt>
                <c:pt idx="1">
                  <c:v>Marja Urion</c:v>
                </c:pt>
                <c:pt idx="2">
                  <c:v>Nealson Cuttler</c:v>
                </c:pt>
                <c:pt idx="3">
                  <c:v>Jimmy Dymoke</c:v>
                </c:pt>
                <c:pt idx="4">
                  <c:v>Faunie Brigham</c:v>
                </c:pt>
                <c:pt idx="5">
                  <c:v>Marguerite Graves</c:v>
                </c:pt>
                <c:pt idx="6">
                  <c:v>Cody Verissimo</c:v>
                </c:pt>
                <c:pt idx="7">
                  <c:v>Gladi Ducker</c:v>
                </c:pt>
                <c:pt idx="8">
                  <c:v>Ailey Brash</c:v>
                </c:pt>
                <c:pt idx="9">
                  <c:v>Terri Farra</c:v>
                </c:pt>
                <c:pt idx="10">
                  <c:v>Flynn Antony</c:v>
                </c:pt>
                <c:pt idx="11">
                  <c:v>Derick Snow</c:v>
                </c:pt>
                <c:pt idx="12">
                  <c:v>Don Flintiff</c:v>
                </c:pt>
                <c:pt idx="13">
                  <c:v>Allis Wilmore</c:v>
                </c:pt>
                <c:pt idx="14">
                  <c:v>Cordi Switsur</c:v>
                </c:pt>
                <c:pt idx="15">
                  <c:v>Adrian Swaine</c:v>
                </c:pt>
                <c:pt idx="16">
                  <c:v>Odelia Skerme</c:v>
                </c:pt>
                <c:pt idx="17">
                  <c:v>Foster Constance</c:v>
                </c:pt>
              </c:strCache>
            </c:strRef>
          </c:cat>
          <c:val>
            <c:numRef>
              <c:f>'Pivot Tables'!$B$30:$B$48</c:f>
              <c:numCache>
                <c:formatCode>0.00</c:formatCode>
                <c:ptCount val="18"/>
                <c:pt idx="0">
                  <c:v>43.863571428571433</c:v>
                </c:pt>
                <c:pt idx="1">
                  <c:v>31.798999999999999</c:v>
                </c:pt>
                <c:pt idx="2">
                  <c:v>56.334999999999994</c:v>
                </c:pt>
                <c:pt idx="3">
                  <c:v>24.076999999999998</c:v>
                </c:pt>
                <c:pt idx="4">
                  <c:v>40.929999999999993</c:v>
                </c:pt>
                <c:pt idx="5">
                  <c:v>22.653750000000002</c:v>
                </c:pt>
                <c:pt idx="6">
                  <c:v>45.914999999999992</c:v>
                </c:pt>
                <c:pt idx="7">
                  <c:v>23.626249999999999</c:v>
                </c:pt>
                <c:pt idx="8">
                  <c:v>51.65</c:v>
                </c:pt>
                <c:pt idx="9">
                  <c:v>72.277499999999989</c:v>
                </c:pt>
                <c:pt idx="10">
                  <c:v>40.1</c:v>
                </c:pt>
                <c:pt idx="11">
                  <c:v>83.708333333333329</c:v>
                </c:pt>
                <c:pt idx="12">
                  <c:v>92.67</c:v>
                </c:pt>
                <c:pt idx="13">
                  <c:v>105.68999999999998</c:v>
                </c:pt>
                <c:pt idx="14">
                  <c:v>25.58666666666667</c:v>
                </c:pt>
                <c:pt idx="15">
                  <c:v>36.675000000000004</c:v>
                </c:pt>
                <c:pt idx="16">
                  <c:v>15.61</c:v>
                </c:pt>
                <c:pt idx="17">
                  <c:v>47.261666666666663</c:v>
                </c:pt>
              </c:numCache>
            </c:numRef>
          </c:val>
          <c:extLst>
            <c:ext xmlns:c16="http://schemas.microsoft.com/office/drawing/2014/chart" uri="{C3380CC4-5D6E-409C-BE32-E72D297353CC}">
              <c16:uniqueId val="{00000000-E85A-4457-897B-130B60B9D34F}"/>
            </c:ext>
          </c:extLst>
        </c:ser>
        <c:dLbls>
          <c:showLegendKey val="0"/>
          <c:showVal val="0"/>
          <c:showCatName val="0"/>
          <c:showSerName val="0"/>
          <c:showPercent val="0"/>
          <c:showBubbleSize val="0"/>
        </c:dLbls>
        <c:gapWidth val="219"/>
        <c:overlap val="-27"/>
        <c:axId val="1980729343"/>
        <c:axId val="1980741823"/>
      </c:barChart>
      <c:lineChart>
        <c:grouping val="standard"/>
        <c:varyColors val="0"/>
        <c:ser>
          <c:idx val="1"/>
          <c:order val="1"/>
          <c:tx>
            <c:strRef>
              <c:f>'Pivot Tables'!$C$29</c:f>
              <c:strCache>
                <c:ptCount val="1"/>
                <c:pt idx="0">
                  <c:v>Order Frequency (OF)</c:v>
                </c:pt>
              </c:strCache>
            </c:strRef>
          </c:tx>
          <c:spPr>
            <a:ln w="28575" cap="rnd">
              <a:solidFill>
                <a:schemeClr val="accent2"/>
              </a:solidFill>
              <a:round/>
            </a:ln>
            <a:effectLst/>
          </c:spPr>
          <c:marker>
            <c:symbol val="none"/>
          </c:marker>
          <c:cat>
            <c:strRef>
              <c:f>'Pivot Tables'!$A$30:$A$48</c:f>
              <c:strCache>
                <c:ptCount val="18"/>
                <c:pt idx="0">
                  <c:v>Brenn Dundredge</c:v>
                </c:pt>
                <c:pt idx="1">
                  <c:v>Marja Urion</c:v>
                </c:pt>
                <c:pt idx="2">
                  <c:v>Nealson Cuttler</c:v>
                </c:pt>
                <c:pt idx="3">
                  <c:v>Jimmy Dymoke</c:v>
                </c:pt>
                <c:pt idx="4">
                  <c:v>Faunie Brigham</c:v>
                </c:pt>
                <c:pt idx="5">
                  <c:v>Marguerite Graves</c:v>
                </c:pt>
                <c:pt idx="6">
                  <c:v>Cody Verissimo</c:v>
                </c:pt>
                <c:pt idx="7">
                  <c:v>Gladi Ducker</c:v>
                </c:pt>
                <c:pt idx="8">
                  <c:v>Ailey Brash</c:v>
                </c:pt>
                <c:pt idx="9">
                  <c:v>Terri Farra</c:v>
                </c:pt>
                <c:pt idx="10">
                  <c:v>Flynn Antony</c:v>
                </c:pt>
                <c:pt idx="11">
                  <c:v>Derick Snow</c:v>
                </c:pt>
                <c:pt idx="12">
                  <c:v>Don Flintiff</c:v>
                </c:pt>
                <c:pt idx="13">
                  <c:v>Allis Wilmore</c:v>
                </c:pt>
                <c:pt idx="14">
                  <c:v>Cordi Switsur</c:v>
                </c:pt>
                <c:pt idx="15">
                  <c:v>Adrian Swaine</c:v>
                </c:pt>
                <c:pt idx="16">
                  <c:v>Odelia Skerme</c:v>
                </c:pt>
                <c:pt idx="17">
                  <c:v>Foster Constance</c:v>
                </c:pt>
              </c:strCache>
            </c:strRef>
          </c:cat>
          <c:val>
            <c:numRef>
              <c:f>'Pivot Tables'!$C$30:$C$48</c:f>
              <c:numCache>
                <c:formatCode>General</c:formatCode>
                <c:ptCount val="18"/>
                <c:pt idx="0">
                  <c:v>7</c:v>
                </c:pt>
                <c:pt idx="1">
                  <c:v>5</c:v>
                </c:pt>
                <c:pt idx="2">
                  <c:v>5</c:v>
                </c:pt>
                <c:pt idx="3">
                  <c:v>5</c:v>
                </c:pt>
                <c:pt idx="4">
                  <c:v>4</c:v>
                </c:pt>
                <c:pt idx="5">
                  <c:v>4</c:v>
                </c:pt>
                <c:pt idx="6">
                  <c:v>4</c:v>
                </c:pt>
                <c:pt idx="7">
                  <c:v>4</c:v>
                </c:pt>
                <c:pt idx="8">
                  <c:v>4</c:v>
                </c:pt>
                <c:pt idx="9">
                  <c:v>4</c:v>
                </c:pt>
                <c:pt idx="10">
                  <c:v>4</c:v>
                </c:pt>
                <c:pt idx="11">
                  <c:v>3</c:v>
                </c:pt>
                <c:pt idx="12">
                  <c:v>3</c:v>
                </c:pt>
                <c:pt idx="13">
                  <c:v>3</c:v>
                </c:pt>
                <c:pt idx="14">
                  <c:v>3</c:v>
                </c:pt>
                <c:pt idx="15">
                  <c:v>3</c:v>
                </c:pt>
                <c:pt idx="16">
                  <c:v>3</c:v>
                </c:pt>
                <c:pt idx="17">
                  <c:v>3</c:v>
                </c:pt>
              </c:numCache>
            </c:numRef>
          </c:val>
          <c:smooth val="0"/>
          <c:extLst>
            <c:ext xmlns:c16="http://schemas.microsoft.com/office/drawing/2014/chart" uri="{C3380CC4-5D6E-409C-BE32-E72D297353CC}">
              <c16:uniqueId val="{00000001-E85A-4457-897B-130B60B9D34F}"/>
            </c:ext>
          </c:extLst>
        </c:ser>
        <c:dLbls>
          <c:showLegendKey val="0"/>
          <c:showVal val="0"/>
          <c:showCatName val="0"/>
          <c:showSerName val="0"/>
          <c:showPercent val="0"/>
          <c:showBubbleSize val="0"/>
        </c:dLbls>
        <c:marker val="1"/>
        <c:smooth val="0"/>
        <c:axId val="1980743743"/>
        <c:axId val="1980733183"/>
      </c:lineChart>
      <c:catAx>
        <c:axId val="1980729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980741823"/>
        <c:crosses val="autoZero"/>
        <c:auto val="1"/>
        <c:lblAlgn val="ctr"/>
        <c:lblOffset val="100"/>
        <c:noMultiLvlLbl val="0"/>
      </c:catAx>
      <c:valAx>
        <c:axId val="1980741823"/>
        <c:scaling>
          <c:orientation val="minMax"/>
        </c:scaling>
        <c:delete val="0"/>
        <c:axPos val="l"/>
        <c:majorGridlines>
          <c:spPr>
            <a:ln w="9525" cap="flat" cmpd="sng" algn="ctr">
              <a:solidFill>
                <a:schemeClr val="bg1"/>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980729343"/>
        <c:crosses val="autoZero"/>
        <c:crossBetween val="between"/>
      </c:valAx>
      <c:valAx>
        <c:axId val="1980733183"/>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980743743"/>
        <c:crosses val="max"/>
        <c:crossBetween val="between"/>
      </c:valAx>
      <c:catAx>
        <c:axId val="1980743743"/>
        <c:scaling>
          <c:orientation val="minMax"/>
        </c:scaling>
        <c:delete val="1"/>
        <c:axPos val="b"/>
        <c:numFmt formatCode="General" sourceLinked="1"/>
        <c:majorTickMark val="out"/>
        <c:minorTickMark val="none"/>
        <c:tickLblPos val="nextTo"/>
        <c:crossAx val="198073318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0CBF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[coffeeOrdersData.xlsx]Pivot Tables!Freq/CustomerCount</c:name>
    <c:fmtId val="3"/>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GB" sz="1400" b="0" i="0" u="none" strike="noStrike" kern="1200" spc="0" baseline="0">
                <a:solidFill>
                  <a:srgbClr val="3C1464"/>
                </a:solidFill>
              </a:rPr>
              <a:t>Customers Frequency Distribution</a:t>
            </a:r>
            <a:endParaRPr lang="en-US" sz="1400" b="0" i="0" u="none" strike="noStrike" kern="1200" spc="0" baseline="0">
              <a:solidFill>
                <a:srgbClr val="3C1464"/>
              </a:solidFill>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a:solidFill>
              <a:schemeClr val="bg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w="0">
            <a:noFill/>
          </a:ln>
          <a:effectLst/>
        </c:spPr>
      </c:pivotFmt>
      <c:pivotFmt>
        <c:idx val="4"/>
        <c:spPr>
          <a:solidFill>
            <a:schemeClr val="accent5"/>
          </a:solidFill>
          <a:ln w="28575">
            <a:noFill/>
          </a:ln>
          <a:effectLst/>
        </c:spPr>
      </c:pivotFmt>
      <c:pivotFmt>
        <c:idx val="5"/>
        <c:spPr>
          <a:solidFill>
            <a:srgbClr val="FFFF00"/>
          </a:solidFill>
          <a:ln w="28575">
            <a:solidFill>
              <a:srgbClr val="FFFF00"/>
            </a:solidFill>
          </a:ln>
          <a:effectLst/>
        </c:spPr>
      </c:pivotFmt>
    </c:pivotFmts>
    <c:plotArea>
      <c:layout/>
      <c:barChart>
        <c:barDir val="col"/>
        <c:grouping val="clustered"/>
        <c:varyColors val="0"/>
        <c:ser>
          <c:idx val="0"/>
          <c:order val="0"/>
          <c:tx>
            <c:strRef>
              <c:f>'Pivot Tables'!$G$29</c:f>
              <c:strCache>
                <c:ptCount val="1"/>
                <c:pt idx="0">
                  <c:v>Total</c:v>
                </c:pt>
              </c:strCache>
            </c:strRef>
          </c:tx>
          <c:spPr>
            <a:solidFill>
              <a:schemeClr val="accent1"/>
            </a:solidFill>
            <a:ln w="28575">
              <a:solidFill>
                <a:schemeClr val="bg1"/>
              </a:solidFill>
            </a:ln>
            <a:effectLst/>
          </c:spPr>
          <c:invertIfNegative val="0"/>
          <c:dPt>
            <c:idx val="0"/>
            <c:invertIfNegative val="0"/>
            <c:bubble3D val="0"/>
            <c:spPr>
              <a:solidFill>
                <a:schemeClr val="accent6"/>
              </a:solidFill>
              <a:ln w="0">
                <a:noFill/>
              </a:ln>
              <a:effectLst/>
            </c:spPr>
            <c:extLst>
              <c:ext xmlns:c16="http://schemas.microsoft.com/office/drawing/2014/chart" uri="{C3380CC4-5D6E-409C-BE32-E72D297353CC}">
                <c16:uniqueId val="{00000001-3EDC-457C-B18D-7A0DFF22050B}"/>
              </c:ext>
            </c:extLst>
          </c:dPt>
          <c:dPt>
            <c:idx val="1"/>
            <c:invertIfNegative val="0"/>
            <c:bubble3D val="0"/>
            <c:spPr>
              <a:solidFill>
                <a:schemeClr val="accent5"/>
              </a:solidFill>
              <a:ln w="28575">
                <a:noFill/>
              </a:ln>
              <a:effectLst/>
            </c:spPr>
            <c:extLst>
              <c:ext xmlns:c16="http://schemas.microsoft.com/office/drawing/2014/chart" uri="{C3380CC4-5D6E-409C-BE32-E72D297353CC}">
                <c16:uniqueId val="{00000002-3EDC-457C-B18D-7A0DFF22050B}"/>
              </c:ext>
            </c:extLst>
          </c:dPt>
          <c:dPt>
            <c:idx val="2"/>
            <c:invertIfNegative val="0"/>
            <c:bubble3D val="0"/>
            <c:spPr>
              <a:solidFill>
                <a:srgbClr val="FFFF00"/>
              </a:solidFill>
              <a:ln w="28575">
                <a:solidFill>
                  <a:srgbClr val="FFFF00"/>
                </a:solidFill>
              </a:ln>
              <a:effectLst/>
            </c:spPr>
            <c:extLst>
              <c:ext xmlns:c16="http://schemas.microsoft.com/office/drawing/2014/chart" uri="{C3380CC4-5D6E-409C-BE32-E72D297353CC}">
                <c16:uniqueId val="{00000003-3EDC-457C-B18D-7A0DFF22050B}"/>
              </c:ext>
            </c:extLst>
          </c:dPt>
          <c:cat>
            <c:strRef>
              <c:f>'Pivot Tables'!$F$30:$F$33</c:f>
              <c:strCache>
                <c:ptCount val="3"/>
                <c:pt idx="0">
                  <c:v>Less than 2</c:v>
                </c:pt>
                <c:pt idx="1">
                  <c:v>Between 4 and 2</c:v>
                </c:pt>
                <c:pt idx="2">
                  <c:v>More than 4</c:v>
                </c:pt>
              </c:strCache>
            </c:strRef>
          </c:cat>
          <c:val>
            <c:numRef>
              <c:f>'Pivot Tables'!$G$30:$G$33</c:f>
              <c:numCache>
                <c:formatCode>General</c:formatCode>
                <c:ptCount val="3"/>
                <c:pt idx="0">
                  <c:v>926</c:v>
                </c:pt>
                <c:pt idx="1">
                  <c:v>69</c:v>
                </c:pt>
                <c:pt idx="2">
                  <c:v>5</c:v>
                </c:pt>
              </c:numCache>
            </c:numRef>
          </c:val>
          <c:extLst>
            <c:ext xmlns:c16="http://schemas.microsoft.com/office/drawing/2014/chart" uri="{C3380CC4-5D6E-409C-BE32-E72D297353CC}">
              <c16:uniqueId val="{00000000-3EDC-457C-B18D-7A0DFF22050B}"/>
            </c:ext>
          </c:extLst>
        </c:ser>
        <c:dLbls>
          <c:showLegendKey val="0"/>
          <c:showVal val="0"/>
          <c:showCatName val="0"/>
          <c:showSerName val="0"/>
          <c:showPercent val="0"/>
          <c:showBubbleSize val="0"/>
        </c:dLbls>
        <c:gapWidth val="219"/>
        <c:overlap val="-27"/>
        <c:axId val="1900653872"/>
        <c:axId val="1900656272"/>
      </c:barChart>
      <c:catAx>
        <c:axId val="1900653872"/>
        <c:scaling>
          <c:orientation val="minMax"/>
        </c:scaling>
        <c:delete val="0"/>
        <c:axPos val="b"/>
        <c:title>
          <c:tx>
            <c:rich>
              <a:bodyPr rot="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GB">
                    <a:solidFill>
                      <a:srgbClr val="3C1464"/>
                    </a:solidFill>
                  </a:rPr>
                  <a:t>Frequency</a:t>
                </a:r>
                <a:r>
                  <a:rPr lang="en-GB" baseline="0">
                    <a:solidFill>
                      <a:srgbClr val="3C1464"/>
                    </a:solidFill>
                  </a:rPr>
                  <a:t> Group</a:t>
                </a:r>
              </a:p>
            </c:rich>
          </c:tx>
          <c:overlay val="0"/>
          <c:spPr>
            <a:noFill/>
            <a:ln>
              <a:noFill/>
            </a:ln>
            <a:effectLst/>
          </c:spPr>
          <c:txPr>
            <a:bodyPr rot="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900656272"/>
        <c:crosses val="autoZero"/>
        <c:auto val="1"/>
        <c:lblAlgn val="ctr"/>
        <c:lblOffset val="100"/>
        <c:noMultiLvlLbl val="0"/>
      </c:catAx>
      <c:valAx>
        <c:axId val="1900656272"/>
        <c:scaling>
          <c:orientation val="minMax"/>
        </c:scaling>
        <c:delete val="0"/>
        <c:axPos val="l"/>
        <c:majorGridlines>
          <c:spPr>
            <a:ln w="9525" cap="flat" cmpd="sng" algn="ctr">
              <a:solidFill>
                <a:schemeClr val="bg1"/>
              </a:solidFill>
              <a:round/>
            </a:ln>
            <a:effectLst/>
          </c:spPr>
        </c:majorGridlines>
        <c:title>
          <c:tx>
            <c:rich>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GB">
                    <a:solidFill>
                      <a:srgbClr val="3C1464"/>
                    </a:solidFill>
                  </a:rPr>
                  <a:t>Customer</a:t>
                </a:r>
                <a:r>
                  <a:rPr lang="en-GB" baseline="0">
                    <a:solidFill>
                      <a:srgbClr val="3C1464"/>
                    </a:solidFill>
                  </a:rPr>
                  <a:t> Count</a:t>
                </a:r>
                <a:endParaRPr lang="en-GB">
                  <a:solidFill>
                    <a:srgbClr val="3C1464"/>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GB"/>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9006538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0CBF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[coffeeOrdersData.xlsx]Pivot Tables!CustSeg/AOC</c:name>
    <c:fmtId val="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GB" sz="1400" b="0" i="0" u="none" strike="noStrike" kern="1200" spc="0" baseline="0">
                <a:solidFill>
                  <a:srgbClr val="3C1464"/>
                </a:solidFill>
              </a:rPr>
              <a:t>Average Order Size by Customer Value</a:t>
            </a:r>
            <a:endParaRPr lang="en-US" sz="1400" b="0" i="0" u="none" strike="noStrike" kern="1200" spc="0" baseline="0">
              <a:solidFill>
                <a:srgbClr val="3C1464"/>
              </a:solidFill>
            </a:endParaRP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pivotFmt>
      <c:pivotFmt>
        <c:idx val="2"/>
        <c:spPr>
          <a:solidFill>
            <a:schemeClr val="accent5"/>
          </a:solidFill>
          <a:ln>
            <a:noFill/>
          </a:ln>
          <a:effectLst/>
        </c:spPr>
      </c:pivotFmt>
      <c:pivotFmt>
        <c:idx val="3"/>
        <c:spPr>
          <a:solidFill>
            <a:srgbClr val="FFFF00"/>
          </a:solidFill>
          <a:ln>
            <a:noFill/>
          </a:ln>
          <a:effectLst/>
        </c:spPr>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pivotFmt>
      <c:pivotFmt>
        <c:idx val="6"/>
        <c:spPr>
          <a:solidFill>
            <a:schemeClr val="accent5"/>
          </a:solidFill>
          <a:ln>
            <a:noFill/>
          </a:ln>
          <a:effectLst/>
        </c:spPr>
      </c:pivotFmt>
      <c:pivotFmt>
        <c:idx val="7"/>
        <c:spPr>
          <a:solidFill>
            <a:srgbClr val="FFFF00"/>
          </a:solidFill>
          <a:ln>
            <a:noFill/>
          </a:ln>
          <a:effectLst/>
        </c:spPr>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6"/>
          </a:solidFill>
          <a:ln>
            <a:noFill/>
          </a:ln>
          <a:effectLst/>
        </c:spPr>
      </c:pivotFmt>
      <c:pivotFmt>
        <c:idx val="10"/>
        <c:spPr>
          <a:solidFill>
            <a:schemeClr val="accent5"/>
          </a:solidFill>
          <a:ln>
            <a:noFill/>
          </a:ln>
          <a:effectLst/>
        </c:spPr>
      </c:pivotFmt>
      <c:pivotFmt>
        <c:idx val="11"/>
        <c:spPr>
          <a:solidFill>
            <a:srgbClr val="FFFF00"/>
          </a:solidFill>
          <a:ln>
            <a:noFill/>
          </a:ln>
          <a:effectLst/>
        </c:spPr>
      </c:pivotFmt>
    </c:pivotFmts>
    <c:plotArea>
      <c:layout/>
      <c:barChart>
        <c:barDir val="col"/>
        <c:grouping val="clustered"/>
        <c:varyColors val="0"/>
        <c:ser>
          <c:idx val="0"/>
          <c:order val="0"/>
          <c:tx>
            <c:strRef>
              <c:f>'Pivot Tables'!$J$29</c:f>
              <c:strCache>
                <c:ptCount val="1"/>
                <c:pt idx="0">
                  <c:v>Total</c:v>
                </c:pt>
              </c:strCache>
            </c:strRef>
          </c:tx>
          <c:spPr>
            <a:solidFill>
              <a:schemeClr val="accent1"/>
            </a:solidFill>
            <a:ln>
              <a:noFill/>
            </a:ln>
            <a:effectLst/>
          </c:spPr>
          <c:invertIfNegative val="0"/>
          <c:dPt>
            <c:idx val="0"/>
            <c:invertIfNegative val="0"/>
            <c:bubble3D val="0"/>
            <c:spPr>
              <a:solidFill>
                <a:schemeClr val="accent6"/>
              </a:solidFill>
              <a:ln>
                <a:noFill/>
              </a:ln>
              <a:effectLst/>
            </c:spPr>
            <c:extLst>
              <c:ext xmlns:c16="http://schemas.microsoft.com/office/drawing/2014/chart" uri="{C3380CC4-5D6E-409C-BE32-E72D297353CC}">
                <c16:uniqueId val="{00000001-ED23-444A-9021-60D0624D7B5A}"/>
              </c:ext>
            </c:extLst>
          </c:dPt>
          <c:dPt>
            <c:idx val="1"/>
            <c:invertIfNegative val="0"/>
            <c:bubble3D val="0"/>
            <c:spPr>
              <a:solidFill>
                <a:schemeClr val="accent5"/>
              </a:solidFill>
              <a:ln>
                <a:noFill/>
              </a:ln>
              <a:effectLst/>
            </c:spPr>
            <c:extLst>
              <c:ext xmlns:c16="http://schemas.microsoft.com/office/drawing/2014/chart" uri="{C3380CC4-5D6E-409C-BE32-E72D297353CC}">
                <c16:uniqueId val="{00000003-ED23-444A-9021-60D0624D7B5A}"/>
              </c:ext>
            </c:extLst>
          </c:dPt>
          <c:dPt>
            <c:idx val="2"/>
            <c:invertIfNegative val="0"/>
            <c:bubble3D val="0"/>
            <c:spPr>
              <a:solidFill>
                <a:srgbClr val="FFFF00"/>
              </a:solidFill>
              <a:ln>
                <a:noFill/>
              </a:ln>
              <a:effectLst/>
            </c:spPr>
            <c:extLst>
              <c:ext xmlns:c16="http://schemas.microsoft.com/office/drawing/2014/chart" uri="{C3380CC4-5D6E-409C-BE32-E72D297353CC}">
                <c16:uniqueId val="{00000005-ED23-444A-9021-60D0624D7B5A}"/>
              </c:ext>
            </c:extLst>
          </c:dPt>
          <c:cat>
            <c:strRef>
              <c:f>'Pivot Tables'!$I$30:$I$33</c:f>
              <c:strCache>
                <c:ptCount val="3"/>
                <c:pt idx="0">
                  <c:v>High Value</c:v>
                </c:pt>
                <c:pt idx="1">
                  <c:v>Low Value</c:v>
                </c:pt>
                <c:pt idx="2">
                  <c:v>Medium Value</c:v>
                </c:pt>
              </c:strCache>
            </c:strRef>
          </c:cat>
          <c:val>
            <c:numRef>
              <c:f>'Pivot Tables'!$J$30:$J$33</c:f>
              <c:numCache>
                <c:formatCode>0.00</c:formatCode>
                <c:ptCount val="3"/>
                <c:pt idx="0">
                  <c:v>56.334999999999994</c:v>
                </c:pt>
                <c:pt idx="1">
                  <c:v>45.604730021598314</c:v>
                </c:pt>
                <c:pt idx="2">
                  <c:v>38.008695652173913</c:v>
                </c:pt>
              </c:numCache>
            </c:numRef>
          </c:val>
          <c:extLst>
            <c:ext xmlns:c16="http://schemas.microsoft.com/office/drawing/2014/chart" uri="{C3380CC4-5D6E-409C-BE32-E72D297353CC}">
              <c16:uniqueId val="{00000006-ED23-444A-9021-60D0624D7B5A}"/>
            </c:ext>
          </c:extLst>
        </c:ser>
        <c:dLbls>
          <c:showLegendKey val="0"/>
          <c:showVal val="0"/>
          <c:showCatName val="0"/>
          <c:showSerName val="0"/>
          <c:showPercent val="0"/>
          <c:showBubbleSize val="0"/>
        </c:dLbls>
        <c:gapWidth val="219"/>
        <c:overlap val="-27"/>
        <c:axId val="1426484000"/>
        <c:axId val="1426490240"/>
      </c:barChart>
      <c:catAx>
        <c:axId val="14264840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sz="1000" b="0" i="0" u="none" strike="noStrike" kern="1200" baseline="0">
                    <a:solidFill>
                      <a:srgbClr val="3C1464"/>
                    </a:solidFill>
                  </a:rPr>
                  <a:t>Customer Group</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426490240"/>
        <c:crosses val="autoZero"/>
        <c:auto val="1"/>
        <c:lblAlgn val="ctr"/>
        <c:lblOffset val="100"/>
        <c:noMultiLvlLbl val="0"/>
      </c:catAx>
      <c:valAx>
        <c:axId val="1426490240"/>
        <c:scaling>
          <c:orientation val="minMax"/>
        </c:scaling>
        <c:delete val="0"/>
        <c:axPos val="l"/>
        <c:majorGridlines>
          <c:spPr>
            <a:ln w="9525" cap="flat" cmpd="sng" algn="ctr">
              <a:solidFill>
                <a:schemeClr val="bg1"/>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sz="1000" b="0" i="0" u="none" strike="noStrike" kern="1200" baseline="0">
                    <a:solidFill>
                      <a:srgbClr val="3C1464"/>
                    </a:solidFill>
                  </a:rPr>
                  <a:t>Average Order Value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42648400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0CBF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[coffeeOrdersData.xlsx]Pivot Tables!ProductPreference</c:name>
    <c:fmtId val="6"/>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GB" sz="1400" b="0" i="0" u="none" strike="noStrike" baseline="0">
                <a:solidFill>
                  <a:srgbClr val="3C1464"/>
                </a:solidFill>
              </a:rPr>
              <a:t>Product Preferences of High-Value Customers by Roast Type &amp; Pack Size</a:t>
            </a:r>
            <a:endParaRPr lang="en-GB">
              <a:solidFill>
                <a:srgbClr val="3C1464"/>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Tables'!$G$37:$G$39</c:f>
              <c:strCache>
                <c:ptCount val="1"/>
                <c:pt idx="0">
                  <c:v>Dark - 2.5 kg</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Tables'!$F$40:$F$42</c:f>
              <c:strCache>
                <c:ptCount val="2"/>
                <c:pt idx="0">
                  <c:v>Excelsa</c:v>
                </c:pt>
                <c:pt idx="1">
                  <c:v>Liberica</c:v>
                </c:pt>
              </c:strCache>
            </c:strRef>
          </c:cat>
          <c:val>
            <c:numRef>
              <c:f>'Pivot Tables'!$G$40:$G$42</c:f>
              <c:numCache>
                <c:formatCode>_([$$-409]* #,##0.00_);_([$$-409]* \(#,##0.00\);_([$$-409]* "-"??_);_(@_)</c:formatCode>
                <c:ptCount val="2"/>
                <c:pt idx="1">
                  <c:v>148.92499999999998</c:v>
                </c:pt>
              </c:numCache>
            </c:numRef>
          </c:val>
          <c:extLst>
            <c:ext xmlns:c16="http://schemas.microsoft.com/office/drawing/2014/chart" uri="{C3380CC4-5D6E-409C-BE32-E72D297353CC}">
              <c16:uniqueId val="{00000000-050E-4599-9D34-E1BE170208D7}"/>
            </c:ext>
          </c:extLst>
        </c:ser>
        <c:ser>
          <c:idx val="1"/>
          <c:order val="1"/>
          <c:tx>
            <c:strRef>
              <c:f>'Pivot Tables'!$H$37:$H$39</c:f>
              <c:strCache>
                <c:ptCount val="1"/>
                <c:pt idx="0">
                  <c:v>Light - 0.5 kg</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Tables'!$F$40:$F$42</c:f>
              <c:strCache>
                <c:ptCount val="2"/>
                <c:pt idx="0">
                  <c:v>Excelsa</c:v>
                </c:pt>
                <c:pt idx="1">
                  <c:v>Liberica</c:v>
                </c:pt>
              </c:strCache>
            </c:strRef>
          </c:cat>
          <c:val>
            <c:numRef>
              <c:f>'Pivot Tables'!$H$40:$H$42</c:f>
              <c:numCache>
                <c:formatCode>_([$$-409]* #,##0.00_);_([$$-409]* \(#,##0.00\);_([$$-409]* "-"??_);_(@_)</c:formatCode>
                <c:ptCount val="2"/>
                <c:pt idx="0">
                  <c:v>53.46</c:v>
                </c:pt>
                <c:pt idx="1">
                  <c:v>38.04</c:v>
                </c:pt>
              </c:numCache>
            </c:numRef>
          </c:val>
          <c:extLst>
            <c:ext xmlns:c16="http://schemas.microsoft.com/office/drawing/2014/chart" uri="{C3380CC4-5D6E-409C-BE32-E72D297353CC}">
              <c16:uniqueId val="{00000001-050E-4599-9D34-E1BE170208D7}"/>
            </c:ext>
          </c:extLst>
        </c:ser>
        <c:ser>
          <c:idx val="2"/>
          <c:order val="2"/>
          <c:tx>
            <c:strRef>
              <c:f>'Pivot Tables'!$I$37:$I$39</c:f>
              <c:strCache>
                <c:ptCount val="1"/>
                <c:pt idx="0">
                  <c:v>Medium - 1.0 kg</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Tables'!$F$40:$F$42</c:f>
              <c:strCache>
                <c:ptCount val="2"/>
                <c:pt idx="0">
                  <c:v>Excelsa</c:v>
                </c:pt>
                <c:pt idx="1">
                  <c:v>Liberica</c:v>
                </c:pt>
              </c:strCache>
            </c:strRef>
          </c:cat>
          <c:val>
            <c:numRef>
              <c:f>'Pivot Tables'!$I$40:$I$42</c:f>
              <c:numCache>
                <c:formatCode>_([$$-409]* #,##0.00_);_([$$-409]* \(#,##0.00\);_([$$-409]* "-"??_);_(@_)</c:formatCode>
                <c:ptCount val="2"/>
                <c:pt idx="0">
                  <c:v>41.25</c:v>
                </c:pt>
              </c:numCache>
            </c:numRef>
          </c:val>
          <c:extLst>
            <c:ext xmlns:c16="http://schemas.microsoft.com/office/drawing/2014/chart" uri="{C3380CC4-5D6E-409C-BE32-E72D297353CC}">
              <c16:uniqueId val="{00000002-050E-4599-9D34-E1BE170208D7}"/>
            </c:ext>
          </c:extLst>
        </c:ser>
        <c:dLbls>
          <c:showLegendKey val="0"/>
          <c:showVal val="0"/>
          <c:showCatName val="0"/>
          <c:showSerName val="0"/>
          <c:showPercent val="0"/>
          <c:showBubbleSize val="0"/>
        </c:dLbls>
        <c:gapWidth val="182"/>
        <c:axId val="912266480"/>
        <c:axId val="912267440"/>
      </c:barChart>
      <c:catAx>
        <c:axId val="912266480"/>
        <c:scaling>
          <c:orientation val="minMax"/>
        </c:scaling>
        <c:delete val="0"/>
        <c:axPos val="l"/>
        <c:title>
          <c:tx>
            <c:rich>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GB" sz="1000" b="0" i="0" u="none" strike="noStrike" baseline="0">
                    <a:solidFill>
                      <a:srgbClr val="3C1464"/>
                    </a:solidFill>
                  </a:rPr>
                  <a:t>Coffee Type</a:t>
                </a:r>
                <a:endParaRPr lang="en-GB">
                  <a:solidFill>
                    <a:srgbClr val="3C1464"/>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GB"/>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912267440"/>
        <c:crosses val="autoZero"/>
        <c:auto val="1"/>
        <c:lblAlgn val="ctr"/>
        <c:lblOffset val="100"/>
        <c:noMultiLvlLbl val="0"/>
      </c:catAx>
      <c:valAx>
        <c:axId val="912267440"/>
        <c:scaling>
          <c:orientation val="minMax"/>
        </c:scaling>
        <c:delete val="0"/>
        <c:axPos val="b"/>
        <c:majorGridlines>
          <c:spPr>
            <a:ln w="9525" cap="flat" cmpd="sng" algn="ctr">
              <a:solidFill>
                <a:schemeClr val="bg1"/>
              </a:solidFill>
              <a:round/>
            </a:ln>
            <a:effectLst/>
          </c:spPr>
        </c:majorGridlines>
        <c:title>
          <c:tx>
            <c:rich>
              <a:bodyPr rot="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GB">
                    <a:solidFill>
                      <a:srgbClr val="3C1464"/>
                    </a:solidFill>
                  </a:rPr>
                  <a:t>Sales (USD)</a:t>
                </a:r>
              </a:p>
            </c:rich>
          </c:tx>
          <c:overlay val="0"/>
          <c:spPr>
            <a:noFill/>
            <a:ln>
              <a:noFill/>
            </a:ln>
            <a:effectLst/>
          </c:spPr>
          <c:txPr>
            <a:bodyPr rot="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US"/>
            </a:p>
          </c:txPr>
        </c:title>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91226648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0CBF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[coffeeOrdersData.xlsx]Pivot Tables!PivotTable4</c:name>
    <c:fmtId val="2"/>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GB" sz="1400" b="0" i="0" u="none" strike="noStrike" baseline="0">
                <a:solidFill>
                  <a:srgbClr val="3C1464"/>
                </a:solidFill>
              </a:rPr>
              <a:t>Top 10 Customers by Average Spending</a:t>
            </a:r>
            <a:endParaRPr lang="en-US">
              <a:solidFill>
                <a:srgbClr val="3C1464"/>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Tables'!$B$65</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Tables'!$A$66:$A$77</c:f>
              <c:strCache>
                <c:ptCount val="11"/>
                <c:pt idx="0">
                  <c:v>Davida Caro</c:v>
                </c:pt>
                <c:pt idx="1">
                  <c:v>Samuele Ales0</c:v>
                </c:pt>
                <c:pt idx="2">
                  <c:v>Hatty Dovydenas</c:v>
                </c:pt>
                <c:pt idx="3">
                  <c:v>Lemuel Rignold</c:v>
                </c:pt>
                <c:pt idx="4">
                  <c:v>Lacee Tanti</c:v>
                </c:pt>
                <c:pt idx="5">
                  <c:v>Nanny Lush</c:v>
                </c:pt>
                <c:pt idx="6">
                  <c:v>Daniel Heinonen</c:v>
                </c:pt>
                <c:pt idx="7">
                  <c:v>Elysee Sketch</c:v>
                </c:pt>
                <c:pt idx="8">
                  <c:v>Shelli Keynd</c:v>
                </c:pt>
                <c:pt idx="9">
                  <c:v>Teddi Crowthe</c:v>
                </c:pt>
                <c:pt idx="10">
                  <c:v>Alexa Sizey</c:v>
                </c:pt>
              </c:strCache>
            </c:strRef>
          </c:cat>
          <c:val>
            <c:numRef>
              <c:f>'Pivot Tables'!$B$66:$B$77</c:f>
              <c:numCache>
                <c:formatCode>_([$$-409]* #,##0.00_);_([$$-409]* \(#,##0.00\);_([$$-409]* "-"??_);_(@_)</c:formatCode>
                <c:ptCount val="11"/>
                <c:pt idx="0">
                  <c:v>182.27499999999998</c:v>
                </c:pt>
                <c:pt idx="1">
                  <c:v>182.27499999999998</c:v>
                </c:pt>
                <c:pt idx="2">
                  <c:v>189.74999999999997</c:v>
                </c:pt>
                <c:pt idx="3">
                  <c:v>200.78999999999996</c:v>
                </c:pt>
                <c:pt idx="4">
                  <c:v>204.92999999999995</c:v>
                </c:pt>
                <c:pt idx="5">
                  <c:v>204.92999999999995</c:v>
                </c:pt>
                <c:pt idx="6">
                  <c:v>204.92999999999995</c:v>
                </c:pt>
                <c:pt idx="7">
                  <c:v>204.92999999999995</c:v>
                </c:pt>
                <c:pt idx="8">
                  <c:v>204.92999999999995</c:v>
                </c:pt>
                <c:pt idx="9">
                  <c:v>204.92999999999995</c:v>
                </c:pt>
                <c:pt idx="10">
                  <c:v>218.73</c:v>
                </c:pt>
              </c:numCache>
            </c:numRef>
          </c:val>
          <c:extLst>
            <c:ext xmlns:c16="http://schemas.microsoft.com/office/drawing/2014/chart" uri="{C3380CC4-5D6E-409C-BE32-E72D297353CC}">
              <c16:uniqueId val="{00000000-D25C-421D-AF8A-04796F96F381}"/>
            </c:ext>
          </c:extLst>
        </c:ser>
        <c:dLbls>
          <c:showLegendKey val="0"/>
          <c:showVal val="0"/>
          <c:showCatName val="0"/>
          <c:showSerName val="0"/>
          <c:showPercent val="0"/>
          <c:showBubbleSize val="0"/>
        </c:dLbls>
        <c:gapWidth val="182"/>
        <c:axId val="64204512"/>
        <c:axId val="64206912"/>
      </c:barChart>
      <c:catAx>
        <c:axId val="64204512"/>
        <c:scaling>
          <c:orientation val="minMax"/>
        </c:scaling>
        <c:delete val="0"/>
        <c:axPos val="l"/>
        <c:title>
          <c:tx>
            <c:rich>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GB">
                    <a:solidFill>
                      <a:srgbClr val="3C1464"/>
                    </a:solidFill>
                  </a:rPr>
                  <a:t>Customers</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64206912"/>
        <c:crosses val="autoZero"/>
        <c:auto val="1"/>
        <c:lblAlgn val="ctr"/>
        <c:lblOffset val="100"/>
        <c:noMultiLvlLbl val="0"/>
      </c:catAx>
      <c:valAx>
        <c:axId val="64206912"/>
        <c:scaling>
          <c:orientation val="minMax"/>
        </c:scaling>
        <c:delete val="0"/>
        <c:axPos val="b"/>
        <c:majorGridlines>
          <c:spPr>
            <a:ln w="9525" cap="flat" cmpd="sng" algn="ctr">
              <a:solidFill>
                <a:schemeClr val="bg1"/>
              </a:solidFill>
              <a:round/>
            </a:ln>
            <a:effectLst/>
          </c:spPr>
        </c:majorGridlines>
        <c:title>
          <c:tx>
            <c:rich>
              <a:bodyPr rot="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GB">
                    <a:solidFill>
                      <a:srgbClr val="3C1464"/>
                    </a:solidFill>
                  </a:rPr>
                  <a:t>Average Order Value</a:t>
                </a:r>
              </a:p>
            </c:rich>
          </c:tx>
          <c:overlay val="0"/>
          <c:spPr>
            <a:noFill/>
            <a:ln>
              <a:noFill/>
            </a:ln>
            <a:effectLst/>
          </c:spPr>
          <c:txPr>
            <a:bodyPr rot="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US"/>
            </a:p>
          </c:txPr>
        </c:title>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642045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0CBF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[coffeeOrdersData.xlsx]Pivot Tables!ProductMixPivot</c:name>
    <c:fmtId val="7"/>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GB" sz="1400" b="0" i="0" u="none" strike="noStrike" baseline="0">
                <a:solidFill>
                  <a:srgbClr val="3C1464"/>
                </a:solidFill>
              </a:rPr>
              <a:t>Product Mix &amp; Purchasing Intensity by Customer Frequency</a:t>
            </a:r>
            <a:endParaRPr lang="en-GB">
              <a:solidFill>
                <a:srgbClr val="3C1464"/>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'Pivot Tables'!$E$65:$E$66</c:f>
              <c:strCache>
                <c:ptCount val="1"/>
                <c:pt idx="0">
                  <c:v>Arabica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Tables'!$D$67:$D$70</c:f>
              <c:strCache>
                <c:ptCount val="3"/>
                <c:pt idx="0">
                  <c:v>Between 4 and 2</c:v>
                </c:pt>
                <c:pt idx="1">
                  <c:v>Less than 2</c:v>
                </c:pt>
                <c:pt idx="2">
                  <c:v>More than 4</c:v>
                </c:pt>
              </c:strCache>
            </c:strRef>
          </c:cat>
          <c:val>
            <c:numRef>
              <c:f>'Pivot Tables'!$E$67:$E$70</c:f>
              <c:numCache>
                <c:formatCode>0.00</c:formatCode>
                <c:ptCount val="3"/>
                <c:pt idx="0">
                  <c:v>29.752105263157897</c:v>
                </c:pt>
                <c:pt idx="1">
                  <c:v>45.727367346938777</c:v>
                </c:pt>
              </c:numCache>
            </c:numRef>
          </c:val>
          <c:extLst>
            <c:ext xmlns:c16="http://schemas.microsoft.com/office/drawing/2014/chart" uri="{C3380CC4-5D6E-409C-BE32-E72D297353CC}">
              <c16:uniqueId val="{00000000-5D84-403F-B696-90B01D9CB9EF}"/>
            </c:ext>
          </c:extLst>
        </c:ser>
        <c:ser>
          <c:idx val="1"/>
          <c:order val="1"/>
          <c:tx>
            <c:strRef>
              <c:f>'Pivot Tables'!$F$65:$F$66</c:f>
              <c:strCache>
                <c:ptCount val="1"/>
                <c:pt idx="0">
                  <c:v>Excelsa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Tables'!$D$67:$D$70</c:f>
              <c:strCache>
                <c:ptCount val="3"/>
                <c:pt idx="0">
                  <c:v>Between 4 and 2</c:v>
                </c:pt>
                <c:pt idx="1">
                  <c:v>Less than 2</c:v>
                </c:pt>
                <c:pt idx="2">
                  <c:v>More than 4</c:v>
                </c:pt>
              </c:strCache>
            </c:strRef>
          </c:cat>
          <c:val>
            <c:numRef>
              <c:f>'Pivot Tables'!$F$67:$F$70</c:f>
              <c:numCache>
                <c:formatCode>0.00</c:formatCode>
                <c:ptCount val="3"/>
                <c:pt idx="0">
                  <c:v>39.737619047619056</c:v>
                </c:pt>
                <c:pt idx="1">
                  <c:v>50.791249999999984</c:v>
                </c:pt>
                <c:pt idx="2">
                  <c:v>47.355000000000004</c:v>
                </c:pt>
              </c:numCache>
            </c:numRef>
          </c:val>
          <c:extLst>
            <c:ext xmlns:c16="http://schemas.microsoft.com/office/drawing/2014/chart" uri="{C3380CC4-5D6E-409C-BE32-E72D297353CC}">
              <c16:uniqueId val="{00000001-5D84-403F-B696-90B01D9CB9EF}"/>
            </c:ext>
          </c:extLst>
        </c:ser>
        <c:ser>
          <c:idx val="2"/>
          <c:order val="2"/>
          <c:tx>
            <c:strRef>
              <c:f>'Pivot Tables'!$G$65:$G$66</c:f>
              <c:strCache>
                <c:ptCount val="1"/>
                <c:pt idx="0">
                  <c:v>Liberica</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Tables'!$D$67:$D$70</c:f>
              <c:strCache>
                <c:ptCount val="3"/>
                <c:pt idx="0">
                  <c:v>Between 4 and 2</c:v>
                </c:pt>
                <c:pt idx="1">
                  <c:v>Less than 2</c:v>
                </c:pt>
                <c:pt idx="2">
                  <c:v>More than 4</c:v>
                </c:pt>
              </c:strCache>
            </c:strRef>
          </c:cat>
          <c:val>
            <c:numRef>
              <c:f>'Pivot Tables'!$G$67:$G$70</c:f>
              <c:numCache>
                <c:formatCode>0.00</c:formatCode>
                <c:ptCount val="3"/>
                <c:pt idx="0">
                  <c:v>42.046999999999997</c:v>
                </c:pt>
                <c:pt idx="1">
                  <c:v>48.853934782608668</c:v>
                </c:pt>
                <c:pt idx="2">
                  <c:v>62.321666666666658</c:v>
                </c:pt>
              </c:numCache>
            </c:numRef>
          </c:val>
          <c:extLst>
            <c:ext xmlns:c16="http://schemas.microsoft.com/office/drawing/2014/chart" uri="{C3380CC4-5D6E-409C-BE32-E72D297353CC}">
              <c16:uniqueId val="{00000002-5D84-403F-B696-90B01D9CB9EF}"/>
            </c:ext>
          </c:extLst>
        </c:ser>
        <c:ser>
          <c:idx val="3"/>
          <c:order val="3"/>
          <c:tx>
            <c:strRef>
              <c:f>'Pivot Tables'!$H$65:$H$66</c:f>
              <c:strCache>
                <c:ptCount val="1"/>
                <c:pt idx="0">
                  <c:v>Robusta</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Tables'!$D$67:$D$70</c:f>
              <c:strCache>
                <c:ptCount val="3"/>
                <c:pt idx="0">
                  <c:v>Between 4 and 2</c:v>
                </c:pt>
                <c:pt idx="1">
                  <c:v>Less than 2</c:v>
                </c:pt>
                <c:pt idx="2">
                  <c:v>More than 4</c:v>
                </c:pt>
              </c:strCache>
            </c:strRef>
          </c:cat>
          <c:val>
            <c:numRef>
              <c:f>'Pivot Tables'!$H$67:$H$70</c:f>
              <c:numCache>
                <c:formatCode>0.00</c:formatCode>
                <c:ptCount val="3"/>
                <c:pt idx="0">
                  <c:v>42.293928571428573</c:v>
                </c:pt>
                <c:pt idx="1">
                  <c:v>37.062246696035253</c:v>
                </c:pt>
              </c:numCache>
            </c:numRef>
          </c:val>
          <c:extLst>
            <c:ext xmlns:c16="http://schemas.microsoft.com/office/drawing/2014/chart" uri="{C3380CC4-5D6E-409C-BE32-E72D297353CC}">
              <c16:uniqueId val="{00000003-5D84-403F-B696-90B01D9CB9EF}"/>
            </c:ext>
          </c:extLst>
        </c:ser>
        <c:dLbls>
          <c:showLegendKey val="0"/>
          <c:showVal val="0"/>
          <c:showCatName val="0"/>
          <c:showSerName val="0"/>
          <c:showPercent val="0"/>
          <c:showBubbleSize val="0"/>
        </c:dLbls>
        <c:gapWidth val="150"/>
        <c:overlap val="100"/>
        <c:axId val="980825136"/>
        <c:axId val="980827056"/>
      </c:barChart>
      <c:catAx>
        <c:axId val="980825136"/>
        <c:scaling>
          <c:orientation val="minMax"/>
        </c:scaling>
        <c:delete val="0"/>
        <c:axPos val="b"/>
        <c:title>
          <c:tx>
            <c:rich>
              <a:bodyPr rot="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GB">
                    <a:solidFill>
                      <a:srgbClr val="3C1464"/>
                    </a:solidFill>
                  </a:rPr>
                  <a:t>Frequency</a:t>
                </a:r>
                <a:r>
                  <a:rPr lang="en-GB" baseline="0">
                    <a:solidFill>
                      <a:srgbClr val="3C1464"/>
                    </a:solidFill>
                  </a:rPr>
                  <a:t> Groups</a:t>
                </a:r>
                <a:endParaRPr lang="en-GB">
                  <a:solidFill>
                    <a:srgbClr val="3C1464"/>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GB"/>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980827056"/>
        <c:crosses val="autoZero"/>
        <c:auto val="1"/>
        <c:lblAlgn val="ctr"/>
        <c:lblOffset val="100"/>
        <c:noMultiLvlLbl val="0"/>
      </c:catAx>
      <c:valAx>
        <c:axId val="980827056"/>
        <c:scaling>
          <c:orientation val="minMax"/>
        </c:scaling>
        <c:delete val="0"/>
        <c:axPos val="l"/>
        <c:majorGridlines>
          <c:spPr>
            <a:ln w="9525" cap="flat" cmpd="sng" algn="ctr">
              <a:solidFill>
                <a:schemeClr val="bg1"/>
              </a:solidFill>
              <a:round/>
            </a:ln>
            <a:effectLst/>
          </c:spPr>
        </c:majorGridlines>
        <c:title>
          <c:tx>
            <c:rich>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GB">
                    <a:solidFill>
                      <a:srgbClr val="3C1464"/>
                    </a:solidFill>
                  </a:rPr>
                  <a:t>Percentage</a:t>
                </a:r>
                <a:r>
                  <a:rPr lang="en-GB" baseline="0">
                    <a:solidFill>
                      <a:srgbClr val="3C1464"/>
                    </a:solidFill>
                  </a:rPr>
                  <a:t> of Total Sales</a:t>
                </a:r>
                <a:endParaRPr lang="en-GB">
                  <a:solidFill>
                    <a:srgbClr val="3C1464"/>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GB"/>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9808251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0CBF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[coffeeOrdersData.xlsx]Pivot Tables!CustomerSpendDist</c:name>
    <c:fmtId val="2"/>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GB" sz="1400" b="0" i="0" u="none" strike="noStrike" baseline="0">
                <a:solidFill>
                  <a:srgbClr val="3C1464"/>
                </a:solidFill>
              </a:rPr>
              <a:t>Customer Spending Distribution</a:t>
            </a:r>
            <a:endParaRPr lang="en-US">
              <a:solidFill>
                <a:srgbClr val="3C1464"/>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Tables'!$E$72</c:f>
              <c:strCache>
                <c:ptCount val="1"/>
                <c:pt idx="0">
                  <c:v>Total</c:v>
                </c:pt>
              </c:strCache>
            </c:strRef>
          </c:tx>
          <c:spPr>
            <a:solidFill>
              <a:schemeClr val="accent1"/>
            </a:solidFill>
            <a:ln>
              <a:noFill/>
            </a:ln>
            <a:effectLst/>
          </c:spPr>
          <c:invertIfNegative val="0"/>
          <c:cat>
            <c:strRef>
              <c:f>'Pivot Tables'!$D$73:$D$77</c:f>
              <c:strCache>
                <c:ptCount val="4"/>
                <c:pt idx="0">
                  <c:v>$0-50</c:v>
                </c:pt>
                <c:pt idx="1">
                  <c:v>$50-100</c:v>
                </c:pt>
                <c:pt idx="2">
                  <c:v>$101-150</c:v>
                </c:pt>
                <c:pt idx="3">
                  <c:v>$150+</c:v>
                </c:pt>
              </c:strCache>
            </c:strRef>
          </c:cat>
          <c:val>
            <c:numRef>
              <c:f>'Pivot Tables'!$E$73:$E$77</c:f>
              <c:numCache>
                <c:formatCode>General</c:formatCode>
                <c:ptCount val="4"/>
                <c:pt idx="0">
                  <c:v>694</c:v>
                </c:pt>
                <c:pt idx="1">
                  <c:v>190</c:v>
                </c:pt>
                <c:pt idx="2">
                  <c:v>81</c:v>
                </c:pt>
                <c:pt idx="3">
                  <c:v>35</c:v>
                </c:pt>
              </c:numCache>
            </c:numRef>
          </c:val>
          <c:extLst>
            <c:ext xmlns:c16="http://schemas.microsoft.com/office/drawing/2014/chart" uri="{C3380CC4-5D6E-409C-BE32-E72D297353CC}">
              <c16:uniqueId val="{00000000-FF71-4898-B119-7D66D485CBA3}"/>
            </c:ext>
          </c:extLst>
        </c:ser>
        <c:dLbls>
          <c:showLegendKey val="0"/>
          <c:showVal val="0"/>
          <c:showCatName val="0"/>
          <c:showSerName val="0"/>
          <c:showPercent val="0"/>
          <c:showBubbleSize val="0"/>
        </c:dLbls>
        <c:gapWidth val="219"/>
        <c:overlap val="-27"/>
        <c:axId val="1191384720"/>
        <c:axId val="1191387120"/>
      </c:barChart>
      <c:catAx>
        <c:axId val="1191384720"/>
        <c:scaling>
          <c:orientation val="minMax"/>
        </c:scaling>
        <c:delete val="0"/>
        <c:axPos val="b"/>
        <c:title>
          <c:tx>
            <c:rich>
              <a:bodyPr rot="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GB">
                    <a:solidFill>
                      <a:srgbClr val="3C1464"/>
                    </a:solidFill>
                  </a:rPr>
                  <a:t>Spend Distribution</a:t>
                </a:r>
              </a:p>
            </c:rich>
          </c:tx>
          <c:overlay val="0"/>
          <c:spPr>
            <a:noFill/>
            <a:ln>
              <a:noFill/>
            </a:ln>
            <a:effectLst/>
          </c:spPr>
          <c:txPr>
            <a:bodyPr rot="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191387120"/>
        <c:crosses val="autoZero"/>
        <c:auto val="1"/>
        <c:lblAlgn val="ctr"/>
        <c:lblOffset val="100"/>
        <c:noMultiLvlLbl val="0"/>
      </c:catAx>
      <c:valAx>
        <c:axId val="1191387120"/>
        <c:scaling>
          <c:orientation val="minMax"/>
        </c:scaling>
        <c:delete val="0"/>
        <c:axPos val="l"/>
        <c:majorGridlines>
          <c:spPr>
            <a:ln w="9525" cap="flat" cmpd="sng" algn="ctr">
              <a:solidFill>
                <a:schemeClr val="bg1"/>
              </a:solidFill>
              <a:round/>
            </a:ln>
            <a:effectLst/>
          </c:spPr>
        </c:majorGridlines>
        <c:title>
          <c:tx>
            <c:rich>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GB">
                    <a:solidFill>
                      <a:srgbClr val="3C1464"/>
                    </a:solidFill>
                  </a:rPr>
                  <a:t>Customer Count</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1913847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0CBF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[coffeeOrdersData.xlsx]Pivot Tables!PriceVSQuantity</c:name>
    <c:fmtId val="5"/>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GB" sz="1400" b="0" i="0" u="none" strike="noStrike" baseline="0">
                <a:solidFill>
                  <a:srgbClr val="3C1464"/>
                </a:solidFill>
              </a:rPr>
              <a:t>Price vs Quantity Sold - Demand Sensitivity Analysis</a:t>
            </a:r>
            <a:endParaRPr lang="en-GB">
              <a:solidFill>
                <a:srgbClr val="3C1464"/>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GB"/>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2"/>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'Pivot Tables'!$C$81</c:f>
              <c:strCache>
                <c:ptCount val="1"/>
                <c:pt idx="0">
                  <c:v>Total Quantity</c:v>
                </c:pt>
              </c:strCache>
            </c:strRef>
          </c:tx>
          <c:spPr>
            <a:solidFill>
              <a:schemeClr val="accent1"/>
            </a:solidFill>
            <a:ln>
              <a:noFill/>
            </a:ln>
            <a:effectLst/>
          </c:spPr>
          <c:invertIfNegative val="0"/>
          <c:cat>
            <c:strRef>
              <c:f>'Pivot Tables'!$A$82:$A$86</c:f>
              <c:strCache>
                <c:ptCount val="4"/>
                <c:pt idx="0">
                  <c:v>Arabica</c:v>
                </c:pt>
                <c:pt idx="1">
                  <c:v>Robusta</c:v>
                </c:pt>
                <c:pt idx="2">
                  <c:v>Excelsa</c:v>
                </c:pt>
                <c:pt idx="3">
                  <c:v>Liberica</c:v>
                </c:pt>
              </c:strCache>
            </c:strRef>
          </c:cat>
          <c:val>
            <c:numRef>
              <c:f>'Pivot Tables'!$C$82:$C$86</c:f>
              <c:numCache>
                <c:formatCode>General</c:formatCode>
                <c:ptCount val="4"/>
                <c:pt idx="0">
                  <c:v>947</c:v>
                </c:pt>
                <c:pt idx="1">
                  <c:v>878</c:v>
                </c:pt>
                <c:pt idx="2">
                  <c:v>872</c:v>
                </c:pt>
                <c:pt idx="3">
                  <c:v>854</c:v>
                </c:pt>
              </c:numCache>
            </c:numRef>
          </c:val>
          <c:extLst>
            <c:ext xmlns:c16="http://schemas.microsoft.com/office/drawing/2014/chart" uri="{C3380CC4-5D6E-409C-BE32-E72D297353CC}">
              <c16:uniqueId val="{00000000-1EC4-40E5-8CCE-9EC58746189B}"/>
            </c:ext>
          </c:extLst>
        </c:ser>
        <c:dLbls>
          <c:showLegendKey val="0"/>
          <c:showVal val="0"/>
          <c:showCatName val="0"/>
          <c:showSerName val="0"/>
          <c:showPercent val="0"/>
          <c:showBubbleSize val="0"/>
        </c:dLbls>
        <c:gapWidth val="219"/>
        <c:axId val="718419840"/>
        <c:axId val="718419360"/>
      </c:barChart>
      <c:lineChart>
        <c:grouping val="standard"/>
        <c:varyColors val="0"/>
        <c:ser>
          <c:idx val="0"/>
          <c:order val="0"/>
          <c:tx>
            <c:strRef>
              <c:f>'Pivot Tables'!$B$81</c:f>
              <c:strCache>
                <c:ptCount val="1"/>
                <c:pt idx="0">
                  <c:v>Average Unit Price (AUP)</c:v>
                </c:pt>
              </c:strCache>
            </c:strRef>
          </c:tx>
          <c:spPr>
            <a:ln w="28575" cap="rnd">
              <a:solidFill>
                <a:schemeClr val="accent2"/>
              </a:solidFill>
              <a:round/>
            </a:ln>
            <a:effectLst/>
          </c:spPr>
          <c:marker>
            <c:symbol val="none"/>
          </c:marker>
          <c:cat>
            <c:strRef>
              <c:f>'Pivot Tables'!$A$82:$A$86</c:f>
              <c:strCache>
                <c:ptCount val="4"/>
                <c:pt idx="0">
                  <c:v>Arabica</c:v>
                </c:pt>
                <c:pt idx="1">
                  <c:v>Robusta</c:v>
                </c:pt>
                <c:pt idx="2">
                  <c:v>Excelsa</c:v>
                </c:pt>
                <c:pt idx="3">
                  <c:v>Liberica</c:v>
                </c:pt>
              </c:strCache>
            </c:strRef>
          </c:cat>
          <c:val>
            <c:numRef>
              <c:f>'Pivot Tables'!$B$82:$B$86</c:f>
              <c:numCache>
                <c:formatCode>_([$$-409]* #,##0.00_);_([$$-409]* \(#,##0.00\);_([$$-409]* "-"??_);_(@_)</c:formatCode>
                <c:ptCount val="4"/>
                <c:pt idx="0">
                  <c:v>12.277102272727266</c:v>
                </c:pt>
                <c:pt idx="1">
                  <c:v>10.45973029045642</c:v>
                </c:pt>
                <c:pt idx="2">
                  <c:v>14.286133603238866</c:v>
                </c:pt>
                <c:pt idx="3">
                  <c:v>14.586512096774188</c:v>
                </c:pt>
              </c:numCache>
            </c:numRef>
          </c:val>
          <c:smooth val="0"/>
          <c:extLst>
            <c:ext xmlns:c16="http://schemas.microsoft.com/office/drawing/2014/chart" uri="{C3380CC4-5D6E-409C-BE32-E72D297353CC}">
              <c16:uniqueId val="{00000001-1EC4-40E5-8CCE-9EC58746189B}"/>
            </c:ext>
          </c:extLst>
        </c:ser>
        <c:dLbls>
          <c:showLegendKey val="0"/>
          <c:showVal val="0"/>
          <c:showCatName val="0"/>
          <c:showSerName val="0"/>
          <c:showPercent val="0"/>
          <c:showBubbleSize val="0"/>
        </c:dLbls>
        <c:marker val="1"/>
        <c:smooth val="0"/>
        <c:axId val="978286176"/>
        <c:axId val="978285216"/>
      </c:lineChart>
      <c:catAx>
        <c:axId val="718419840"/>
        <c:scaling>
          <c:orientation val="minMax"/>
        </c:scaling>
        <c:delete val="0"/>
        <c:axPos val="b"/>
        <c:title>
          <c:tx>
            <c:rich>
              <a:bodyPr rot="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GB">
                    <a:solidFill>
                      <a:srgbClr val="3C1464"/>
                    </a:solidFill>
                  </a:rPr>
                  <a:t>Coffee Type</a:t>
                </a:r>
              </a:p>
            </c:rich>
          </c:tx>
          <c:overlay val="0"/>
          <c:spPr>
            <a:noFill/>
            <a:ln>
              <a:noFill/>
            </a:ln>
            <a:effectLst/>
          </c:spPr>
          <c:txPr>
            <a:bodyPr rot="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718419360"/>
        <c:crosses val="autoZero"/>
        <c:auto val="1"/>
        <c:lblAlgn val="ctr"/>
        <c:lblOffset val="100"/>
        <c:noMultiLvlLbl val="0"/>
      </c:catAx>
      <c:valAx>
        <c:axId val="718419360"/>
        <c:scaling>
          <c:orientation val="minMax"/>
        </c:scaling>
        <c:delete val="0"/>
        <c:axPos val="l"/>
        <c:majorGridlines>
          <c:spPr>
            <a:ln w="9525" cap="flat" cmpd="sng" algn="ctr">
              <a:solidFill>
                <a:schemeClr val="bg1"/>
              </a:solidFill>
              <a:round/>
            </a:ln>
            <a:effectLst/>
          </c:spPr>
        </c:majorGridlines>
        <c:title>
          <c:tx>
            <c:rich>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GB">
                    <a:solidFill>
                      <a:srgbClr val="3C1464"/>
                    </a:solidFill>
                  </a:rPr>
                  <a:t>Product Quantity (Units)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718419840"/>
        <c:crosses val="autoZero"/>
        <c:crossBetween val="between"/>
      </c:valAx>
      <c:valAx>
        <c:axId val="978285216"/>
        <c:scaling>
          <c:orientation val="minMax"/>
        </c:scaling>
        <c:delete val="0"/>
        <c:axPos val="r"/>
        <c:title>
          <c:tx>
            <c:rich>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GB">
                    <a:solidFill>
                      <a:srgbClr val="3C1464"/>
                    </a:solidFill>
                  </a:rPr>
                  <a:t>Unit Price (USD)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US"/>
            </a:p>
          </c:txPr>
        </c:title>
        <c:numFmt formatCode="_([$$-409]* #,##0.00_);_([$$-409]* \(#,##0.00\);_([$$-409]* &quot;-&quot;??_);_(@_)"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978286176"/>
        <c:crosses val="max"/>
        <c:crossBetween val="between"/>
      </c:valAx>
      <c:catAx>
        <c:axId val="978286176"/>
        <c:scaling>
          <c:orientation val="minMax"/>
        </c:scaling>
        <c:delete val="1"/>
        <c:axPos val="b"/>
        <c:numFmt formatCode="General" sourceLinked="1"/>
        <c:majorTickMark val="out"/>
        <c:minorTickMark val="none"/>
        <c:tickLblPos val="nextTo"/>
        <c:crossAx val="97828521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0CBF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[coffeeOrdersData.xlsx]Pivot Tables!PackSizePerformance</c:name>
    <c:fmtId val="2"/>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GB" sz="1400" b="0" i="0" u="none" strike="noStrike" baseline="0">
                <a:solidFill>
                  <a:srgbClr val="3C1464"/>
                </a:solidFill>
              </a:rPr>
              <a:t>Pack Size Performance - Revenue &amp; Volume Comparison</a:t>
            </a:r>
            <a:endParaRPr lang="en-GB">
              <a:solidFill>
                <a:srgbClr val="3C1464"/>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Tables'!$F$81</c:f>
              <c:strCache>
                <c:ptCount val="1"/>
                <c:pt idx="0">
                  <c:v>Total</c:v>
                </c:pt>
              </c:strCache>
            </c:strRef>
          </c:tx>
          <c:spPr>
            <a:solidFill>
              <a:schemeClr val="accent1"/>
            </a:solidFill>
            <a:ln>
              <a:noFill/>
            </a:ln>
            <a:effectLst/>
          </c:spPr>
          <c:invertIfNegative val="0"/>
          <c:cat>
            <c:strRef>
              <c:f>'Pivot Tables'!$E$82:$E$86</c:f>
              <c:strCache>
                <c:ptCount val="4"/>
                <c:pt idx="0">
                  <c:v>2.5 kg</c:v>
                </c:pt>
                <c:pt idx="1">
                  <c:v>1.0 kg</c:v>
                </c:pt>
                <c:pt idx="2">
                  <c:v>0.5 kg</c:v>
                </c:pt>
                <c:pt idx="3">
                  <c:v>0.2 kg</c:v>
                </c:pt>
              </c:strCache>
            </c:strRef>
          </c:cat>
          <c:val>
            <c:numRef>
              <c:f>'Pivot Tables'!$F$82:$F$86</c:f>
              <c:numCache>
                <c:formatCode>_([$$-409]* #,##0.00_);_([$$-409]* \(#,##0.00\);_([$$-409]* "-"??_);_(@_)</c:formatCode>
                <c:ptCount val="4"/>
                <c:pt idx="0">
                  <c:v>23785.564999999977</c:v>
                </c:pt>
                <c:pt idx="1">
                  <c:v>11010.749999999998</c:v>
                </c:pt>
                <c:pt idx="2">
                  <c:v>7029.9900000000034</c:v>
                </c:pt>
                <c:pt idx="3">
                  <c:v>3307.9500000000003</c:v>
                </c:pt>
              </c:numCache>
            </c:numRef>
          </c:val>
          <c:extLst>
            <c:ext xmlns:c16="http://schemas.microsoft.com/office/drawing/2014/chart" uri="{C3380CC4-5D6E-409C-BE32-E72D297353CC}">
              <c16:uniqueId val="{00000000-BCAF-4B35-8C20-1A32AA661415}"/>
            </c:ext>
          </c:extLst>
        </c:ser>
        <c:dLbls>
          <c:showLegendKey val="0"/>
          <c:showVal val="0"/>
          <c:showCatName val="0"/>
          <c:showSerName val="0"/>
          <c:showPercent val="0"/>
          <c:showBubbleSize val="0"/>
        </c:dLbls>
        <c:gapWidth val="219"/>
        <c:overlap val="-27"/>
        <c:axId val="80454351"/>
        <c:axId val="80457231"/>
      </c:barChart>
      <c:catAx>
        <c:axId val="80454351"/>
        <c:scaling>
          <c:orientation val="minMax"/>
        </c:scaling>
        <c:delete val="0"/>
        <c:axPos val="b"/>
        <c:title>
          <c:tx>
            <c:rich>
              <a:bodyPr rot="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GB">
                    <a:solidFill>
                      <a:srgbClr val="3C1464"/>
                    </a:solidFill>
                  </a:rPr>
                  <a:t>Product</a:t>
                </a:r>
                <a:r>
                  <a:rPr lang="en-GB" baseline="0">
                    <a:solidFill>
                      <a:srgbClr val="3C1464"/>
                    </a:solidFill>
                  </a:rPr>
                  <a:t> Volume (Units)</a:t>
                </a:r>
                <a:endParaRPr lang="en-GB">
                  <a:solidFill>
                    <a:srgbClr val="3C1464"/>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GB"/>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80457231"/>
        <c:crosses val="autoZero"/>
        <c:auto val="1"/>
        <c:lblAlgn val="ctr"/>
        <c:lblOffset val="100"/>
        <c:noMultiLvlLbl val="0"/>
      </c:catAx>
      <c:valAx>
        <c:axId val="80457231"/>
        <c:scaling>
          <c:orientation val="minMax"/>
        </c:scaling>
        <c:delete val="0"/>
        <c:axPos val="l"/>
        <c:majorGridlines>
          <c:spPr>
            <a:ln w="9525" cap="flat" cmpd="sng" algn="ctr">
              <a:solidFill>
                <a:schemeClr val="bg1"/>
              </a:solidFill>
              <a:round/>
            </a:ln>
            <a:effectLst/>
          </c:spPr>
        </c:majorGridlines>
        <c:title>
          <c:tx>
            <c:rich>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GB" sz="1000" b="0" i="0" u="none" strike="noStrike" baseline="0">
                    <a:solidFill>
                      <a:srgbClr val="3C1464"/>
                    </a:solidFill>
                  </a:rPr>
                  <a:t>Total Sales (USD)</a:t>
                </a:r>
                <a:endParaRPr lang="en-GB">
                  <a:solidFill>
                    <a:srgbClr val="3C1464"/>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GB"/>
            </a:p>
          </c:txPr>
        </c:title>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80454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0CBF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[coffeeOrdersData.xlsx]Pivot Tables!PriceVSVolumePivot</c:name>
    <c:fmtId val="2"/>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GB" sz="1400" b="0" i="0" u="none" strike="noStrike" baseline="0">
                <a:solidFill>
                  <a:srgbClr val="3C1464"/>
                </a:solidFill>
              </a:rPr>
              <a:t>Revenue Contribution by (Pricing, Volume) Relationship </a:t>
            </a:r>
            <a:endParaRPr lang="en-US">
              <a:solidFill>
                <a:srgbClr val="3C1464"/>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Tables'!$I$81</c:f>
              <c:strCache>
                <c:ptCount val="1"/>
                <c:pt idx="0">
                  <c:v>Total</c:v>
                </c:pt>
              </c:strCache>
            </c:strRef>
          </c:tx>
          <c:spPr>
            <a:solidFill>
              <a:schemeClr val="accent1"/>
            </a:solidFill>
            <a:ln>
              <a:noFill/>
            </a:ln>
            <a:effectLst/>
          </c:spPr>
          <c:invertIfNegative val="0"/>
          <c:cat>
            <c:strRef>
              <c:f>'Pivot Tables'!$H$82:$H$86</c:f>
              <c:strCache>
                <c:ptCount val="4"/>
                <c:pt idx="0">
                  <c:v>High Price-High Volume</c:v>
                </c:pt>
                <c:pt idx="1">
                  <c:v>High Price-Low Volume</c:v>
                </c:pt>
                <c:pt idx="2">
                  <c:v>Low Price-Low Volume</c:v>
                </c:pt>
                <c:pt idx="3">
                  <c:v>Low Price-High Volume</c:v>
                </c:pt>
              </c:strCache>
            </c:strRef>
          </c:cat>
          <c:val>
            <c:numRef>
              <c:f>'Pivot Tables'!$I$82:$I$86</c:f>
              <c:numCache>
                <c:formatCode>_([$$-409]* #,##0.00_);_([$$-409]* \(#,##0.00\);_([$$-409]* "-"??_);_(@_)</c:formatCode>
                <c:ptCount val="4"/>
                <c:pt idx="0">
                  <c:v>20642.304999999989</c:v>
                </c:pt>
                <c:pt idx="1">
                  <c:v>16455.07</c:v>
                </c:pt>
                <c:pt idx="2">
                  <c:v>6058.7250000000049</c:v>
                </c:pt>
                <c:pt idx="3">
                  <c:v>1978.1549999999997</c:v>
                </c:pt>
              </c:numCache>
            </c:numRef>
          </c:val>
          <c:extLst>
            <c:ext xmlns:c16="http://schemas.microsoft.com/office/drawing/2014/chart" uri="{C3380CC4-5D6E-409C-BE32-E72D297353CC}">
              <c16:uniqueId val="{00000000-B840-4C08-8759-031E6B50BA35}"/>
            </c:ext>
          </c:extLst>
        </c:ser>
        <c:dLbls>
          <c:showLegendKey val="0"/>
          <c:showVal val="0"/>
          <c:showCatName val="0"/>
          <c:showSerName val="0"/>
          <c:showPercent val="0"/>
          <c:showBubbleSize val="0"/>
        </c:dLbls>
        <c:gapWidth val="219"/>
        <c:overlap val="-27"/>
        <c:axId val="140183279"/>
        <c:axId val="140184719"/>
      </c:barChart>
      <c:catAx>
        <c:axId val="140183279"/>
        <c:scaling>
          <c:orientation val="minMax"/>
        </c:scaling>
        <c:delete val="0"/>
        <c:axPos val="b"/>
        <c:title>
          <c:tx>
            <c:rich>
              <a:bodyPr rot="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GB">
                    <a:solidFill>
                      <a:srgbClr val="3C1464"/>
                    </a:solidFill>
                  </a:rPr>
                  <a:t>Relationship Type</a:t>
                </a:r>
              </a:p>
            </c:rich>
          </c:tx>
          <c:overlay val="0"/>
          <c:spPr>
            <a:noFill/>
            <a:ln>
              <a:noFill/>
            </a:ln>
            <a:effectLst/>
          </c:spPr>
          <c:txPr>
            <a:bodyPr rot="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40184719"/>
        <c:crosses val="autoZero"/>
        <c:auto val="1"/>
        <c:lblAlgn val="ctr"/>
        <c:lblOffset val="100"/>
        <c:noMultiLvlLbl val="0"/>
      </c:catAx>
      <c:valAx>
        <c:axId val="140184719"/>
        <c:scaling>
          <c:orientation val="minMax"/>
        </c:scaling>
        <c:delete val="0"/>
        <c:axPos val="l"/>
        <c:majorGridlines>
          <c:spPr>
            <a:ln w="9525" cap="flat" cmpd="sng" algn="ctr">
              <a:solidFill>
                <a:schemeClr val="bg1"/>
              </a:solidFill>
              <a:round/>
            </a:ln>
            <a:effectLst/>
          </c:spPr>
        </c:majorGridlines>
        <c:title>
          <c:tx>
            <c:rich>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GB">
                    <a:solidFill>
                      <a:srgbClr val="3C1464"/>
                    </a:solidFill>
                  </a:rPr>
                  <a:t>Total Sales (USD)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US"/>
            </a:p>
          </c:txPr>
        </c:title>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4018327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0CBF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[coffeeOrdersData.xlsx]Pivot Tables!TotalSales</c:name>
    <c:fmtId val="6"/>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GB"/>
              <a:t>Total</a:t>
            </a:r>
            <a:r>
              <a:rPr lang="en-GB" baseline="0"/>
              <a:t> Sales Over Years</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Tables'!$C$1:$C$2</c:f>
              <c:strCache>
                <c:ptCount val="1"/>
                <c:pt idx="0">
                  <c:v>Arabica</c:v>
                </c:pt>
              </c:strCache>
            </c:strRef>
          </c:tx>
          <c:spPr>
            <a:ln w="28575" cap="rnd">
              <a:solidFill>
                <a:schemeClr val="accent1"/>
              </a:solidFill>
              <a:round/>
            </a:ln>
            <a:effectLst/>
          </c:spPr>
          <c:marker>
            <c:symbol val="none"/>
          </c:marker>
          <c:cat>
            <c:strRef>
              <c:f>'Pivot Tables'!$A$3:$B$7</c:f>
              <c:strCache>
                <c:ptCount val="4"/>
                <c:pt idx="0">
                  <c:v>2019</c:v>
                </c:pt>
                <c:pt idx="1">
                  <c:v>2020</c:v>
                </c:pt>
                <c:pt idx="2">
                  <c:v>2021</c:v>
                </c:pt>
                <c:pt idx="3">
                  <c:v>2022</c:v>
                </c:pt>
              </c:strCache>
            </c:strRef>
          </c:cat>
          <c:val>
            <c:numRef>
              <c:f>'Pivot Tables'!$C$3:$C$7</c:f>
              <c:numCache>
                <c:formatCode>_([$$-409]* #,##0_);_([$$-409]* \(#,##0\);_([$$-409]* "-"??_);_(@_)</c:formatCode>
                <c:ptCount val="4"/>
                <c:pt idx="0">
                  <c:v>2926.6300000000006</c:v>
                </c:pt>
                <c:pt idx="1">
                  <c:v>3356.415</c:v>
                </c:pt>
                <c:pt idx="2">
                  <c:v>4045.6299999999987</c:v>
                </c:pt>
                <c:pt idx="3">
                  <c:v>1439.8199999999997</c:v>
                </c:pt>
              </c:numCache>
            </c:numRef>
          </c:val>
          <c:smooth val="0"/>
          <c:extLst>
            <c:ext xmlns:c16="http://schemas.microsoft.com/office/drawing/2014/chart" uri="{C3380CC4-5D6E-409C-BE32-E72D297353CC}">
              <c16:uniqueId val="{00000000-26DD-4D4C-9F03-143282517D73}"/>
            </c:ext>
          </c:extLst>
        </c:ser>
        <c:ser>
          <c:idx val="1"/>
          <c:order val="1"/>
          <c:tx>
            <c:strRef>
              <c:f>'Pivot Tables'!$D$1:$D$2</c:f>
              <c:strCache>
                <c:ptCount val="1"/>
                <c:pt idx="0">
                  <c:v>Excelsa</c:v>
                </c:pt>
              </c:strCache>
            </c:strRef>
          </c:tx>
          <c:spPr>
            <a:ln w="28575" cap="rnd">
              <a:solidFill>
                <a:schemeClr val="accent2"/>
              </a:solidFill>
              <a:round/>
            </a:ln>
            <a:effectLst/>
          </c:spPr>
          <c:marker>
            <c:symbol val="none"/>
          </c:marker>
          <c:cat>
            <c:strRef>
              <c:f>'Pivot Tables'!$A$3:$B$7</c:f>
              <c:strCache>
                <c:ptCount val="4"/>
                <c:pt idx="0">
                  <c:v>2019</c:v>
                </c:pt>
                <c:pt idx="1">
                  <c:v>2020</c:v>
                </c:pt>
                <c:pt idx="2">
                  <c:v>2021</c:v>
                </c:pt>
                <c:pt idx="3">
                  <c:v>2022</c:v>
                </c:pt>
              </c:strCache>
            </c:strRef>
          </c:cat>
          <c:val>
            <c:numRef>
              <c:f>'Pivot Tables'!$D$3:$D$7</c:f>
              <c:numCache>
                <c:formatCode>_([$$-409]* #,##0_);_([$$-409]* \(#,##0\);_([$$-409]* "-"??_);_(@_)</c:formatCode>
                <c:ptCount val="4"/>
                <c:pt idx="0">
                  <c:v>3481.4599999999987</c:v>
                </c:pt>
                <c:pt idx="1">
                  <c:v>3663.4100000000008</c:v>
                </c:pt>
                <c:pt idx="2">
                  <c:v>3469.6399999999994</c:v>
                </c:pt>
                <c:pt idx="3">
                  <c:v>1691.9299999999998</c:v>
                </c:pt>
              </c:numCache>
            </c:numRef>
          </c:val>
          <c:smooth val="0"/>
          <c:extLst>
            <c:ext xmlns:c16="http://schemas.microsoft.com/office/drawing/2014/chart" uri="{C3380CC4-5D6E-409C-BE32-E72D297353CC}">
              <c16:uniqueId val="{00000001-26DD-4D4C-9F03-143282517D73}"/>
            </c:ext>
          </c:extLst>
        </c:ser>
        <c:ser>
          <c:idx val="2"/>
          <c:order val="2"/>
          <c:tx>
            <c:strRef>
              <c:f>'Pivot Tables'!$E$1:$E$2</c:f>
              <c:strCache>
                <c:ptCount val="1"/>
                <c:pt idx="0">
                  <c:v>Liberica</c:v>
                </c:pt>
              </c:strCache>
            </c:strRef>
          </c:tx>
          <c:spPr>
            <a:ln w="28575" cap="rnd">
              <a:solidFill>
                <a:schemeClr val="accent3"/>
              </a:solidFill>
              <a:round/>
            </a:ln>
            <a:effectLst/>
          </c:spPr>
          <c:marker>
            <c:symbol val="none"/>
          </c:marker>
          <c:cat>
            <c:strRef>
              <c:f>'Pivot Tables'!$A$3:$B$7</c:f>
              <c:strCache>
                <c:ptCount val="4"/>
                <c:pt idx="0">
                  <c:v>2019</c:v>
                </c:pt>
                <c:pt idx="1">
                  <c:v>2020</c:v>
                </c:pt>
                <c:pt idx="2">
                  <c:v>2021</c:v>
                </c:pt>
                <c:pt idx="3">
                  <c:v>2022</c:v>
                </c:pt>
              </c:strCache>
            </c:strRef>
          </c:cat>
          <c:val>
            <c:numRef>
              <c:f>'Pivot Tables'!$E$3:$E$7</c:f>
              <c:numCache>
                <c:formatCode>_([$$-409]* #,##0_);_([$$-409]* \(#,##0\);_([$$-409]* "-"??_);_(@_)</c:formatCode>
                <c:ptCount val="4"/>
                <c:pt idx="0">
                  <c:v>3378.0050000000001</c:v>
                </c:pt>
                <c:pt idx="1">
                  <c:v>2604.4549999999999</c:v>
                </c:pt>
                <c:pt idx="2">
                  <c:v>3836.6949999999997</c:v>
                </c:pt>
                <c:pt idx="3">
                  <c:v>2234.9199999999996</c:v>
                </c:pt>
              </c:numCache>
            </c:numRef>
          </c:val>
          <c:smooth val="0"/>
          <c:extLst>
            <c:ext xmlns:c16="http://schemas.microsoft.com/office/drawing/2014/chart" uri="{C3380CC4-5D6E-409C-BE32-E72D297353CC}">
              <c16:uniqueId val="{00000002-26DD-4D4C-9F03-143282517D73}"/>
            </c:ext>
          </c:extLst>
        </c:ser>
        <c:ser>
          <c:idx val="3"/>
          <c:order val="3"/>
          <c:tx>
            <c:strRef>
              <c:f>'Pivot Tables'!$F$1:$F$2</c:f>
              <c:strCache>
                <c:ptCount val="1"/>
                <c:pt idx="0">
                  <c:v>Robusta</c:v>
                </c:pt>
              </c:strCache>
            </c:strRef>
          </c:tx>
          <c:spPr>
            <a:ln w="28575" cap="rnd">
              <a:solidFill>
                <a:schemeClr val="accent4"/>
              </a:solidFill>
              <a:round/>
            </a:ln>
            <a:effectLst/>
          </c:spPr>
          <c:marker>
            <c:symbol val="none"/>
          </c:marker>
          <c:cat>
            <c:strRef>
              <c:f>'Pivot Tables'!$A$3:$B$7</c:f>
              <c:strCache>
                <c:ptCount val="4"/>
                <c:pt idx="0">
                  <c:v>2019</c:v>
                </c:pt>
                <c:pt idx="1">
                  <c:v>2020</c:v>
                </c:pt>
                <c:pt idx="2">
                  <c:v>2021</c:v>
                </c:pt>
                <c:pt idx="3">
                  <c:v>2022</c:v>
                </c:pt>
              </c:strCache>
            </c:strRef>
          </c:cat>
          <c:val>
            <c:numRef>
              <c:f>'Pivot Tables'!$F$3:$F$7</c:f>
              <c:numCache>
                <c:formatCode>_([$$-409]* #,##0_);_([$$-409]* \(#,##0\);_([$$-409]* "-"??_);_(@_)</c:formatCode>
                <c:ptCount val="4"/>
                <c:pt idx="0">
                  <c:v>2401.0699999999993</c:v>
                </c:pt>
                <c:pt idx="1">
                  <c:v>2493.2649999999999</c:v>
                </c:pt>
                <c:pt idx="2">
                  <c:v>2414.1449999999991</c:v>
                </c:pt>
                <c:pt idx="3">
                  <c:v>1696.7650000000003</c:v>
                </c:pt>
              </c:numCache>
            </c:numRef>
          </c:val>
          <c:smooth val="0"/>
          <c:extLst>
            <c:ext xmlns:c16="http://schemas.microsoft.com/office/drawing/2014/chart" uri="{C3380CC4-5D6E-409C-BE32-E72D297353CC}">
              <c16:uniqueId val="{00000003-26DD-4D4C-9F03-143282517D73}"/>
            </c:ext>
          </c:extLst>
        </c:ser>
        <c:dLbls>
          <c:showLegendKey val="0"/>
          <c:showVal val="0"/>
          <c:showCatName val="0"/>
          <c:showSerName val="0"/>
          <c:showPercent val="0"/>
          <c:showBubbleSize val="0"/>
        </c:dLbls>
        <c:smooth val="0"/>
        <c:axId val="1384305888"/>
        <c:axId val="1384307808"/>
      </c:lineChart>
      <c:catAx>
        <c:axId val="13843058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384307808"/>
        <c:crosses val="autoZero"/>
        <c:auto val="1"/>
        <c:lblAlgn val="ctr"/>
        <c:lblOffset val="100"/>
        <c:noMultiLvlLbl val="0"/>
      </c:catAx>
      <c:valAx>
        <c:axId val="1384307808"/>
        <c:scaling>
          <c:orientation val="minMax"/>
        </c:scaling>
        <c:delete val="0"/>
        <c:axPos val="l"/>
        <c:majorGridlines>
          <c:spPr>
            <a:ln w="9525" cap="flat" cmpd="sng" algn="ctr">
              <a:solidFill>
                <a:schemeClr val="bg1">
                  <a:lumMod val="95000"/>
                </a:schemeClr>
              </a:solidFill>
              <a:round/>
            </a:ln>
            <a:effectLst/>
          </c:spPr>
        </c:majorGridlines>
        <c:title>
          <c:tx>
            <c:rich>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GB"/>
                  <a:t> Currency</a:t>
                </a:r>
                <a:r>
                  <a:rPr lang="en-GB" baseline="0"/>
                  <a:t> (USD)</a:t>
                </a:r>
                <a:endParaRPr lang="en-GB"/>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GB"/>
            </a:p>
          </c:txPr>
        </c:title>
        <c:numFmt formatCode="_([$$-409]* #,##0_);_([$$-409]* \(#,##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3843058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0CBF5"/>
    </a:solidFill>
    <a:ln w="9525" cap="flat" cmpd="sng" algn="ctr">
      <a:solidFill>
        <a:schemeClr val="tx1">
          <a:lumMod val="15000"/>
          <a:lumOff val="85000"/>
        </a:schemeClr>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[coffeeOrdersData.xlsx]Pivot Tables!QuarterlyTable</c:name>
    <c:fmtId val="7"/>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GB">
                <a:solidFill>
                  <a:srgbClr val="3C1464"/>
                </a:solidFill>
              </a:rPr>
              <a:t>Total Sales Over Quarters</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Tables'!$J$90:$J$91</c:f>
              <c:strCache>
                <c:ptCount val="1"/>
                <c:pt idx="0">
                  <c:v>Arabica</c:v>
                </c:pt>
              </c:strCache>
            </c:strRef>
          </c:tx>
          <c:spPr>
            <a:ln w="28575" cap="rnd">
              <a:solidFill>
                <a:schemeClr val="accent1"/>
              </a:solidFill>
              <a:round/>
            </a:ln>
            <a:effectLst/>
          </c:spPr>
          <c:marker>
            <c:symbol val="none"/>
          </c:marker>
          <c:cat>
            <c:strRef>
              <c:f>'Pivot Tables'!$I$92:$I$96</c:f>
              <c:strCache>
                <c:ptCount val="4"/>
                <c:pt idx="0">
                  <c:v>First Quarter</c:v>
                </c:pt>
                <c:pt idx="1">
                  <c:v>Fourth Quarter</c:v>
                </c:pt>
                <c:pt idx="2">
                  <c:v>Second Quarter</c:v>
                </c:pt>
                <c:pt idx="3">
                  <c:v>Third Quarter</c:v>
                </c:pt>
              </c:strCache>
            </c:strRef>
          </c:cat>
          <c:val>
            <c:numRef>
              <c:f>'Pivot Tables'!$J$92:$J$96</c:f>
              <c:numCache>
                <c:formatCode>_([$$-409]* #,##0.00_);_([$$-409]* \(#,##0.00\);_([$$-409]* "-"??_);_(@_)</c:formatCode>
                <c:ptCount val="4"/>
                <c:pt idx="0">
                  <c:v>3111.1199999999994</c:v>
                </c:pt>
                <c:pt idx="1">
                  <c:v>2889.3899999999994</c:v>
                </c:pt>
                <c:pt idx="2">
                  <c:v>2728.9499999999989</c:v>
                </c:pt>
                <c:pt idx="3">
                  <c:v>3039.0350000000003</c:v>
                </c:pt>
              </c:numCache>
            </c:numRef>
          </c:val>
          <c:smooth val="0"/>
          <c:extLst>
            <c:ext xmlns:c16="http://schemas.microsoft.com/office/drawing/2014/chart" uri="{C3380CC4-5D6E-409C-BE32-E72D297353CC}">
              <c16:uniqueId val="{00000000-6DEA-462D-9F1E-04778929C837}"/>
            </c:ext>
          </c:extLst>
        </c:ser>
        <c:ser>
          <c:idx val="1"/>
          <c:order val="1"/>
          <c:tx>
            <c:strRef>
              <c:f>'Pivot Tables'!$K$90:$K$91</c:f>
              <c:strCache>
                <c:ptCount val="1"/>
                <c:pt idx="0">
                  <c:v>Excelsa</c:v>
                </c:pt>
              </c:strCache>
            </c:strRef>
          </c:tx>
          <c:spPr>
            <a:ln w="28575" cap="rnd">
              <a:solidFill>
                <a:schemeClr val="accent2"/>
              </a:solidFill>
              <a:round/>
            </a:ln>
            <a:effectLst/>
          </c:spPr>
          <c:marker>
            <c:symbol val="none"/>
          </c:marker>
          <c:cat>
            <c:strRef>
              <c:f>'Pivot Tables'!$I$92:$I$96</c:f>
              <c:strCache>
                <c:ptCount val="4"/>
                <c:pt idx="0">
                  <c:v>First Quarter</c:v>
                </c:pt>
                <c:pt idx="1">
                  <c:v>Fourth Quarter</c:v>
                </c:pt>
                <c:pt idx="2">
                  <c:v>Second Quarter</c:v>
                </c:pt>
                <c:pt idx="3">
                  <c:v>Third Quarter</c:v>
                </c:pt>
              </c:strCache>
            </c:strRef>
          </c:cat>
          <c:val>
            <c:numRef>
              <c:f>'Pivot Tables'!$K$92:$K$96</c:f>
              <c:numCache>
                <c:formatCode>_([$$-409]* #,##0.00_);_([$$-409]* \(#,##0.00\);_([$$-409]* "-"??_);_(@_)</c:formatCode>
                <c:ptCount val="4"/>
                <c:pt idx="0">
                  <c:v>2918.27</c:v>
                </c:pt>
                <c:pt idx="1">
                  <c:v>2868.1849999999995</c:v>
                </c:pt>
                <c:pt idx="2">
                  <c:v>4128.7549999999992</c:v>
                </c:pt>
                <c:pt idx="3">
                  <c:v>2391.2299999999996</c:v>
                </c:pt>
              </c:numCache>
            </c:numRef>
          </c:val>
          <c:smooth val="0"/>
          <c:extLst>
            <c:ext xmlns:c16="http://schemas.microsoft.com/office/drawing/2014/chart" uri="{C3380CC4-5D6E-409C-BE32-E72D297353CC}">
              <c16:uniqueId val="{00000001-6DEA-462D-9F1E-04778929C837}"/>
            </c:ext>
          </c:extLst>
        </c:ser>
        <c:ser>
          <c:idx val="2"/>
          <c:order val="2"/>
          <c:tx>
            <c:strRef>
              <c:f>'Pivot Tables'!$L$90:$L$91</c:f>
              <c:strCache>
                <c:ptCount val="1"/>
                <c:pt idx="0">
                  <c:v>Liberica</c:v>
                </c:pt>
              </c:strCache>
            </c:strRef>
          </c:tx>
          <c:spPr>
            <a:ln w="28575" cap="rnd">
              <a:solidFill>
                <a:schemeClr val="accent3"/>
              </a:solidFill>
              <a:round/>
            </a:ln>
            <a:effectLst/>
          </c:spPr>
          <c:marker>
            <c:symbol val="none"/>
          </c:marker>
          <c:cat>
            <c:strRef>
              <c:f>'Pivot Tables'!$I$92:$I$96</c:f>
              <c:strCache>
                <c:ptCount val="4"/>
                <c:pt idx="0">
                  <c:v>First Quarter</c:v>
                </c:pt>
                <c:pt idx="1">
                  <c:v>Fourth Quarter</c:v>
                </c:pt>
                <c:pt idx="2">
                  <c:v>Second Quarter</c:v>
                </c:pt>
                <c:pt idx="3">
                  <c:v>Third Quarter</c:v>
                </c:pt>
              </c:strCache>
            </c:strRef>
          </c:cat>
          <c:val>
            <c:numRef>
              <c:f>'Pivot Tables'!$L$92:$L$96</c:f>
              <c:numCache>
                <c:formatCode>_([$$-409]* #,##0.00_);_([$$-409]* \(#,##0.00\);_([$$-409]* "-"??_);_(@_)</c:formatCode>
                <c:ptCount val="4"/>
                <c:pt idx="0">
                  <c:v>4052.1000000000017</c:v>
                </c:pt>
                <c:pt idx="1">
                  <c:v>3146.3549999999996</c:v>
                </c:pt>
                <c:pt idx="2">
                  <c:v>3067.4650000000006</c:v>
                </c:pt>
                <c:pt idx="3">
                  <c:v>1788.1549999999997</c:v>
                </c:pt>
              </c:numCache>
            </c:numRef>
          </c:val>
          <c:smooth val="0"/>
          <c:extLst>
            <c:ext xmlns:c16="http://schemas.microsoft.com/office/drawing/2014/chart" uri="{C3380CC4-5D6E-409C-BE32-E72D297353CC}">
              <c16:uniqueId val="{00000002-6DEA-462D-9F1E-04778929C837}"/>
            </c:ext>
          </c:extLst>
        </c:ser>
        <c:ser>
          <c:idx val="3"/>
          <c:order val="3"/>
          <c:tx>
            <c:strRef>
              <c:f>'Pivot Tables'!$M$90:$M$91</c:f>
              <c:strCache>
                <c:ptCount val="1"/>
                <c:pt idx="0">
                  <c:v>Robusta</c:v>
                </c:pt>
              </c:strCache>
            </c:strRef>
          </c:tx>
          <c:spPr>
            <a:ln w="28575" cap="rnd">
              <a:solidFill>
                <a:schemeClr val="accent4"/>
              </a:solidFill>
              <a:round/>
            </a:ln>
            <a:effectLst/>
          </c:spPr>
          <c:marker>
            <c:symbol val="none"/>
          </c:marker>
          <c:cat>
            <c:strRef>
              <c:f>'Pivot Tables'!$I$92:$I$96</c:f>
              <c:strCache>
                <c:ptCount val="4"/>
                <c:pt idx="0">
                  <c:v>First Quarter</c:v>
                </c:pt>
                <c:pt idx="1">
                  <c:v>Fourth Quarter</c:v>
                </c:pt>
                <c:pt idx="2">
                  <c:v>Second Quarter</c:v>
                </c:pt>
                <c:pt idx="3">
                  <c:v>Third Quarter</c:v>
                </c:pt>
              </c:strCache>
            </c:strRef>
          </c:cat>
          <c:val>
            <c:numRef>
              <c:f>'Pivot Tables'!$M$92:$M$96</c:f>
              <c:numCache>
                <c:formatCode>_([$$-409]* #,##0.00_);_([$$-409]* \(#,##0.00\);_([$$-409]* "-"??_);_(@_)</c:formatCode>
                <c:ptCount val="4"/>
                <c:pt idx="0">
                  <c:v>2355.5249999999992</c:v>
                </c:pt>
                <c:pt idx="1">
                  <c:v>1534.2349999999997</c:v>
                </c:pt>
                <c:pt idx="2">
                  <c:v>2390.4449999999974</c:v>
                </c:pt>
                <c:pt idx="3">
                  <c:v>2725.0400000000004</c:v>
                </c:pt>
              </c:numCache>
            </c:numRef>
          </c:val>
          <c:smooth val="0"/>
          <c:extLst>
            <c:ext xmlns:c16="http://schemas.microsoft.com/office/drawing/2014/chart" uri="{C3380CC4-5D6E-409C-BE32-E72D297353CC}">
              <c16:uniqueId val="{00000003-6DEA-462D-9F1E-04778929C837}"/>
            </c:ext>
          </c:extLst>
        </c:ser>
        <c:dLbls>
          <c:showLegendKey val="0"/>
          <c:showVal val="0"/>
          <c:showCatName val="0"/>
          <c:showSerName val="0"/>
          <c:showPercent val="0"/>
          <c:showBubbleSize val="0"/>
        </c:dLbls>
        <c:smooth val="0"/>
        <c:axId val="806643616"/>
        <c:axId val="603243040"/>
      </c:lineChart>
      <c:catAx>
        <c:axId val="8066436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603243040"/>
        <c:crosses val="autoZero"/>
        <c:auto val="1"/>
        <c:lblAlgn val="ctr"/>
        <c:lblOffset val="100"/>
        <c:noMultiLvlLbl val="0"/>
      </c:catAx>
      <c:valAx>
        <c:axId val="603243040"/>
        <c:scaling>
          <c:orientation val="minMax"/>
        </c:scaling>
        <c:delete val="0"/>
        <c:axPos val="l"/>
        <c:majorGridlines>
          <c:spPr>
            <a:ln w="9525" cap="flat" cmpd="sng" algn="ctr">
              <a:solidFill>
                <a:schemeClr val="bg1"/>
              </a:solidFill>
              <a:round/>
            </a:ln>
            <a:effectLst/>
          </c:spPr>
        </c:majorGridlines>
        <c:title>
          <c:tx>
            <c:rich>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GB">
                    <a:solidFill>
                      <a:srgbClr val="3C1464"/>
                    </a:solidFill>
                  </a:rPr>
                  <a:t>Currency (USD)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US"/>
            </a:p>
          </c:txPr>
        </c:title>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8066436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0CBF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[coffeeOrdersData.xlsx]Pivot Tables!SeasonalTable</c:name>
    <c:fmtId val="12"/>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GB" sz="1400" b="0" i="0" u="none" strike="noStrike" baseline="0">
                <a:solidFill>
                  <a:srgbClr val="3C1464"/>
                </a:solidFill>
              </a:rPr>
              <a:t>Seasonal Sales Trends by Coffee &amp; Roast Types</a:t>
            </a:r>
            <a:endParaRPr lang="en-GB">
              <a:solidFill>
                <a:srgbClr val="3C1464"/>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GB"/>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Tables'!$B$98:$B$99</c:f>
              <c:strCache>
                <c:ptCount val="1"/>
                <c:pt idx="0">
                  <c:v>Arabica-Dark</c:v>
                </c:pt>
              </c:strCache>
            </c:strRef>
          </c:tx>
          <c:spPr>
            <a:ln w="28575" cap="rnd">
              <a:solidFill>
                <a:schemeClr val="accent1"/>
              </a:solidFill>
              <a:round/>
            </a:ln>
            <a:effectLst/>
          </c:spPr>
          <c:marker>
            <c:symbol val="none"/>
          </c:marker>
          <c:cat>
            <c:strRef>
              <c:f>'Pivot Tables'!$A$100:$A$104</c:f>
              <c:strCache>
                <c:ptCount val="4"/>
                <c:pt idx="0">
                  <c:v>Autumn</c:v>
                </c:pt>
                <c:pt idx="1">
                  <c:v>Spring</c:v>
                </c:pt>
                <c:pt idx="2">
                  <c:v>Summer</c:v>
                </c:pt>
                <c:pt idx="3">
                  <c:v>Winter</c:v>
                </c:pt>
              </c:strCache>
            </c:strRef>
          </c:cat>
          <c:val>
            <c:numRef>
              <c:f>'Pivot Tables'!$B$100:$B$104</c:f>
              <c:numCache>
                <c:formatCode>_([$$-409]* #,##0.00_);_([$$-409]* \(#,##0.00\);_([$$-409]* "-"??_);_(@_)</c:formatCode>
                <c:ptCount val="4"/>
                <c:pt idx="0">
                  <c:v>1056.6899999999998</c:v>
                </c:pt>
                <c:pt idx="1">
                  <c:v>390.04000000000013</c:v>
                </c:pt>
                <c:pt idx="2">
                  <c:v>869.63000000000011</c:v>
                </c:pt>
                <c:pt idx="3">
                  <c:v>731.32500000000027</c:v>
                </c:pt>
              </c:numCache>
            </c:numRef>
          </c:val>
          <c:smooth val="0"/>
          <c:extLst>
            <c:ext xmlns:c16="http://schemas.microsoft.com/office/drawing/2014/chart" uri="{C3380CC4-5D6E-409C-BE32-E72D297353CC}">
              <c16:uniqueId val="{00000000-55F9-404D-858C-E2546D8FE735}"/>
            </c:ext>
          </c:extLst>
        </c:ser>
        <c:ser>
          <c:idx val="1"/>
          <c:order val="1"/>
          <c:tx>
            <c:strRef>
              <c:f>'Pivot Tables'!$C$98:$C$99</c:f>
              <c:strCache>
                <c:ptCount val="1"/>
                <c:pt idx="0">
                  <c:v>Arabica-Light</c:v>
                </c:pt>
              </c:strCache>
            </c:strRef>
          </c:tx>
          <c:spPr>
            <a:ln w="28575" cap="rnd">
              <a:solidFill>
                <a:schemeClr val="accent2"/>
              </a:solidFill>
              <a:round/>
            </a:ln>
            <a:effectLst/>
          </c:spPr>
          <c:marker>
            <c:symbol val="none"/>
          </c:marker>
          <c:cat>
            <c:strRef>
              <c:f>'Pivot Tables'!$A$100:$A$104</c:f>
              <c:strCache>
                <c:ptCount val="4"/>
                <c:pt idx="0">
                  <c:v>Autumn</c:v>
                </c:pt>
                <c:pt idx="1">
                  <c:v>Spring</c:v>
                </c:pt>
                <c:pt idx="2">
                  <c:v>Summer</c:v>
                </c:pt>
                <c:pt idx="3">
                  <c:v>Winter</c:v>
                </c:pt>
              </c:strCache>
            </c:strRef>
          </c:cat>
          <c:val>
            <c:numRef>
              <c:f>'Pivot Tables'!$C$100:$C$104</c:f>
              <c:numCache>
                <c:formatCode>_([$$-409]* #,##0.00_);_([$$-409]* \(#,##0.00\);_([$$-409]* "-"??_);_(@_)</c:formatCode>
                <c:ptCount val="4"/>
                <c:pt idx="0">
                  <c:v>1029.5249999999999</c:v>
                </c:pt>
                <c:pt idx="1">
                  <c:v>964.77499999999964</c:v>
                </c:pt>
                <c:pt idx="2">
                  <c:v>1319.6049999999998</c:v>
                </c:pt>
                <c:pt idx="3">
                  <c:v>918.15499999999986</c:v>
                </c:pt>
              </c:numCache>
            </c:numRef>
          </c:val>
          <c:smooth val="0"/>
          <c:extLst>
            <c:ext xmlns:c16="http://schemas.microsoft.com/office/drawing/2014/chart" uri="{C3380CC4-5D6E-409C-BE32-E72D297353CC}">
              <c16:uniqueId val="{00000001-55F9-404D-858C-E2546D8FE735}"/>
            </c:ext>
          </c:extLst>
        </c:ser>
        <c:ser>
          <c:idx val="2"/>
          <c:order val="2"/>
          <c:tx>
            <c:strRef>
              <c:f>'Pivot Tables'!$D$98:$D$99</c:f>
              <c:strCache>
                <c:ptCount val="1"/>
                <c:pt idx="0">
                  <c:v>Arabica-Medium</c:v>
                </c:pt>
              </c:strCache>
            </c:strRef>
          </c:tx>
          <c:spPr>
            <a:ln w="28575" cap="rnd">
              <a:solidFill>
                <a:schemeClr val="accent3"/>
              </a:solidFill>
              <a:round/>
            </a:ln>
            <a:effectLst/>
          </c:spPr>
          <c:marker>
            <c:symbol val="none"/>
          </c:marker>
          <c:cat>
            <c:strRef>
              <c:f>'Pivot Tables'!$A$100:$A$104</c:f>
              <c:strCache>
                <c:ptCount val="4"/>
                <c:pt idx="0">
                  <c:v>Autumn</c:v>
                </c:pt>
                <c:pt idx="1">
                  <c:v>Spring</c:v>
                </c:pt>
                <c:pt idx="2">
                  <c:v>Summer</c:v>
                </c:pt>
                <c:pt idx="3">
                  <c:v>Winter</c:v>
                </c:pt>
              </c:strCache>
            </c:strRef>
          </c:cat>
          <c:val>
            <c:numRef>
              <c:f>'Pivot Tables'!$D$100:$D$104</c:f>
              <c:numCache>
                <c:formatCode>_([$$-409]* #,##0.00_);_([$$-409]* \(#,##0.00\);_([$$-409]* "-"??_);_(@_)</c:formatCode>
                <c:ptCount val="4"/>
                <c:pt idx="0">
                  <c:v>1188</c:v>
                </c:pt>
                <c:pt idx="1">
                  <c:v>1067.625</c:v>
                </c:pt>
                <c:pt idx="2">
                  <c:v>1062</c:v>
                </c:pt>
                <c:pt idx="3">
                  <c:v>1171.125</c:v>
                </c:pt>
              </c:numCache>
            </c:numRef>
          </c:val>
          <c:smooth val="0"/>
          <c:extLst>
            <c:ext xmlns:c16="http://schemas.microsoft.com/office/drawing/2014/chart" uri="{C3380CC4-5D6E-409C-BE32-E72D297353CC}">
              <c16:uniqueId val="{00000002-55F9-404D-858C-E2546D8FE735}"/>
            </c:ext>
          </c:extLst>
        </c:ser>
        <c:ser>
          <c:idx val="3"/>
          <c:order val="3"/>
          <c:tx>
            <c:strRef>
              <c:f>'Pivot Tables'!$E$98:$E$99</c:f>
              <c:strCache>
                <c:ptCount val="1"/>
                <c:pt idx="0">
                  <c:v>Excelsa-Dark</c:v>
                </c:pt>
              </c:strCache>
            </c:strRef>
          </c:tx>
          <c:spPr>
            <a:ln w="28575" cap="rnd">
              <a:solidFill>
                <a:schemeClr val="accent4"/>
              </a:solidFill>
              <a:round/>
            </a:ln>
            <a:effectLst/>
          </c:spPr>
          <c:marker>
            <c:symbol val="none"/>
          </c:marker>
          <c:cat>
            <c:strRef>
              <c:f>'Pivot Tables'!$A$100:$A$104</c:f>
              <c:strCache>
                <c:ptCount val="4"/>
                <c:pt idx="0">
                  <c:v>Autumn</c:v>
                </c:pt>
                <c:pt idx="1">
                  <c:v>Spring</c:v>
                </c:pt>
                <c:pt idx="2">
                  <c:v>Summer</c:v>
                </c:pt>
                <c:pt idx="3">
                  <c:v>Winter</c:v>
                </c:pt>
              </c:strCache>
            </c:strRef>
          </c:cat>
          <c:val>
            <c:numRef>
              <c:f>'Pivot Tables'!$E$100:$E$104</c:f>
              <c:numCache>
                <c:formatCode>_([$$-409]* #,##0.00_);_([$$-409]* \(#,##0.00\);_([$$-409]* "-"??_);_(@_)</c:formatCode>
                <c:ptCount val="4"/>
                <c:pt idx="0">
                  <c:v>750.87</c:v>
                </c:pt>
                <c:pt idx="1">
                  <c:v>1023.0300000000001</c:v>
                </c:pt>
                <c:pt idx="2">
                  <c:v>471.42</c:v>
                </c:pt>
                <c:pt idx="3">
                  <c:v>1182.1949999999999</c:v>
                </c:pt>
              </c:numCache>
            </c:numRef>
          </c:val>
          <c:smooth val="0"/>
          <c:extLst>
            <c:ext xmlns:c16="http://schemas.microsoft.com/office/drawing/2014/chart" uri="{C3380CC4-5D6E-409C-BE32-E72D297353CC}">
              <c16:uniqueId val="{00000003-55F9-404D-858C-E2546D8FE735}"/>
            </c:ext>
          </c:extLst>
        </c:ser>
        <c:ser>
          <c:idx val="4"/>
          <c:order val="4"/>
          <c:tx>
            <c:strRef>
              <c:f>'Pivot Tables'!$F$98:$F$99</c:f>
              <c:strCache>
                <c:ptCount val="1"/>
                <c:pt idx="0">
                  <c:v>Excelsa-Light</c:v>
                </c:pt>
              </c:strCache>
            </c:strRef>
          </c:tx>
          <c:spPr>
            <a:ln w="28575" cap="rnd">
              <a:solidFill>
                <a:schemeClr val="accent5"/>
              </a:solidFill>
              <a:round/>
            </a:ln>
            <a:effectLst/>
          </c:spPr>
          <c:marker>
            <c:symbol val="none"/>
          </c:marker>
          <c:cat>
            <c:strRef>
              <c:f>'Pivot Tables'!$A$100:$A$104</c:f>
              <c:strCache>
                <c:ptCount val="4"/>
                <c:pt idx="0">
                  <c:v>Autumn</c:v>
                </c:pt>
                <c:pt idx="1">
                  <c:v>Spring</c:v>
                </c:pt>
                <c:pt idx="2">
                  <c:v>Summer</c:v>
                </c:pt>
                <c:pt idx="3">
                  <c:v>Winter</c:v>
                </c:pt>
              </c:strCache>
            </c:strRef>
          </c:cat>
          <c:val>
            <c:numRef>
              <c:f>'Pivot Tables'!$F$100:$F$104</c:f>
              <c:numCache>
                <c:formatCode>_([$$-409]* #,##0.00_);_([$$-409]* \(#,##0.00\);_([$$-409]* "-"??_);_(@_)</c:formatCode>
                <c:ptCount val="4"/>
                <c:pt idx="0">
                  <c:v>898.42499999999995</c:v>
                </c:pt>
                <c:pt idx="1">
                  <c:v>1517.67</c:v>
                </c:pt>
                <c:pt idx="2">
                  <c:v>1220.6699999999998</c:v>
                </c:pt>
                <c:pt idx="3">
                  <c:v>1159.7849999999999</c:v>
                </c:pt>
              </c:numCache>
            </c:numRef>
          </c:val>
          <c:smooth val="0"/>
          <c:extLst>
            <c:ext xmlns:c16="http://schemas.microsoft.com/office/drawing/2014/chart" uri="{C3380CC4-5D6E-409C-BE32-E72D297353CC}">
              <c16:uniqueId val="{00000004-55F9-404D-858C-E2546D8FE735}"/>
            </c:ext>
          </c:extLst>
        </c:ser>
        <c:ser>
          <c:idx val="5"/>
          <c:order val="5"/>
          <c:tx>
            <c:strRef>
              <c:f>'Pivot Tables'!$G$98:$G$99</c:f>
              <c:strCache>
                <c:ptCount val="1"/>
                <c:pt idx="0">
                  <c:v>Excelsa-Medium</c:v>
                </c:pt>
              </c:strCache>
            </c:strRef>
          </c:tx>
          <c:spPr>
            <a:ln w="28575" cap="rnd">
              <a:solidFill>
                <a:schemeClr val="accent6"/>
              </a:solidFill>
              <a:round/>
            </a:ln>
            <a:effectLst/>
          </c:spPr>
          <c:marker>
            <c:symbol val="none"/>
          </c:marker>
          <c:cat>
            <c:strRef>
              <c:f>'Pivot Tables'!$A$100:$A$104</c:f>
              <c:strCache>
                <c:ptCount val="4"/>
                <c:pt idx="0">
                  <c:v>Autumn</c:v>
                </c:pt>
                <c:pt idx="1">
                  <c:v>Spring</c:v>
                </c:pt>
                <c:pt idx="2">
                  <c:v>Summer</c:v>
                </c:pt>
                <c:pt idx="3">
                  <c:v>Winter</c:v>
                </c:pt>
              </c:strCache>
            </c:strRef>
          </c:cat>
          <c:val>
            <c:numRef>
              <c:f>'Pivot Tables'!$G$100:$G$104</c:f>
              <c:numCache>
                <c:formatCode>_([$$-409]* #,##0.00_);_([$$-409]* \(#,##0.00\);_([$$-409]* "-"??_);_(@_)</c:formatCode>
                <c:ptCount val="4"/>
                <c:pt idx="0">
                  <c:v>830.5</c:v>
                </c:pt>
                <c:pt idx="1">
                  <c:v>1254</c:v>
                </c:pt>
                <c:pt idx="2">
                  <c:v>1526.25</c:v>
                </c:pt>
                <c:pt idx="3">
                  <c:v>471.625</c:v>
                </c:pt>
              </c:numCache>
            </c:numRef>
          </c:val>
          <c:smooth val="0"/>
          <c:extLst>
            <c:ext xmlns:c16="http://schemas.microsoft.com/office/drawing/2014/chart" uri="{C3380CC4-5D6E-409C-BE32-E72D297353CC}">
              <c16:uniqueId val="{00000005-55F9-404D-858C-E2546D8FE735}"/>
            </c:ext>
          </c:extLst>
        </c:ser>
        <c:ser>
          <c:idx val="6"/>
          <c:order val="6"/>
          <c:tx>
            <c:strRef>
              <c:f>'Pivot Tables'!$H$98:$H$99</c:f>
              <c:strCache>
                <c:ptCount val="1"/>
                <c:pt idx="0">
                  <c:v>Liberica-Dark</c:v>
                </c:pt>
              </c:strCache>
            </c:strRef>
          </c:tx>
          <c:spPr>
            <a:ln w="28575" cap="rnd">
              <a:solidFill>
                <a:schemeClr val="accent1">
                  <a:lumMod val="60000"/>
                </a:schemeClr>
              </a:solidFill>
              <a:round/>
            </a:ln>
            <a:effectLst/>
          </c:spPr>
          <c:marker>
            <c:symbol val="none"/>
          </c:marker>
          <c:cat>
            <c:strRef>
              <c:f>'Pivot Tables'!$A$100:$A$104</c:f>
              <c:strCache>
                <c:ptCount val="4"/>
                <c:pt idx="0">
                  <c:v>Autumn</c:v>
                </c:pt>
                <c:pt idx="1">
                  <c:v>Spring</c:v>
                </c:pt>
                <c:pt idx="2">
                  <c:v>Summer</c:v>
                </c:pt>
                <c:pt idx="3">
                  <c:v>Winter</c:v>
                </c:pt>
              </c:strCache>
            </c:strRef>
          </c:cat>
          <c:val>
            <c:numRef>
              <c:f>'Pivot Tables'!$H$100:$H$104</c:f>
              <c:numCache>
                <c:formatCode>_([$$-409]* #,##0.00_);_([$$-409]* \(#,##0.00\);_([$$-409]* "-"??_);_(@_)</c:formatCode>
                <c:ptCount val="4"/>
                <c:pt idx="0">
                  <c:v>1297.5899999999995</c:v>
                </c:pt>
                <c:pt idx="1">
                  <c:v>801.60499999999979</c:v>
                </c:pt>
                <c:pt idx="2">
                  <c:v>779.58999999999992</c:v>
                </c:pt>
                <c:pt idx="3">
                  <c:v>1217.2999999999997</c:v>
                </c:pt>
              </c:numCache>
            </c:numRef>
          </c:val>
          <c:smooth val="0"/>
          <c:extLst>
            <c:ext xmlns:c16="http://schemas.microsoft.com/office/drawing/2014/chart" uri="{C3380CC4-5D6E-409C-BE32-E72D297353CC}">
              <c16:uniqueId val="{00000006-55F9-404D-858C-E2546D8FE735}"/>
            </c:ext>
          </c:extLst>
        </c:ser>
        <c:ser>
          <c:idx val="7"/>
          <c:order val="7"/>
          <c:tx>
            <c:strRef>
              <c:f>'Pivot Tables'!$I$98:$I$99</c:f>
              <c:strCache>
                <c:ptCount val="1"/>
                <c:pt idx="0">
                  <c:v>Liberica-Light</c:v>
                </c:pt>
              </c:strCache>
            </c:strRef>
          </c:tx>
          <c:spPr>
            <a:ln w="28575" cap="rnd">
              <a:solidFill>
                <a:schemeClr val="accent2">
                  <a:lumMod val="60000"/>
                </a:schemeClr>
              </a:solidFill>
              <a:round/>
            </a:ln>
            <a:effectLst/>
          </c:spPr>
          <c:marker>
            <c:symbol val="none"/>
          </c:marker>
          <c:cat>
            <c:strRef>
              <c:f>'Pivot Tables'!$A$100:$A$104</c:f>
              <c:strCache>
                <c:ptCount val="4"/>
                <c:pt idx="0">
                  <c:v>Autumn</c:v>
                </c:pt>
                <c:pt idx="1">
                  <c:v>Spring</c:v>
                </c:pt>
                <c:pt idx="2">
                  <c:v>Summer</c:v>
                </c:pt>
                <c:pt idx="3">
                  <c:v>Winter</c:v>
                </c:pt>
              </c:strCache>
            </c:strRef>
          </c:cat>
          <c:val>
            <c:numRef>
              <c:f>'Pivot Tables'!$I$100:$I$104</c:f>
              <c:numCache>
                <c:formatCode>_([$$-409]* #,##0.00_);_([$$-409]* \(#,##0.00\);_([$$-409]* "-"??_);_(@_)</c:formatCode>
                <c:ptCount val="4"/>
                <c:pt idx="0">
                  <c:v>1001.72</c:v>
                </c:pt>
                <c:pt idx="1">
                  <c:v>1556.4700000000003</c:v>
                </c:pt>
                <c:pt idx="2">
                  <c:v>868.57999999999981</c:v>
                </c:pt>
                <c:pt idx="3">
                  <c:v>1139.6149999999998</c:v>
                </c:pt>
              </c:numCache>
            </c:numRef>
          </c:val>
          <c:smooth val="0"/>
          <c:extLst>
            <c:ext xmlns:c16="http://schemas.microsoft.com/office/drawing/2014/chart" uri="{C3380CC4-5D6E-409C-BE32-E72D297353CC}">
              <c16:uniqueId val="{00000007-55F9-404D-858C-E2546D8FE735}"/>
            </c:ext>
          </c:extLst>
        </c:ser>
        <c:ser>
          <c:idx val="8"/>
          <c:order val="8"/>
          <c:tx>
            <c:strRef>
              <c:f>'Pivot Tables'!$J$98:$J$99</c:f>
              <c:strCache>
                <c:ptCount val="1"/>
                <c:pt idx="0">
                  <c:v>Liberica-Medium</c:v>
                </c:pt>
              </c:strCache>
            </c:strRef>
          </c:tx>
          <c:spPr>
            <a:ln w="28575" cap="rnd">
              <a:solidFill>
                <a:schemeClr val="accent3">
                  <a:lumMod val="60000"/>
                </a:schemeClr>
              </a:solidFill>
              <a:round/>
            </a:ln>
            <a:effectLst/>
          </c:spPr>
          <c:marker>
            <c:symbol val="none"/>
          </c:marker>
          <c:cat>
            <c:strRef>
              <c:f>'Pivot Tables'!$A$100:$A$104</c:f>
              <c:strCache>
                <c:ptCount val="4"/>
                <c:pt idx="0">
                  <c:v>Autumn</c:v>
                </c:pt>
                <c:pt idx="1">
                  <c:v>Spring</c:v>
                </c:pt>
                <c:pt idx="2">
                  <c:v>Summer</c:v>
                </c:pt>
                <c:pt idx="3">
                  <c:v>Winter</c:v>
                </c:pt>
              </c:strCache>
            </c:strRef>
          </c:cat>
          <c:val>
            <c:numRef>
              <c:f>'Pivot Tables'!$J$100:$J$104</c:f>
              <c:numCache>
                <c:formatCode>_([$$-409]* #,##0.00_);_([$$-409]* \(#,##0.00\);_([$$-409]* "-"??_);_(@_)</c:formatCode>
                <c:ptCount val="4"/>
                <c:pt idx="0">
                  <c:v>877.36500000000012</c:v>
                </c:pt>
                <c:pt idx="1">
                  <c:v>1273.125</c:v>
                </c:pt>
                <c:pt idx="2">
                  <c:v>346.29000000000008</c:v>
                </c:pt>
                <c:pt idx="3">
                  <c:v>894.82499999999993</c:v>
                </c:pt>
              </c:numCache>
            </c:numRef>
          </c:val>
          <c:smooth val="0"/>
          <c:extLst>
            <c:ext xmlns:c16="http://schemas.microsoft.com/office/drawing/2014/chart" uri="{C3380CC4-5D6E-409C-BE32-E72D297353CC}">
              <c16:uniqueId val="{00000008-55F9-404D-858C-E2546D8FE735}"/>
            </c:ext>
          </c:extLst>
        </c:ser>
        <c:ser>
          <c:idx val="9"/>
          <c:order val="9"/>
          <c:tx>
            <c:strRef>
              <c:f>'Pivot Tables'!$K$98:$K$99</c:f>
              <c:strCache>
                <c:ptCount val="1"/>
                <c:pt idx="0">
                  <c:v>Robusta-Dark</c:v>
                </c:pt>
              </c:strCache>
            </c:strRef>
          </c:tx>
          <c:spPr>
            <a:ln w="28575" cap="rnd">
              <a:solidFill>
                <a:schemeClr val="accent4">
                  <a:lumMod val="60000"/>
                </a:schemeClr>
              </a:solidFill>
              <a:round/>
            </a:ln>
            <a:effectLst/>
          </c:spPr>
          <c:marker>
            <c:symbol val="none"/>
          </c:marker>
          <c:cat>
            <c:strRef>
              <c:f>'Pivot Tables'!$A$100:$A$104</c:f>
              <c:strCache>
                <c:ptCount val="4"/>
                <c:pt idx="0">
                  <c:v>Autumn</c:v>
                </c:pt>
                <c:pt idx="1">
                  <c:v>Spring</c:v>
                </c:pt>
                <c:pt idx="2">
                  <c:v>Summer</c:v>
                </c:pt>
                <c:pt idx="3">
                  <c:v>Winter</c:v>
                </c:pt>
              </c:strCache>
            </c:strRef>
          </c:cat>
          <c:val>
            <c:numRef>
              <c:f>'Pivot Tables'!$K$100:$K$104</c:f>
              <c:numCache>
                <c:formatCode>_([$$-409]* #,##0.00_);_([$$-409]* \(#,##0.00\);_([$$-409]* "-"??_);_(@_)</c:formatCode>
                <c:ptCount val="4"/>
                <c:pt idx="0">
                  <c:v>222.85499999999999</c:v>
                </c:pt>
                <c:pt idx="1">
                  <c:v>867.255</c:v>
                </c:pt>
                <c:pt idx="2">
                  <c:v>1175.135</c:v>
                </c:pt>
                <c:pt idx="3">
                  <c:v>342.78499999999997</c:v>
                </c:pt>
              </c:numCache>
            </c:numRef>
          </c:val>
          <c:smooth val="0"/>
          <c:extLst>
            <c:ext xmlns:c16="http://schemas.microsoft.com/office/drawing/2014/chart" uri="{C3380CC4-5D6E-409C-BE32-E72D297353CC}">
              <c16:uniqueId val="{00000002-AD75-45F4-9806-13578CCB0BDA}"/>
            </c:ext>
          </c:extLst>
        </c:ser>
        <c:ser>
          <c:idx val="10"/>
          <c:order val="10"/>
          <c:tx>
            <c:strRef>
              <c:f>'Pivot Tables'!$L$98:$L$99</c:f>
              <c:strCache>
                <c:ptCount val="1"/>
                <c:pt idx="0">
                  <c:v>Robusta-Light</c:v>
                </c:pt>
              </c:strCache>
            </c:strRef>
          </c:tx>
          <c:spPr>
            <a:ln w="28575" cap="rnd">
              <a:solidFill>
                <a:schemeClr val="accent5">
                  <a:lumMod val="60000"/>
                </a:schemeClr>
              </a:solidFill>
              <a:round/>
            </a:ln>
            <a:effectLst/>
          </c:spPr>
          <c:marker>
            <c:symbol val="none"/>
          </c:marker>
          <c:cat>
            <c:strRef>
              <c:f>'Pivot Tables'!$A$100:$A$104</c:f>
              <c:strCache>
                <c:ptCount val="4"/>
                <c:pt idx="0">
                  <c:v>Autumn</c:v>
                </c:pt>
                <c:pt idx="1">
                  <c:v>Spring</c:v>
                </c:pt>
                <c:pt idx="2">
                  <c:v>Summer</c:v>
                </c:pt>
                <c:pt idx="3">
                  <c:v>Winter</c:v>
                </c:pt>
              </c:strCache>
            </c:strRef>
          </c:cat>
          <c:val>
            <c:numRef>
              <c:f>'Pivot Tables'!$L$100:$L$104</c:f>
              <c:numCache>
                <c:formatCode>_([$$-409]* #,##0.00_);_([$$-409]* \(#,##0.00\);_([$$-409]* "-"??_);_(@_)</c:formatCode>
                <c:ptCount val="4"/>
                <c:pt idx="0">
                  <c:v>950.02499999999975</c:v>
                </c:pt>
                <c:pt idx="1">
                  <c:v>901.02999999999975</c:v>
                </c:pt>
                <c:pt idx="2">
                  <c:v>822.15999999999985</c:v>
                </c:pt>
                <c:pt idx="3">
                  <c:v>1086.2549999999999</c:v>
                </c:pt>
              </c:numCache>
            </c:numRef>
          </c:val>
          <c:smooth val="0"/>
          <c:extLst>
            <c:ext xmlns:c16="http://schemas.microsoft.com/office/drawing/2014/chart" uri="{C3380CC4-5D6E-409C-BE32-E72D297353CC}">
              <c16:uniqueId val="{00000003-AD75-45F4-9806-13578CCB0BDA}"/>
            </c:ext>
          </c:extLst>
        </c:ser>
        <c:ser>
          <c:idx val="11"/>
          <c:order val="11"/>
          <c:tx>
            <c:strRef>
              <c:f>'Pivot Tables'!$M$98:$M$99</c:f>
              <c:strCache>
                <c:ptCount val="1"/>
                <c:pt idx="0">
                  <c:v>Robusta-Medium</c:v>
                </c:pt>
              </c:strCache>
            </c:strRef>
          </c:tx>
          <c:spPr>
            <a:ln w="28575" cap="rnd">
              <a:solidFill>
                <a:schemeClr val="accent6">
                  <a:lumMod val="60000"/>
                </a:schemeClr>
              </a:solidFill>
              <a:round/>
            </a:ln>
            <a:effectLst/>
          </c:spPr>
          <c:marker>
            <c:symbol val="none"/>
          </c:marker>
          <c:cat>
            <c:strRef>
              <c:f>'Pivot Tables'!$A$100:$A$104</c:f>
              <c:strCache>
                <c:ptCount val="4"/>
                <c:pt idx="0">
                  <c:v>Autumn</c:v>
                </c:pt>
                <c:pt idx="1">
                  <c:v>Spring</c:v>
                </c:pt>
                <c:pt idx="2">
                  <c:v>Summer</c:v>
                </c:pt>
                <c:pt idx="3">
                  <c:v>Winter</c:v>
                </c:pt>
              </c:strCache>
            </c:strRef>
          </c:cat>
          <c:val>
            <c:numRef>
              <c:f>'Pivot Tables'!$M$100:$M$104</c:f>
              <c:numCache>
                <c:formatCode>_([$$-409]* #,##0.00_);_([$$-409]* \(#,##0.00\);_([$$-409]* "-"??_);_(@_)</c:formatCode>
                <c:ptCount val="4"/>
                <c:pt idx="0">
                  <c:v>878.58500000000004</c:v>
                </c:pt>
                <c:pt idx="1">
                  <c:v>651.72500000000002</c:v>
                </c:pt>
                <c:pt idx="2">
                  <c:v>691.52499999999998</c:v>
                </c:pt>
                <c:pt idx="3">
                  <c:v>415.90999999999997</c:v>
                </c:pt>
              </c:numCache>
            </c:numRef>
          </c:val>
          <c:smooth val="0"/>
          <c:extLst>
            <c:ext xmlns:c16="http://schemas.microsoft.com/office/drawing/2014/chart" uri="{C3380CC4-5D6E-409C-BE32-E72D297353CC}">
              <c16:uniqueId val="{00000004-AD75-45F4-9806-13578CCB0BDA}"/>
            </c:ext>
          </c:extLst>
        </c:ser>
        <c:dLbls>
          <c:showLegendKey val="0"/>
          <c:showVal val="0"/>
          <c:showCatName val="0"/>
          <c:showSerName val="0"/>
          <c:showPercent val="0"/>
          <c:showBubbleSize val="0"/>
        </c:dLbls>
        <c:smooth val="0"/>
        <c:axId val="1120092912"/>
        <c:axId val="1120101072"/>
      </c:lineChart>
      <c:catAx>
        <c:axId val="1120092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120101072"/>
        <c:crosses val="autoZero"/>
        <c:auto val="1"/>
        <c:lblAlgn val="ctr"/>
        <c:lblOffset val="100"/>
        <c:noMultiLvlLbl val="0"/>
      </c:catAx>
      <c:valAx>
        <c:axId val="1120101072"/>
        <c:scaling>
          <c:orientation val="minMax"/>
        </c:scaling>
        <c:delete val="0"/>
        <c:axPos val="l"/>
        <c:majorGridlines>
          <c:spPr>
            <a:ln w="9525" cap="flat" cmpd="sng" algn="ctr">
              <a:solidFill>
                <a:schemeClr val="bg1"/>
              </a:solidFill>
              <a:round/>
            </a:ln>
            <a:effectLst/>
          </c:spPr>
        </c:majorGridlines>
        <c:title>
          <c:tx>
            <c:rich>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GB">
                    <a:solidFill>
                      <a:srgbClr val="3C1464"/>
                    </a:solidFill>
                  </a:rPr>
                  <a:t>Currency (USD)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US"/>
            </a:p>
          </c:txPr>
        </c:title>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1200929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rgbClr val="E0CBF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[coffeeOrdersData.xlsx]Pivot Tables!GrowthRateTable</c:name>
    <c:fmtId val="2"/>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GB" sz="1400" b="0" i="0" u="none" strike="noStrike" baseline="0">
                <a:solidFill>
                  <a:srgbClr val="3C1464"/>
                </a:solidFill>
              </a:rPr>
              <a:t>Year-over-Year Sales Performance</a:t>
            </a:r>
            <a:endParaRPr lang="en-GB">
              <a:solidFill>
                <a:srgbClr val="3C1464"/>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GB"/>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Tables'!$B$106</c:f>
              <c:strCache>
                <c:ptCount val="1"/>
                <c:pt idx="0">
                  <c:v>Total Sales</c:v>
                </c:pt>
              </c:strCache>
            </c:strRef>
          </c:tx>
          <c:spPr>
            <a:solidFill>
              <a:schemeClr val="accent1"/>
            </a:solidFill>
            <a:ln>
              <a:noFill/>
            </a:ln>
            <a:effectLst/>
          </c:spPr>
          <c:invertIfNegative val="0"/>
          <c:cat>
            <c:strRef>
              <c:f>'Pivot Tables'!$A$107:$A$111</c:f>
              <c:strCache>
                <c:ptCount val="4"/>
                <c:pt idx="0">
                  <c:v>2019</c:v>
                </c:pt>
                <c:pt idx="1">
                  <c:v>2020</c:v>
                </c:pt>
                <c:pt idx="2">
                  <c:v>2021</c:v>
                </c:pt>
                <c:pt idx="3">
                  <c:v>2022</c:v>
                </c:pt>
              </c:strCache>
            </c:strRef>
          </c:cat>
          <c:val>
            <c:numRef>
              <c:f>'Pivot Tables'!$B$107:$B$111</c:f>
              <c:numCache>
                <c:formatCode>_([$$-409]* #,##0.00_);_([$$-409]* \(#,##0.00\);_([$$-409]* "-"??_);_(@_)</c:formatCode>
                <c:ptCount val="4"/>
                <c:pt idx="0">
                  <c:v>12187.164999999995</c:v>
                </c:pt>
                <c:pt idx="1">
                  <c:v>12117.544999999995</c:v>
                </c:pt>
                <c:pt idx="2">
                  <c:v>13766.109999999999</c:v>
                </c:pt>
                <c:pt idx="3">
                  <c:v>7063.4349999999995</c:v>
                </c:pt>
              </c:numCache>
            </c:numRef>
          </c:val>
          <c:extLst>
            <c:ext xmlns:c16="http://schemas.microsoft.com/office/drawing/2014/chart" uri="{C3380CC4-5D6E-409C-BE32-E72D297353CC}">
              <c16:uniqueId val="{00000000-C4B8-4935-B954-570F8C2F527E}"/>
            </c:ext>
          </c:extLst>
        </c:ser>
        <c:dLbls>
          <c:showLegendKey val="0"/>
          <c:showVal val="0"/>
          <c:showCatName val="0"/>
          <c:showSerName val="0"/>
          <c:showPercent val="0"/>
          <c:showBubbleSize val="0"/>
        </c:dLbls>
        <c:gapWidth val="219"/>
        <c:overlap val="-27"/>
        <c:axId val="770858207"/>
        <c:axId val="770856767"/>
      </c:barChart>
      <c:lineChart>
        <c:grouping val="standard"/>
        <c:varyColors val="0"/>
        <c:ser>
          <c:idx val="1"/>
          <c:order val="1"/>
          <c:tx>
            <c:strRef>
              <c:f>'Pivot Tables'!$C$106</c:f>
              <c:strCache>
                <c:ptCount val="1"/>
                <c:pt idx="0">
                  <c:v>YoY Growth %</c:v>
                </c:pt>
              </c:strCache>
            </c:strRef>
          </c:tx>
          <c:spPr>
            <a:ln w="28575" cap="rnd">
              <a:solidFill>
                <a:schemeClr val="accent2"/>
              </a:solidFill>
              <a:round/>
            </a:ln>
            <a:effectLst/>
          </c:spPr>
          <c:marker>
            <c:symbol val="none"/>
          </c:marker>
          <c:cat>
            <c:strRef>
              <c:f>'Pivot Tables'!$A$107:$A$111</c:f>
              <c:strCache>
                <c:ptCount val="4"/>
                <c:pt idx="0">
                  <c:v>2019</c:v>
                </c:pt>
                <c:pt idx="1">
                  <c:v>2020</c:v>
                </c:pt>
                <c:pt idx="2">
                  <c:v>2021</c:v>
                </c:pt>
                <c:pt idx="3">
                  <c:v>2022</c:v>
                </c:pt>
              </c:strCache>
            </c:strRef>
          </c:cat>
          <c:val>
            <c:numRef>
              <c:f>'Pivot Tables'!$C$107:$C$111</c:f>
              <c:numCache>
                <c:formatCode>0.00%</c:formatCode>
                <c:ptCount val="4"/>
                <c:pt idx="1">
                  <c:v>-5.7125672787724487E-3</c:v>
                </c:pt>
                <c:pt idx="2">
                  <c:v>0.13604777205283783</c:v>
                </c:pt>
                <c:pt idx="3">
                  <c:v>-0.48689680672317742</c:v>
                </c:pt>
              </c:numCache>
            </c:numRef>
          </c:val>
          <c:smooth val="0"/>
          <c:extLst>
            <c:ext xmlns:c16="http://schemas.microsoft.com/office/drawing/2014/chart" uri="{C3380CC4-5D6E-409C-BE32-E72D297353CC}">
              <c16:uniqueId val="{00000001-C4B8-4935-B954-570F8C2F527E}"/>
            </c:ext>
          </c:extLst>
        </c:ser>
        <c:dLbls>
          <c:showLegendKey val="0"/>
          <c:showVal val="0"/>
          <c:showCatName val="0"/>
          <c:showSerName val="0"/>
          <c:showPercent val="0"/>
          <c:showBubbleSize val="0"/>
        </c:dLbls>
        <c:marker val="1"/>
        <c:smooth val="0"/>
        <c:axId val="770859919"/>
        <c:axId val="770861839"/>
      </c:lineChart>
      <c:catAx>
        <c:axId val="7708582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770856767"/>
        <c:crosses val="autoZero"/>
        <c:auto val="1"/>
        <c:lblAlgn val="ctr"/>
        <c:lblOffset val="100"/>
        <c:noMultiLvlLbl val="0"/>
      </c:catAx>
      <c:valAx>
        <c:axId val="77085676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GB">
                    <a:solidFill>
                      <a:srgbClr val="3C1464"/>
                    </a:solidFill>
                  </a:rPr>
                  <a:t>Currenyc</a:t>
                </a:r>
                <a:r>
                  <a:rPr lang="en-GB" baseline="0">
                    <a:solidFill>
                      <a:srgbClr val="3C1464"/>
                    </a:solidFill>
                  </a:rPr>
                  <a:t> (USD)</a:t>
                </a:r>
                <a:endParaRPr lang="en-GB">
                  <a:solidFill>
                    <a:srgbClr val="3C1464"/>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GB"/>
            </a:p>
          </c:txPr>
        </c:title>
        <c:numFmt formatCode="_([$$-409]* #,##0.00_);_([$$-409]* \(#,##0.00\);_([$$-409]*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770858207"/>
        <c:crosses val="autoZero"/>
        <c:crossBetween val="between"/>
      </c:valAx>
      <c:valAx>
        <c:axId val="770861839"/>
        <c:scaling>
          <c:orientation val="minMax"/>
        </c:scaling>
        <c:delete val="0"/>
        <c:axPos val="r"/>
        <c:title>
          <c:tx>
            <c:rich>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GB">
                    <a:solidFill>
                      <a:srgbClr val="3C1464"/>
                    </a:solidFill>
                  </a:rPr>
                  <a:t>Growth Percentage</a:t>
                </a:r>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US"/>
            </a:p>
          </c:txPr>
        </c:title>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770859919"/>
        <c:crosses val="max"/>
        <c:crossBetween val="between"/>
      </c:valAx>
      <c:catAx>
        <c:axId val="770859919"/>
        <c:scaling>
          <c:orientation val="minMax"/>
        </c:scaling>
        <c:delete val="1"/>
        <c:axPos val="b"/>
        <c:numFmt formatCode="General" sourceLinked="1"/>
        <c:majorTickMark val="out"/>
        <c:minorTickMark val="none"/>
        <c:tickLblPos val="nextTo"/>
        <c:crossAx val="770861839"/>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0CBF5"/>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17" Type="http://schemas.openxmlformats.org/officeDocument/2006/relationships/chart" Target="../charts/chart17.xml"/><Relationship Id="rId2" Type="http://schemas.openxmlformats.org/officeDocument/2006/relationships/chart" Target="../charts/chart2.xml"/><Relationship Id="rId16" Type="http://schemas.openxmlformats.org/officeDocument/2006/relationships/chart" Target="../charts/chart16.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5</xdr:row>
      <xdr:rowOff>38100</xdr:rowOff>
    </xdr:from>
    <xdr:to>
      <xdr:col>9</xdr:col>
      <xdr:colOff>457200</xdr:colOff>
      <xdr:row>8</xdr:row>
      <xdr:rowOff>114299</xdr:rowOff>
    </xdr:to>
    <mc:AlternateContent xmlns:mc="http://schemas.openxmlformats.org/markup-compatibility/2006" xmlns:a14="http://schemas.microsoft.com/office/drawing/2010/main">
      <mc:Choice Requires="a14">
        <xdr:graphicFrame macro="">
          <xdr:nvGraphicFramePr>
            <xdr:cNvPr id="9" name="Country">
              <a:extLst>
                <a:ext uri="{FF2B5EF4-FFF2-40B4-BE49-F238E27FC236}">
                  <a16:creationId xmlns:a16="http://schemas.microsoft.com/office/drawing/2014/main" id="{07555AAA-7A01-48A8-8EF2-D6568A351AFB}"/>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0" y="1409700"/>
              <a:ext cx="5943600" cy="64769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161924</xdr:colOff>
      <xdr:row>9</xdr:row>
      <xdr:rowOff>57150</xdr:rowOff>
    </xdr:from>
    <xdr:to>
      <xdr:col>19</xdr:col>
      <xdr:colOff>11206</xdr:colOff>
      <xdr:row>23</xdr:row>
      <xdr:rowOff>133350</xdr:rowOff>
    </xdr:to>
    <xdr:graphicFrame macro="">
      <xdr:nvGraphicFramePr>
        <xdr:cNvPr id="10" name="TopQuantity">
          <a:extLst>
            <a:ext uri="{FF2B5EF4-FFF2-40B4-BE49-F238E27FC236}">
              <a16:creationId xmlns:a16="http://schemas.microsoft.com/office/drawing/2014/main" id="{81077410-B530-4867-ACF4-F1BC4C2082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161925</xdr:colOff>
      <xdr:row>24</xdr:row>
      <xdr:rowOff>9525</xdr:rowOff>
    </xdr:from>
    <xdr:to>
      <xdr:col>19</xdr:col>
      <xdr:colOff>11206</xdr:colOff>
      <xdr:row>38</xdr:row>
      <xdr:rowOff>85725</xdr:rowOff>
    </xdr:to>
    <xdr:graphicFrame macro="">
      <xdr:nvGraphicFramePr>
        <xdr:cNvPr id="11" name="TopSales">
          <a:extLst>
            <a:ext uri="{FF2B5EF4-FFF2-40B4-BE49-F238E27FC236}">
              <a16:creationId xmlns:a16="http://schemas.microsoft.com/office/drawing/2014/main" id="{3984D2F0-AA77-45C4-8F48-51F9B21E38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171449</xdr:colOff>
      <xdr:row>9</xdr:row>
      <xdr:rowOff>57149</xdr:rowOff>
    </xdr:from>
    <xdr:to>
      <xdr:col>9</xdr:col>
      <xdr:colOff>571500</xdr:colOff>
      <xdr:row>38</xdr:row>
      <xdr:rowOff>85725</xdr:rowOff>
    </xdr:to>
    <xdr:graphicFrame macro="">
      <xdr:nvGraphicFramePr>
        <xdr:cNvPr id="12" name="SalesVSQuantity">
          <a:extLst>
            <a:ext uri="{FF2B5EF4-FFF2-40B4-BE49-F238E27FC236}">
              <a16:creationId xmlns:a16="http://schemas.microsoft.com/office/drawing/2014/main" id="{C38604AE-3D2D-40F6-9A12-D1A9EA491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9</xdr:col>
      <xdr:colOff>514348</xdr:colOff>
      <xdr:row>5</xdr:row>
      <xdr:rowOff>38101</xdr:rowOff>
    </xdr:from>
    <xdr:to>
      <xdr:col>19</xdr:col>
      <xdr:colOff>19049</xdr:colOff>
      <xdr:row>8</xdr:row>
      <xdr:rowOff>114300</xdr:rowOff>
    </xdr:to>
    <mc:AlternateContent xmlns:mc="http://schemas.openxmlformats.org/markup-compatibility/2006" xmlns:a14="http://schemas.microsoft.com/office/drawing/2010/main">
      <mc:Choice Requires="a14">
        <xdr:graphicFrame macro="">
          <xdr:nvGraphicFramePr>
            <xdr:cNvPr id="17" name="Coffee Type Name">
              <a:extLst>
                <a:ext uri="{FF2B5EF4-FFF2-40B4-BE49-F238E27FC236}">
                  <a16:creationId xmlns:a16="http://schemas.microsoft.com/office/drawing/2014/main" id="{AA4FDA7A-0192-7641-2D14-6644956810D4}"/>
                </a:ext>
              </a:extLst>
            </xdr:cNvPr>
            <xdr:cNvGraphicFramePr/>
          </xdr:nvGraphicFramePr>
          <xdr:xfrm>
            <a:off x="0" y="0"/>
            <a:ext cx="0" cy="0"/>
          </xdr:xfrm>
          <a:graphic>
            <a:graphicData uri="http://schemas.microsoft.com/office/drawing/2010/slicer">
              <sle:slicer xmlns:sle="http://schemas.microsoft.com/office/drawing/2010/slicer" name="Coffee Type Name"/>
            </a:graphicData>
          </a:graphic>
        </xdr:graphicFrame>
      </mc:Choice>
      <mc:Fallback xmlns="">
        <xdr:sp macro="" textlink="">
          <xdr:nvSpPr>
            <xdr:cNvPr id="0" name=""/>
            <xdr:cNvSpPr>
              <a:spLocks noTextEdit="1"/>
            </xdr:cNvSpPr>
          </xdr:nvSpPr>
          <xdr:spPr>
            <a:xfrm>
              <a:off x="6000748" y="1409701"/>
              <a:ext cx="5600701" cy="64769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190500</xdr:colOff>
      <xdr:row>40</xdr:row>
      <xdr:rowOff>142875</xdr:rowOff>
    </xdr:from>
    <xdr:to>
      <xdr:col>9</xdr:col>
      <xdr:colOff>581025</xdr:colOff>
      <xdr:row>70</xdr:row>
      <xdr:rowOff>123825</xdr:rowOff>
    </xdr:to>
    <xdr:graphicFrame macro="">
      <xdr:nvGraphicFramePr>
        <xdr:cNvPr id="8" name="Chart 7">
          <a:extLst>
            <a:ext uri="{FF2B5EF4-FFF2-40B4-BE49-F238E27FC236}">
              <a16:creationId xmlns:a16="http://schemas.microsoft.com/office/drawing/2014/main" id="{D6E7BD99-7CA9-46C7-ADE9-59BC4C0494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190501</xdr:colOff>
      <xdr:row>71</xdr:row>
      <xdr:rowOff>48985</xdr:rowOff>
    </xdr:from>
    <xdr:to>
      <xdr:col>9</xdr:col>
      <xdr:colOff>581027</xdr:colOff>
      <xdr:row>86</xdr:row>
      <xdr:rowOff>9524</xdr:rowOff>
    </xdr:to>
    <xdr:graphicFrame macro="">
      <xdr:nvGraphicFramePr>
        <xdr:cNvPr id="2" name="Chart 1">
          <a:extLst>
            <a:ext uri="{FF2B5EF4-FFF2-40B4-BE49-F238E27FC236}">
              <a16:creationId xmlns:a16="http://schemas.microsoft.com/office/drawing/2014/main" id="{28D58321-139E-449A-B758-6ECCAF0D209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142875</xdr:colOff>
      <xdr:row>71</xdr:row>
      <xdr:rowOff>43543</xdr:rowOff>
    </xdr:from>
    <xdr:to>
      <xdr:col>19</xdr:col>
      <xdr:colOff>9525</xdr:colOff>
      <xdr:row>86</xdr:row>
      <xdr:rowOff>10885</xdr:rowOff>
    </xdr:to>
    <xdr:graphicFrame macro="">
      <xdr:nvGraphicFramePr>
        <xdr:cNvPr id="6" name="Chart 5">
          <a:extLst>
            <a:ext uri="{FF2B5EF4-FFF2-40B4-BE49-F238E27FC236}">
              <a16:creationId xmlns:a16="http://schemas.microsoft.com/office/drawing/2014/main" id="{4A1704FB-6F63-427E-9C62-732924776B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10</xdr:col>
      <xdr:colOff>142874</xdr:colOff>
      <xdr:row>40</xdr:row>
      <xdr:rowOff>142874</xdr:rowOff>
    </xdr:from>
    <xdr:to>
      <xdr:col>19</xdr:col>
      <xdr:colOff>10886</xdr:colOff>
      <xdr:row>70</xdr:row>
      <xdr:rowOff>133349</xdr:rowOff>
    </xdr:to>
    <xdr:graphicFrame macro="">
      <xdr:nvGraphicFramePr>
        <xdr:cNvPr id="3" name="Chart 2">
          <a:extLst>
            <a:ext uri="{FF2B5EF4-FFF2-40B4-BE49-F238E27FC236}">
              <a16:creationId xmlns:a16="http://schemas.microsoft.com/office/drawing/2014/main" id="{BD33AA7A-E7B8-495D-903D-CAE47E91B4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19</xdr:col>
      <xdr:colOff>209550</xdr:colOff>
      <xdr:row>40</xdr:row>
      <xdr:rowOff>133350</xdr:rowOff>
    </xdr:from>
    <xdr:to>
      <xdr:col>22</xdr:col>
      <xdr:colOff>438150</xdr:colOff>
      <xdr:row>47</xdr:row>
      <xdr:rowOff>161924</xdr:rowOff>
    </xdr:to>
    <mc:AlternateContent xmlns:mc="http://schemas.openxmlformats.org/markup-compatibility/2006" xmlns:a14="http://schemas.microsoft.com/office/drawing/2010/main">
      <mc:Choice Requires="a14">
        <xdr:graphicFrame macro="">
          <xdr:nvGraphicFramePr>
            <xdr:cNvPr id="4" name="Customer Segment">
              <a:extLst>
                <a:ext uri="{FF2B5EF4-FFF2-40B4-BE49-F238E27FC236}">
                  <a16:creationId xmlns:a16="http://schemas.microsoft.com/office/drawing/2014/main" id="{E6AD032A-B187-8BDB-CCF3-037EAAFC77D5}"/>
                </a:ext>
              </a:extLst>
            </xdr:cNvPr>
            <xdr:cNvGraphicFramePr/>
          </xdr:nvGraphicFramePr>
          <xdr:xfrm>
            <a:off x="0" y="0"/>
            <a:ext cx="0" cy="0"/>
          </xdr:xfrm>
          <a:graphic>
            <a:graphicData uri="http://schemas.microsoft.com/office/drawing/2010/slicer">
              <sle:slicer xmlns:sle="http://schemas.microsoft.com/office/drawing/2010/slicer" name="Customer Segment"/>
            </a:graphicData>
          </a:graphic>
        </xdr:graphicFrame>
      </mc:Choice>
      <mc:Fallback xmlns="">
        <xdr:sp macro="" textlink="">
          <xdr:nvSpPr>
            <xdr:cNvPr id="0" name=""/>
            <xdr:cNvSpPr>
              <a:spLocks noTextEdit="1"/>
            </xdr:cNvSpPr>
          </xdr:nvSpPr>
          <xdr:spPr>
            <a:xfrm>
              <a:off x="11791950" y="8582025"/>
              <a:ext cx="2057400" cy="129539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180975</xdr:colOff>
      <xdr:row>91</xdr:row>
      <xdr:rowOff>171450</xdr:rowOff>
    </xdr:from>
    <xdr:to>
      <xdr:col>19</xdr:col>
      <xdr:colOff>9525</xdr:colOff>
      <xdr:row>106</xdr:row>
      <xdr:rowOff>133350</xdr:rowOff>
    </xdr:to>
    <xdr:graphicFrame macro="">
      <xdr:nvGraphicFramePr>
        <xdr:cNvPr id="7" name="Chart 6">
          <a:extLst>
            <a:ext uri="{FF2B5EF4-FFF2-40B4-BE49-F238E27FC236}">
              <a16:creationId xmlns:a16="http://schemas.microsoft.com/office/drawing/2014/main" id="{A0808EA3-CF95-4C47-BDA7-279DC05381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180975</xdr:colOff>
      <xdr:row>91</xdr:row>
      <xdr:rowOff>180975</xdr:rowOff>
    </xdr:from>
    <xdr:to>
      <xdr:col>10</xdr:col>
      <xdr:colOff>0</xdr:colOff>
      <xdr:row>121</xdr:row>
      <xdr:rowOff>180975</xdr:rowOff>
    </xdr:to>
    <xdr:graphicFrame macro="">
      <xdr:nvGraphicFramePr>
        <xdr:cNvPr id="13" name="Chart 12">
          <a:extLst>
            <a:ext uri="{FF2B5EF4-FFF2-40B4-BE49-F238E27FC236}">
              <a16:creationId xmlns:a16="http://schemas.microsoft.com/office/drawing/2014/main" id="{3AA96210-7604-4387-835D-814D291F56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10</xdr:col>
      <xdr:colOff>180974</xdr:colOff>
      <xdr:row>107</xdr:row>
      <xdr:rowOff>104775</xdr:rowOff>
    </xdr:from>
    <xdr:to>
      <xdr:col>19</xdr:col>
      <xdr:colOff>19049</xdr:colOff>
      <xdr:row>121</xdr:row>
      <xdr:rowOff>180975</xdr:rowOff>
    </xdr:to>
    <xdr:graphicFrame macro="">
      <xdr:nvGraphicFramePr>
        <xdr:cNvPr id="14" name="Chart 13">
          <a:extLst>
            <a:ext uri="{FF2B5EF4-FFF2-40B4-BE49-F238E27FC236}">
              <a16:creationId xmlns:a16="http://schemas.microsoft.com/office/drawing/2014/main" id="{69312B28-A385-46AA-8037-2610532957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19</xdr:col>
      <xdr:colOff>257175</xdr:colOff>
      <xdr:row>91</xdr:row>
      <xdr:rowOff>161925</xdr:rowOff>
    </xdr:from>
    <xdr:to>
      <xdr:col>22</xdr:col>
      <xdr:colOff>257175</xdr:colOff>
      <xdr:row>97</xdr:row>
      <xdr:rowOff>16327</xdr:rowOff>
    </xdr:to>
    <mc:AlternateContent xmlns:mc="http://schemas.openxmlformats.org/markup-compatibility/2006" xmlns:a14="http://schemas.microsoft.com/office/drawing/2010/main">
      <mc:Choice Requires="a14">
        <xdr:graphicFrame macro="">
          <xdr:nvGraphicFramePr>
            <xdr:cNvPr id="15" name="Loyalty Card 1">
              <a:extLst>
                <a:ext uri="{FF2B5EF4-FFF2-40B4-BE49-F238E27FC236}">
                  <a16:creationId xmlns:a16="http://schemas.microsoft.com/office/drawing/2014/main" id="{296372DD-6974-A001-1ED0-52CF04AC5F04}"/>
                </a:ext>
              </a:extLst>
            </xdr:cNvPr>
            <xdr:cNvGraphicFramePr/>
          </xdr:nvGraphicFramePr>
          <xdr:xfrm>
            <a:off x="0" y="0"/>
            <a:ext cx="0" cy="0"/>
          </xdr:xfrm>
          <a:graphic>
            <a:graphicData uri="http://schemas.microsoft.com/office/drawing/2010/slicer">
              <sle:slicer xmlns:sle="http://schemas.microsoft.com/office/drawing/2010/slicer" name="Loyalty Card 1"/>
            </a:graphicData>
          </a:graphic>
        </xdr:graphicFrame>
      </mc:Choice>
      <mc:Fallback xmlns="">
        <xdr:sp macro="" textlink="">
          <xdr:nvSpPr>
            <xdr:cNvPr id="0" name=""/>
            <xdr:cNvSpPr>
              <a:spLocks noTextEdit="1"/>
            </xdr:cNvSpPr>
          </xdr:nvSpPr>
          <xdr:spPr>
            <a:xfrm>
              <a:off x="11839575" y="18259426"/>
              <a:ext cx="1828800" cy="9144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209550</xdr:colOff>
      <xdr:row>131</xdr:row>
      <xdr:rowOff>161925</xdr:rowOff>
    </xdr:from>
    <xdr:to>
      <xdr:col>10</xdr:col>
      <xdr:colOff>19050</xdr:colOff>
      <xdr:row>161</xdr:row>
      <xdr:rowOff>47625</xdr:rowOff>
    </xdr:to>
    <xdr:graphicFrame macro="">
      <xdr:nvGraphicFramePr>
        <xdr:cNvPr id="16" name="Chart 15">
          <a:extLst>
            <a:ext uri="{FF2B5EF4-FFF2-40B4-BE49-F238E27FC236}">
              <a16:creationId xmlns:a16="http://schemas.microsoft.com/office/drawing/2014/main" id="{99E677D6-82D3-4238-B32A-06E9F051D3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180974</xdr:colOff>
      <xdr:row>131</xdr:row>
      <xdr:rowOff>161925</xdr:rowOff>
    </xdr:from>
    <xdr:to>
      <xdr:col>19</xdr:col>
      <xdr:colOff>5443</xdr:colOff>
      <xdr:row>146</xdr:row>
      <xdr:rowOff>47625</xdr:rowOff>
    </xdr:to>
    <xdr:graphicFrame macro="">
      <xdr:nvGraphicFramePr>
        <xdr:cNvPr id="5" name="Chart 4">
          <a:extLst>
            <a:ext uri="{FF2B5EF4-FFF2-40B4-BE49-F238E27FC236}">
              <a16:creationId xmlns:a16="http://schemas.microsoft.com/office/drawing/2014/main" id="{157F1D7D-DF7D-4458-99B0-26A3DD2780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10</xdr:col>
      <xdr:colOff>180975</xdr:colOff>
      <xdr:row>146</xdr:row>
      <xdr:rowOff>161925</xdr:rowOff>
    </xdr:from>
    <xdr:to>
      <xdr:col>19</xdr:col>
      <xdr:colOff>9525</xdr:colOff>
      <xdr:row>161</xdr:row>
      <xdr:rowOff>47625</xdr:rowOff>
    </xdr:to>
    <xdr:graphicFrame macro="">
      <xdr:nvGraphicFramePr>
        <xdr:cNvPr id="18" name="Chart 17">
          <a:extLst>
            <a:ext uri="{FF2B5EF4-FFF2-40B4-BE49-F238E27FC236}">
              <a16:creationId xmlns:a16="http://schemas.microsoft.com/office/drawing/2014/main" id="{942B3AD4-A698-43C2-A55D-11E0EE8EE1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editAs="oneCell">
    <xdr:from>
      <xdr:col>9</xdr:col>
      <xdr:colOff>0</xdr:colOff>
      <xdr:row>127</xdr:row>
      <xdr:rowOff>9526</xdr:rowOff>
    </xdr:from>
    <xdr:to>
      <xdr:col>19</xdr:col>
      <xdr:colOff>19050</xdr:colOff>
      <xdr:row>130</xdr:row>
      <xdr:rowOff>161925</xdr:rowOff>
    </xdr:to>
    <mc:AlternateContent xmlns:mc="http://schemas.openxmlformats.org/markup-compatibility/2006" xmlns:a14="http://schemas.microsoft.com/office/drawing/2010/main">
      <mc:Choice Requires="a14">
        <xdr:graphicFrame macro="">
          <xdr:nvGraphicFramePr>
            <xdr:cNvPr id="20" name="Size 1">
              <a:extLst>
                <a:ext uri="{FF2B5EF4-FFF2-40B4-BE49-F238E27FC236}">
                  <a16:creationId xmlns:a16="http://schemas.microsoft.com/office/drawing/2014/main" id="{4B8B505E-BF3E-4AB9-CBC6-1B3EA4FD3BB7}"/>
                </a:ext>
              </a:extLst>
            </xdr:cNvPr>
            <xdr:cNvGraphicFramePr/>
          </xdr:nvGraphicFramePr>
          <xdr:xfrm>
            <a:off x="0" y="0"/>
            <a:ext cx="0" cy="0"/>
          </xdr:xfrm>
          <a:graphic>
            <a:graphicData uri="http://schemas.microsoft.com/office/drawing/2010/slicer">
              <sle:slicer xmlns:sle="http://schemas.microsoft.com/office/drawing/2010/slicer" name="Size 1"/>
            </a:graphicData>
          </a:graphic>
        </xdr:graphicFrame>
      </mc:Choice>
      <mc:Fallback xmlns="">
        <xdr:sp macro="" textlink="">
          <xdr:nvSpPr>
            <xdr:cNvPr id="0" name=""/>
            <xdr:cNvSpPr>
              <a:spLocks noTextEdit="1"/>
            </xdr:cNvSpPr>
          </xdr:nvSpPr>
          <xdr:spPr>
            <a:xfrm>
              <a:off x="5486400" y="24965026"/>
              <a:ext cx="6115050" cy="72389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19049</xdr:colOff>
      <xdr:row>127</xdr:row>
      <xdr:rowOff>9525</xdr:rowOff>
    </xdr:from>
    <xdr:to>
      <xdr:col>9</xdr:col>
      <xdr:colOff>0</xdr:colOff>
      <xdr:row>130</xdr:row>
      <xdr:rowOff>161925</xdr:rowOff>
    </xdr:to>
    <mc:AlternateContent xmlns:mc="http://schemas.openxmlformats.org/markup-compatibility/2006" xmlns:a14="http://schemas.microsoft.com/office/drawing/2010/main">
      <mc:Choice Requires="a14">
        <xdr:graphicFrame macro="">
          <xdr:nvGraphicFramePr>
            <xdr:cNvPr id="21" name="Roast Type Name 1">
              <a:extLst>
                <a:ext uri="{FF2B5EF4-FFF2-40B4-BE49-F238E27FC236}">
                  <a16:creationId xmlns:a16="http://schemas.microsoft.com/office/drawing/2014/main" id="{E58AF627-BFAE-96D8-2980-69B438D49580}"/>
                </a:ext>
              </a:extLst>
            </xdr:cNvPr>
            <xdr:cNvGraphicFramePr/>
          </xdr:nvGraphicFramePr>
          <xdr:xfrm>
            <a:off x="0" y="0"/>
            <a:ext cx="0" cy="0"/>
          </xdr:xfrm>
          <a:graphic>
            <a:graphicData uri="http://schemas.microsoft.com/office/drawing/2010/slicer">
              <sle:slicer xmlns:sle="http://schemas.microsoft.com/office/drawing/2010/slicer" name="Roast Type Name 1"/>
            </a:graphicData>
          </a:graphic>
        </xdr:graphicFrame>
      </mc:Choice>
      <mc:Fallback xmlns="">
        <xdr:sp macro="" textlink="">
          <xdr:nvSpPr>
            <xdr:cNvPr id="0" name=""/>
            <xdr:cNvSpPr>
              <a:spLocks noTextEdit="1"/>
            </xdr:cNvSpPr>
          </xdr:nvSpPr>
          <xdr:spPr>
            <a:xfrm>
              <a:off x="19049" y="24965025"/>
              <a:ext cx="5467351" cy="7239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239486</xdr:colOff>
      <xdr:row>175</xdr:row>
      <xdr:rowOff>174171</xdr:rowOff>
    </xdr:from>
    <xdr:to>
      <xdr:col>10</xdr:col>
      <xdr:colOff>38100</xdr:colOff>
      <xdr:row>194</xdr:row>
      <xdr:rowOff>59872</xdr:rowOff>
    </xdr:to>
    <xdr:graphicFrame macro="">
      <xdr:nvGraphicFramePr>
        <xdr:cNvPr id="19" name="Chart 18">
          <a:extLst>
            <a:ext uri="{FF2B5EF4-FFF2-40B4-BE49-F238E27FC236}">
              <a16:creationId xmlns:a16="http://schemas.microsoft.com/office/drawing/2014/main" id="{469D0120-EFF8-4096-B5DF-8519380FF5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201384</xdr:colOff>
      <xdr:row>175</xdr:row>
      <xdr:rowOff>174171</xdr:rowOff>
    </xdr:from>
    <xdr:to>
      <xdr:col>19</xdr:col>
      <xdr:colOff>5442</xdr:colOff>
      <xdr:row>194</xdr:row>
      <xdr:rowOff>65315</xdr:rowOff>
    </xdr:to>
    <xdr:graphicFrame macro="">
      <xdr:nvGraphicFramePr>
        <xdr:cNvPr id="22" name="Chart 21">
          <a:extLst>
            <a:ext uri="{FF2B5EF4-FFF2-40B4-BE49-F238E27FC236}">
              <a16:creationId xmlns:a16="http://schemas.microsoft.com/office/drawing/2014/main" id="{A40657E6-7B69-4619-947D-E101968D13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234042</xdr:colOff>
      <xdr:row>195</xdr:row>
      <xdr:rowOff>27215</xdr:rowOff>
    </xdr:from>
    <xdr:to>
      <xdr:col>10</xdr:col>
      <xdr:colOff>48984</xdr:colOff>
      <xdr:row>213</xdr:row>
      <xdr:rowOff>48986</xdr:rowOff>
    </xdr:to>
    <xdr:graphicFrame macro="">
      <xdr:nvGraphicFramePr>
        <xdr:cNvPr id="23" name="Chart 22">
          <a:extLst>
            <a:ext uri="{FF2B5EF4-FFF2-40B4-BE49-F238E27FC236}">
              <a16:creationId xmlns:a16="http://schemas.microsoft.com/office/drawing/2014/main" id="{3CBE4B81-D132-4C7D-98E5-381357C1DB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10</xdr:col>
      <xdr:colOff>206829</xdr:colOff>
      <xdr:row>195</xdr:row>
      <xdr:rowOff>27214</xdr:rowOff>
    </xdr:from>
    <xdr:to>
      <xdr:col>19</xdr:col>
      <xdr:colOff>10886</xdr:colOff>
      <xdr:row>213</xdr:row>
      <xdr:rowOff>43543</xdr:rowOff>
    </xdr:to>
    <xdr:graphicFrame macro="">
      <xdr:nvGraphicFramePr>
        <xdr:cNvPr id="24" name="Chart 23">
          <a:extLst>
            <a:ext uri="{FF2B5EF4-FFF2-40B4-BE49-F238E27FC236}">
              <a16:creationId xmlns:a16="http://schemas.microsoft.com/office/drawing/2014/main" id="{C47655BF-461D-4296-9A44-70E9101E5B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editAs="oneCell">
    <xdr:from>
      <xdr:col>0</xdr:col>
      <xdr:colOff>0</xdr:colOff>
      <xdr:row>165</xdr:row>
      <xdr:rowOff>179614</xdr:rowOff>
    </xdr:from>
    <xdr:to>
      <xdr:col>19</xdr:col>
      <xdr:colOff>5443</xdr:colOff>
      <xdr:row>175</xdr:row>
      <xdr:rowOff>54428</xdr:rowOff>
    </xdr:to>
    <mc:AlternateContent xmlns:mc="http://schemas.openxmlformats.org/markup-compatibility/2006" xmlns:tsle="http://schemas.microsoft.com/office/drawing/2012/timeslicer">
      <mc:Choice Requires="tsle">
        <xdr:graphicFrame macro="">
          <xdr:nvGraphicFramePr>
            <xdr:cNvPr id="25" name="Order Date 1">
              <a:extLst>
                <a:ext uri="{FF2B5EF4-FFF2-40B4-BE49-F238E27FC236}">
                  <a16:creationId xmlns:a16="http://schemas.microsoft.com/office/drawing/2014/main" id="{E2CD54A0-DD80-36B4-062C-7856F8492FE9}"/>
                </a:ext>
              </a:extLst>
            </xdr:cNvPr>
            <xdr:cNvGraphicFramePr/>
          </xdr:nvGraphicFramePr>
          <xdr:xfrm>
            <a:off x="0" y="0"/>
            <a:ext cx="0" cy="0"/>
          </xdr:xfrm>
          <a:graphic>
            <a:graphicData uri="http://schemas.microsoft.com/office/drawing/2012/timeslicer">
              <tsle:timeslicer name="Order Date 1"/>
            </a:graphicData>
          </a:graphic>
        </xdr:graphicFrame>
      </mc:Choice>
      <mc:Fallback xmlns="">
        <xdr:sp macro="" textlink="">
          <xdr:nvSpPr>
            <xdr:cNvPr id="0" name=""/>
            <xdr:cNvSpPr>
              <a:spLocks noTextEdit="1"/>
            </xdr:cNvSpPr>
          </xdr:nvSpPr>
          <xdr:spPr>
            <a:xfrm>
              <a:off x="0" y="31481485"/>
              <a:ext cx="12415157" cy="1725386"/>
            </a:xfrm>
            <a:prstGeom prst="rect">
              <a:avLst/>
            </a:prstGeom>
            <a:solidFill>
              <a:prstClr val="white"/>
            </a:solidFill>
            <a:ln w="1">
              <a:solidFill>
                <a:prstClr val="green"/>
              </a:solidFill>
            </a:ln>
          </xdr:spPr>
          <xdr:txBody>
            <a:bodyPr vertOverflow="clip" horzOverflow="clip"/>
            <a:lstStyle/>
            <a:p>
              <a:r>
                <a:rPr lang="en-GB"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risto Petkov" refreshedDate="46054.769651967596" createdVersion="8" refreshedVersion="8" minRefreshableVersion="3" recordCount="1000" xr:uid="{76D6E492-C9FA-43DE-B3E7-DB1D5DC1A55C}">
  <cacheSource type="worksheet">
    <worksheetSource name="Orders"/>
  </cacheSource>
  <cacheFields count="34">
    <cacheField name="Order ID" numFmtId="0">
      <sharedItems/>
    </cacheField>
    <cacheField name="Order Date" numFmtId="165">
      <sharedItems containsSemiMixedTypes="0" containsNonDate="0" containsDate="1" containsString="0" minDate="2019-01-02T00:00:00" maxDate="2022-08-20T00:00:00" count="689">
        <d v="2022-06-03T00:00:00"/>
        <d v="2020-10-30T00:00:00"/>
        <d v="2019-01-19T00:00:00"/>
        <d v="2021-01-28T00:00:00"/>
        <d v="2021-07-24T00:00:00"/>
        <d v="2021-02-03T00:00:00"/>
        <d v="2020-02-03T00:00:00"/>
        <d v="2022-05-04T00:00:00"/>
        <d v="2019-04-24T00:00:00"/>
        <d v="2020-09-18T00:00:00"/>
        <d v="2020-09-08T00:00:00"/>
        <d v="2020-09-06T00:00:00"/>
        <d v="2020-05-09T00:00:00"/>
        <d v="2020-05-05T00:00:00"/>
        <d v="2020-07-05T00:00:00"/>
        <d v="2019-12-12T00:00:00"/>
        <d v="2020-02-19T00:00:00"/>
        <d v="2020-03-23T00:00:00"/>
        <d v="2020-07-03T00:00:00"/>
        <d v="2020-06-21T00:00:00"/>
        <d v="2019-05-14T00:00:00"/>
        <d v="2021-06-01T00:00:00"/>
        <d v="2020-08-08T00:00:00"/>
        <d v="2022-01-17T00:00:00"/>
        <d v="2021-11-19T00:00:00"/>
        <d v="2019-02-14T00:00:00"/>
        <d v="2022-06-11T00:00:00"/>
        <d v="2021-06-15T00:00:00"/>
        <d v="2021-12-10T00:00:00"/>
        <d v="2020-10-10T00:00:00"/>
        <d v="2020-07-31T00:00:00"/>
        <d v="2020-10-01T00:00:00"/>
        <d v="2021-11-21T00:00:00"/>
        <d v="2021-03-04T00:00:00"/>
        <d v="2020-05-11T00:00:00"/>
        <d v="2020-04-11T00:00:00"/>
        <d v="2020-01-25T00:00:00"/>
        <d v="2019-07-14T00:00:00"/>
        <d v="2021-03-28T00:00:00"/>
        <d v="2019-01-22T00:00:00"/>
        <d v="2019-10-12T00:00:00"/>
        <d v="2022-06-08T00:00:00"/>
        <d v="2020-07-24T00:00:00"/>
        <d v="2019-03-16T00:00:00"/>
        <d v="2022-01-30T00:00:00"/>
        <d v="2020-06-20T00:00:00"/>
        <d v="2020-12-07T00:00:00"/>
        <d v="2021-03-08T00:00:00"/>
        <d v="2019-12-05T00:00:00"/>
        <d v="2022-08-04T00:00:00"/>
        <d v="2019-12-03T00:00:00"/>
        <d v="2020-10-22T00:00:00"/>
        <d v="2019-12-30T00:00:00"/>
        <d v="2020-10-21T00:00:00"/>
        <d v="2021-10-17T00:00:00"/>
        <d v="2019-12-21T00:00:00"/>
        <d v="2019-02-21T00:00:00"/>
        <d v="2021-10-27T00:00:00"/>
        <d v="2021-08-29T00:00:00"/>
        <d v="2021-06-13T00:00:00"/>
        <d v="2020-02-28T00:00:00"/>
        <d v="2019-12-13T00:00:00"/>
        <d v="2022-06-15T00:00:00"/>
        <d v="2019-09-17T00:00:00"/>
        <d v="2019-04-16T00:00:00"/>
        <d v="2020-10-20T00:00:00"/>
        <d v="2019-09-12T00:00:00"/>
        <d v="2019-12-14T00:00:00"/>
        <d v="2021-09-09T00:00:00"/>
        <d v="2021-11-11T00:00:00"/>
        <d v="2020-12-19T00:00:00"/>
        <d v="2021-08-01T00:00:00"/>
        <d v="2020-12-17T00:00:00"/>
        <d v="2020-07-18T00:00:00"/>
        <d v="2021-10-19T00:00:00"/>
        <d v="2019-12-17T00:00:00"/>
        <d v="2021-11-15T00:00:00"/>
        <d v="2021-03-27T00:00:00"/>
        <d v="2022-03-14T00:00:00"/>
        <d v="2019-03-04T00:00:00"/>
        <d v="2022-08-02T00:00:00"/>
        <d v="2020-03-10T00:00:00"/>
        <d v="2021-11-02T00:00:00"/>
        <d v="2021-04-03T00:00:00"/>
        <d v="2020-08-11T00:00:00"/>
        <d v="2021-06-26T00:00:00"/>
        <d v="2020-12-09T00:00:00"/>
        <d v="2021-02-12T00:00:00"/>
        <d v="2019-03-20T00:00:00"/>
        <d v="2021-03-26T00:00:00"/>
        <d v="2021-08-27T00:00:00"/>
        <d v="2019-10-25T00:00:00"/>
        <d v="2019-07-03T00:00:00"/>
        <d v="2021-01-31T00:00:00"/>
        <d v="2019-01-02T00:00:00"/>
        <d v="2021-01-29T00:00:00"/>
        <d v="2020-07-11T00:00:00"/>
        <d v="2020-06-24T00:00:00"/>
        <d v="2022-01-01T00:00:00"/>
        <d v="2021-08-04T00:00:00"/>
        <d v="2020-01-27T00:00:00"/>
        <d v="2022-06-04T00:00:00"/>
        <d v="2019-04-07T00:00:00"/>
        <d v="2019-04-27T00:00:00"/>
        <d v="2020-12-18T00:00:00"/>
        <d v="2020-10-16T00:00:00"/>
        <d v="2019-07-06T00:00:00"/>
        <d v="2019-01-06T00:00:00"/>
        <d v="2019-02-28T00:00:00"/>
        <d v="2019-06-30T00:00:00"/>
        <d v="2019-02-12T00:00:00"/>
        <d v="2022-04-23T00:00:00"/>
        <d v="2019-06-25T00:00:00"/>
        <d v="2021-09-12T00:00:00"/>
        <d v="2020-11-04T00:00:00"/>
        <d v="2020-09-11T00:00:00"/>
        <d v="2021-04-05T00:00:00"/>
        <d v="2022-06-14T00:00:00"/>
        <d v="2019-04-12T00:00:00"/>
        <d v="2021-10-13T00:00:00"/>
        <d v="2019-11-03T00:00:00"/>
        <d v="2021-12-21T00:00:00"/>
        <d v="2020-11-21T00:00:00"/>
        <d v="2022-04-27T00:00:00"/>
        <d v="2021-07-16T00:00:00"/>
        <d v="2020-07-25T00:00:00"/>
        <d v="2020-08-14T00:00:00"/>
        <d v="2020-08-23T00:00:00"/>
        <d v="2021-09-16T00:00:00"/>
        <d v="2019-02-06T00:00:00"/>
        <d v="2019-11-07T00:00:00"/>
        <d v="2021-06-08T00:00:00"/>
        <d v="2020-06-02T00:00:00"/>
        <d v="2022-05-31T00:00:00"/>
        <d v="2020-01-06T00:00:00"/>
        <d v="2020-10-26T00:00:00"/>
        <d v="2021-02-28T00:00:00"/>
        <d v="2020-02-24T00:00:00"/>
        <d v="2021-03-10T00:00:00"/>
        <d v="2021-12-02T00:00:00"/>
        <d v="2022-06-06T00:00:00"/>
        <d v="2021-04-09T00:00:00"/>
        <d v="2021-03-01T00:00:00"/>
        <d v="2021-02-19T00:00:00"/>
        <d v="2019-05-15T00:00:00"/>
        <d v="2019-08-30T00:00:00"/>
        <d v="2020-08-06T00:00:00"/>
        <d v="2021-07-29T00:00:00"/>
        <d v="2020-02-08T00:00:00"/>
        <d v="2019-10-23T00:00:00"/>
        <d v="2021-09-24T00:00:00"/>
        <d v="2019-02-19T00:00:00"/>
        <d v="2021-01-26T00:00:00"/>
        <d v="2022-07-17T00:00:00"/>
        <d v="2019-02-09T00:00:00"/>
        <d v="2019-10-17T00:00:00"/>
        <d v="2021-08-08T00:00:00"/>
        <d v="2021-06-06T00:00:00"/>
        <d v="2021-06-28T00:00:00"/>
        <d v="2021-02-07T00:00:00"/>
        <d v="2021-01-13T00:00:00"/>
        <d v="2020-09-09T00:00:00"/>
        <d v="2021-03-15T00:00:00"/>
        <d v="2021-09-06T00:00:00"/>
        <d v="2020-03-22T00:00:00"/>
        <d v="2022-01-02T00:00:00"/>
        <d v="2020-02-20T00:00:00"/>
        <d v="2022-02-28T00:00:00"/>
        <d v="2021-11-18T00:00:00"/>
        <d v="2021-01-11T00:00:00"/>
        <d v="2020-03-20T00:00:00"/>
        <d v="2020-01-11T00:00:00"/>
        <d v="2019-01-18T00:00:00"/>
        <d v="2020-10-13T00:00:00"/>
        <d v="2019-09-20T00:00:00"/>
        <d v="2022-05-30T00:00:00"/>
        <d v="2022-05-24T00:00:00"/>
        <d v="2020-05-20T00:00:00"/>
        <d v="2021-11-05T00:00:00"/>
        <d v="2020-12-06T00:00:00"/>
        <d v="2021-08-30T00:00:00"/>
        <d v="2019-02-20T00:00:00"/>
        <d v="2019-03-02T00:00:00"/>
        <d v="2021-06-29T00:00:00"/>
        <d v="2021-04-14T00:00:00"/>
        <d v="2021-01-21T00:00:00"/>
        <d v="2021-06-17T00:00:00"/>
        <d v="2022-05-16T00:00:00"/>
        <d v="2020-09-16T00:00:00"/>
        <d v="2022-07-12T00:00:00"/>
        <d v="2021-08-03T00:00:00"/>
        <d v="2019-08-12T00:00:00"/>
        <d v="2021-03-19T00:00:00"/>
        <d v="2022-02-11T00:00:00"/>
        <d v="2019-04-08T00:00:00"/>
        <d v="2019-04-29T00:00:00"/>
        <d v="2020-01-21T00:00:00"/>
        <d v="2022-07-09T00:00:00"/>
        <d v="2022-01-24T00:00:00"/>
        <d v="2019-10-08T00:00:00"/>
        <d v="2021-07-19T00:00:00"/>
        <d v="2022-04-25T00:00:00"/>
        <d v="2022-04-12T00:00:00"/>
        <d v="2021-04-08T00:00:00"/>
        <d v="2020-02-22T00:00:00"/>
        <d v="2022-06-30T00:00:00"/>
        <d v="2020-11-20T00:00:00"/>
        <d v="2019-06-14T00:00:00"/>
        <d v="2022-07-19T00:00:00"/>
        <d v="2019-01-11T00:00:00"/>
        <d v="2022-06-07T00:00:00"/>
        <d v="2021-02-23T00:00:00"/>
        <d v="2021-01-04T00:00:00"/>
        <d v="2020-05-04T00:00:00"/>
        <d v="2021-12-25T00:00:00"/>
        <d v="2021-10-16T00:00:00"/>
        <d v="2020-06-29T00:00:00"/>
        <d v="2021-11-23T00:00:00"/>
        <d v="2021-05-24T00:00:00"/>
        <d v="2020-01-19T00:00:00"/>
        <d v="2021-09-26T00:00:00"/>
        <d v="2022-05-01T00:00:00"/>
        <d v="2020-03-07T00:00:00"/>
        <d v="2022-04-05T00:00:00"/>
        <d v="2021-03-13T00:00:00"/>
        <d v="2020-07-14T00:00:00"/>
        <d v="2019-06-26T00:00:00"/>
        <d v="2019-11-12T00:00:00"/>
        <d v="2022-05-11T00:00:00"/>
        <d v="2019-05-22T00:00:00"/>
        <d v="2019-01-26T00:00:00"/>
        <d v="2019-07-01T00:00:00"/>
        <d v="2020-01-01T00:00:00"/>
        <d v="2019-03-14T00:00:00"/>
        <d v="2021-09-10T00:00:00"/>
        <d v="2019-08-16T00:00:00"/>
        <d v="2020-03-31T00:00:00"/>
        <d v="2022-03-24T00:00:00"/>
        <d v="2019-01-20T00:00:00"/>
        <d v="2022-02-06T00:00:00"/>
        <d v="2021-11-24T00:00:00"/>
        <d v="2019-07-02T00:00:00"/>
        <d v="2021-06-04T00:00:00"/>
        <d v="2019-02-05T00:00:00"/>
        <d v="2021-02-08T00:00:00"/>
        <d v="2020-04-25T00:00:00"/>
        <d v="2022-06-10T00:00:00"/>
        <d v="2021-11-04T00:00:00"/>
        <d v="2022-01-13T00:00:00"/>
        <d v="2021-08-26T00:00:00"/>
        <d v="2022-08-19T00:00:00"/>
        <d v="2021-10-24T00:00:00"/>
        <d v="2020-02-18T00:00:00"/>
        <d v="2020-02-07T00:00:00"/>
        <d v="2019-02-25T00:00:00"/>
        <d v="2019-09-08T00:00:00"/>
        <d v="2020-03-01T00:00:00"/>
        <d v="2019-07-18T00:00:00"/>
        <d v="2019-08-06T00:00:00"/>
        <d v="2019-09-16T00:00:00"/>
        <d v="2021-12-07T00:00:00"/>
        <d v="2020-06-05T00:00:00"/>
        <d v="2020-03-30T00:00:00"/>
        <d v="2020-06-10T00:00:00"/>
        <d v="2020-04-30T00:00:00"/>
        <d v="2022-05-12T00:00:00"/>
        <d v="2019-11-14T00:00:00"/>
        <d v="2021-12-19T00:00:00"/>
        <d v="2022-07-14T00:00:00"/>
        <d v="2022-04-16T00:00:00"/>
        <d v="2019-10-05T00:00:00"/>
        <d v="2019-05-06T00:00:00"/>
        <d v="2020-12-04T00:00:00"/>
        <d v="2019-10-26T00:00:00"/>
        <d v="2021-08-31T00:00:00"/>
        <d v="2021-05-15T00:00:00"/>
        <d v="2021-03-29T00:00:00"/>
        <d v="2021-05-08T00:00:00"/>
        <d v="2021-05-31T00:00:00"/>
        <d v="2019-04-05T00:00:00"/>
        <d v="2022-03-31T00:00:00"/>
        <d v="2019-12-09T00:00:00"/>
        <d v="2020-03-29T00:00:00"/>
        <d v="2019-01-03T00:00:00"/>
        <d v="2021-05-28T00:00:00"/>
        <d v="2022-08-06T00:00:00"/>
        <d v="2019-12-04T00:00:00"/>
        <d v="2022-01-21T00:00:00"/>
        <d v="2020-10-15T00:00:00"/>
        <d v="2021-12-08T00:00:00"/>
        <d v="2021-10-10T00:00:00"/>
        <d v="2020-03-28T00:00:00"/>
        <d v="2020-07-02T00:00:00"/>
        <d v="2020-05-22T00:00:00"/>
        <d v="2019-09-06T00:00:00"/>
        <d v="2020-07-26T00:00:00"/>
        <d v="2019-08-07T00:00:00"/>
        <d v="2021-06-11T00:00:00"/>
        <d v="2020-04-29T00:00:00"/>
        <d v="2019-11-15T00:00:00"/>
        <d v="2020-12-24T00:00:00"/>
        <d v="2022-03-26T00:00:00"/>
        <d v="2020-12-29T00:00:00"/>
        <d v="2021-07-22T00:00:00"/>
        <d v="2021-10-28T00:00:00"/>
        <d v="2021-06-30T00:00:00"/>
        <d v="2021-02-02T00:00:00"/>
        <d v="2019-11-26T00:00:00"/>
        <d v="2020-07-13T00:00:00"/>
        <d v="2021-10-26T00:00:00"/>
        <d v="2022-07-05T00:00:00"/>
        <d v="2021-06-20T00:00:00"/>
        <d v="2020-06-28T00:00:00"/>
        <d v="2020-11-23T00:00:00"/>
        <d v="2021-11-10T00:00:00"/>
        <d v="2022-07-01T00:00:00"/>
        <d v="2019-07-26T00:00:00"/>
        <d v="2022-06-27T00:00:00"/>
        <d v="2021-09-07T00:00:00"/>
        <d v="2020-02-29T00:00:00"/>
        <d v="2019-04-01T00:00:00"/>
        <d v="2019-02-13T00:00:00"/>
        <d v="2020-10-02T00:00:00"/>
        <d v="2021-03-23T00:00:00"/>
        <d v="2020-04-07T00:00:00"/>
        <d v="2021-08-02T00:00:00"/>
        <d v="2021-07-15T00:00:00"/>
        <d v="2019-01-10T00:00:00"/>
        <d v="2020-07-04T00:00:00"/>
        <d v="2019-11-21T00:00:00"/>
        <d v="2020-06-30T00:00:00"/>
        <d v="2021-12-06T00:00:00"/>
        <d v="2021-12-13T00:00:00"/>
        <d v="2022-04-08T00:00:00"/>
        <d v="2021-07-20T00:00:00"/>
        <d v="2020-02-11T00:00:00"/>
        <d v="2021-09-18T00:00:00"/>
        <d v="2021-09-08T00:00:00"/>
        <d v="2021-04-16T00:00:00"/>
        <d v="2019-04-30T00:00:00"/>
        <d v="2021-03-21T00:00:00"/>
        <d v="2021-03-16T00:00:00"/>
        <d v="2022-04-22T00:00:00"/>
        <d v="2020-04-19T00:00:00"/>
        <d v="2019-12-29T00:00:00"/>
        <d v="2020-09-15T00:00:00"/>
        <d v="2019-09-13T00:00:00"/>
        <d v="2022-02-10T00:00:00"/>
        <d v="2022-02-03T00:00:00"/>
        <d v="2021-05-01T00:00:00"/>
        <d v="2019-07-31T00:00:00"/>
        <d v="2019-06-17T00:00:00"/>
        <d v="2021-05-07T00:00:00"/>
        <d v="2019-04-25T00:00:00"/>
        <d v="2021-05-05T00:00:00"/>
        <d v="2021-12-31T00:00:00"/>
        <d v="2022-03-23T00:00:00"/>
        <d v="2020-06-07T00:00:00"/>
        <d v="2021-12-17T00:00:00"/>
        <d v="2020-05-03T00:00:00"/>
        <d v="2020-05-19T00:00:00"/>
        <d v="2020-12-03T00:00:00"/>
        <d v="2019-07-08T00:00:00"/>
        <d v="2019-02-24T00:00:00"/>
        <d v="2019-06-27T00:00:00"/>
        <d v="2022-01-26T00:00:00"/>
        <d v="2020-07-16T00:00:00"/>
        <d v="2021-04-19T00:00:00"/>
        <d v="2020-05-26T00:00:00"/>
        <d v="2020-11-18T00:00:00"/>
        <d v="2022-02-20T00:00:00"/>
        <d v="2021-05-16T00:00:00"/>
        <d v="2021-03-24T00:00:00"/>
        <d v="2020-09-02T00:00:00"/>
        <d v="2019-09-02T00:00:00"/>
        <d v="2019-03-12T00:00:00"/>
        <d v="2022-05-10T00:00:00"/>
        <d v="2022-04-30T00:00:00"/>
        <d v="2021-05-19T00:00:00"/>
        <d v="2021-06-27T00:00:00"/>
        <d v="2022-03-15T00:00:00"/>
        <d v="2020-08-03T00:00:00"/>
        <d v="2021-08-05T00:00:00"/>
        <d v="2019-08-03T00:00:00"/>
        <d v="2019-07-21T00:00:00"/>
        <d v="2020-09-10T00:00:00"/>
        <d v="2022-03-20T00:00:00"/>
        <d v="2022-06-17T00:00:00"/>
        <d v="2019-08-17T00:00:00"/>
        <d v="2019-05-07T00:00:00"/>
        <d v="2019-06-23T00:00:00"/>
        <d v="2019-06-04T00:00:00"/>
        <d v="2021-11-13T00:00:00"/>
        <d v="2021-12-12T00:00:00"/>
        <d v="2021-11-27T00:00:00"/>
        <d v="2021-02-26T00:00:00"/>
        <d v="2020-05-31T00:00:00"/>
        <d v="2019-05-18T00:00:00"/>
        <d v="2022-03-08T00:00:00"/>
        <d v="2021-07-07T00:00:00"/>
        <d v="2019-06-03T00:00:00"/>
        <d v="2020-10-11T00:00:00"/>
        <d v="2022-02-15T00:00:00"/>
        <d v="2021-05-20T00:00:00"/>
        <d v="2021-10-04T00:00:00"/>
        <d v="2022-07-25T00:00:00"/>
        <d v="2021-01-14T00:00:00"/>
        <d v="2020-11-09T00:00:00"/>
        <d v="2021-03-03T00:00:00"/>
        <d v="2020-10-14T00:00:00"/>
        <d v="2021-05-23T00:00:00"/>
        <d v="2019-09-29T00:00:00"/>
        <d v="2021-03-12T00:00:00"/>
        <d v="2022-03-25T00:00:00"/>
        <d v="2021-09-20T00:00:00"/>
        <d v="2020-07-29T00:00:00"/>
        <d v="2020-01-17T00:00:00"/>
        <d v="2021-08-20T00:00:00"/>
        <d v="2019-09-05T00:00:00"/>
        <d v="2019-12-31T00:00:00"/>
        <d v="2020-01-26T00:00:00"/>
        <d v="2019-03-22T00:00:00"/>
        <d v="2019-04-22T00:00:00"/>
        <d v="2019-08-15T00:00:00"/>
        <d v="2022-01-27T00:00:00"/>
        <d v="2020-02-23T00:00:00"/>
        <d v="2020-11-30T00:00:00"/>
        <d v="2021-03-31T00:00:00"/>
        <d v="2021-07-03T00:00:00"/>
        <d v="2020-10-04T00:00:00"/>
        <d v="2019-07-09T00:00:00"/>
        <d v="2019-10-01T00:00:00"/>
        <d v="2020-12-25T00:00:00"/>
        <d v="2019-02-04T00:00:00"/>
        <d v="2020-04-23T00:00:00"/>
        <d v="2019-02-16T00:00:00"/>
        <d v="2021-01-15T00:00:00"/>
        <d v="2021-07-17T00:00:00"/>
        <d v="2019-07-20T00:00:00"/>
        <d v="2020-02-15T00:00:00"/>
        <d v="2019-11-13T00:00:00"/>
        <d v="2022-03-17T00:00:00"/>
        <d v="2020-12-05T00:00:00"/>
        <d v="2020-10-24T00:00:00"/>
        <d v="2020-06-13T00:00:00"/>
        <d v="2021-02-05T00:00:00"/>
        <d v="2021-01-19T00:00:00"/>
        <d v="2019-06-13T00:00:00"/>
        <d v="2022-01-23T00:00:00"/>
        <d v="2020-11-13T00:00:00"/>
        <d v="2021-09-30T00:00:00"/>
        <d v="2021-12-27T00:00:00"/>
        <d v="2022-04-29T00:00:00"/>
        <d v="2020-03-18T00:00:00"/>
        <d v="2022-05-17T00:00:00"/>
        <d v="2020-01-10T00:00:00"/>
        <d v="2019-04-11T00:00:00"/>
        <d v="2019-08-11T00:00:00"/>
        <d v="2021-02-11T00:00:00"/>
        <d v="2022-08-17T00:00:00"/>
        <d v="2019-10-24T00:00:00"/>
        <d v="2021-05-21T00:00:00"/>
        <d v="2019-05-17T00:00:00"/>
        <d v="2021-04-12T00:00:00"/>
        <d v="2022-03-22T00:00:00"/>
        <d v="2021-10-01T00:00:00"/>
        <d v="2021-12-29T00:00:00"/>
        <d v="2019-10-21T00:00:00"/>
        <d v="2021-11-28T00:00:00"/>
        <d v="2019-05-23T00:00:00"/>
        <d v="2021-11-29T00:00:00"/>
        <d v="2019-09-28T00:00:00"/>
        <d v="2022-06-12T00:00:00"/>
        <d v="2020-12-16T00:00:00"/>
        <d v="2019-02-10T00:00:00"/>
        <d v="2019-05-09T00:00:00"/>
        <d v="2019-10-04T00:00:00"/>
        <d v="2019-06-24T00:00:00"/>
        <d v="2019-11-06T00:00:00"/>
        <d v="2021-09-02T00:00:00"/>
        <d v="2022-01-12T00:00:00"/>
        <d v="2021-02-06T00:00:00"/>
        <d v="2021-05-30T00:00:00"/>
        <d v="2020-11-06T00:00:00"/>
        <d v="2020-03-12T00:00:00"/>
        <d v="2020-05-14T00:00:00"/>
        <d v="2020-06-26T00:00:00"/>
        <d v="2021-10-07T00:00:00"/>
        <d v="2019-11-27T00:00:00"/>
        <d v="2019-10-19T00:00:00"/>
        <d v="2020-02-26T00:00:00"/>
        <d v="2019-10-22T00:00:00"/>
        <d v="2020-02-12T00:00:00"/>
        <d v="2022-07-15T00:00:00"/>
        <d v="2020-11-07T00:00:00"/>
        <d v="2020-11-12T00:00:00"/>
        <d v="2021-11-16T00:00:00"/>
        <d v="2021-04-26T00:00:00"/>
        <d v="2019-03-11T00:00:00"/>
        <d v="2020-11-02T00:00:00"/>
        <d v="2020-10-27T00:00:00"/>
        <d v="2019-04-18T00:00:00"/>
        <d v="2021-09-29T00:00:00"/>
        <d v="2022-03-11T00:00:00"/>
        <d v="2021-11-09T00:00:00"/>
        <d v="2019-02-22T00:00:00"/>
        <d v="2022-04-15T00:00:00"/>
        <d v="2020-09-19T00:00:00"/>
        <d v="2020-08-15T00:00:00"/>
        <d v="2020-03-25T00:00:00"/>
        <d v="2021-11-12T00:00:00"/>
        <d v="2022-06-13T00:00:00"/>
        <d v="2022-01-18T00:00:00"/>
        <d v="2022-05-05T00:00:00"/>
        <d v="2019-03-10T00:00:00"/>
        <d v="2020-07-19T00:00:00"/>
        <d v="2020-06-03T00:00:00"/>
        <d v="2021-02-20T00:00:00"/>
        <d v="2020-06-11T00:00:00"/>
        <d v="2021-07-05T00:00:00"/>
        <d v="2019-03-30T00:00:00"/>
        <d v="2022-05-22T00:00:00"/>
        <d v="2019-05-12T00:00:00"/>
        <d v="2020-10-29T00:00:00"/>
        <d v="2020-01-16T00:00:00"/>
        <d v="2022-02-17T00:00:00"/>
        <d v="2020-02-13T00:00:00"/>
        <d v="2022-01-04T00:00:00"/>
        <d v="2022-08-12T00:00:00"/>
        <d v="2022-05-20T00:00:00"/>
        <d v="2022-04-04T00:00:00"/>
        <d v="2020-06-09T00:00:00"/>
        <d v="2019-12-08T00:00:00"/>
        <d v="2019-04-17T00:00:00"/>
        <d v="2019-08-20T00:00:00"/>
        <d v="2021-08-23T00:00:00"/>
        <d v="2022-01-10T00:00:00"/>
        <d v="2021-01-27T00:00:00"/>
        <d v="2022-07-02T00:00:00"/>
        <d v="2021-04-06T00:00:00"/>
        <d v="2019-07-15T00:00:00"/>
        <d v="2021-10-23T00:00:00"/>
        <d v="2021-08-25T00:00:00"/>
        <d v="2020-11-05T00:00:00"/>
        <d v="2019-08-26T00:00:00"/>
        <d v="2019-10-13T00:00:00"/>
        <d v="2020-03-15T00:00:00"/>
        <d v="2022-03-06T00:00:00"/>
        <d v="2019-09-22T00:00:00"/>
        <d v="2020-07-30T00:00:00"/>
        <d v="2021-10-02T00:00:00"/>
        <d v="2021-09-15T00:00:00"/>
        <d v="2021-04-30T00:00:00"/>
        <d v="2020-07-15T00:00:00"/>
        <d v="2020-10-05T00:00:00"/>
        <d v="2019-01-09T00:00:00"/>
        <d v="2020-11-24T00:00:00"/>
        <d v="2021-02-18T00:00:00"/>
        <d v="2019-12-16T00:00:00"/>
        <d v="2020-03-06T00:00:00"/>
        <d v="2020-10-28T00:00:00"/>
        <d v="2021-05-14T00:00:00"/>
        <d v="2020-02-04T00:00:00"/>
        <d v="2022-07-29T00:00:00"/>
        <d v="2020-02-27T00:00:00"/>
        <d v="2022-05-13T00:00:00"/>
        <d v="2019-03-15T00:00:00"/>
        <d v="2019-09-11T00:00:00"/>
        <d v="2019-10-09T00:00:00"/>
        <d v="2020-02-09T00:00:00"/>
        <d v="2022-03-04T00:00:00"/>
        <d v="2020-08-31T00:00:00"/>
        <d v="2020-01-07T00:00:00"/>
        <d v="2019-11-29T00:00:00"/>
        <d v="2020-01-30T00:00:00"/>
        <d v="2019-09-07T00:00:00"/>
        <d v="2022-07-28T00:00:00"/>
        <d v="2022-04-24T00:00:00"/>
        <d v="2022-02-16T00:00:00"/>
        <d v="2022-05-26T00:00:00"/>
        <d v="2019-07-30T00:00:00"/>
        <d v="2021-12-03T00:00:00"/>
        <d v="2022-07-13T00:00:00"/>
        <d v="2021-08-13T00:00:00"/>
        <d v="2020-03-26T00:00:00"/>
        <d v="2021-02-13T00:00:00"/>
        <d v="2019-10-11T00:00:00"/>
        <d v="2020-11-03T00:00:00"/>
        <d v="2019-05-21T00:00:00"/>
        <d v="2021-03-07T00:00:00"/>
        <d v="2020-02-06T00:00:00"/>
        <d v="2021-01-22T00:00:00"/>
        <d v="2021-08-10T00:00:00"/>
        <d v="2019-07-25T00:00:00"/>
        <d v="2021-03-09T00:00:00"/>
        <d v="2020-12-31T00:00:00"/>
        <d v="2021-12-15T00:00:00"/>
        <d v="2022-03-16T00:00:00"/>
        <d v="2019-03-21T00:00:00"/>
        <d v="2019-12-15T00:00:00"/>
        <d v="2019-06-28T00:00:00"/>
        <d v="2020-01-31T00:00:00"/>
        <d v="2020-11-15T00:00:00"/>
        <d v="2019-06-09T00:00:00"/>
        <d v="2019-03-08T00:00:00"/>
        <d v="2020-03-13T00:00:00"/>
        <d v="2021-07-21T00:00:00"/>
        <d v="2021-01-07T00:00:00"/>
        <d v="2019-07-23T00:00:00"/>
        <d v="2022-05-21T00:00:00"/>
        <d v="2020-10-25T00:00:00"/>
        <d v="2019-08-13T00:00:00"/>
        <d v="2022-05-02T00:00:00"/>
        <d v="2022-07-08T00:00:00"/>
        <d v="2022-02-21T00:00:00"/>
        <d v="2021-03-20T00:00:00"/>
        <d v="2021-05-17T00:00:00"/>
        <d v="2022-03-13T00:00:00"/>
        <d v="2020-04-20T00:00:00"/>
        <d v="2019-06-16T00:00:00"/>
        <d v="2021-09-25T00:00:00"/>
        <d v="2021-11-26T00:00:00"/>
        <d v="2020-09-28T00:00:00"/>
        <d v="2021-07-23T00:00:00"/>
        <d v="2019-02-11T00:00:00"/>
        <d v="2020-02-05T00:00:00"/>
        <d v="2021-09-21T00:00:00"/>
        <d v="2021-01-17T00:00:00"/>
        <d v="2019-10-03T00:00:00"/>
        <d v="2020-10-23T00:00:00"/>
        <d v="2021-02-22T00:00:00"/>
        <d v="2019-11-16T00:00:00"/>
        <d v="2021-01-18T00:00:00"/>
        <d v="2019-09-04T00:00:00"/>
        <d v="2019-10-16T00:00:00"/>
        <d v="2021-02-25T00:00:00"/>
        <d v="2021-02-17T00:00:00"/>
        <d v="2020-12-11T00:00:00"/>
        <d v="2019-06-19T00:00:00"/>
        <d v="2022-01-31T00:00:00"/>
        <d v="2021-07-10T00:00:00"/>
        <d v="2021-10-12T00:00:00"/>
        <d v="2022-03-10T00:00:00"/>
        <d v="2019-05-01T00:00:00"/>
        <d v="2022-06-01T00:00:00"/>
        <d v="2020-04-12T00:00:00"/>
        <d v="2021-11-06T00:00:00"/>
        <d v="2021-05-02T00:00:00"/>
        <d v="2019-04-14T00:00:00"/>
        <d v="2019-03-03T00:00:00"/>
        <d v="2022-02-08T00:00:00"/>
        <d v="2022-08-08T00:00:00"/>
        <d v="2022-07-07T00:00:00"/>
        <d v="2019-08-31T00:00:00"/>
        <d v="2019-05-02T00:00:00"/>
        <d v="2021-08-06T00:00:00"/>
        <d v="2020-04-05T00:00:00"/>
        <d v="2020-12-08T00:00:00"/>
        <d v="2022-01-15T00:00:00"/>
        <d v="2022-06-05T00:00:00"/>
        <d v="2019-06-12T00:00:00"/>
        <d v="2020-01-15T00:00:00"/>
        <d v="2019-06-22T00:00:00"/>
        <d v="2022-04-13T00:00:00"/>
        <d v="2020-07-07T00:00:00"/>
        <d v="2019-03-17T00:00:00"/>
        <d v="2020-03-11T00:00:00"/>
        <d v="2019-09-18T00:00:00"/>
        <d v="2022-05-23T00:00:00"/>
        <d v="2021-02-14T00:00:00"/>
        <d v="2020-12-02T00:00:00"/>
        <d v="2021-10-03T00:00:00"/>
        <d v="2019-10-28T00:00:00"/>
        <d v="2021-04-04T00:00:00"/>
        <d v="2019-11-09T00:00:00"/>
        <d v="2020-09-23T00:00:00"/>
        <d v="2020-03-02T00:00:00"/>
        <d v="2020-09-27T00:00:00"/>
        <d v="2019-09-21T00:00:00"/>
        <d v="2021-03-22T00:00:00"/>
        <d v="2019-12-27T00:00:00"/>
        <d v="2022-07-16T00:00:00"/>
        <d v="2022-01-25T00:00:00"/>
        <d v="2019-06-08T00:00:00"/>
        <d v="2019-12-28T00:00:00"/>
        <d v="2019-11-28T00:00:00"/>
        <d v="2020-07-12T00:00:00"/>
        <d v="2021-04-10T00:00:00"/>
        <d v="2021-01-10T00:00:00"/>
      </sharedItems>
      <fieldGroup par="29"/>
    </cacheField>
    <cacheField name="Customer ID" numFmtId="0">
      <sharedItems/>
    </cacheField>
    <cacheField name="Product ID" numFmtId="0">
      <sharedItems count="48">
        <s v="R-D-1"/>
        <s v="L-L-1"/>
        <s v="A-M-0.5"/>
        <s v="A-M-2.5"/>
        <s v="E-M-2.5"/>
        <s v="L-M-0.2"/>
        <s v="R-M-0.5"/>
        <s v="A-L-1"/>
        <s v="A-D-1"/>
        <s v="R-M-2.5"/>
        <s v="L-L-0.2"/>
        <s v="R-M-0.2"/>
        <s v="E-D-1"/>
        <s v="R-D-2.5"/>
        <s v="L-D-0.5"/>
        <s v="R-D-0.2"/>
        <s v="A-L-0.5"/>
        <s v="A-L-2.5"/>
        <s v="A-D-0.5"/>
        <s v="L-D-1"/>
        <s v="E-L-0.5"/>
        <s v="E-M-1"/>
        <s v="A-D-2.5"/>
        <s v="A-L-0.2"/>
        <s v="E-M-0.5"/>
        <s v="R-L-0.2"/>
        <s v="R-L-0.5"/>
        <s v="E-L-0.2"/>
        <s v="L-D-2.5"/>
        <s v="L-D-0.2"/>
        <s v="L-L-0.5"/>
        <s v="R-L-1"/>
        <s v="E-D-2.5"/>
        <s v="L-L-2.5"/>
        <s v="L-M-1"/>
        <s v="A-M-1"/>
        <s v="E-D-0.5"/>
        <s v="L-M-0.5"/>
        <s v="R-M-1"/>
        <s v="E-L-2.5"/>
        <s v="E-D-0.2"/>
        <s v="L-M-2.5"/>
        <s v="E-M-0.2"/>
        <s v="A-D-0.2"/>
        <s v="R-L-2.5"/>
        <s v="E-L-1"/>
        <s v="A-M-0.2"/>
        <s v="R-D-0.5"/>
      </sharedItems>
    </cacheField>
    <cacheField name="Quantity" numFmtId="0">
      <sharedItems containsSemiMixedTypes="0" containsString="0" containsNumber="1" containsInteger="1" minValue="1" maxValue="6"/>
    </cacheField>
    <cacheField name="Customer Name" numFmtId="0">
      <sharedItems count="913">
        <s v="Fernando Sulman"/>
        <s v="Tess Benediktovich"/>
        <s v="Stanislaus Valsler"/>
        <s v="Kynthia Berick"/>
        <s v="Hatty Dovydenas"/>
        <s v="Freda Hollows"/>
        <s v="Eveleen Bletsor"/>
        <s v="Marguerite Graves"/>
        <s v="Kevan Grinsted"/>
        <s v="Martie Brimilcombe"/>
        <s v="Christel Speak"/>
        <s v="Nicky Ayris"/>
        <s v="Sacha Bruun"/>
        <s v="Lind Conyers"/>
        <s v="Agnes Adamides"/>
        <s v="Terry Sheryn"/>
        <s v="Noak Wyvill"/>
        <s v="Charlean Keave"/>
        <s v="Charmane Denys"/>
        <s v="Malynda Purbrick"/>
        <s v="Tomasina Cotmore"/>
        <s v="Faber Eilhart"/>
        <s v="Jacinthe Balsillie"/>
        <s v="Eal D'Ambrogio"/>
        <s v="Nat Saleway"/>
        <s v="Eustace Stenton"/>
        <s v="Cindra Burling"/>
        <s v="Haslett Jodrelle"/>
        <s v="Jule Deehan"/>
        <s v="Shelley Gehring"/>
        <s v="Cristina Aleixo"/>
        <s v="Fransisco Malecky"/>
        <s v="Miran Doidge"/>
        <s v="Lynnea Danton"/>
        <s v="Fanny Flanagan"/>
        <s v="Ryann Stickler"/>
        <s v="Melania Beadle"/>
        <s v="Donavon Fowle"/>
        <s v="Myles Seawright"/>
        <s v="Carolee Winchcombe"/>
        <s v="Lora Dukes"/>
        <s v="Oran Colbeck"/>
        <s v="Ransell McKall"/>
        <s v="Wright Caldero"/>
        <s v="Rana Sharer"/>
        <s v="Kienan Ferson"/>
        <s v="Friederike Drysdale"/>
        <s v="Ferrell Ferber"/>
        <s v="Ilysa Whapple"/>
        <s v="Shelli De Banke"/>
        <s v="Charis Crosier"/>
        <s v="Tymon Zanetti"/>
        <s v="Kiri Avramow"/>
        <s v="Dallas Yarham"/>
        <s v="Ilka Gurnee"/>
        <s v="Gothart Bamfield"/>
        <s v="Tallie felip"/>
        <s v="Gaspar McGavin"/>
        <s v="Irvine Phillpot"/>
        <s v="Portie Cutchie"/>
        <s v="Kylie Mowat"/>
        <s v="Connor Heaviside"/>
        <s v="Murielle Lorinez"/>
        <s v="Natal Vigrass"/>
        <s v="Marie-jeanne Redgrave"/>
        <s v="Modesty MacConnechie"/>
        <s v="Samuele Ales0"/>
        <s v="Borg Daile"/>
        <s v="Fleur Parres"/>
        <s v="Burnard Bartholin"/>
        <s v="Yardley Basill"/>
        <s v="Mindy Bogey"/>
        <s v="Diane-marie Wincer"/>
        <s v="Read Cutts"/>
        <s v="Claiborne Feye"/>
        <s v="Lyndsey Megany"/>
        <s v="Alva Filipczak"/>
        <s v="Lindon Agnolo"/>
        <s v="Wain Cholomin"/>
        <s v="Dottie Tift"/>
        <s v="Kristos Streight"/>
        <s v="Selle Scurrer"/>
        <s v="Wesley Giorgioni"/>
        <s v="Theresita Newbury"/>
        <s v="Grazia Oats"/>
        <s v="Odille Thynne"/>
        <s v="Ardith Chill"/>
        <s v="Jammie Cloke"/>
        <s v="Alberta Balsdone"/>
        <s v="Donica Bonhome"/>
        <s v="Godfry Poinsett"/>
        <s v="Reggie Thickpenny"/>
        <s v="Marja Urion"/>
        <s v="Milty Middis"/>
        <s v="Franny Kienlein"/>
        <s v="Zachariah Carlson"/>
        <s v="Sheppard Yann"/>
        <s v="Willabella Harvison"/>
        <s v="Ermin Beeble"/>
        <s v="Benedikta Paumier"/>
        <s v="Gladi Ducker"/>
        <s v="Kenton Wetherick"/>
        <s v="Julius Mccaull"/>
        <s v="Cordy Odgaard"/>
        <s v="Foster Constance"/>
        <s v="Beryle Cottier"/>
        <s v="Theda Grizard"/>
        <s v="Josefina Ferens"/>
        <s v="Chickie Ragless"/>
        <s v="Lacee Tanti"/>
        <s v="Adelice Isabell"/>
        <s v="Rufus Flear"/>
        <s v="Evelina Dacca"/>
        <s v="Wilton Cottier"/>
        <s v="Jaimie Hatz"/>
        <s v="Silas Deehan"/>
        <s v="Jarret Toye"/>
        <s v="Henderson Crowne"/>
        <s v="Nanny Lush"/>
        <s v="Nissie Rudland"/>
        <s v="Aube Follett"/>
        <s v="Raynor McGilvary"/>
        <s v="Harland Trematick"/>
        <s v="Jimmy Dymoke"/>
        <s v="Alisun Baudino"/>
        <s v="Amii Gallyon"/>
        <s v="Marris Grcic"/>
        <s v="Giacobo Skingle"/>
        <s v="Tani Taffarello"/>
        <s v="Channa Belamy"/>
        <s v="Silvio Iorizzi"/>
        <s v="Hamish MacSherry"/>
        <s v="Flynn Antony"/>
        <s v="Ethel Ryles"/>
        <s v="Shirleen Welds"/>
        <s v="Gale Croysdale"/>
        <s v="Donna Baskeyfied"/>
        <s v="Irv Hay"/>
        <s v="Meade Birkin"/>
        <s v="Gustaf Ciccotti"/>
        <s v="Maisie Sarvar"/>
        <s v="Erny Stenyng"/>
        <s v="Clement Vasiliev"/>
        <s v="Wilek Lightollers"/>
        <s v="Bo Kindley"/>
        <s v="Chiarra Shalders"/>
        <s v="Benedetto Gozzett"/>
        <s v="Emmaline Rasmus"/>
        <s v="Zeke Walisiak"/>
        <s v="Karry Flanders"/>
        <s v="Peyter Matignon"/>
        <s v="Marjorie Yoxen"/>
        <s v="Merrile Cobbledick"/>
        <s v="Roxine Drivers"/>
        <s v="Gunilla Lynch"/>
        <s v="Odelia Skerme"/>
        <s v="Dorey Sopper"/>
        <s v="Herbie Peppard"/>
        <s v="Leta Clarricoates"/>
        <s v="Rozele Relton"/>
        <s v="Nona Linklater"/>
        <s v="Byram Mergue"/>
        <s v="Auguste Rizon"/>
        <s v="Barrie Fallowes"/>
        <s v="Ailey Brash"/>
        <s v="Mina Elstone"/>
        <s v="Melodie OIlier"/>
        <s v="Deana Staite"/>
        <s v="Sherman Mewrcik"/>
        <s v="Anson Iddison"/>
        <s v="Dalia Eburah"/>
        <s v="Tess Bennison"/>
        <s v="Devon Magowan"/>
        <s v="Uriah Lethbrig"/>
        <s v="Marty Scholl"/>
        <s v="Leontine Rubrow"/>
        <s v="Abrahan Mussen"/>
        <s v="Stan Barribal"/>
        <s v="Lenore Messenbird"/>
        <s v="Angie Rizzetti"/>
        <s v="Barnett Sillis"/>
        <s v="Maxim McParland"/>
        <s v="Hadley Reuven"/>
        <s v="Cortney Gibbonson"/>
        <s v="Jasper Sisneros"/>
        <s v="Cody Verissimo"/>
        <s v="Vicki Kirdsch"/>
        <s v="Hamlen Pallister"/>
        <s v="Selene Shales"/>
        <s v="Wallis Bernth"/>
        <s v="Beltran Mathon"/>
        <s v="Davida Caro"/>
        <s v="Becca Ableson"/>
        <s v="Gabey Cogan"/>
        <s v="Guthrey Petracci"/>
        <s v="Jami Redholes"/>
        <s v="Maggy Harby"/>
        <s v="Sky Farnish"/>
        <s v="Mathilda Matiasek"/>
        <s v="Dinah Crutcher"/>
        <s v="Quinn Parsons"/>
        <s v="Gardy Dimitriou"/>
        <s v="Iorgo Kleinert"/>
        <s v="Yuma Skipsey"/>
        <s v="Killian Osler"/>
        <s v="Alexina Randals"/>
        <s v="Rudiger Di Bartolomeo"/>
        <s v="Jed Kennicott"/>
        <s v="Timoteo Glisane"/>
        <s v="Enriqueta Ixor"/>
        <s v="Katerina Melloi"/>
        <s v="Rhetta Elnaugh"/>
        <s v="Denyse O'Calleran"/>
        <s v="Donny Fries"/>
        <s v="Tania Craggs"/>
        <s v="Cam Jewster"/>
        <s v="Tammie Drynan"/>
        <s v="Adriana Lazarus"/>
        <s v="Verne Dunkerley"/>
        <s v="Waylin Hollingdale"/>
        <s v="Corney Curme"/>
        <s v="Rochette Huscroft"/>
        <s v="Brittani Thoresbie"/>
        <s v="Allis Wilmore"/>
        <s v="Marvin Malloy"/>
        <s v="Llywellyn Oscroft"/>
        <s v="Theo Bowne"/>
        <s v="Shirlene Edmondson"/>
        <s v="Claudell Ayre"/>
        <s v="Pippo Witherington"/>
        <s v="Annie Campsall"/>
        <s v="Una Welberry"/>
        <s v="Leia Kernan"/>
        <s v="Othello Syseland"/>
        <s v="Nicolina Jenny"/>
        <s v="Ameline Snazle"/>
        <s v="Gregorius Kislingbury"/>
        <s v="Kerr Patise"/>
        <s v="Winne Roche"/>
        <s v="Adele McFayden"/>
        <s v="Skylar Jeyness"/>
        <s v="Patrice Trobe"/>
        <s v="Darrin Tingly"/>
        <s v="Mahala Ludwell"/>
        <s v="Hewet Synnot"/>
        <s v="Betty Fominov"/>
        <s v="Correy Bourner"/>
        <s v="Leesa Flaonier"/>
        <s v="Abigail Tolworthy"/>
        <s v="Bearnard Wardell"/>
        <s v="Kippie Marrison"/>
        <s v="Fanchette Parlot"/>
        <s v="Sidney Gawen"/>
        <s v="Gwenni Ratt"/>
        <s v="Javier Kopke"/>
        <s v="Dael Camilletti"/>
        <s v="Lamond Gheeraert"/>
        <s v="Nobe Buney"/>
        <s v="Rhodie Strathern"/>
        <s v="Morgen Seson"/>
        <s v="Bran Sterke"/>
        <s v="Chantal Mersh"/>
        <s v="Corinna Catcheside"/>
        <s v="Chaddie Bennie"/>
        <s v="Isis Hessel"/>
        <s v="Tamarah Fero"/>
        <s v="Dorie de la Tremoille"/>
        <s v="Parker Tofful"/>
        <s v="Brenn Dundredge"/>
        <s v="Melosa Kippen"/>
        <s v="Janeva Edinboro"/>
        <s v="Terencio O'Moylan"/>
        <s v="Adora Roubert"/>
        <s v="Bee Fattorini"/>
        <s v="Don Flintiff"/>
        <s v="Nevins Glowacz"/>
        <s v="Parsifal Metrick"/>
        <s v="Olag Baudassi"/>
        <s v="Redd Simao"/>
        <s v="Nickey Youles"/>
        <s v="Helli Petroulis"/>
        <s v="Almeria Burgett"/>
        <s v="Heloise Zeal"/>
        <s v="Gregg Hawkyens"/>
        <s v="Joey Jefferys"/>
        <s v="Stanislaus Gilroy"/>
        <s v="Jermaine Branchett"/>
        <s v="Lothaire Mizzi"/>
        <s v="Dorelia Bury"/>
        <s v="Lexie Mallan"/>
        <s v="Dollie Gadsden"/>
        <s v="Marlena Howsden"/>
        <s v="Zaccaria Sherewood"/>
        <s v="Ira Sjostrom"/>
        <s v="Trina Le Sarr"/>
        <s v="Reamonn Aynold"/>
        <s v="Waylan Springall"/>
        <s v="Angelia Cleyburn"/>
        <s v="Rutger Pithcock"/>
        <s v="Aurea Corradino"/>
        <s v="Bob Giannazzi"/>
        <s v="Cleve Blowfelde"/>
        <s v="Jeno Capey"/>
        <s v="Elna Grise"/>
        <s v="Silvana Northeast"/>
        <s v="Baxy Cargen"/>
        <s v="Darcy Lochran"/>
        <s v="Raphaela Schankelborg"/>
        <s v="Rod Gowdie"/>
        <s v="Isac Jesper"/>
        <s v="Philipa Petrushanko"/>
        <s v="Spencer Wastell"/>
        <s v="Rebeka Worg"/>
        <s v="Devy Bulbrook"/>
        <s v="Cornie Venour"/>
        <s v="Camellia Kid"/>
        <s v="Shaylynn Lobe"/>
        <s v="Minny Chamberlayne"/>
        <s v="Vidovic Antonelli"/>
        <s v="Clayton Kingwell"/>
        <s v="Keefer Cake"/>
        <s v="Sibella Rushbrooke"/>
        <s v="Rudy Farquharson"/>
        <s v="Terence Vanyutin"/>
        <s v="Chuck Kendrick"/>
        <s v="Edin Yantsurev"/>
        <s v="Neville Piatto"/>
        <s v="Alon Pllu"/>
        <s v="Guenevere Ruggen"/>
        <s v="Kizzie Warman"/>
        <s v="Arlana Ferrea"/>
        <s v="Shay Couronne"/>
        <s v="Nanine McCarthy"/>
        <s v="Ketty Bromehead"/>
        <s v="Arel De Lasci"/>
        <s v="Say Risborough"/>
        <s v="Karl Imorts"/>
        <s v="Claudetta Rushe"/>
        <s v="Julio Armytage"/>
        <s v="Anjanette Goldie"/>
        <s v="Ailene Nesfield"/>
        <s v="Christopher Grieveson"/>
        <s v="Jany Rudeforth"/>
        <s v="Willy Pummery"/>
        <s v="Gay Rizzello"/>
        <s v="Alf Housaman"/>
        <s v="Craggy Bril"/>
        <s v="Gale Heindrick"/>
        <s v="Edin Mathe"/>
        <s v="Terri Farra"/>
        <s v="Conny Gheraldi"/>
        <s v="Florinda Matusovsky"/>
        <s v="Raleigh Lepere"/>
        <s v="Dell Daveridge"/>
        <s v="Bettina Leffek"/>
        <s v="Lorelei Nardoni"/>
        <s v="Annabella Danzey"/>
        <s v="Mag Armistead"/>
        <s v="Janifer Bagot"/>
        <s v="Manuel Darrigoe"/>
        <s v="Rivy Farington"/>
        <s v="Denny O' Ronan"/>
        <s v="Beryle Kenwell"/>
        <s v="Marianna Vedmore"/>
        <s v="Wren Place"/>
        <s v="Rachelle Elizabeth"/>
        <s v="Freeland Missenden"/>
        <s v="Christoffer O' Shea"/>
        <s v="Starr Arpin"/>
        <s v="Sharity Wickens"/>
        <s v="Orion Dyott"/>
        <s v="Dell Gut"/>
        <s v="Nicolas Aiton"/>
        <s v="Lyell Murch"/>
        <s v="Elden Andriessen"/>
        <s v="Rhona Lequeux"/>
        <s v="Koren Ferretti"/>
        <s v="Charin Maplethorp"/>
        <s v="Brice Romera"/>
        <s v="Violette Hellmore"/>
        <s v="Chad Miguel"/>
        <s v="Paula Denis"/>
        <s v="Carlie Linskill"/>
        <s v="Lenette Dwerryhouse"/>
        <s v="Lyndsey MacManus"/>
        <s v="Desdemona Eye"/>
        <s v="Archambault Gillard"/>
        <s v="Tildie Tilzey"/>
        <s v="Kimberli Mustchin"/>
        <s v="Lindy Uttermare"/>
        <s v="Constanta Hatfull"/>
        <s v="Chloette Bernardot"/>
        <s v="Daryn Cassius"/>
        <s v="Bunny Naulls"/>
        <s v="Granger Smallcombe"/>
        <s v="Shannon List"/>
        <s v="Micki Fero"/>
        <s v="Tomas Sutty"/>
        <s v="Lorin Guerrazzi"/>
        <s v="Rem Furman"/>
        <s v="Norene Magauran"/>
        <s v="Gran Sibray"/>
        <s v="Scarlett Oliffe"/>
        <s v="Izaak Primak"/>
        <s v="Andie Rudram"/>
        <s v="Alikee Carryer"/>
        <s v="Silvio Strase"/>
        <s v="Alisha Hulburt"/>
        <s v="Felecia Dodgson"/>
        <s v="Koressa O'Geneay"/>
        <s v="Kandace Cragell"/>
        <s v="Annetta Brentnall"/>
        <s v="Tuckie Mathonnet"/>
        <s v="Becky Semkins"/>
        <s v="Boyd Bett"/>
        <s v="Dorette Hinemoor"/>
        <s v="Baudoin Alldridge"/>
        <s v="Dyanna Aizikovitz"/>
        <s v="Salomo Cushworth"/>
        <s v="Sean Lorenzetti"/>
        <s v="Flory Crumpe"/>
        <s v="Francesco Dressel"/>
        <s v="Kacy Canto"/>
        <s v="Rosaline McLae"/>
        <s v="Sarajane Potter"/>
        <s v="Wang Powlesland"/>
        <s v="Jessica McNess"/>
        <s v="Kris O'Cullen"/>
        <s v="Dorotea Hollyman"/>
        <s v="Michale Delves"/>
        <s v="Boyce Tarte"/>
        <s v="Geoffrey Siuda"/>
        <s v="Mathew Goulter"/>
        <s v="Nico Hubert"/>
        <s v="Currey MacAllister"/>
        <s v="Andrej Havick"/>
        <s v="Nataniel Helkin"/>
        <s v="Warner Maddox"/>
        <s v="Zack Pellett"/>
        <s v="Paulo Yea"/>
        <s v="Bobbe Renner"/>
        <s v="Vasily Polglase"/>
        <s v="Valenka Stansbury"/>
        <s v="Brook Drage"/>
        <s v="Ambrosio Weinmann"/>
        <s v="Morna Hansed"/>
        <s v="Jaquenette Skentelbery"/>
        <s v="Nathan Sictornes"/>
        <s v="Rafferty Pursglove"/>
        <s v="Val Wakelin"/>
        <s v="Laurence Ellingham"/>
        <s v="Cos Fluin"/>
        <s v="Emiline Priddis"/>
        <s v="Joshuah Awdry"/>
        <s v="Kandy Heddan"/>
        <s v="Amity Chatto"/>
        <s v="Homer Dulany"/>
        <s v="Carmina Hubbuck"/>
        <s v="Cobby Cromwell"/>
        <s v="Georgena Bentjens"/>
        <s v="Dottie Rallin"/>
        <s v="Darby Dummer"/>
        <s v="Orazio Comber"/>
        <s v="Demetris Micheli"/>
        <s v="Stanford Rodliff"/>
        <s v="Geneva Standley"/>
        <s v="Emalee Rolin"/>
        <s v="Jemimah Ethelston"/>
        <s v="Sylas Jennaroy"/>
        <s v="Bette-ann Munden"/>
        <s v="Gerardo Schonfeld"/>
        <s v="Abbe Thys"/>
        <s v="Heda Fromant"/>
        <s v="Wilton Jallin"/>
        <s v="Quinton Fouracres"/>
        <s v="Linus Flippelli"/>
        <s v="Mallory Shrimpling"/>
        <s v="Loydie Langlais"/>
        <s v="Antone Harrold"/>
        <s v="Goldie Wynes"/>
        <s v="Jocko Pray"/>
        <s v="Ibby Charters"/>
        <s v="Daryn Dibley"/>
        <s v="Adorne Gregoratti"/>
        <s v="Karlan Karby"/>
        <s v="Ericka Tripp"/>
        <s v="Eddi Sedgebeer"/>
        <s v="Hazel Saill"/>
        <s v="Nealson Cuttler"/>
        <s v="Madelaine Sharples"/>
        <s v="Bar O' Mahony"/>
        <s v="Adrianne Vairow"/>
        <s v="Audra Kelston"/>
        <s v="Zachary Tramel"/>
        <s v="Isahella Hagland"/>
        <s v="Avrit Davidowsky"/>
        <s v="Vinny Shoebotham"/>
        <s v="Alric Darth"/>
        <s v="Rodger Raven"/>
        <s v="Tiffany Scardafield"/>
        <s v="Javier Causnett"/>
        <s v="Kameko Philbrick"/>
        <s v="Mar McIver"/>
        <s v="Johna Bluck"/>
        <s v="Noam Climance"/>
        <s v="Hermann Larvor"/>
        <s v="Gonzales Cicculi"/>
        <s v="Jarred Camillo"/>
        <s v="Bobbe Castagneto"/>
        <s v="Ilaire Sprakes"/>
        <s v="Hy Zanetto"/>
        <s v="Mercedes Acott"/>
        <s v="Hildegarde Brangan"/>
        <s v="Barney Chisnell"/>
        <s v="Temple Castiglione"/>
        <s v="Jilly Dreng"/>
        <s v="Carney Clemencet"/>
        <s v="Timofei Woofinden"/>
        <s v="Karylin Huddart"/>
        <s v="Abba Pummell"/>
        <s v="Granville Alberts"/>
        <s v="Evy Wilsone"/>
        <s v="Gabriel Starcks"/>
        <s v="Devland Gritton"/>
        <s v="Claudie Weond"/>
        <s v="Nertie Poolman"/>
        <s v="Ruy Cancellieri"/>
        <s v="Herta Layne"/>
        <s v="Diena Peetermann"/>
        <s v="Gnni Cheeke"/>
        <s v="Jodee Caldicott"/>
        <s v="Monique Canty"/>
        <s v="Krissie Hammett"/>
        <s v="Selma McMillian"/>
        <s v="Jeno Druitt"/>
        <s v="Ferdie Tourry"/>
        <s v="Gaile Goggin"/>
        <s v="Culley Farris"/>
        <s v="Wyatan Fetherston"/>
        <s v="Reynolds Crookshanks"/>
        <s v="Lukas Whittlesee"/>
        <s v="Skelly Dolohunty"/>
        <s v="Jorge Bettison"/>
        <s v="Rafaela Treacher"/>
        <s v="Celestia Dolohunty"/>
        <s v="Celie MacCourt"/>
        <s v="Jordana Halden"/>
        <s v="Koralle Heads"/>
        <s v="Faunie Brigham"/>
        <s v="Arleen Braidman"/>
        <s v="Astrix Kitchingham"/>
        <s v="Elka Windress"/>
        <s v="Lyon Ibert"/>
        <s v="Nathaniel Bloxland"/>
        <s v="Sada Roseborough"/>
        <s v="Abraham Coleman"/>
        <s v="Isis Pikett"/>
        <s v="Minette Whellans"/>
        <s v="Perkin Stonner"/>
        <s v="Elsbeth Westerman"/>
        <s v="Araldo Bilbrook"/>
        <s v="Orland Tadman"/>
        <s v="Wiley Leopold"/>
        <s v="Alfy Snowding"/>
        <s v="Elonore Joliffe"/>
        <s v="Nelie Garnson"/>
        <s v="Fanchon Haughian"/>
        <s v="Virgil Baumadier"/>
        <s v="Minetta Ackrill"/>
        <s v="Derick Snow"/>
        <s v="Chance Rowthorn"/>
        <s v="Stevana Woodham"/>
        <s v="Aloisia Allner"/>
        <s v="Alvis Elwin"/>
        <s v="Catarina Donn"/>
        <s v="Barrett Gudde"/>
        <s v="Doll Beauchamp"/>
        <s v="Violante Skouling"/>
        <s v="Doralin Baison"/>
        <s v="Colene Elgey"/>
        <s v="Osmund Clausen-Thue"/>
        <s v="Elonore Goodings"/>
        <s v="Hall Ranner"/>
        <s v="Mord Meriet"/>
        <s v="Murdock Hame"/>
        <s v="Isa Blazewicz"/>
        <s v="Giordano Lorenzin"/>
        <s v="Chloris Sorrell"/>
        <s v="Anselma Attwater"/>
        <s v="Zorina Ponting"/>
        <s v="Lowell Keenleyside"/>
        <s v="Dionne Skyner"/>
        <s v="Nadeen Broomer"/>
        <s v="Caddric Krzysztofiak"/>
        <s v="Reinaldos Kirtley"/>
        <s v="Caddric Atcheson"/>
        <s v="Serena Earley"/>
        <s v="Benn Checci"/>
        <s v="Rhianon Broxup"/>
        <s v="Anabelle Hutchens"/>
        <s v="Augustin Waterhouse"/>
        <s v="Muffin Yallop"/>
        <s v="Carlie Harce"/>
        <s v="Babb Pollins"/>
        <s v="Broderick McGilvra"/>
        <s v="Ancell Fendt"/>
        <s v="Skipton Morrall"/>
        <s v="Chris Croster"/>
        <s v="Pren Bess"/>
        <s v="Celia Bakeup"/>
        <s v="Jennica Tewelson"/>
        <s v="Orbadiah Duny"/>
        <s v="Emlynne Heining"/>
        <s v="Natka Leethem"/>
        <s v="Adham Greenhead"/>
        <s v="Aurlie McCarl"/>
        <s v="Jennifer Rangall"/>
        <s v="Livy Lathleiff"/>
        <s v="Mellisa Mebes"/>
        <s v="Alberto Hutchinson"/>
        <s v="Orly Ryland"/>
        <s v="Mitch Attwool"/>
        <s v="Bear Gaish"/>
        <s v="Mohandis Spurden"/>
        <s v="Annadiane Dykes"/>
        <s v="Belvia Umpleby"/>
        <s v="Klarika Egglestone"/>
        <s v="Ronda Pyson"/>
        <s v="Nicko Corps"/>
        <s v="Linn Alaway"/>
        <s v="Mozelle Calcutt"/>
        <s v="Roxie Deaconson"/>
        <s v="Kaja Loxton"/>
        <s v="Maggy Baistow"/>
        <s v="Tory Walas"/>
        <s v="Hillel Mairs"/>
        <s v="Teddi Crowthe"/>
        <s v="Nalani Pirrone"/>
        <s v="Gregorius Trengrove"/>
        <s v="Gallard Gatheral"/>
        <s v="Feliks Babber"/>
        <s v="Niels Leake"/>
        <s v="Constance Halfhide"/>
        <s v="Marvin Gundry"/>
        <s v="Donnie Hedlestone"/>
        <s v="Lorianne Kyneton"/>
        <s v="Codi Littrell"/>
        <s v="Russell Donet"/>
        <s v="Corine Drewett"/>
        <s v="Corrie Wass"/>
        <s v="Johnath Fairebrother"/>
        <s v="Dorian Vizor"/>
        <s v="Reese Lidgey"/>
        <s v="Zacharias Kiffe"/>
        <s v="Wain Stearley"/>
        <s v="Saree Ellesworth"/>
        <s v="Glory Clemon"/>
        <s v="Kim Kemery"/>
        <s v="Melvin Wharfe"/>
        <s v="Stearne Count"/>
        <s v="Darice Heaford"/>
        <s v="Nevsa Fields"/>
        <s v="Konstantine Thoumasson"/>
        <s v="Margarette Sterland"/>
        <s v="Ami Arnow"/>
        <s v="Alica Kift"/>
        <s v="Yulma Dombrell"/>
        <s v="Sim Pamphilon"/>
        <s v="Derrek Allpress"/>
        <s v="Joceline Reddoch"/>
        <s v="Drake Jevon"/>
        <s v="Stacy Pickworth"/>
        <s v="Witty Ranson"/>
        <s v="Rosaleen Scholar"/>
        <s v="Blake Kelloway"/>
        <s v="Vivyan Dunning"/>
        <s v="Beryl Osborn"/>
        <s v="Hetti Measures"/>
        <s v="Peyter Lauritzen"/>
        <s v="Sigfrid Busch"/>
        <s v="Xenos Gibbons"/>
        <s v="Pall Redford"/>
        <s v="Noni Furber"/>
        <s v="Gay Eilhersen"/>
        <s v="Lucienne Scargle"/>
        <s v="Berkly Imrie"/>
        <s v="Fielding Keinrat"/>
        <s v="Suzanna Bollam"/>
        <s v="Angelia Cockrem"/>
        <s v="Adolphe Treherne"/>
        <s v="Kendra Glison"/>
        <s v="Tersina Castagne"/>
        <s v="Cordi Switsur"/>
        <s v="Felita Dauney"/>
        <s v="Chrisy Blofeld"/>
        <s v="Alexa Sizey"/>
        <s v="Sarette Ducarel"/>
        <s v="Bobbe Piggott"/>
        <s v="Dolores Duffie"/>
        <s v="Harwilll Bishell"/>
        <s v="Sloan Diviny"/>
        <s v="Aurelia Burgwin"/>
        <s v="Teddi Quadri"/>
        <s v="Perice Eberz"/>
        <s v="Betti Lacasa"/>
        <s v="Noel Chisholm"/>
        <s v="Felicia Jecock"/>
        <s v="Mab Blakemore"/>
        <s v="Deonne Shortall"/>
        <s v="Cleopatra Goodrum"/>
        <s v="Kaela Nottram"/>
        <s v="Marne Mingey"/>
        <s v="Ingelbert Hotchkin"/>
        <s v="Edeline Edney"/>
        <s v="Nanny Izhakov"/>
        <s v="Nickey Dimbleby"/>
        <s v="Anny Mundford"/>
        <s v="Willa Rolling"/>
        <s v="Felita Eshmade"/>
        <s v="Kari Swede"/>
        <s v="Neely Broadberrie"/>
        <s v="Hailee Radbone"/>
        <s v="Bayard Wellan"/>
        <s v="Maitilde Boxill"/>
        <s v="Antonius Lewry"/>
        <s v="Billy Neiland"/>
        <s v="Cece Inker"/>
        <s v="Gabie Tweed"/>
        <s v="Merell Zanazzi"/>
        <s v="Romain Avrashin"/>
        <s v="Reube Cawley"/>
        <s v="Cybill Graddell"/>
        <s v="Maurie Bartol"/>
        <s v="Layne Imason"/>
        <s v="Man Fright"/>
        <s v="Cecil Weatherall"/>
        <s v="Queenie Veel"/>
        <s v="Kienan Scholard"/>
        <s v="Rickey Readie"/>
        <s v="Zilvia Claisse"/>
        <s v="Tawnya Menary"/>
        <s v="Ingamar Eberlein"/>
        <s v="Annabel Antuk"/>
        <s v="Jacquelyn Maha"/>
        <s v="Giana Tonnesen"/>
        <s v="Rasia Jacquemard"/>
        <s v="Daniel Heinonen"/>
        <s v="Graeme Whitehead"/>
        <s v="Delmar Beasant"/>
        <s v="Minni Alabaster"/>
        <s v="Rikki Tomkowicz"/>
        <s v="Bobinette Hindsberg"/>
        <s v="Bartholemy Flaherty"/>
        <s v="Janella Millett"/>
        <s v="Jewelle Shenton"/>
        <s v="Lenka Rushmer"/>
        <s v="Jereme Gippes"/>
        <s v="Byron Acarson"/>
        <s v="Stanly Keets"/>
        <s v="Dick Drinkall"/>
        <s v="Grete Holborn"/>
        <s v="Torie Gottelier"/>
        <s v="Arda Curley"/>
        <s v="Granger Fantham"/>
        <s v="Vasili Upstone"/>
        <s v="Duky Phizackerly"/>
        <s v="Vanya Skullet"/>
        <s v="Emlynne Laird"/>
        <s v="Hamish Skeech"/>
        <s v="Frans Habbergham"/>
        <s v="Brendan Grece"/>
        <s v="Effie Yurkov"/>
        <s v="Berty Beelby"/>
        <s v="Osbert Robins"/>
        <s v="Adelheid Gladhill"/>
        <s v="Lenci Haggerstone"/>
        <s v="Silvanus Enefer"/>
        <s v="Ashbey Tomaszewski"/>
        <s v="Gerard Pirdy"/>
        <s v="Arabella Fransewich"/>
        <s v="Bram Revel"/>
        <s v="Vivie Danneil"/>
        <s v="Silvan McShea"/>
        <s v="Cassie Pinkerton"/>
        <s v="Trumaine Tewelson"/>
        <s v="Monica Fearon"/>
        <s v="Birgit Domange"/>
        <s v="Itch Norquoy"/>
        <s v="Ingeberg Mulliner"/>
        <s v="Lawrence Pratt"/>
        <s v="Delainey Kiddy"/>
        <s v="Devan Crownshaw"/>
        <s v="Quintina Heavyside"/>
        <s v="Vernor Pawsey"/>
        <s v="Claiborne Mottram"/>
        <s v="Trescha Jedrachowicz"/>
        <s v="Rickie Faltin"/>
        <s v="Shermy Moseby"/>
        <s v="Myrle Dearden"/>
        <s v="Waneta Edinborough"/>
        <s v="Felice Miell"/>
        <s v="Kipper Boorn"/>
        <s v="Terri Lyford"/>
        <s v="Vanna Le - Count"/>
        <s v="Cecily Stebbings"/>
        <s v="Theo Jacobovitz"/>
        <s v="Adrian Swaine"/>
        <s v="Elysee Sketch"/>
        <s v="Filip Antcliffe"/>
        <s v="Courtney Pallant"/>
        <s v="Bidget Tremellier"/>
        <s v="Cletis Giacomazzo"/>
        <s v="Willabella Abramski"/>
        <s v="Hussein Olliff"/>
        <s v="Dom Milella"/>
        <s v="Darn Penquet"/>
        <s v="Ramon Cheak"/>
        <s v="Willey Romao"/>
        <s v="Winn Keyse"/>
        <s v="Vivyan Ceely"/>
        <s v="Hayward Goulter"/>
        <s v="Correy Cottingham"/>
        <s v="Domeniga Duke"/>
        <s v="Catharine Scoines"/>
        <s v="Nick Brakespear"/>
        <s v="Pru Durban"/>
        <s v="Patsy Vasilenko"/>
        <s v="Perry Lyfield"/>
        <s v="Lemuel Rignold"/>
        <s v="Petey Kingsbury"/>
        <s v="De Drewitt"/>
        <s v="Shawnee Critchlow"/>
        <s v="Inger Bouldon"/>
        <s v="Marty Kidstoun"/>
        <s v="Nannie Naseby"/>
        <s v="Shelli Keynd"/>
        <s v="Chester Clowton"/>
        <s v="Hally Lorait"/>
        <s v="Jackquelin Chugg"/>
        <s v="Elvina Angel"/>
        <s v="Dianne Chardin"/>
        <s v="Pen Wye"/>
        <s v="Bertine Byrd"/>
        <s v="Donalt Sangwin"/>
        <s v="Selia Ragles"/>
        <s v="Lisa Goodger"/>
        <s v="Gussy Broadbear"/>
        <s v="Lorenzo Yeoland"/>
        <s v="Emlynne Palfrey"/>
        <s v="Jeffrey Dufaire"/>
        <s v="Jennifer Wilkisson"/>
        <s v="Helaina Rainforth"/>
        <s v="Lem Pennacci"/>
        <s v="Conchita Bryde"/>
        <s v="Lewes Danes"/>
        <s v="Webb Speechly"/>
        <s v="Elizabet Aizikowitz"/>
        <s v="Hetti Penson"/>
        <s v="Sinclare Edsell"/>
        <s v="Madelene Prinn"/>
        <s v="Merrel Steptow"/>
        <s v="Hartley Mattioli"/>
        <s v="Shelley Titley"/>
        <s v="Ken Lestrange"/>
        <s v="Morly Rocks"/>
        <s v="Lyn Entwistle"/>
        <s v="Janella Eden"/>
        <s v="Reggis Pracy"/>
        <s v="Paulie Fonzone"/>
        <s v="Simone Capon"/>
        <s v="Kathleen Diable"/>
        <s v="Gilberto Cornier"/>
        <s v="Leonie Cullrford"/>
        <s v="Carolann Beine"/>
        <s v="Emiline Galgey"/>
        <s v="Cissiee Raisbeck"/>
        <s v="Phyllys Ormerod"/>
        <s v="Lacee Burtenshaw"/>
        <s v="Yuri Burrells"/>
        <s v="Else Langcaster"/>
        <s v="Margie Palleske"/>
        <s v="Samuele Klaaassen"/>
        <s v="Casi Gwinnett"/>
        <s v="Judd De Leek"/>
        <s v="Malynda Glawsop"/>
        <s v="Rhetta Zywicki"/>
        <s v="Kendra Backshell"/>
        <s v="Rodolfo Willoway"/>
        <s v="Sharl Southerill"/>
        <s v="Beitris Keaveney"/>
        <s v="Isidore Hussey"/>
        <s v="Hazel Iacopini"/>
        <s v="Blancha McAmish"/>
        <s v="Melli Brockway"/>
        <s v="Ewell Hanby"/>
        <s v="Paola Brydell"/>
        <s v="Sharona Danilchik"/>
        <s v="Vallie Kundt"/>
        <s v="Mordy Van Der Vlies"/>
        <s v="Lauritz Ledgley"/>
        <s v="Innis Renhard"/>
        <s v="Carmelita Thowes"/>
        <s v="Laryssa Benediktovich"/>
        <s v="Rea Offell"/>
        <s v="Heall Perris"/>
        <s v="Ugo Southerden"/>
        <s v="Dagny Kornel"/>
        <s v="Bobby Folomkin"/>
        <s v="Leonore Francisco"/>
        <s v="Ethelda Hobbing"/>
        <s v="Pammi Endacott"/>
        <s v="Charin Penwarden"/>
        <s v="Randal Longfield"/>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6">
      <sharedItems containsSemiMixedTypes="0" containsString="0" containsNumber="1" minValue="0.2" maxValue="2.5" count="4">
        <n v="1"/>
        <n v="0.5"/>
        <n v="2.5"/>
        <n v="0.2"/>
      </sharedItems>
    </cacheField>
    <cacheField name="Unit Price" numFmtId="167">
      <sharedItems containsSemiMixedTypes="0" containsString="0" containsNumber="1" minValue="2.6849999999999996" maxValue="36.454999999999998"/>
    </cacheField>
    <cacheField name="Sales" numFmtId="167">
      <sharedItems containsSemiMixedTypes="0" containsString="0" containsNumber="1" minValue="2.6849999999999996" maxValue="218.73"/>
    </cacheField>
    <cacheField name="Coffee Type Name" numFmtId="0">
      <sharedItems count="4">
        <s v="Robusta"/>
        <s v="Liberica"/>
        <s v="Arabica"/>
        <s v="Excelsa"/>
      </sharedItems>
    </cacheField>
    <cacheField name="Roast Type Name" numFmtId="0">
      <sharedItems count="3">
        <s v="Dark"/>
        <s v="Light"/>
        <s v="Medium"/>
      </sharedItems>
    </cacheField>
    <cacheField name="Loyalty Card" numFmtId="0">
      <sharedItems count="2">
        <s v="Yes"/>
        <s v="No"/>
      </sharedItems>
    </cacheField>
    <cacheField name="Order Frequency" numFmtId="0">
      <sharedItems containsSemiMixedTypes="0" containsString="0" containsNumber="1" containsInteger="1" minValue="1" maxValue="5"/>
    </cacheField>
    <cacheField name="Average Order Cost" numFmtId="2">
      <sharedItems containsSemiMixedTypes="0" containsString="0" containsNumber="1" minValue="2.6849999999999996" maxValue="218.73"/>
    </cacheField>
    <cacheField name="Frequency Group" numFmtId="0">
      <sharedItems count="6">
        <s v="Less than 2"/>
        <s v="Between 4 and 2"/>
        <s v="More than 4"/>
        <s v="2-" u="1"/>
        <s v="4-2" u="1"/>
        <s v="4+" u="1"/>
      </sharedItems>
    </cacheField>
    <cacheField name="Customer Segment" numFmtId="0">
      <sharedItems count="3">
        <s v="Low Value"/>
        <s v="Medium Value"/>
        <s v="High Value"/>
      </sharedItems>
    </cacheField>
    <cacheField name="Spend Distribution" numFmtId="0">
      <sharedItems count="4">
        <s v="$0-50"/>
        <s v="$50-100"/>
        <s v="$150+"/>
        <s v="$101-150"/>
      </sharedItems>
    </cacheField>
    <cacheField name="Sales Tier" numFmtId="0">
      <sharedItems/>
    </cacheField>
    <cacheField name="Quantity Tier" numFmtId="0">
      <sharedItems/>
    </cacheField>
    <cacheField name="Quadrant Label" numFmtId="0">
      <sharedItems count="4">
        <s v="High Price-Low Volume"/>
        <s v="High Price-High Volume"/>
        <s v="Low Price-High Volume"/>
        <s v="Low Price-Low Volume"/>
      </sharedItems>
    </cacheField>
    <cacheField name="Month" numFmtId="0">
      <sharedItems/>
    </cacheField>
    <cacheField name="Quarter" numFmtId="0">
      <sharedItems count="4">
        <s v="Second Quarter"/>
        <s v="Fourth Quarter"/>
        <s v="First Quarter"/>
        <s v="Third Quarter"/>
      </sharedItems>
    </cacheField>
    <cacheField name="Coffee-Roast" numFmtId="0">
      <sharedItems count="12">
        <s v="Robusta-Dark"/>
        <s v="Liberica-Light"/>
        <s v="Arabica-Medium"/>
        <s v="Excelsa-Medium"/>
        <s v="Liberica-Medium"/>
        <s v="Robusta-Medium"/>
        <s v="Arabica-Light"/>
        <s v="Arabica-Dark"/>
        <s v="Excelsa-Dark"/>
        <s v="Liberica-Dark"/>
        <s v="Excelsa-Light"/>
        <s v="Robusta-Light"/>
      </sharedItems>
    </cacheField>
    <cacheField name="Season" numFmtId="0">
      <sharedItems count="4">
        <s v="Summer"/>
        <s v="Autumn"/>
        <s v="Winter"/>
        <s v="Spring"/>
      </sharedItems>
    </cacheField>
    <cacheField name="Months (Order Date)" numFmtId="0" databaseField="0">
      <fieldGroup base="1">
        <rangePr groupBy="months" startDate="2019-01-02T00:00:00" endDate="2022-08-20T00:00:00"/>
        <groupItems count="14">
          <s v="&lt;1/2/2019"/>
          <s v="Jan"/>
          <s v="Feb"/>
          <s v="Mar"/>
          <s v="Apr"/>
          <s v="May"/>
          <s v="Jun"/>
          <s v="Jul"/>
          <s v="Aug"/>
          <s v="Sep"/>
          <s v="Oct"/>
          <s v="Nov"/>
          <s v="Dec"/>
          <s v="&gt;8/20/2022"/>
        </groupItems>
      </fieldGroup>
    </cacheField>
    <cacheField name="Years (Order Date)" numFmtId="0" databaseField="0">
      <fieldGroup base="1">
        <rangePr groupBy="years" startDate="2019-01-02T00:00:00" endDate="2022-08-20T00:00:00"/>
        <groupItems count="6">
          <s v="&lt;1/2/2019"/>
          <s v="2019"/>
          <s v="2020"/>
          <s v="2021"/>
          <s v="2022"/>
          <s v="&gt;8/20/2022"/>
        </groupItems>
      </fieldGroup>
    </cacheField>
    <cacheField name="Average Revenue per Unit " numFmtId="0" formula="Sales/Quantity" databaseField="0"/>
    <cacheField name="Mean" numFmtId="0" formula=" 12.71" databaseField="0"/>
    <cacheField name="Baseline Average Size" numFmtId="0" formula=" 1" databaseField="0"/>
    <cacheField name="Average Order Value" numFmtId="0" formula=" SUM(Sales)/COUNT('Order ID')" databaseField="0"/>
  </cacheFields>
  <extLst>
    <ext xmlns:x14="http://schemas.microsoft.com/office/spreadsheetml/2009/9/main" uri="{725AE2AE-9491-48be-B2B4-4EB974FC3084}">
      <x14:pivotCacheDefinition pivotCacheId="107750750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AAQ-13644-699"/>
    <x v="0"/>
    <s v="46296-42617-OQ"/>
    <x v="0"/>
    <n v="4"/>
    <x v="0"/>
    <s v="fsulmanl0@washington.edu"/>
    <x v="0"/>
    <s v="Rob"/>
    <s v="D"/>
    <x v="0"/>
    <n v="8.9499999999999993"/>
    <n v="35.799999999999997"/>
    <x v="0"/>
    <x v="0"/>
    <x v="0"/>
    <n v="1"/>
    <n v="35.799999999999997"/>
    <x v="0"/>
    <x v="0"/>
    <x v="0"/>
    <s v="High Price"/>
    <s v="Low Volume"/>
    <x v="0"/>
    <s v="June"/>
    <x v="0"/>
    <x v="0"/>
    <x v="0"/>
  </r>
  <r>
    <s v="ABK-08091-531"/>
    <x v="1"/>
    <s v="53864-36201-FG"/>
    <x v="1"/>
    <n v="3"/>
    <x v="1"/>
    <s v="tbenediktovichmv@ebay.com"/>
    <x v="0"/>
    <s v="Lib"/>
    <s v="L"/>
    <x v="0"/>
    <n v="15.85"/>
    <n v="47.55"/>
    <x v="1"/>
    <x v="1"/>
    <x v="0"/>
    <n v="1"/>
    <n v="47.55"/>
    <x v="0"/>
    <x v="0"/>
    <x v="0"/>
    <s v="High Price"/>
    <s v="Low Volume"/>
    <x v="0"/>
    <s v="October"/>
    <x v="1"/>
    <x v="1"/>
    <x v="1"/>
  </r>
  <r>
    <s v="ABO-29054-365"/>
    <x v="2"/>
    <s v="00256-19905-YG"/>
    <x v="2"/>
    <n v="6"/>
    <x v="2"/>
    <s v=""/>
    <x v="1"/>
    <s v="Ara"/>
    <s v="M"/>
    <x v="1"/>
    <n v="6.75"/>
    <n v="40.5"/>
    <x v="2"/>
    <x v="2"/>
    <x v="1"/>
    <n v="1"/>
    <n v="40.5"/>
    <x v="0"/>
    <x v="0"/>
    <x v="0"/>
    <s v="High Price"/>
    <s v="High Volume"/>
    <x v="1"/>
    <s v="January"/>
    <x v="2"/>
    <x v="2"/>
    <x v="2"/>
  </r>
  <r>
    <s v="ACY-56225-839"/>
    <x v="3"/>
    <s v="47386-50743-FG"/>
    <x v="3"/>
    <n v="3"/>
    <x v="3"/>
    <s v=""/>
    <x v="0"/>
    <s v="Ara"/>
    <s v="M"/>
    <x v="2"/>
    <n v="25.874999999999996"/>
    <n v="77.624999999999986"/>
    <x v="2"/>
    <x v="2"/>
    <x v="0"/>
    <n v="1"/>
    <n v="77.624999999999986"/>
    <x v="0"/>
    <x v="0"/>
    <x v="1"/>
    <s v="High Price"/>
    <s v="Low Volume"/>
    <x v="0"/>
    <s v="January"/>
    <x v="2"/>
    <x v="2"/>
    <x v="2"/>
  </r>
  <r>
    <s v="ADP-04506-084"/>
    <x v="4"/>
    <s v="61809-87758-LJ"/>
    <x v="4"/>
    <n v="6"/>
    <x v="4"/>
    <s v=""/>
    <x v="0"/>
    <s v="Exc"/>
    <s v="M"/>
    <x v="2"/>
    <n v="31.624999999999996"/>
    <n v="189.74999999999997"/>
    <x v="3"/>
    <x v="2"/>
    <x v="0"/>
    <n v="1"/>
    <n v="189.74999999999997"/>
    <x v="0"/>
    <x v="0"/>
    <x v="2"/>
    <s v="High Price"/>
    <s v="High Volume"/>
    <x v="1"/>
    <s v="July"/>
    <x v="3"/>
    <x v="3"/>
    <x v="0"/>
  </r>
  <r>
    <s v="ADX-50674-975"/>
    <x v="5"/>
    <s v="58916-61837-QH"/>
    <x v="3"/>
    <n v="4"/>
    <x v="5"/>
    <s v="fhollowsc8@blogtalkradio.com"/>
    <x v="0"/>
    <s v="Ara"/>
    <s v="M"/>
    <x v="2"/>
    <n v="25.874999999999996"/>
    <n v="103.49999999999999"/>
    <x v="2"/>
    <x v="2"/>
    <x v="0"/>
    <n v="1"/>
    <n v="103.49999999999999"/>
    <x v="0"/>
    <x v="0"/>
    <x v="3"/>
    <s v="High Price"/>
    <s v="Low Volume"/>
    <x v="0"/>
    <s v="February"/>
    <x v="2"/>
    <x v="2"/>
    <x v="2"/>
  </r>
  <r>
    <s v="AEL-51169-725"/>
    <x v="6"/>
    <s v="37430-29579-HD"/>
    <x v="5"/>
    <n v="6"/>
    <x v="6"/>
    <s v="ebletsor8l@vinaora.com"/>
    <x v="0"/>
    <s v="Lib"/>
    <s v="M"/>
    <x v="3"/>
    <n v="4.3650000000000002"/>
    <n v="26.19"/>
    <x v="1"/>
    <x v="2"/>
    <x v="0"/>
    <n v="1"/>
    <n v="26.19"/>
    <x v="0"/>
    <x v="0"/>
    <x v="0"/>
    <s v="Low Price"/>
    <s v="High Volume"/>
    <x v="2"/>
    <s v="February"/>
    <x v="2"/>
    <x v="4"/>
    <x v="2"/>
  </r>
  <r>
    <s v="AEZ-13242-456"/>
    <x v="7"/>
    <s v="62494-09113-RP"/>
    <x v="6"/>
    <n v="5"/>
    <x v="7"/>
    <s v=""/>
    <x v="0"/>
    <s v="Rob"/>
    <s v="M"/>
    <x v="1"/>
    <n v="5.97"/>
    <n v="29.849999999999998"/>
    <x v="0"/>
    <x v="2"/>
    <x v="1"/>
    <n v="1"/>
    <n v="29.849999999999998"/>
    <x v="0"/>
    <x v="0"/>
    <x v="0"/>
    <s v="High Price"/>
    <s v="High Volume"/>
    <x v="1"/>
    <s v="May"/>
    <x v="0"/>
    <x v="5"/>
    <x v="3"/>
  </r>
  <r>
    <s v="AGQ-06534-750"/>
    <x v="8"/>
    <s v="52798-46508-HP"/>
    <x v="7"/>
    <n v="5"/>
    <x v="8"/>
    <s v="kgrinstedj4@google.com.br"/>
    <x v="1"/>
    <s v="Ara"/>
    <s v="L"/>
    <x v="0"/>
    <n v="12.95"/>
    <n v="64.75"/>
    <x v="2"/>
    <x v="1"/>
    <x v="1"/>
    <n v="1"/>
    <n v="64.75"/>
    <x v="0"/>
    <x v="0"/>
    <x v="1"/>
    <s v="High Price"/>
    <s v="High Volume"/>
    <x v="1"/>
    <s v="April"/>
    <x v="0"/>
    <x v="6"/>
    <x v="3"/>
  </r>
  <r>
    <s v="AHQ-40440-522"/>
    <x v="9"/>
    <s v="83833-46106-ZC"/>
    <x v="8"/>
    <n v="1"/>
    <x v="9"/>
    <s v="mbrimilcombele@cnn.com"/>
    <x v="0"/>
    <s v="Ara"/>
    <s v="D"/>
    <x v="0"/>
    <n v="9.9499999999999993"/>
    <n v="9.9499999999999993"/>
    <x v="2"/>
    <x v="0"/>
    <x v="1"/>
    <n v="1"/>
    <n v="9.9499999999999993"/>
    <x v="0"/>
    <x v="0"/>
    <x v="0"/>
    <s v="Low Price"/>
    <s v="Low Volume"/>
    <x v="3"/>
    <s v="September"/>
    <x v="3"/>
    <x v="7"/>
    <x v="1"/>
  </r>
  <r>
    <s v="AHV-66988-037"/>
    <x v="10"/>
    <s v="12743-00952-KO"/>
    <x v="9"/>
    <n v="2"/>
    <x v="10"/>
    <s v=""/>
    <x v="0"/>
    <s v="Rob"/>
    <s v="M"/>
    <x v="2"/>
    <n v="22.884999999999998"/>
    <n v="45.769999999999996"/>
    <x v="0"/>
    <x v="2"/>
    <x v="1"/>
    <n v="1"/>
    <n v="45.769999999999996"/>
    <x v="0"/>
    <x v="0"/>
    <x v="0"/>
    <s v="High Price"/>
    <s v="Low Volume"/>
    <x v="0"/>
    <s v="September"/>
    <x v="3"/>
    <x v="5"/>
    <x v="1"/>
  </r>
  <r>
    <s v="AHY-20324-088"/>
    <x v="11"/>
    <s v="63499-24884-PP"/>
    <x v="10"/>
    <n v="2"/>
    <x v="11"/>
    <s v="nayrisix@t-online.de"/>
    <x v="2"/>
    <s v="Lib"/>
    <s v="L"/>
    <x v="3"/>
    <n v="4.7549999999999999"/>
    <n v="9.51"/>
    <x v="1"/>
    <x v="1"/>
    <x v="0"/>
    <n v="1"/>
    <n v="9.51"/>
    <x v="0"/>
    <x v="0"/>
    <x v="0"/>
    <s v="Low Price"/>
    <s v="Low Volume"/>
    <x v="3"/>
    <s v="September"/>
    <x v="3"/>
    <x v="1"/>
    <x v="1"/>
  </r>
  <r>
    <s v="AIA-98989-755"/>
    <x v="12"/>
    <s v="34704-83143-KS"/>
    <x v="11"/>
    <n v="1"/>
    <x v="12"/>
    <s v="sbruunjt@blogtalkradio.com"/>
    <x v="0"/>
    <s v="Rob"/>
    <s v="M"/>
    <x v="3"/>
    <n v="2.9849999999999999"/>
    <n v="2.9849999999999999"/>
    <x v="0"/>
    <x v="2"/>
    <x v="1"/>
    <n v="1"/>
    <n v="2.9849999999999999"/>
    <x v="0"/>
    <x v="0"/>
    <x v="0"/>
    <s v="Low Price"/>
    <s v="Low Volume"/>
    <x v="3"/>
    <s v="May"/>
    <x v="0"/>
    <x v="5"/>
    <x v="3"/>
  </r>
  <r>
    <s v="AJL-52941-018"/>
    <x v="13"/>
    <s v="55871-61935-MF"/>
    <x v="12"/>
    <n v="2"/>
    <x v="13"/>
    <s v="lconyers2y@twitter.com"/>
    <x v="0"/>
    <s v="Exc"/>
    <s v="D"/>
    <x v="0"/>
    <n v="12.15"/>
    <n v="24.3"/>
    <x v="3"/>
    <x v="0"/>
    <x v="1"/>
    <n v="1"/>
    <n v="24.3"/>
    <x v="0"/>
    <x v="0"/>
    <x v="0"/>
    <s v="Low Price"/>
    <s v="Low Volume"/>
    <x v="3"/>
    <s v="May"/>
    <x v="0"/>
    <x v="8"/>
    <x v="3"/>
  </r>
  <r>
    <s v="AJV-18231-334"/>
    <x v="14"/>
    <s v="23473-41001-CD"/>
    <x v="13"/>
    <n v="2"/>
    <x v="14"/>
    <s v="aadamidesco@bizjournals.com"/>
    <x v="2"/>
    <s v="Rob"/>
    <s v="D"/>
    <x v="2"/>
    <n v="20.584999999999997"/>
    <n v="41.169999999999995"/>
    <x v="0"/>
    <x v="0"/>
    <x v="1"/>
    <n v="1"/>
    <n v="41.169999999999995"/>
    <x v="0"/>
    <x v="0"/>
    <x v="0"/>
    <s v="High Price"/>
    <s v="Low Volume"/>
    <x v="0"/>
    <s v="July"/>
    <x v="3"/>
    <x v="0"/>
    <x v="0"/>
  </r>
  <r>
    <s v="AKV-93064-769"/>
    <x v="15"/>
    <s v="22305-40299-CY"/>
    <x v="14"/>
    <n v="1"/>
    <x v="15"/>
    <s v="tsheryn31@mtv.com"/>
    <x v="0"/>
    <s v="Lib"/>
    <s v="D"/>
    <x v="1"/>
    <n v="7.77"/>
    <n v="7.77"/>
    <x v="1"/>
    <x v="0"/>
    <x v="0"/>
    <n v="1"/>
    <n v="7.77"/>
    <x v="0"/>
    <x v="0"/>
    <x v="0"/>
    <s v="Low Price"/>
    <s v="Low Volume"/>
    <x v="3"/>
    <s v="December"/>
    <x v="1"/>
    <x v="9"/>
    <x v="2"/>
  </r>
  <r>
    <s v="ALA-62598-016"/>
    <x v="16"/>
    <s v="57145-03803-ZL"/>
    <x v="15"/>
    <n v="6"/>
    <x v="16"/>
    <s v="nwyvill6b@naver.com"/>
    <x v="2"/>
    <s v="Rob"/>
    <s v="D"/>
    <x v="3"/>
    <n v="2.6849999999999996"/>
    <n v="16.11"/>
    <x v="0"/>
    <x v="0"/>
    <x v="0"/>
    <n v="1"/>
    <n v="16.11"/>
    <x v="0"/>
    <x v="0"/>
    <x v="0"/>
    <s v="Low Price"/>
    <s v="High Volume"/>
    <x v="2"/>
    <s v="February"/>
    <x v="2"/>
    <x v="0"/>
    <x v="2"/>
  </r>
  <r>
    <s v="ALM-80762-974"/>
    <x v="17"/>
    <s v="84045-66771-SL"/>
    <x v="16"/>
    <n v="3"/>
    <x v="17"/>
    <s v="ckeaver1@ucoz.com"/>
    <x v="0"/>
    <s v="Ara"/>
    <s v="L"/>
    <x v="1"/>
    <n v="7.77"/>
    <n v="23.31"/>
    <x v="2"/>
    <x v="1"/>
    <x v="1"/>
    <n v="1"/>
    <n v="23.31"/>
    <x v="0"/>
    <x v="0"/>
    <x v="0"/>
    <s v="Low Price"/>
    <s v="Low Volume"/>
    <x v="3"/>
    <s v="March"/>
    <x v="2"/>
    <x v="6"/>
    <x v="3"/>
  </r>
  <r>
    <s v="ALP-37623-536"/>
    <x v="18"/>
    <s v="24689-69376-XX"/>
    <x v="1"/>
    <n v="6"/>
    <x v="18"/>
    <s v="cdenysi1@is.gd"/>
    <x v="2"/>
    <s v="Lib"/>
    <s v="L"/>
    <x v="0"/>
    <n v="15.85"/>
    <n v="95.1"/>
    <x v="1"/>
    <x v="1"/>
    <x v="1"/>
    <n v="1"/>
    <n v="95.1"/>
    <x v="0"/>
    <x v="0"/>
    <x v="1"/>
    <s v="High Price"/>
    <s v="High Volume"/>
    <x v="1"/>
    <s v="July"/>
    <x v="3"/>
    <x v="1"/>
    <x v="0"/>
  </r>
  <r>
    <s v="ALR-62963-723"/>
    <x v="19"/>
    <s v="80463-43913-WZ"/>
    <x v="15"/>
    <n v="3"/>
    <x v="19"/>
    <s v=""/>
    <x v="1"/>
    <s v="Rob"/>
    <s v="D"/>
    <x v="3"/>
    <n v="2.6849999999999996"/>
    <n v="8.0549999999999997"/>
    <x v="0"/>
    <x v="0"/>
    <x v="0"/>
    <n v="1"/>
    <n v="8.0549999999999997"/>
    <x v="0"/>
    <x v="0"/>
    <x v="0"/>
    <s v="Low Price"/>
    <s v="Low Volume"/>
    <x v="3"/>
    <s v="June"/>
    <x v="0"/>
    <x v="0"/>
    <x v="0"/>
  </r>
  <r>
    <s v="AMB-93600-000"/>
    <x v="20"/>
    <s v="64435-53100-WM"/>
    <x v="17"/>
    <n v="1"/>
    <x v="20"/>
    <s v="tcotmore9y@amazonaws.com"/>
    <x v="0"/>
    <s v="Ara"/>
    <s v="L"/>
    <x v="2"/>
    <n v="29.784999999999997"/>
    <n v="29.784999999999997"/>
    <x v="2"/>
    <x v="1"/>
    <x v="1"/>
    <n v="1"/>
    <n v="29.784999999999997"/>
    <x v="0"/>
    <x v="0"/>
    <x v="0"/>
    <s v="Low Price"/>
    <s v="Low Volume"/>
    <x v="3"/>
    <s v="May"/>
    <x v="0"/>
    <x v="6"/>
    <x v="3"/>
  </r>
  <r>
    <s v="AMM-79521-378"/>
    <x v="21"/>
    <s v="24825-51803-CQ"/>
    <x v="18"/>
    <n v="6"/>
    <x v="21"/>
    <s v="feilhartz@who.int"/>
    <x v="0"/>
    <s v="Ara"/>
    <s v="D"/>
    <x v="1"/>
    <n v="5.97"/>
    <n v="35.82"/>
    <x v="2"/>
    <x v="0"/>
    <x v="1"/>
    <n v="1"/>
    <n v="35.82"/>
    <x v="0"/>
    <x v="0"/>
    <x v="0"/>
    <s v="High Price"/>
    <s v="High Volume"/>
    <x v="1"/>
    <s v="June"/>
    <x v="0"/>
    <x v="7"/>
    <x v="0"/>
  </r>
  <r>
    <s v="AMT-40418-362"/>
    <x v="22"/>
    <s v="04513-76520-QO"/>
    <x v="19"/>
    <n v="1"/>
    <x v="22"/>
    <s v="jbalsillie46@princeton.edu"/>
    <x v="0"/>
    <s v="Lib"/>
    <s v="D"/>
    <x v="0"/>
    <n v="12.95"/>
    <n v="12.95"/>
    <x v="1"/>
    <x v="0"/>
    <x v="0"/>
    <n v="1"/>
    <n v="12.95"/>
    <x v="0"/>
    <x v="0"/>
    <x v="0"/>
    <s v="Low Price"/>
    <s v="Low Volume"/>
    <x v="3"/>
    <s v="August"/>
    <x v="3"/>
    <x v="9"/>
    <x v="0"/>
  </r>
  <r>
    <s v="ANK-59436-446"/>
    <x v="23"/>
    <s v="17488-65879-XL"/>
    <x v="20"/>
    <n v="4"/>
    <x v="23"/>
    <s v="edambrogiohn@techcrunch.com"/>
    <x v="0"/>
    <s v="Exc"/>
    <s v="L"/>
    <x v="1"/>
    <n v="8.91"/>
    <n v="35.64"/>
    <x v="3"/>
    <x v="1"/>
    <x v="0"/>
    <n v="1"/>
    <n v="35.64"/>
    <x v="0"/>
    <x v="0"/>
    <x v="0"/>
    <s v="High Price"/>
    <s v="Low Volume"/>
    <x v="0"/>
    <s v="January"/>
    <x v="2"/>
    <x v="10"/>
    <x v="2"/>
  </r>
  <r>
    <s v="ANM-16388-634"/>
    <x v="24"/>
    <s v="77343-52608-FF"/>
    <x v="10"/>
    <n v="2"/>
    <x v="24"/>
    <s v="nsaleway1v@dedecms.com"/>
    <x v="0"/>
    <s v="Lib"/>
    <s v="L"/>
    <x v="3"/>
    <n v="4.7549999999999999"/>
    <n v="9.51"/>
    <x v="1"/>
    <x v="1"/>
    <x v="1"/>
    <n v="1"/>
    <n v="9.51"/>
    <x v="0"/>
    <x v="0"/>
    <x v="0"/>
    <s v="Low Price"/>
    <s v="Low Volume"/>
    <x v="3"/>
    <s v="November"/>
    <x v="1"/>
    <x v="1"/>
    <x v="1"/>
  </r>
  <r>
    <s v="AOL-13866-711"/>
    <x v="25"/>
    <s v="83490-88357-LJ"/>
    <x v="21"/>
    <n v="4"/>
    <x v="25"/>
    <s v="estentonms@google.it"/>
    <x v="0"/>
    <s v="Exc"/>
    <s v="M"/>
    <x v="0"/>
    <n v="13.75"/>
    <n v="55"/>
    <x v="3"/>
    <x v="2"/>
    <x v="0"/>
    <n v="1"/>
    <n v="55"/>
    <x v="0"/>
    <x v="0"/>
    <x v="1"/>
    <s v="High Price"/>
    <s v="Low Volume"/>
    <x v="0"/>
    <s v="February"/>
    <x v="2"/>
    <x v="3"/>
    <x v="2"/>
  </r>
  <r>
    <s v="AOT-70449-651"/>
    <x v="26"/>
    <s v="53414-73391-CR"/>
    <x v="13"/>
    <n v="5"/>
    <x v="26"/>
    <s v=""/>
    <x v="0"/>
    <s v="Rob"/>
    <s v="D"/>
    <x v="2"/>
    <n v="20.584999999999997"/>
    <n v="102.92499999999998"/>
    <x v="0"/>
    <x v="0"/>
    <x v="0"/>
    <n v="1"/>
    <n v="102.92499999999998"/>
    <x v="0"/>
    <x v="0"/>
    <x v="3"/>
    <s v="High Price"/>
    <s v="High Volume"/>
    <x v="1"/>
    <s v="June"/>
    <x v="0"/>
    <x v="0"/>
    <x v="0"/>
  </r>
  <r>
    <s v="AOX-44467-109"/>
    <x v="27"/>
    <s v="72524-06410-KD"/>
    <x v="22"/>
    <n v="1"/>
    <x v="27"/>
    <s v="hjodrellelt@samsung.com"/>
    <x v="0"/>
    <s v="Ara"/>
    <s v="D"/>
    <x v="2"/>
    <n v="22.884999999999998"/>
    <n v="22.884999999999998"/>
    <x v="2"/>
    <x v="0"/>
    <x v="1"/>
    <n v="1"/>
    <n v="22.884999999999998"/>
    <x v="0"/>
    <x v="0"/>
    <x v="0"/>
    <s v="Low Price"/>
    <s v="Low Volume"/>
    <x v="3"/>
    <s v="June"/>
    <x v="0"/>
    <x v="7"/>
    <x v="0"/>
  </r>
  <r>
    <s v="ASG-27179-958"/>
    <x v="28"/>
    <s v="12607-75113-UV"/>
    <x v="2"/>
    <n v="3"/>
    <x v="28"/>
    <s v="jdeehanlk@about.me"/>
    <x v="0"/>
    <s v="Ara"/>
    <s v="M"/>
    <x v="1"/>
    <n v="6.75"/>
    <n v="20.25"/>
    <x v="2"/>
    <x v="2"/>
    <x v="1"/>
    <n v="1"/>
    <n v="20.25"/>
    <x v="0"/>
    <x v="0"/>
    <x v="0"/>
    <s v="Low Price"/>
    <s v="Low Volume"/>
    <x v="3"/>
    <s v="December"/>
    <x v="1"/>
    <x v="2"/>
    <x v="2"/>
  </r>
  <r>
    <s v="ASS-05878-128"/>
    <x v="29"/>
    <s v="66580-33745-OQ"/>
    <x v="20"/>
    <n v="2"/>
    <x v="29"/>
    <s v="sgehringjl@gnu.org"/>
    <x v="0"/>
    <s v="Exc"/>
    <s v="L"/>
    <x v="1"/>
    <n v="8.91"/>
    <n v="17.82"/>
    <x v="3"/>
    <x v="1"/>
    <x v="1"/>
    <n v="1"/>
    <n v="17.82"/>
    <x v="0"/>
    <x v="0"/>
    <x v="0"/>
    <s v="Low Price"/>
    <s v="Low Volume"/>
    <x v="3"/>
    <s v="October"/>
    <x v="1"/>
    <x v="10"/>
    <x v="1"/>
  </r>
  <r>
    <s v="ATY-28980-884"/>
    <x v="30"/>
    <s v="50705-17295-NK"/>
    <x v="23"/>
    <n v="6"/>
    <x v="30"/>
    <s v="caleixok5@globo.com"/>
    <x v="0"/>
    <s v="Ara"/>
    <s v="L"/>
    <x v="3"/>
    <n v="3.8849999999999998"/>
    <n v="23.31"/>
    <x v="2"/>
    <x v="1"/>
    <x v="1"/>
    <n v="1"/>
    <n v="23.31"/>
    <x v="0"/>
    <x v="0"/>
    <x v="0"/>
    <s v="Low Price"/>
    <s v="High Volume"/>
    <x v="2"/>
    <s v="July"/>
    <x v="3"/>
    <x v="6"/>
    <x v="0"/>
  </r>
  <r>
    <s v="AUP-10128-606"/>
    <x v="31"/>
    <s v="54387-64897-XC"/>
    <x v="2"/>
    <n v="1"/>
    <x v="31"/>
    <s v="fmalecky5t@list-manage.com"/>
    <x v="2"/>
    <s v="Ara"/>
    <s v="M"/>
    <x v="1"/>
    <n v="6.75"/>
    <n v="6.75"/>
    <x v="2"/>
    <x v="2"/>
    <x v="1"/>
    <n v="1"/>
    <n v="6.75"/>
    <x v="0"/>
    <x v="0"/>
    <x v="0"/>
    <s v="Low Price"/>
    <s v="Low Volume"/>
    <x v="3"/>
    <s v="October"/>
    <x v="1"/>
    <x v="2"/>
    <x v="1"/>
  </r>
  <r>
    <s v="AVH-56062-335"/>
    <x v="32"/>
    <s v="18082-74419-QH"/>
    <x v="24"/>
    <n v="5"/>
    <x v="32"/>
    <s v="mdoidgenb@etsy.com"/>
    <x v="0"/>
    <s v="Exc"/>
    <s v="M"/>
    <x v="1"/>
    <n v="8.25"/>
    <n v="41.25"/>
    <x v="3"/>
    <x v="2"/>
    <x v="1"/>
    <n v="1"/>
    <n v="41.25"/>
    <x v="0"/>
    <x v="0"/>
    <x v="0"/>
    <s v="High Price"/>
    <s v="High Volume"/>
    <x v="1"/>
    <s v="November"/>
    <x v="1"/>
    <x v="3"/>
    <x v="1"/>
  </r>
  <r>
    <s v="AVK-76526-953"/>
    <x v="33"/>
    <s v="47268-50127-XY"/>
    <x v="8"/>
    <n v="2"/>
    <x v="33"/>
    <s v="ldantonnp@miitbeian.gov.cn"/>
    <x v="0"/>
    <s v="Ara"/>
    <s v="D"/>
    <x v="0"/>
    <n v="9.9499999999999993"/>
    <n v="19.899999999999999"/>
    <x v="2"/>
    <x v="0"/>
    <x v="1"/>
    <n v="1"/>
    <n v="19.899999999999999"/>
    <x v="0"/>
    <x v="0"/>
    <x v="0"/>
    <s v="Low Price"/>
    <s v="Low Volume"/>
    <x v="3"/>
    <s v="March"/>
    <x v="2"/>
    <x v="7"/>
    <x v="3"/>
  </r>
  <r>
    <s v="AWH-16980-469"/>
    <x v="34"/>
    <s v="27493-46921-TZ"/>
    <x v="5"/>
    <n v="6"/>
    <x v="34"/>
    <s v="fflanagand9@woothemes.com"/>
    <x v="0"/>
    <s v="Lib"/>
    <s v="M"/>
    <x v="3"/>
    <n v="4.3650000000000002"/>
    <n v="26.19"/>
    <x v="1"/>
    <x v="2"/>
    <x v="1"/>
    <n v="1"/>
    <n v="26.19"/>
    <x v="0"/>
    <x v="0"/>
    <x v="0"/>
    <s v="Low Price"/>
    <s v="High Volume"/>
    <x v="2"/>
    <s v="May"/>
    <x v="0"/>
    <x v="4"/>
    <x v="3"/>
  </r>
  <r>
    <s v="AWP-11469-510"/>
    <x v="35"/>
    <s v="76730-63769-ND"/>
    <x v="12"/>
    <n v="2"/>
    <x v="35"/>
    <s v="rsticklerox@printfriendly.com"/>
    <x v="2"/>
    <s v="Exc"/>
    <s v="D"/>
    <x v="0"/>
    <n v="12.15"/>
    <n v="24.3"/>
    <x v="3"/>
    <x v="0"/>
    <x v="1"/>
    <n v="1"/>
    <n v="24.3"/>
    <x v="0"/>
    <x v="0"/>
    <x v="0"/>
    <s v="Low Price"/>
    <s v="Low Volume"/>
    <x v="3"/>
    <s v="April"/>
    <x v="0"/>
    <x v="8"/>
    <x v="3"/>
  </r>
  <r>
    <s v="AWT-22827-563"/>
    <x v="36"/>
    <s v="12018-75670-EU"/>
    <x v="25"/>
    <n v="1"/>
    <x v="36"/>
    <s v=""/>
    <x v="1"/>
    <s v="Rob"/>
    <s v="L"/>
    <x v="3"/>
    <n v="3.5849999999999995"/>
    <n v="3.5849999999999995"/>
    <x v="0"/>
    <x v="1"/>
    <x v="0"/>
    <n v="1"/>
    <n v="3.5849999999999995"/>
    <x v="0"/>
    <x v="0"/>
    <x v="0"/>
    <s v="Low Price"/>
    <s v="Low Volume"/>
    <x v="3"/>
    <s v="January"/>
    <x v="2"/>
    <x v="11"/>
    <x v="2"/>
  </r>
  <r>
    <s v="AXN-57779-891"/>
    <x v="37"/>
    <s v="09668-23340-IC"/>
    <x v="11"/>
    <n v="3"/>
    <x v="37"/>
    <s v="dfowlegr@epa.gov"/>
    <x v="0"/>
    <s v="Rob"/>
    <s v="M"/>
    <x v="3"/>
    <n v="2.9849999999999999"/>
    <n v="8.9550000000000001"/>
    <x v="0"/>
    <x v="2"/>
    <x v="1"/>
    <n v="1"/>
    <n v="8.9550000000000001"/>
    <x v="0"/>
    <x v="0"/>
    <x v="0"/>
    <s v="Low Price"/>
    <s v="Low Volume"/>
    <x v="3"/>
    <s v="July"/>
    <x v="3"/>
    <x v="5"/>
    <x v="0"/>
  </r>
  <r>
    <s v="AXR-10962-010"/>
    <x v="38"/>
    <s v="53683-35977-KI"/>
    <x v="12"/>
    <n v="2"/>
    <x v="38"/>
    <s v="mseawright7e@nbcnews.com"/>
    <x v="2"/>
    <s v="Exc"/>
    <s v="D"/>
    <x v="0"/>
    <n v="12.15"/>
    <n v="24.3"/>
    <x v="3"/>
    <x v="0"/>
    <x v="1"/>
    <n v="1"/>
    <n v="24.3"/>
    <x v="0"/>
    <x v="0"/>
    <x v="0"/>
    <s v="Low Price"/>
    <s v="Low Volume"/>
    <x v="3"/>
    <s v="March"/>
    <x v="2"/>
    <x v="8"/>
    <x v="3"/>
  </r>
  <r>
    <s v="AYY-83051-752"/>
    <x v="39"/>
    <s v="46431-09298-OU"/>
    <x v="1"/>
    <n v="6"/>
    <x v="39"/>
    <s v="cwinchcombeho@jiathis.com"/>
    <x v="0"/>
    <s v="Lib"/>
    <s v="L"/>
    <x v="0"/>
    <n v="15.85"/>
    <n v="95.1"/>
    <x v="1"/>
    <x v="1"/>
    <x v="0"/>
    <n v="1"/>
    <n v="95.1"/>
    <x v="0"/>
    <x v="0"/>
    <x v="1"/>
    <s v="High Price"/>
    <s v="High Volume"/>
    <x v="1"/>
    <s v="January"/>
    <x v="2"/>
    <x v="1"/>
    <x v="2"/>
  </r>
  <r>
    <s v="AZF-45991-584"/>
    <x v="40"/>
    <s v="73759-17258-KA"/>
    <x v="22"/>
    <n v="1"/>
    <x v="40"/>
    <s v=""/>
    <x v="1"/>
    <s v="Ara"/>
    <s v="D"/>
    <x v="2"/>
    <n v="22.884999999999998"/>
    <n v="22.884999999999998"/>
    <x v="2"/>
    <x v="0"/>
    <x v="0"/>
    <n v="1"/>
    <n v="22.884999999999998"/>
    <x v="0"/>
    <x v="0"/>
    <x v="0"/>
    <s v="Low Price"/>
    <s v="Low Volume"/>
    <x v="3"/>
    <s v="October"/>
    <x v="1"/>
    <x v="7"/>
    <x v="1"/>
  </r>
  <r>
    <s v="BAF-42286-205"/>
    <x v="41"/>
    <s v="43074-00987-PB"/>
    <x v="9"/>
    <n v="4"/>
    <x v="41"/>
    <s v="ocolbeck4t@sina.com.cn"/>
    <x v="0"/>
    <s v="Rob"/>
    <s v="M"/>
    <x v="2"/>
    <n v="22.884999999999998"/>
    <n v="91.539999999999992"/>
    <x v="0"/>
    <x v="2"/>
    <x v="1"/>
    <n v="1"/>
    <n v="91.539999999999992"/>
    <x v="0"/>
    <x v="0"/>
    <x v="1"/>
    <s v="High Price"/>
    <s v="Low Volume"/>
    <x v="0"/>
    <s v="June"/>
    <x v="0"/>
    <x v="5"/>
    <x v="0"/>
  </r>
  <r>
    <s v="BAQ-74241-156"/>
    <x v="42"/>
    <s v="99869-55718-UU"/>
    <x v="15"/>
    <n v="4"/>
    <x v="42"/>
    <s v="rmckallct@sakura.ne.jp"/>
    <x v="2"/>
    <s v="Rob"/>
    <s v="D"/>
    <x v="3"/>
    <n v="2.6849999999999996"/>
    <n v="10.739999999999998"/>
    <x v="0"/>
    <x v="0"/>
    <x v="0"/>
    <n v="1"/>
    <n v="10.739999999999998"/>
    <x v="0"/>
    <x v="0"/>
    <x v="0"/>
    <s v="Low Price"/>
    <s v="Low Volume"/>
    <x v="3"/>
    <s v="July"/>
    <x v="3"/>
    <x v="0"/>
    <x v="0"/>
  </r>
  <r>
    <s v="BDM-03174-485"/>
    <x v="43"/>
    <s v="29581-13303-VB"/>
    <x v="26"/>
    <n v="4"/>
    <x v="43"/>
    <s v="wcalderom3@stumbleupon.com"/>
    <x v="0"/>
    <s v="Rob"/>
    <s v="L"/>
    <x v="1"/>
    <n v="7.169999999999999"/>
    <n v="28.679999999999996"/>
    <x v="0"/>
    <x v="1"/>
    <x v="1"/>
    <n v="1"/>
    <n v="28.679999999999996"/>
    <x v="0"/>
    <x v="0"/>
    <x v="0"/>
    <s v="Low Price"/>
    <s v="Low Volume"/>
    <x v="3"/>
    <s v="March"/>
    <x v="2"/>
    <x v="11"/>
    <x v="3"/>
  </r>
  <r>
    <s v="BGB-67996-089"/>
    <x v="44"/>
    <s v="06279-72603-JE"/>
    <x v="0"/>
    <n v="5"/>
    <x v="44"/>
    <s v="rsharerer@flavors.me"/>
    <x v="0"/>
    <s v="Rob"/>
    <s v="D"/>
    <x v="0"/>
    <n v="8.9499999999999993"/>
    <n v="44.75"/>
    <x v="0"/>
    <x v="0"/>
    <x v="1"/>
    <n v="1"/>
    <n v="44.75"/>
    <x v="0"/>
    <x v="0"/>
    <x v="0"/>
    <s v="High Price"/>
    <s v="High Volume"/>
    <x v="1"/>
    <s v="January"/>
    <x v="2"/>
    <x v="0"/>
    <x v="2"/>
  </r>
  <r>
    <s v="BHA-47429-889"/>
    <x v="45"/>
    <s v="51114-51191-EW"/>
    <x v="27"/>
    <n v="3"/>
    <x v="45"/>
    <s v="kfersonon@g.co"/>
    <x v="0"/>
    <s v="Exc"/>
    <s v="L"/>
    <x v="3"/>
    <n v="4.4550000000000001"/>
    <n v="13.365"/>
    <x v="3"/>
    <x v="1"/>
    <x v="1"/>
    <n v="1"/>
    <n v="13.365"/>
    <x v="0"/>
    <x v="0"/>
    <x v="0"/>
    <s v="Low Price"/>
    <s v="Low Volume"/>
    <x v="3"/>
    <s v="June"/>
    <x v="0"/>
    <x v="10"/>
    <x v="0"/>
  </r>
  <r>
    <s v="BIU-21970-705"/>
    <x v="46"/>
    <s v="89711-56688-GG"/>
    <x v="9"/>
    <n v="2"/>
    <x v="46"/>
    <s v="fdrysdale6m@symantec.com"/>
    <x v="0"/>
    <s v="Rob"/>
    <s v="M"/>
    <x v="2"/>
    <n v="22.884999999999998"/>
    <n v="45.769999999999996"/>
    <x v="0"/>
    <x v="2"/>
    <x v="0"/>
    <n v="1"/>
    <n v="45.769999999999996"/>
    <x v="0"/>
    <x v="0"/>
    <x v="0"/>
    <s v="High Price"/>
    <s v="Low Volume"/>
    <x v="0"/>
    <s v="December"/>
    <x v="1"/>
    <x v="5"/>
    <x v="2"/>
  </r>
  <r>
    <s v="BKK-47233-845"/>
    <x v="47"/>
    <s v="76239-90137-UQ"/>
    <x v="8"/>
    <n v="4"/>
    <x v="47"/>
    <s v="fferbera@businesswire.com"/>
    <x v="0"/>
    <s v="Ara"/>
    <s v="D"/>
    <x v="0"/>
    <n v="9.9499999999999993"/>
    <n v="39.799999999999997"/>
    <x v="2"/>
    <x v="0"/>
    <x v="1"/>
    <n v="1"/>
    <n v="39.799999999999997"/>
    <x v="0"/>
    <x v="0"/>
    <x v="0"/>
    <s v="High Price"/>
    <s v="Low Volume"/>
    <x v="0"/>
    <s v="March"/>
    <x v="2"/>
    <x v="7"/>
    <x v="3"/>
  </r>
  <r>
    <s v="BLD-12227-251"/>
    <x v="33"/>
    <s v="64395-74865-WF"/>
    <x v="2"/>
    <n v="2"/>
    <x v="48"/>
    <s v="iwhapple2p@com.com"/>
    <x v="0"/>
    <s v="Ara"/>
    <s v="M"/>
    <x v="1"/>
    <n v="6.75"/>
    <n v="13.5"/>
    <x v="2"/>
    <x v="2"/>
    <x v="1"/>
    <n v="1"/>
    <n v="13.5"/>
    <x v="0"/>
    <x v="0"/>
    <x v="0"/>
    <s v="Low Price"/>
    <s v="Low Volume"/>
    <x v="3"/>
    <s v="March"/>
    <x v="2"/>
    <x v="2"/>
    <x v="3"/>
  </r>
  <r>
    <s v="BLI-21697-702"/>
    <x v="48"/>
    <s v="21141-12455-VB"/>
    <x v="2"/>
    <n v="2"/>
    <x v="49"/>
    <s v="sdejo@newsvine.com"/>
    <x v="0"/>
    <s v="Ara"/>
    <s v="M"/>
    <x v="1"/>
    <n v="6.75"/>
    <n v="13.5"/>
    <x v="2"/>
    <x v="2"/>
    <x v="0"/>
    <n v="1"/>
    <n v="13.5"/>
    <x v="0"/>
    <x v="0"/>
    <x v="0"/>
    <s v="Low Price"/>
    <s v="Low Volume"/>
    <x v="3"/>
    <s v="December"/>
    <x v="1"/>
    <x v="2"/>
    <x v="2"/>
  </r>
  <r>
    <s v="BLQ-03709-265"/>
    <x v="49"/>
    <s v="72463-75685-MV"/>
    <x v="25"/>
    <n v="3"/>
    <x v="50"/>
    <s v="ccrosier63@xrea.com"/>
    <x v="0"/>
    <s v="Rob"/>
    <s v="L"/>
    <x v="3"/>
    <n v="3.5849999999999995"/>
    <n v="10.754999999999999"/>
    <x v="0"/>
    <x v="1"/>
    <x v="1"/>
    <n v="2"/>
    <n v="12.84"/>
    <x v="1"/>
    <x v="1"/>
    <x v="0"/>
    <s v="Low Price"/>
    <s v="Low Volume"/>
    <x v="3"/>
    <s v="August"/>
    <x v="3"/>
    <x v="11"/>
    <x v="0"/>
  </r>
  <r>
    <s v="BLQ-03709-265"/>
    <x v="49"/>
    <s v="72463-75685-MV"/>
    <x v="11"/>
    <n v="5"/>
    <x v="50"/>
    <s v="ccrosier63@xrea.com"/>
    <x v="0"/>
    <s v="Rob"/>
    <s v="M"/>
    <x v="3"/>
    <n v="2.9849999999999999"/>
    <n v="14.924999999999999"/>
    <x v="0"/>
    <x v="2"/>
    <x v="1"/>
    <n v="2"/>
    <n v="12.84"/>
    <x v="1"/>
    <x v="1"/>
    <x v="0"/>
    <s v="Low Price"/>
    <s v="High Volume"/>
    <x v="2"/>
    <s v="August"/>
    <x v="3"/>
    <x v="5"/>
    <x v="0"/>
  </r>
  <r>
    <s v="BLV-60087-454"/>
    <x v="41"/>
    <s v="84493-71314-WX"/>
    <x v="27"/>
    <n v="3"/>
    <x v="51"/>
    <s v="tzanettig2@gravatar.com"/>
    <x v="1"/>
    <s v="Exc"/>
    <s v="L"/>
    <x v="3"/>
    <n v="4.4550000000000001"/>
    <n v="13.365"/>
    <x v="3"/>
    <x v="1"/>
    <x v="1"/>
    <n v="2"/>
    <n v="23.557500000000001"/>
    <x v="1"/>
    <x v="1"/>
    <x v="0"/>
    <s v="Low Price"/>
    <s v="Low Volume"/>
    <x v="3"/>
    <s v="June"/>
    <x v="0"/>
    <x v="10"/>
    <x v="0"/>
  </r>
  <r>
    <s v="BLV-60087-454"/>
    <x v="41"/>
    <s v="84493-71314-WX"/>
    <x v="2"/>
    <n v="5"/>
    <x v="51"/>
    <s v="tzanettig2@gravatar.com"/>
    <x v="1"/>
    <s v="Ara"/>
    <s v="M"/>
    <x v="1"/>
    <n v="6.75"/>
    <n v="33.75"/>
    <x v="2"/>
    <x v="2"/>
    <x v="1"/>
    <n v="2"/>
    <n v="23.557500000000001"/>
    <x v="1"/>
    <x v="1"/>
    <x v="0"/>
    <s v="High Price"/>
    <s v="High Volume"/>
    <x v="1"/>
    <s v="June"/>
    <x v="0"/>
    <x v="2"/>
    <x v="0"/>
  </r>
  <r>
    <s v="BMK-49520-383"/>
    <x v="50"/>
    <s v="72233-08665-IP"/>
    <x v="25"/>
    <n v="3"/>
    <x v="52"/>
    <s v=""/>
    <x v="0"/>
    <s v="Rob"/>
    <s v="L"/>
    <x v="3"/>
    <n v="3.5849999999999995"/>
    <n v="10.754999999999999"/>
    <x v="0"/>
    <x v="1"/>
    <x v="0"/>
    <n v="1"/>
    <n v="10.754999999999999"/>
    <x v="0"/>
    <x v="0"/>
    <x v="0"/>
    <s v="Low Price"/>
    <s v="Low Volume"/>
    <x v="3"/>
    <s v="December"/>
    <x v="1"/>
    <x v="11"/>
    <x v="2"/>
  </r>
  <r>
    <s v="BMM-86471-923"/>
    <x v="51"/>
    <s v="76319-80715-II"/>
    <x v="28"/>
    <n v="1"/>
    <x v="53"/>
    <s v="dyarhaml3@moonfruit.com"/>
    <x v="0"/>
    <s v="Lib"/>
    <s v="D"/>
    <x v="2"/>
    <n v="29.784999999999997"/>
    <n v="29.784999999999997"/>
    <x v="1"/>
    <x v="0"/>
    <x v="0"/>
    <n v="1"/>
    <n v="29.784999999999997"/>
    <x v="0"/>
    <x v="0"/>
    <x v="0"/>
    <s v="Low Price"/>
    <s v="Low Volume"/>
    <x v="3"/>
    <s v="October"/>
    <x v="1"/>
    <x v="9"/>
    <x v="1"/>
  </r>
  <r>
    <s v="BNQ-88920-567"/>
    <x v="52"/>
    <s v="27226-53717-SY"/>
    <x v="29"/>
    <n v="6"/>
    <x v="54"/>
    <s v="igurnee5z@usnews.com"/>
    <x v="0"/>
    <s v="Lib"/>
    <s v="D"/>
    <x v="3"/>
    <n v="3.8849999999999998"/>
    <n v="23.31"/>
    <x v="1"/>
    <x v="0"/>
    <x v="1"/>
    <n v="1"/>
    <n v="23.31"/>
    <x v="0"/>
    <x v="0"/>
    <x v="0"/>
    <s v="Low Price"/>
    <s v="High Volume"/>
    <x v="2"/>
    <s v="December"/>
    <x v="1"/>
    <x v="9"/>
    <x v="2"/>
  </r>
  <r>
    <s v="BNZ-20544-633"/>
    <x v="53"/>
    <s v="31798-95707-NR"/>
    <x v="30"/>
    <n v="4"/>
    <x v="55"/>
    <s v="gbamfieldae@yellowpages.com"/>
    <x v="0"/>
    <s v="Lib"/>
    <s v="L"/>
    <x v="1"/>
    <n v="9.51"/>
    <n v="38.04"/>
    <x v="1"/>
    <x v="1"/>
    <x v="0"/>
    <n v="1"/>
    <n v="38.04"/>
    <x v="0"/>
    <x v="0"/>
    <x v="0"/>
    <s v="High Price"/>
    <s v="Low Volume"/>
    <x v="0"/>
    <s v="October"/>
    <x v="1"/>
    <x v="1"/>
    <x v="1"/>
  </r>
  <r>
    <s v="BOR-02906-411"/>
    <x v="54"/>
    <s v="08743-09057-OO"/>
    <x v="28"/>
    <n v="6"/>
    <x v="56"/>
    <s v="tfelip5m@typepad.com"/>
    <x v="0"/>
    <s v="Lib"/>
    <s v="D"/>
    <x v="2"/>
    <n v="29.784999999999997"/>
    <n v="178.70999999999998"/>
    <x v="1"/>
    <x v="0"/>
    <x v="0"/>
    <n v="1"/>
    <n v="178.70999999999998"/>
    <x v="0"/>
    <x v="0"/>
    <x v="2"/>
    <s v="High Price"/>
    <s v="High Volume"/>
    <x v="1"/>
    <s v="October"/>
    <x v="1"/>
    <x v="9"/>
    <x v="1"/>
  </r>
  <r>
    <s v="BPC-54727-307"/>
    <x v="55"/>
    <s v="18684-73088-YL"/>
    <x v="31"/>
    <n v="4"/>
    <x v="57"/>
    <s v="gmcgavinhl@histats.com"/>
    <x v="0"/>
    <s v="Rob"/>
    <s v="L"/>
    <x v="0"/>
    <n v="11.95"/>
    <n v="47.8"/>
    <x v="0"/>
    <x v="1"/>
    <x v="1"/>
    <n v="1"/>
    <n v="47.8"/>
    <x v="0"/>
    <x v="0"/>
    <x v="0"/>
    <s v="High Price"/>
    <s v="Low Volume"/>
    <x v="0"/>
    <s v="December"/>
    <x v="1"/>
    <x v="11"/>
    <x v="2"/>
  </r>
  <r>
    <s v="BPG-68988-842"/>
    <x v="56"/>
    <s v="53631-24432-SY"/>
    <x v="24"/>
    <n v="5"/>
    <x v="58"/>
    <s v="iphillpoten@buzzfeed.com"/>
    <x v="2"/>
    <s v="Exc"/>
    <s v="M"/>
    <x v="1"/>
    <n v="8.25"/>
    <n v="41.25"/>
    <x v="3"/>
    <x v="2"/>
    <x v="1"/>
    <n v="1"/>
    <n v="41.25"/>
    <x v="0"/>
    <x v="0"/>
    <x v="0"/>
    <s v="High Price"/>
    <s v="High Volume"/>
    <x v="1"/>
    <s v="February"/>
    <x v="2"/>
    <x v="3"/>
    <x v="2"/>
  </r>
  <r>
    <s v="BPT-83989-157"/>
    <x v="57"/>
    <s v="84269-49816-ML"/>
    <x v="3"/>
    <n v="2"/>
    <x v="59"/>
    <s v="pcutchie6e@globo.com"/>
    <x v="0"/>
    <s v="Ara"/>
    <s v="M"/>
    <x v="2"/>
    <n v="25.874999999999996"/>
    <n v="51.749999999999993"/>
    <x v="2"/>
    <x v="2"/>
    <x v="1"/>
    <n v="1"/>
    <n v="51.749999999999993"/>
    <x v="0"/>
    <x v="0"/>
    <x v="1"/>
    <s v="High Price"/>
    <s v="Low Volume"/>
    <x v="0"/>
    <s v="October"/>
    <x v="1"/>
    <x v="2"/>
    <x v="1"/>
  </r>
  <r>
    <s v="BPZ-51283-916"/>
    <x v="58"/>
    <s v="87688-42420-TO"/>
    <x v="3"/>
    <n v="2"/>
    <x v="60"/>
    <s v=""/>
    <x v="0"/>
    <s v="Ara"/>
    <s v="M"/>
    <x v="2"/>
    <n v="25.874999999999996"/>
    <n v="51.749999999999993"/>
    <x v="2"/>
    <x v="2"/>
    <x v="1"/>
    <n v="1"/>
    <n v="51.749999999999993"/>
    <x v="0"/>
    <x v="0"/>
    <x v="1"/>
    <s v="High Price"/>
    <s v="Low Volume"/>
    <x v="0"/>
    <s v="August"/>
    <x v="3"/>
    <x v="2"/>
    <x v="0"/>
  </r>
  <r>
    <s v="BQI-61647-496"/>
    <x v="59"/>
    <s v="84340-73931-VV"/>
    <x v="21"/>
    <n v="5"/>
    <x v="61"/>
    <s v="cheaviside6z@rediff.com"/>
    <x v="0"/>
    <s v="Exc"/>
    <s v="M"/>
    <x v="0"/>
    <n v="13.75"/>
    <n v="68.75"/>
    <x v="3"/>
    <x v="2"/>
    <x v="0"/>
    <n v="1"/>
    <n v="68.75"/>
    <x v="0"/>
    <x v="0"/>
    <x v="1"/>
    <s v="High Price"/>
    <s v="High Volume"/>
    <x v="1"/>
    <s v="June"/>
    <x v="0"/>
    <x v="3"/>
    <x v="0"/>
  </r>
  <r>
    <s v="BQJ-44755-910"/>
    <x v="60"/>
    <s v="75006-89922-VW"/>
    <x v="32"/>
    <n v="6"/>
    <x v="62"/>
    <s v="mlorineznh@whitehouse.gov"/>
    <x v="0"/>
    <s v="Exc"/>
    <s v="D"/>
    <x v="2"/>
    <n v="27.945"/>
    <n v="167.67000000000002"/>
    <x v="3"/>
    <x v="0"/>
    <x v="1"/>
    <n v="1"/>
    <n v="167.67000000000002"/>
    <x v="0"/>
    <x v="0"/>
    <x v="2"/>
    <s v="High Price"/>
    <s v="High Volume"/>
    <x v="1"/>
    <s v="February"/>
    <x v="2"/>
    <x v="8"/>
    <x v="2"/>
  </r>
  <r>
    <s v="BQK-38412-229"/>
    <x v="61"/>
    <s v="90392-73338-BC"/>
    <x v="25"/>
    <n v="3"/>
    <x v="63"/>
    <s v="nvigrasski@ezinearticles.com"/>
    <x v="2"/>
    <s v="Rob"/>
    <s v="L"/>
    <x v="3"/>
    <n v="3.5849999999999995"/>
    <n v="10.754999999999999"/>
    <x v="0"/>
    <x v="1"/>
    <x v="1"/>
    <n v="1"/>
    <n v="10.754999999999999"/>
    <x v="0"/>
    <x v="0"/>
    <x v="0"/>
    <s v="Low Price"/>
    <s v="Low Volume"/>
    <x v="3"/>
    <s v="December"/>
    <x v="1"/>
    <x v="11"/>
    <x v="2"/>
  </r>
  <r>
    <s v="BRB-40903-533"/>
    <x v="62"/>
    <s v="09020-56774-GU"/>
    <x v="27"/>
    <n v="3"/>
    <x v="64"/>
    <s v="mredgrave32@cargocollective.com"/>
    <x v="0"/>
    <s v="Exc"/>
    <s v="L"/>
    <x v="3"/>
    <n v="4.4550000000000001"/>
    <n v="13.365"/>
    <x v="3"/>
    <x v="1"/>
    <x v="0"/>
    <n v="1"/>
    <n v="13.365"/>
    <x v="0"/>
    <x v="0"/>
    <x v="0"/>
    <s v="Low Price"/>
    <s v="Low Volume"/>
    <x v="3"/>
    <s v="June"/>
    <x v="0"/>
    <x v="10"/>
    <x v="0"/>
  </r>
  <r>
    <s v="BRJ-19414-277"/>
    <x v="63"/>
    <s v="16809-16936-WF"/>
    <x v="11"/>
    <n v="4"/>
    <x v="65"/>
    <s v="mmacconnechieo9@reuters.com"/>
    <x v="0"/>
    <s v="Rob"/>
    <s v="M"/>
    <x v="3"/>
    <n v="2.9849999999999999"/>
    <n v="11.94"/>
    <x v="0"/>
    <x v="2"/>
    <x v="0"/>
    <n v="1"/>
    <n v="11.94"/>
    <x v="0"/>
    <x v="0"/>
    <x v="0"/>
    <s v="Low Price"/>
    <s v="Low Volume"/>
    <x v="3"/>
    <s v="September"/>
    <x v="3"/>
    <x v="5"/>
    <x v="1"/>
  </r>
  <r>
    <s v="BRV-64870-915"/>
    <x v="64"/>
    <s v="32070-55528-UG"/>
    <x v="33"/>
    <n v="5"/>
    <x v="66"/>
    <s v=""/>
    <x v="1"/>
    <s v="Lib"/>
    <s v="L"/>
    <x v="2"/>
    <n v="36.454999999999998"/>
    <n v="182.27499999999998"/>
    <x v="1"/>
    <x v="1"/>
    <x v="1"/>
    <n v="1"/>
    <n v="182.27499999999998"/>
    <x v="0"/>
    <x v="0"/>
    <x v="2"/>
    <s v="High Price"/>
    <s v="High Volume"/>
    <x v="1"/>
    <s v="April"/>
    <x v="0"/>
    <x v="1"/>
    <x v="3"/>
  </r>
  <r>
    <s v="BVU-77367-451"/>
    <x v="65"/>
    <s v="77421-46059-RY"/>
    <x v="8"/>
    <n v="5"/>
    <x v="67"/>
    <s v="bdailecu@vistaprint.com"/>
    <x v="0"/>
    <s v="Ara"/>
    <s v="D"/>
    <x v="0"/>
    <n v="9.9499999999999993"/>
    <n v="49.75"/>
    <x v="2"/>
    <x v="0"/>
    <x v="0"/>
    <n v="1"/>
    <n v="49.75"/>
    <x v="0"/>
    <x v="0"/>
    <x v="0"/>
    <s v="High Price"/>
    <s v="High Volume"/>
    <x v="1"/>
    <s v="October"/>
    <x v="1"/>
    <x v="7"/>
    <x v="1"/>
  </r>
  <r>
    <s v="BWK-39400-446"/>
    <x v="66"/>
    <s v="61302-06948-EH"/>
    <x v="14"/>
    <n v="4"/>
    <x v="68"/>
    <s v="fparresb1@imageshack.us"/>
    <x v="0"/>
    <s v="Lib"/>
    <s v="D"/>
    <x v="1"/>
    <n v="7.77"/>
    <n v="31.08"/>
    <x v="1"/>
    <x v="0"/>
    <x v="0"/>
    <n v="1"/>
    <n v="31.08"/>
    <x v="0"/>
    <x v="0"/>
    <x v="0"/>
    <s v="High Price"/>
    <s v="Low Volume"/>
    <x v="0"/>
    <s v="September"/>
    <x v="3"/>
    <x v="9"/>
    <x v="1"/>
  </r>
  <r>
    <s v="BWR-85735-955"/>
    <x v="67"/>
    <s v="32638-38620-AX"/>
    <x v="34"/>
    <n v="3"/>
    <x v="69"/>
    <s v="bbartholin59@xinhuanet.com"/>
    <x v="0"/>
    <s v="Lib"/>
    <s v="M"/>
    <x v="0"/>
    <n v="14.55"/>
    <n v="43.650000000000006"/>
    <x v="1"/>
    <x v="2"/>
    <x v="0"/>
    <n v="1"/>
    <n v="43.650000000000006"/>
    <x v="0"/>
    <x v="0"/>
    <x v="0"/>
    <s v="High Price"/>
    <s v="Low Volume"/>
    <x v="0"/>
    <s v="December"/>
    <x v="1"/>
    <x v="4"/>
    <x v="2"/>
  </r>
  <r>
    <s v="BWZ-46364-547"/>
    <x v="68"/>
    <s v="64918-67725-MN"/>
    <x v="31"/>
    <n v="3"/>
    <x v="70"/>
    <s v="ybasillht@theguardian.com"/>
    <x v="0"/>
    <s v="Rob"/>
    <s v="L"/>
    <x v="0"/>
    <n v="11.95"/>
    <n v="35.849999999999994"/>
    <x v="0"/>
    <x v="1"/>
    <x v="0"/>
    <n v="1"/>
    <n v="35.849999999999994"/>
    <x v="0"/>
    <x v="0"/>
    <x v="0"/>
    <s v="High Price"/>
    <s v="Low Volume"/>
    <x v="0"/>
    <s v="September"/>
    <x v="3"/>
    <x v="11"/>
    <x v="1"/>
  </r>
  <r>
    <s v="BXH-62195-013"/>
    <x v="69"/>
    <s v="94526-79230-GZ"/>
    <x v="35"/>
    <n v="4"/>
    <x v="71"/>
    <s v="mbogeypb@thetimes.co.uk"/>
    <x v="0"/>
    <s v="Ara"/>
    <s v="M"/>
    <x v="0"/>
    <n v="11.25"/>
    <n v="45"/>
    <x v="2"/>
    <x v="2"/>
    <x v="0"/>
    <n v="1"/>
    <n v="45"/>
    <x v="0"/>
    <x v="0"/>
    <x v="0"/>
    <s v="High Price"/>
    <s v="Low Volume"/>
    <x v="0"/>
    <s v="November"/>
    <x v="1"/>
    <x v="2"/>
    <x v="1"/>
  </r>
  <r>
    <s v="BXN-64230-789"/>
    <x v="70"/>
    <s v="25598-77476-CB"/>
    <x v="7"/>
    <n v="2"/>
    <x v="72"/>
    <s v="dwincere2@marriott.com"/>
    <x v="0"/>
    <s v="Ara"/>
    <s v="L"/>
    <x v="0"/>
    <n v="12.95"/>
    <n v="25.9"/>
    <x v="2"/>
    <x v="1"/>
    <x v="0"/>
    <n v="1"/>
    <n v="25.9"/>
    <x v="0"/>
    <x v="0"/>
    <x v="0"/>
    <s v="Low Price"/>
    <s v="Low Volume"/>
    <x v="3"/>
    <s v="December"/>
    <x v="1"/>
    <x v="6"/>
    <x v="2"/>
  </r>
  <r>
    <s v="BYP-16005-016"/>
    <x v="71"/>
    <s v="01474-63436-TP"/>
    <x v="9"/>
    <n v="5"/>
    <x v="73"/>
    <s v="rcuttspy@techcrunch.com"/>
    <x v="0"/>
    <s v="Rob"/>
    <s v="M"/>
    <x v="2"/>
    <n v="22.884999999999998"/>
    <n v="114.42499999999998"/>
    <x v="0"/>
    <x v="2"/>
    <x v="1"/>
    <n v="1"/>
    <n v="114.42499999999998"/>
    <x v="0"/>
    <x v="0"/>
    <x v="3"/>
    <s v="High Price"/>
    <s v="High Volume"/>
    <x v="1"/>
    <s v="August"/>
    <x v="3"/>
    <x v="5"/>
    <x v="0"/>
  </r>
  <r>
    <s v="BYU-58154-603"/>
    <x v="72"/>
    <s v="51971-70393-QM"/>
    <x v="36"/>
    <n v="4"/>
    <x v="74"/>
    <s v="cfeye4k@google.co.jp"/>
    <x v="1"/>
    <s v="Exc"/>
    <s v="D"/>
    <x v="1"/>
    <n v="7.29"/>
    <n v="29.16"/>
    <x v="3"/>
    <x v="0"/>
    <x v="1"/>
    <n v="1"/>
    <n v="29.16"/>
    <x v="0"/>
    <x v="0"/>
    <x v="0"/>
    <s v="Low Price"/>
    <s v="Low Volume"/>
    <x v="3"/>
    <s v="December"/>
    <x v="1"/>
    <x v="8"/>
    <x v="2"/>
  </r>
  <r>
    <s v="BYZ-39669-954"/>
    <x v="73"/>
    <s v="66408-53777-VE"/>
    <x v="33"/>
    <n v="1"/>
    <x v="75"/>
    <s v=""/>
    <x v="0"/>
    <s v="Lib"/>
    <s v="L"/>
    <x v="2"/>
    <n v="36.454999999999998"/>
    <n v="36.454999999999998"/>
    <x v="1"/>
    <x v="1"/>
    <x v="1"/>
    <n v="1"/>
    <n v="36.454999999999998"/>
    <x v="0"/>
    <x v="0"/>
    <x v="0"/>
    <s v="High Price"/>
    <s v="Low Volume"/>
    <x v="0"/>
    <s v="July"/>
    <x v="3"/>
    <x v="1"/>
    <x v="0"/>
  </r>
  <r>
    <s v="BZE-96093-118"/>
    <x v="74"/>
    <s v="43452-18035-DH"/>
    <x v="5"/>
    <n v="2"/>
    <x v="76"/>
    <s v="afilipczaklh@ning.com"/>
    <x v="1"/>
    <s v="Lib"/>
    <s v="M"/>
    <x v="3"/>
    <n v="4.3650000000000002"/>
    <n v="8.73"/>
    <x v="1"/>
    <x v="2"/>
    <x v="1"/>
    <n v="1"/>
    <n v="8.73"/>
    <x v="0"/>
    <x v="0"/>
    <x v="0"/>
    <s v="Low Price"/>
    <s v="Low Volume"/>
    <x v="3"/>
    <s v="October"/>
    <x v="1"/>
    <x v="4"/>
    <x v="1"/>
  </r>
  <r>
    <s v="BZP-33213-637"/>
    <x v="13"/>
    <s v="77175-09826-SF"/>
    <x v="3"/>
    <n v="3"/>
    <x v="77"/>
    <s v="lagnolooj@pinterest.com"/>
    <x v="0"/>
    <s v="Ara"/>
    <s v="M"/>
    <x v="2"/>
    <n v="25.874999999999996"/>
    <n v="77.624999999999986"/>
    <x v="2"/>
    <x v="2"/>
    <x v="0"/>
    <n v="1"/>
    <n v="77.624999999999986"/>
    <x v="0"/>
    <x v="0"/>
    <x v="1"/>
    <s v="High Price"/>
    <s v="Low Volume"/>
    <x v="0"/>
    <s v="May"/>
    <x v="0"/>
    <x v="2"/>
    <x v="3"/>
  </r>
  <r>
    <s v="CBT-15092-420"/>
    <x v="75"/>
    <s v="71364-35210-HS"/>
    <x v="37"/>
    <n v="1"/>
    <x v="78"/>
    <s v="wcholomince@about.com"/>
    <x v="2"/>
    <s v="Lib"/>
    <s v="M"/>
    <x v="1"/>
    <n v="8.73"/>
    <n v="8.73"/>
    <x v="1"/>
    <x v="2"/>
    <x v="0"/>
    <n v="1"/>
    <n v="8.73"/>
    <x v="0"/>
    <x v="0"/>
    <x v="0"/>
    <s v="Low Price"/>
    <s v="Low Volume"/>
    <x v="3"/>
    <s v="December"/>
    <x v="1"/>
    <x v="4"/>
    <x v="2"/>
  </r>
  <r>
    <s v="CBT-55781-720"/>
    <x v="76"/>
    <s v="97855-54761-IS"/>
    <x v="36"/>
    <n v="3"/>
    <x v="79"/>
    <s v="dtift4i@netvibes.com"/>
    <x v="0"/>
    <s v="Exc"/>
    <s v="D"/>
    <x v="1"/>
    <n v="7.29"/>
    <n v="21.87"/>
    <x v="3"/>
    <x v="0"/>
    <x v="0"/>
    <n v="1"/>
    <n v="21.87"/>
    <x v="0"/>
    <x v="0"/>
    <x v="0"/>
    <s v="Low Price"/>
    <s v="Low Volume"/>
    <x v="3"/>
    <s v="November"/>
    <x v="1"/>
    <x v="8"/>
    <x v="1"/>
  </r>
  <r>
    <s v="CCZ-19589-212"/>
    <x v="77"/>
    <s v="05754-41702-FG"/>
    <x v="5"/>
    <n v="2"/>
    <x v="80"/>
    <s v="kstreight6d@about.com"/>
    <x v="0"/>
    <s v="Lib"/>
    <s v="M"/>
    <x v="3"/>
    <n v="4.3650000000000002"/>
    <n v="8.73"/>
    <x v="1"/>
    <x v="2"/>
    <x v="1"/>
    <n v="1"/>
    <n v="8.73"/>
    <x v="0"/>
    <x v="0"/>
    <x v="0"/>
    <s v="Low Price"/>
    <s v="Low Volume"/>
    <x v="3"/>
    <s v="March"/>
    <x v="2"/>
    <x v="4"/>
    <x v="3"/>
  </r>
  <r>
    <s v="CFZ-53492-600"/>
    <x v="78"/>
    <s v="64896-18468-BT"/>
    <x v="5"/>
    <n v="1"/>
    <x v="81"/>
    <s v="sscurrerk9@flavors.me"/>
    <x v="2"/>
    <s v="Lib"/>
    <s v="M"/>
    <x v="3"/>
    <n v="4.3650000000000002"/>
    <n v="4.3650000000000002"/>
    <x v="1"/>
    <x v="2"/>
    <x v="1"/>
    <n v="1"/>
    <n v="4.3650000000000002"/>
    <x v="0"/>
    <x v="0"/>
    <x v="0"/>
    <s v="Low Price"/>
    <s v="Low Volume"/>
    <x v="3"/>
    <s v="March"/>
    <x v="2"/>
    <x v="4"/>
    <x v="3"/>
  </r>
  <r>
    <s v="CGO-79583-871"/>
    <x v="79"/>
    <s v="37182-54930-XC"/>
    <x v="36"/>
    <n v="1"/>
    <x v="82"/>
    <s v="wgiorgioni9g@wikipedia.org"/>
    <x v="0"/>
    <s v="Exc"/>
    <s v="D"/>
    <x v="1"/>
    <n v="7.29"/>
    <n v="7.29"/>
    <x v="3"/>
    <x v="0"/>
    <x v="0"/>
    <n v="1"/>
    <n v="7.29"/>
    <x v="0"/>
    <x v="0"/>
    <x v="0"/>
    <s v="Low Price"/>
    <s v="Low Volume"/>
    <x v="3"/>
    <s v="March"/>
    <x v="2"/>
    <x v="8"/>
    <x v="3"/>
  </r>
  <r>
    <s v="CHE-78995-767"/>
    <x v="80"/>
    <s v="00888-74814-UZ"/>
    <x v="18"/>
    <n v="3"/>
    <x v="83"/>
    <s v="tnewburys@usda.gov"/>
    <x v="1"/>
    <s v="Ara"/>
    <s v="D"/>
    <x v="1"/>
    <n v="5.97"/>
    <n v="17.91"/>
    <x v="2"/>
    <x v="0"/>
    <x v="1"/>
    <n v="1"/>
    <n v="17.91"/>
    <x v="0"/>
    <x v="0"/>
    <x v="0"/>
    <s v="Low Price"/>
    <s v="Low Volume"/>
    <x v="3"/>
    <s v="August"/>
    <x v="3"/>
    <x v="7"/>
    <x v="0"/>
  </r>
  <r>
    <s v="CIX-22904-641"/>
    <x v="63"/>
    <s v="78012-56878-UB"/>
    <x v="38"/>
    <n v="1"/>
    <x v="84"/>
    <s v="goatsny@live.com"/>
    <x v="0"/>
    <s v="Rob"/>
    <s v="M"/>
    <x v="0"/>
    <n v="9.9499999999999993"/>
    <n v="9.9499999999999993"/>
    <x v="0"/>
    <x v="2"/>
    <x v="0"/>
    <n v="1"/>
    <n v="9.9499999999999993"/>
    <x v="0"/>
    <x v="0"/>
    <x v="0"/>
    <s v="Low Price"/>
    <s v="Low Volume"/>
    <x v="3"/>
    <s v="September"/>
    <x v="3"/>
    <x v="5"/>
    <x v="1"/>
  </r>
  <r>
    <s v="CKF-43291-846"/>
    <x v="81"/>
    <s v="91829-99544-DS"/>
    <x v="39"/>
    <n v="1"/>
    <x v="85"/>
    <s v="othynne4w@auda.org.au"/>
    <x v="0"/>
    <s v="Exc"/>
    <s v="L"/>
    <x v="2"/>
    <n v="34.154999999999994"/>
    <n v="34.154999999999994"/>
    <x v="3"/>
    <x v="1"/>
    <x v="0"/>
    <n v="1"/>
    <n v="34.154999999999994"/>
    <x v="0"/>
    <x v="0"/>
    <x v="0"/>
    <s v="High Price"/>
    <s v="Low Volume"/>
    <x v="0"/>
    <s v="March"/>
    <x v="2"/>
    <x v="10"/>
    <x v="3"/>
  </r>
  <r>
    <s v="CKS-47815-571"/>
    <x v="82"/>
    <s v="45666-86771-EH"/>
    <x v="30"/>
    <n v="3"/>
    <x v="86"/>
    <s v="achillhz@epa.gov"/>
    <x v="2"/>
    <s v="Lib"/>
    <s v="L"/>
    <x v="1"/>
    <n v="9.51"/>
    <n v="28.53"/>
    <x v="1"/>
    <x v="1"/>
    <x v="0"/>
    <n v="1"/>
    <n v="28.53"/>
    <x v="0"/>
    <x v="0"/>
    <x v="0"/>
    <s v="Low Price"/>
    <s v="Low Volume"/>
    <x v="3"/>
    <s v="November"/>
    <x v="1"/>
    <x v="1"/>
    <x v="1"/>
  </r>
  <r>
    <s v="CLJ-23403-689"/>
    <x v="83"/>
    <s v="19413-02045-CG"/>
    <x v="31"/>
    <n v="2"/>
    <x v="87"/>
    <s v=""/>
    <x v="2"/>
    <s v="Rob"/>
    <s v="L"/>
    <x v="0"/>
    <n v="11.95"/>
    <n v="23.9"/>
    <x v="0"/>
    <x v="1"/>
    <x v="1"/>
    <n v="1"/>
    <n v="23.9"/>
    <x v="0"/>
    <x v="0"/>
    <x v="0"/>
    <s v="Low Price"/>
    <s v="Low Volume"/>
    <x v="3"/>
    <s v="April"/>
    <x v="0"/>
    <x v="11"/>
    <x v="3"/>
  </r>
  <r>
    <s v="CNJ-56058-223"/>
    <x v="84"/>
    <s v="40780-22081-LX"/>
    <x v="30"/>
    <n v="3"/>
    <x v="88"/>
    <s v="abalsdonemi@toplist.cz"/>
    <x v="0"/>
    <s v="Lib"/>
    <s v="L"/>
    <x v="1"/>
    <n v="9.51"/>
    <n v="28.53"/>
    <x v="1"/>
    <x v="1"/>
    <x v="1"/>
    <n v="1"/>
    <n v="28.53"/>
    <x v="0"/>
    <x v="0"/>
    <x v="0"/>
    <s v="Low Price"/>
    <s v="Low Volume"/>
    <x v="3"/>
    <s v="August"/>
    <x v="3"/>
    <x v="1"/>
    <x v="0"/>
  </r>
  <r>
    <s v="CNY-06284-066"/>
    <x v="85"/>
    <s v="63985-64148-MG"/>
    <x v="40"/>
    <n v="5"/>
    <x v="89"/>
    <s v="dbonhome8z@shinystat.com"/>
    <x v="0"/>
    <s v="Exc"/>
    <s v="D"/>
    <x v="3"/>
    <n v="3.645"/>
    <n v="18.225000000000001"/>
    <x v="3"/>
    <x v="0"/>
    <x v="0"/>
    <n v="1"/>
    <n v="18.225000000000001"/>
    <x v="0"/>
    <x v="0"/>
    <x v="0"/>
    <s v="Low Price"/>
    <s v="High Volume"/>
    <x v="2"/>
    <s v="June"/>
    <x v="0"/>
    <x v="8"/>
    <x v="0"/>
  </r>
  <r>
    <s v="COL-72079-610"/>
    <x v="86"/>
    <s v="38487-01549-MV"/>
    <x v="20"/>
    <n v="4"/>
    <x v="90"/>
    <s v="gpoinsett61@berkeley.edu"/>
    <x v="0"/>
    <s v="Exc"/>
    <s v="L"/>
    <x v="1"/>
    <n v="8.91"/>
    <n v="35.64"/>
    <x v="3"/>
    <x v="1"/>
    <x v="1"/>
    <n v="1"/>
    <n v="35.64"/>
    <x v="0"/>
    <x v="0"/>
    <x v="0"/>
    <s v="High Price"/>
    <s v="Low Volume"/>
    <x v="0"/>
    <s v="December"/>
    <x v="1"/>
    <x v="10"/>
    <x v="2"/>
  </r>
  <r>
    <s v="COV-52659-202"/>
    <x v="87"/>
    <s v="99899-54612-NX"/>
    <x v="41"/>
    <n v="2"/>
    <x v="91"/>
    <s v="rthickpennyfz@cafepress.com"/>
    <x v="0"/>
    <s v="Lib"/>
    <s v="M"/>
    <x v="2"/>
    <n v="33.464999999999996"/>
    <n v="66.929999999999993"/>
    <x v="1"/>
    <x v="2"/>
    <x v="1"/>
    <n v="1"/>
    <n v="66.929999999999993"/>
    <x v="0"/>
    <x v="0"/>
    <x v="1"/>
    <s v="High Price"/>
    <s v="Low Volume"/>
    <x v="0"/>
    <s v="February"/>
    <x v="2"/>
    <x v="4"/>
    <x v="2"/>
  </r>
  <r>
    <s v="CPV-90280-133"/>
    <x v="88"/>
    <s v="66458-91190-YC"/>
    <x v="15"/>
    <n v="3"/>
    <x v="92"/>
    <s v="murione5@alexa.com"/>
    <x v="1"/>
    <s v="Rob"/>
    <s v="D"/>
    <x v="3"/>
    <n v="2.6849999999999996"/>
    <n v="8.0549999999999997"/>
    <x v="0"/>
    <x v="0"/>
    <x v="0"/>
    <n v="1"/>
    <n v="8.0549999999999997"/>
    <x v="0"/>
    <x v="0"/>
    <x v="0"/>
    <s v="Low Price"/>
    <s v="Low Volume"/>
    <x v="3"/>
    <s v="March"/>
    <x v="2"/>
    <x v="0"/>
    <x v="3"/>
  </r>
  <r>
    <s v="CPW-34587-459"/>
    <x v="89"/>
    <s v="84641-67384-TD"/>
    <x v="17"/>
    <n v="6"/>
    <x v="93"/>
    <s v="mmiddisiu@dmoz.org"/>
    <x v="0"/>
    <s v="Ara"/>
    <s v="L"/>
    <x v="2"/>
    <n v="29.784999999999997"/>
    <n v="178.70999999999998"/>
    <x v="2"/>
    <x v="1"/>
    <x v="0"/>
    <n v="1"/>
    <n v="178.70999999999998"/>
    <x v="0"/>
    <x v="0"/>
    <x v="2"/>
    <s v="High Price"/>
    <s v="High Volume"/>
    <x v="1"/>
    <s v="March"/>
    <x v="2"/>
    <x v="6"/>
    <x v="3"/>
  </r>
  <r>
    <s v="CPX-19312-088"/>
    <x v="30"/>
    <s v="38387-64959-WW"/>
    <x v="37"/>
    <n v="6"/>
    <x v="94"/>
    <s v="fkienleindi@trellian.com"/>
    <x v="1"/>
    <s v="Lib"/>
    <s v="M"/>
    <x v="1"/>
    <n v="8.73"/>
    <n v="52.38"/>
    <x v="1"/>
    <x v="2"/>
    <x v="0"/>
    <n v="1"/>
    <n v="52.38"/>
    <x v="0"/>
    <x v="0"/>
    <x v="1"/>
    <s v="High Price"/>
    <s v="High Volume"/>
    <x v="1"/>
    <s v="July"/>
    <x v="3"/>
    <x v="4"/>
    <x v="0"/>
  </r>
  <r>
    <s v="CPX-46916-770"/>
    <x v="90"/>
    <s v="12729-50170-JE"/>
    <x v="31"/>
    <n v="6"/>
    <x v="95"/>
    <s v="zcarlson7k@bigcartel.com"/>
    <x v="1"/>
    <s v="Rob"/>
    <s v="L"/>
    <x v="0"/>
    <n v="11.95"/>
    <n v="71.699999999999989"/>
    <x v="0"/>
    <x v="1"/>
    <x v="0"/>
    <n v="1"/>
    <n v="71.699999999999989"/>
    <x v="0"/>
    <x v="0"/>
    <x v="1"/>
    <s v="High Price"/>
    <s v="High Volume"/>
    <x v="1"/>
    <s v="August"/>
    <x v="3"/>
    <x v="11"/>
    <x v="0"/>
  </r>
  <r>
    <s v="CQM-49696-263"/>
    <x v="91"/>
    <s v="76534-45229-SG"/>
    <x v="33"/>
    <n v="3"/>
    <x v="96"/>
    <s v="syann29@senate.gov"/>
    <x v="0"/>
    <s v="Lib"/>
    <s v="L"/>
    <x v="2"/>
    <n v="36.454999999999998"/>
    <n v="109.36499999999999"/>
    <x v="1"/>
    <x v="1"/>
    <x v="0"/>
    <n v="1"/>
    <n v="109.36499999999999"/>
    <x v="0"/>
    <x v="0"/>
    <x v="3"/>
    <s v="High Price"/>
    <s v="Low Volume"/>
    <x v="0"/>
    <s v="October"/>
    <x v="1"/>
    <x v="1"/>
    <x v="1"/>
  </r>
  <r>
    <s v="CQW-37388-302"/>
    <x v="92"/>
    <s v="97741-98924-KT"/>
    <x v="22"/>
    <n v="3"/>
    <x v="97"/>
    <s v="wharvisonjx@gizmodo.com"/>
    <x v="0"/>
    <s v="Ara"/>
    <s v="D"/>
    <x v="2"/>
    <n v="22.884999999999998"/>
    <n v="68.655000000000001"/>
    <x v="2"/>
    <x v="0"/>
    <x v="1"/>
    <n v="1"/>
    <n v="68.655000000000001"/>
    <x v="0"/>
    <x v="0"/>
    <x v="1"/>
    <s v="High Price"/>
    <s v="Low Volume"/>
    <x v="0"/>
    <s v="July"/>
    <x v="3"/>
    <x v="7"/>
    <x v="0"/>
  </r>
  <r>
    <s v="CRK-07584-240"/>
    <x v="93"/>
    <s v="18741-72071-PP"/>
    <x v="35"/>
    <n v="3"/>
    <x v="98"/>
    <s v="ebeeble8j@soundcloud.com"/>
    <x v="0"/>
    <s v="Ara"/>
    <s v="M"/>
    <x v="0"/>
    <n v="11.25"/>
    <n v="33.75"/>
    <x v="2"/>
    <x v="2"/>
    <x v="0"/>
    <n v="1"/>
    <n v="33.75"/>
    <x v="0"/>
    <x v="0"/>
    <x v="0"/>
    <s v="High Price"/>
    <s v="Low Volume"/>
    <x v="0"/>
    <s v="January"/>
    <x v="2"/>
    <x v="2"/>
    <x v="2"/>
  </r>
  <r>
    <s v="CSW-59644-267"/>
    <x v="60"/>
    <s v="60378-26473-FE"/>
    <x v="4"/>
    <n v="1"/>
    <x v="99"/>
    <s v="bpaumierhp@umn.edu"/>
    <x v="1"/>
    <s v="Exc"/>
    <s v="M"/>
    <x v="2"/>
    <n v="31.624999999999996"/>
    <n v="31.624999999999996"/>
    <x v="3"/>
    <x v="2"/>
    <x v="0"/>
    <n v="1"/>
    <n v="31.624999999999996"/>
    <x v="0"/>
    <x v="0"/>
    <x v="0"/>
    <s v="High Price"/>
    <s v="Low Volume"/>
    <x v="0"/>
    <s v="February"/>
    <x v="2"/>
    <x v="3"/>
    <x v="2"/>
  </r>
  <r>
    <s v="CTE-31437-326"/>
    <x v="94"/>
    <s v="22721-63196-UJ"/>
    <x v="11"/>
    <n v="4"/>
    <x v="100"/>
    <s v="gduckerdx@patch.com"/>
    <x v="2"/>
    <s v="Rob"/>
    <s v="M"/>
    <x v="3"/>
    <n v="2.9849999999999999"/>
    <n v="11.94"/>
    <x v="0"/>
    <x v="2"/>
    <x v="1"/>
    <n v="4"/>
    <n v="23.626249999999999"/>
    <x v="1"/>
    <x v="1"/>
    <x v="0"/>
    <s v="Low Price"/>
    <s v="Low Volume"/>
    <x v="3"/>
    <s v="January"/>
    <x v="2"/>
    <x v="5"/>
    <x v="2"/>
  </r>
  <r>
    <s v="CTE-31437-326"/>
    <x v="94"/>
    <s v="22721-63196-UJ"/>
    <x v="10"/>
    <n v="3"/>
    <x v="100"/>
    <s v="gduckerdx@patch.com"/>
    <x v="2"/>
    <s v="Lib"/>
    <s v="L"/>
    <x v="3"/>
    <n v="4.7549999999999999"/>
    <n v="14.265000000000001"/>
    <x v="1"/>
    <x v="1"/>
    <x v="1"/>
    <n v="4"/>
    <n v="23.626249999999999"/>
    <x v="1"/>
    <x v="1"/>
    <x v="0"/>
    <s v="Low Price"/>
    <s v="Low Volume"/>
    <x v="3"/>
    <s v="January"/>
    <x v="2"/>
    <x v="1"/>
    <x v="2"/>
  </r>
  <r>
    <s v="CTE-31437-326"/>
    <x v="94"/>
    <s v="22721-63196-UJ"/>
    <x v="42"/>
    <n v="4"/>
    <x v="100"/>
    <s v="gduckerdx@patch.com"/>
    <x v="2"/>
    <s v="Exc"/>
    <s v="M"/>
    <x v="3"/>
    <n v="4.125"/>
    <n v="16.5"/>
    <x v="3"/>
    <x v="2"/>
    <x v="1"/>
    <n v="4"/>
    <n v="23.626249999999999"/>
    <x v="1"/>
    <x v="1"/>
    <x v="0"/>
    <s v="Low Price"/>
    <s v="Low Volume"/>
    <x v="3"/>
    <s v="January"/>
    <x v="2"/>
    <x v="3"/>
    <x v="2"/>
  </r>
  <r>
    <s v="CTE-31437-326"/>
    <x v="94"/>
    <s v="22721-63196-UJ"/>
    <x v="19"/>
    <n v="4"/>
    <x v="100"/>
    <s v="gduckerdx@patch.com"/>
    <x v="2"/>
    <s v="Lib"/>
    <s v="D"/>
    <x v="0"/>
    <n v="12.95"/>
    <n v="51.8"/>
    <x v="1"/>
    <x v="0"/>
    <x v="1"/>
    <n v="4"/>
    <n v="23.626249999999999"/>
    <x v="1"/>
    <x v="1"/>
    <x v="1"/>
    <s v="High Price"/>
    <s v="Low Volume"/>
    <x v="0"/>
    <s v="January"/>
    <x v="2"/>
    <x v="9"/>
    <x v="2"/>
  </r>
  <r>
    <s v="CUN-90044-279"/>
    <x v="95"/>
    <s v="86646-65810-TD"/>
    <x v="29"/>
    <n v="4"/>
    <x v="101"/>
    <s v=""/>
    <x v="0"/>
    <s v="Lib"/>
    <s v="D"/>
    <x v="3"/>
    <n v="3.8849999999999998"/>
    <n v="15.54"/>
    <x v="1"/>
    <x v="0"/>
    <x v="0"/>
    <n v="1"/>
    <n v="15.54"/>
    <x v="0"/>
    <x v="0"/>
    <x v="0"/>
    <s v="Low Price"/>
    <s v="Low Volume"/>
    <x v="3"/>
    <s v="January"/>
    <x v="2"/>
    <x v="9"/>
    <x v="2"/>
  </r>
  <r>
    <s v="CUU-92244-729"/>
    <x v="96"/>
    <s v="99735-44927-OL"/>
    <x v="21"/>
    <n v="3"/>
    <x v="102"/>
    <s v="jmccaulld0@parallels.com"/>
    <x v="0"/>
    <s v="Exc"/>
    <s v="M"/>
    <x v="0"/>
    <n v="13.75"/>
    <n v="41.25"/>
    <x v="3"/>
    <x v="2"/>
    <x v="0"/>
    <n v="1"/>
    <n v="41.25"/>
    <x v="0"/>
    <x v="0"/>
    <x v="0"/>
    <s v="High Price"/>
    <s v="Low Volume"/>
    <x v="0"/>
    <s v="July"/>
    <x v="3"/>
    <x v="3"/>
    <x v="0"/>
  </r>
  <r>
    <s v="CVA-64996-969"/>
    <x v="97"/>
    <s v="13324-78688-MI"/>
    <x v="7"/>
    <n v="6"/>
    <x v="103"/>
    <s v="codgaardh9@nsw.gov.au"/>
    <x v="0"/>
    <s v="Ara"/>
    <s v="L"/>
    <x v="0"/>
    <n v="12.95"/>
    <n v="77.699999999999989"/>
    <x v="2"/>
    <x v="1"/>
    <x v="1"/>
    <n v="1"/>
    <n v="77.699999999999989"/>
    <x v="0"/>
    <x v="0"/>
    <x v="1"/>
    <s v="High Price"/>
    <s v="High Volume"/>
    <x v="1"/>
    <s v="June"/>
    <x v="0"/>
    <x v="6"/>
    <x v="0"/>
  </r>
  <r>
    <s v="CVE-15042-481"/>
    <x v="98"/>
    <s v="24972-55878-KX"/>
    <x v="31"/>
    <n v="2"/>
    <x v="104"/>
    <s v="fconstancekz@ifeng.com"/>
    <x v="0"/>
    <s v="Rob"/>
    <s v="L"/>
    <x v="0"/>
    <n v="11.95"/>
    <n v="23.9"/>
    <x v="0"/>
    <x v="1"/>
    <x v="1"/>
    <n v="1"/>
    <n v="23.9"/>
    <x v="0"/>
    <x v="0"/>
    <x v="0"/>
    <s v="Low Price"/>
    <s v="Low Volume"/>
    <x v="3"/>
    <s v="January"/>
    <x v="2"/>
    <x v="11"/>
    <x v="2"/>
  </r>
  <r>
    <s v="CVP-18956-553"/>
    <x v="99"/>
    <s v="86561-91660-RB"/>
    <x v="19"/>
    <n v="3"/>
    <x v="105"/>
    <s v=""/>
    <x v="0"/>
    <s v="Lib"/>
    <s v="D"/>
    <x v="0"/>
    <n v="12.95"/>
    <n v="38.849999999999994"/>
    <x v="1"/>
    <x v="0"/>
    <x v="1"/>
    <n v="1"/>
    <n v="38.849999999999994"/>
    <x v="0"/>
    <x v="0"/>
    <x v="0"/>
    <s v="High Price"/>
    <s v="Low Volume"/>
    <x v="0"/>
    <s v="August"/>
    <x v="3"/>
    <x v="9"/>
    <x v="0"/>
  </r>
  <r>
    <s v="CWK-60159-881"/>
    <x v="100"/>
    <s v="04671-85591-RT"/>
    <x v="40"/>
    <n v="3"/>
    <x v="106"/>
    <s v="tgrizard1k@odnoklassniki.ru"/>
    <x v="0"/>
    <s v="Exc"/>
    <s v="D"/>
    <x v="3"/>
    <n v="3.645"/>
    <n v="10.935"/>
    <x v="3"/>
    <x v="0"/>
    <x v="0"/>
    <n v="1"/>
    <n v="10.935"/>
    <x v="0"/>
    <x v="0"/>
    <x v="0"/>
    <s v="Low Price"/>
    <s v="Low Volume"/>
    <x v="3"/>
    <s v="January"/>
    <x v="2"/>
    <x v="8"/>
    <x v="2"/>
  </r>
  <r>
    <s v="CWT-27056-328"/>
    <x v="101"/>
    <s v="18570-80998-ZS"/>
    <x v="40"/>
    <n v="6"/>
    <x v="107"/>
    <s v=""/>
    <x v="0"/>
    <s v="Exc"/>
    <s v="D"/>
    <x v="3"/>
    <n v="3.645"/>
    <n v="21.87"/>
    <x v="3"/>
    <x v="0"/>
    <x v="0"/>
    <n v="1"/>
    <n v="21.87"/>
    <x v="0"/>
    <x v="0"/>
    <x v="0"/>
    <s v="Low Price"/>
    <s v="High Volume"/>
    <x v="2"/>
    <s v="June"/>
    <x v="0"/>
    <x v="8"/>
    <x v="0"/>
  </r>
  <r>
    <s v="CXD-74176-600"/>
    <x v="102"/>
    <s v="70624-19112-AO"/>
    <x v="20"/>
    <n v="4"/>
    <x v="108"/>
    <s v="craglessc7@webmd.com"/>
    <x v="1"/>
    <s v="Exc"/>
    <s v="L"/>
    <x v="1"/>
    <n v="8.91"/>
    <n v="35.64"/>
    <x v="3"/>
    <x v="1"/>
    <x v="1"/>
    <n v="1"/>
    <n v="35.64"/>
    <x v="0"/>
    <x v="0"/>
    <x v="0"/>
    <s v="High Price"/>
    <s v="Low Volume"/>
    <x v="0"/>
    <s v="April"/>
    <x v="0"/>
    <x v="10"/>
    <x v="3"/>
  </r>
  <r>
    <s v="CXI-04933-855"/>
    <x v="103"/>
    <s v="62923-29397-KX"/>
    <x v="39"/>
    <n v="6"/>
    <x v="109"/>
    <s v="ltanti8b@techcrunch.com"/>
    <x v="0"/>
    <s v="Exc"/>
    <s v="L"/>
    <x v="2"/>
    <n v="34.154999999999994"/>
    <n v="204.92999999999995"/>
    <x v="3"/>
    <x v="1"/>
    <x v="0"/>
    <n v="1"/>
    <n v="204.92999999999995"/>
    <x v="0"/>
    <x v="0"/>
    <x v="2"/>
    <s v="High Price"/>
    <s v="High Volume"/>
    <x v="1"/>
    <s v="April"/>
    <x v="0"/>
    <x v="10"/>
    <x v="3"/>
  </r>
  <r>
    <s v="CYH-53243-218"/>
    <x v="104"/>
    <s v="88167-57964-PH"/>
    <x v="6"/>
    <n v="3"/>
    <x v="110"/>
    <s v=""/>
    <x v="0"/>
    <s v="Rob"/>
    <s v="M"/>
    <x v="1"/>
    <n v="5.97"/>
    <n v="17.91"/>
    <x v="0"/>
    <x v="2"/>
    <x v="1"/>
    <n v="1"/>
    <n v="17.91"/>
    <x v="0"/>
    <x v="0"/>
    <x v="0"/>
    <s v="Low Price"/>
    <s v="Low Volume"/>
    <x v="3"/>
    <s v="December"/>
    <x v="1"/>
    <x v="5"/>
    <x v="2"/>
  </r>
  <r>
    <s v="CYM-74988-450"/>
    <x v="105"/>
    <s v="87223-37422-SK"/>
    <x v="29"/>
    <n v="4"/>
    <x v="111"/>
    <s v="rflearf5@artisteer.com"/>
    <x v="2"/>
    <s v="Lib"/>
    <s v="D"/>
    <x v="3"/>
    <n v="3.8849999999999998"/>
    <n v="15.54"/>
    <x v="1"/>
    <x v="0"/>
    <x v="1"/>
    <n v="1"/>
    <n v="15.54"/>
    <x v="0"/>
    <x v="0"/>
    <x v="0"/>
    <s v="Low Price"/>
    <s v="Low Volume"/>
    <x v="3"/>
    <s v="October"/>
    <x v="1"/>
    <x v="9"/>
    <x v="1"/>
  </r>
  <r>
    <s v="CYV-13426-645"/>
    <x v="106"/>
    <s v="88593-59934-VU"/>
    <x v="12"/>
    <n v="1"/>
    <x v="112"/>
    <s v="edacca3l@google.pl"/>
    <x v="0"/>
    <s v="Exc"/>
    <s v="D"/>
    <x v="0"/>
    <n v="12.15"/>
    <n v="12.15"/>
    <x v="3"/>
    <x v="0"/>
    <x v="0"/>
    <n v="1"/>
    <n v="12.15"/>
    <x v="0"/>
    <x v="0"/>
    <x v="0"/>
    <s v="Low Price"/>
    <s v="Low Volume"/>
    <x v="3"/>
    <s v="July"/>
    <x v="3"/>
    <x v="8"/>
    <x v="0"/>
  </r>
  <r>
    <s v="CYZ-37122-164"/>
    <x v="107"/>
    <s v="21798-04171-XC"/>
    <x v="24"/>
    <n v="2"/>
    <x v="113"/>
    <s v="wcottierj3@cafepress.com"/>
    <x v="0"/>
    <s v="Exc"/>
    <s v="M"/>
    <x v="1"/>
    <n v="8.25"/>
    <n v="16.5"/>
    <x v="3"/>
    <x v="2"/>
    <x v="1"/>
    <n v="1"/>
    <n v="16.5"/>
    <x v="0"/>
    <x v="0"/>
    <x v="0"/>
    <s v="Low Price"/>
    <s v="Low Volume"/>
    <x v="3"/>
    <s v="January"/>
    <x v="2"/>
    <x v="3"/>
    <x v="2"/>
  </r>
  <r>
    <s v="CZD-56716-840"/>
    <x v="108"/>
    <s v="15456-29250-RU"/>
    <x v="28"/>
    <n v="4"/>
    <x v="114"/>
    <s v=""/>
    <x v="0"/>
    <s v="Lib"/>
    <s v="D"/>
    <x v="2"/>
    <n v="29.784999999999997"/>
    <n v="119.13999999999999"/>
    <x v="1"/>
    <x v="0"/>
    <x v="1"/>
    <n v="1"/>
    <n v="119.13999999999999"/>
    <x v="0"/>
    <x v="0"/>
    <x v="3"/>
    <s v="High Price"/>
    <s v="Low Volume"/>
    <x v="0"/>
    <s v="February"/>
    <x v="2"/>
    <x v="9"/>
    <x v="2"/>
  </r>
  <r>
    <s v="CZF-40873-691"/>
    <x v="109"/>
    <s v="64988-20636-XQ"/>
    <x v="24"/>
    <n v="2"/>
    <x v="115"/>
    <s v=""/>
    <x v="2"/>
    <s v="Exc"/>
    <s v="M"/>
    <x v="1"/>
    <n v="8.25"/>
    <n v="16.5"/>
    <x v="3"/>
    <x v="2"/>
    <x v="1"/>
    <n v="1"/>
    <n v="16.5"/>
    <x v="0"/>
    <x v="0"/>
    <x v="0"/>
    <s v="Low Price"/>
    <s v="Low Volume"/>
    <x v="3"/>
    <s v="June"/>
    <x v="0"/>
    <x v="3"/>
    <x v="0"/>
  </r>
  <r>
    <s v="CZG-01299-952"/>
    <x v="110"/>
    <s v="09540-70637-EV"/>
    <x v="19"/>
    <n v="2"/>
    <x v="116"/>
    <s v="jtoyekg@pinterest.com"/>
    <x v="1"/>
    <s v="Lib"/>
    <s v="D"/>
    <x v="0"/>
    <n v="12.95"/>
    <n v="25.9"/>
    <x v="1"/>
    <x v="0"/>
    <x v="0"/>
    <n v="1"/>
    <n v="25.9"/>
    <x v="0"/>
    <x v="0"/>
    <x v="0"/>
    <s v="Low Price"/>
    <s v="Low Volume"/>
    <x v="3"/>
    <s v="February"/>
    <x v="2"/>
    <x v="9"/>
    <x v="2"/>
  </r>
  <r>
    <s v="CZG-86544-655"/>
    <x v="111"/>
    <s v="69443-77665-QW"/>
    <x v="16"/>
    <n v="2"/>
    <x v="117"/>
    <s v="hcrowneq5@wufoo.com"/>
    <x v="1"/>
    <s v="Ara"/>
    <s v="L"/>
    <x v="1"/>
    <n v="7.77"/>
    <n v="15.54"/>
    <x v="2"/>
    <x v="1"/>
    <x v="0"/>
    <n v="1"/>
    <n v="15.54"/>
    <x v="0"/>
    <x v="0"/>
    <x v="0"/>
    <s v="Low Price"/>
    <s v="Low Volume"/>
    <x v="3"/>
    <s v="April"/>
    <x v="0"/>
    <x v="6"/>
    <x v="3"/>
  </r>
  <r>
    <s v="CZY-70361-485"/>
    <x v="112"/>
    <s v="83308-82257-UN"/>
    <x v="39"/>
    <n v="6"/>
    <x v="118"/>
    <s v="nlush8s@dedecms.com"/>
    <x v="1"/>
    <s v="Exc"/>
    <s v="L"/>
    <x v="2"/>
    <n v="34.154999999999994"/>
    <n v="204.92999999999995"/>
    <x v="3"/>
    <x v="1"/>
    <x v="1"/>
    <n v="1"/>
    <n v="204.92999999999995"/>
    <x v="0"/>
    <x v="0"/>
    <x v="2"/>
    <s v="High Price"/>
    <s v="High Volume"/>
    <x v="1"/>
    <s v="June"/>
    <x v="0"/>
    <x v="10"/>
    <x v="0"/>
  </r>
  <r>
    <s v="DAH-46595-917"/>
    <x v="113"/>
    <s v="27878-42224-QF"/>
    <x v="8"/>
    <n v="6"/>
    <x v="119"/>
    <s v="nrudlandij@blogs.com"/>
    <x v="1"/>
    <s v="Ara"/>
    <s v="D"/>
    <x v="0"/>
    <n v="9.9499999999999993"/>
    <n v="59.699999999999996"/>
    <x v="2"/>
    <x v="0"/>
    <x v="1"/>
    <n v="1"/>
    <n v="59.699999999999996"/>
    <x v="0"/>
    <x v="0"/>
    <x v="1"/>
    <s v="High Price"/>
    <s v="High Volume"/>
    <x v="1"/>
    <s v="September"/>
    <x v="3"/>
    <x v="7"/>
    <x v="1"/>
  </r>
  <r>
    <s v="DBC-44122-300"/>
    <x v="114"/>
    <s v="13366-78506-KP"/>
    <x v="5"/>
    <n v="3"/>
    <x v="120"/>
    <s v=""/>
    <x v="0"/>
    <s v="Lib"/>
    <s v="M"/>
    <x v="3"/>
    <n v="4.3650000000000002"/>
    <n v="13.095000000000001"/>
    <x v="1"/>
    <x v="2"/>
    <x v="0"/>
    <n v="1"/>
    <n v="13.095000000000001"/>
    <x v="0"/>
    <x v="0"/>
    <x v="0"/>
    <s v="Low Price"/>
    <s v="Low Volume"/>
    <x v="3"/>
    <s v="November"/>
    <x v="1"/>
    <x v="4"/>
    <x v="1"/>
  </r>
  <r>
    <s v="DBU-81099-586"/>
    <x v="115"/>
    <s v="15770-27099-GX"/>
    <x v="22"/>
    <n v="4"/>
    <x v="121"/>
    <s v="rmcgilvary1c@tamu.edu"/>
    <x v="0"/>
    <s v="Ara"/>
    <s v="D"/>
    <x v="2"/>
    <n v="22.884999999999998"/>
    <n v="91.539999999999992"/>
    <x v="2"/>
    <x v="0"/>
    <x v="1"/>
    <n v="1"/>
    <n v="91.539999999999992"/>
    <x v="0"/>
    <x v="0"/>
    <x v="1"/>
    <s v="High Price"/>
    <s v="Low Volume"/>
    <x v="0"/>
    <s v="September"/>
    <x v="3"/>
    <x v="7"/>
    <x v="1"/>
  </r>
  <r>
    <s v="DCE-22886-861"/>
    <x v="116"/>
    <s v="56060-17602-RG"/>
    <x v="40"/>
    <n v="1"/>
    <x v="122"/>
    <s v=""/>
    <x v="1"/>
    <s v="Exc"/>
    <s v="D"/>
    <x v="3"/>
    <n v="3.645"/>
    <n v="3.645"/>
    <x v="3"/>
    <x v="0"/>
    <x v="0"/>
    <n v="1"/>
    <n v="3.645"/>
    <x v="0"/>
    <x v="0"/>
    <x v="0"/>
    <s v="Low Price"/>
    <s v="Low Volume"/>
    <x v="3"/>
    <s v="April"/>
    <x v="0"/>
    <x v="8"/>
    <x v="3"/>
  </r>
  <r>
    <s v="DCI-96254-548"/>
    <x v="117"/>
    <s v="94091-86957-HX"/>
    <x v="43"/>
    <n v="6"/>
    <x v="123"/>
    <s v="jdymokeje@prnewswire.com"/>
    <x v="1"/>
    <s v="Ara"/>
    <s v="D"/>
    <x v="3"/>
    <n v="2.9849999999999999"/>
    <n v="17.91"/>
    <x v="2"/>
    <x v="0"/>
    <x v="1"/>
    <n v="1"/>
    <n v="17.91"/>
    <x v="0"/>
    <x v="0"/>
    <x v="0"/>
    <s v="Low Price"/>
    <s v="High Volume"/>
    <x v="2"/>
    <s v="June"/>
    <x v="0"/>
    <x v="7"/>
    <x v="0"/>
  </r>
  <r>
    <s v="DDO-71442-967"/>
    <x v="118"/>
    <s v="89422-58281-FD"/>
    <x v="29"/>
    <n v="5"/>
    <x v="124"/>
    <s v="abaudino5b@netvibes.com"/>
    <x v="0"/>
    <s v="Lib"/>
    <s v="D"/>
    <x v="3"/>
    <n v="3.8849999999999998"/>
    <n v="19.424999999999997"/>
    <x v="1"/>
    <x v="0"/>
    <x v="0"/>
    <n v="1"/>
    <n v="19.424999999999997"/>
    <x v="0"/>
    <x v="0"/>
    <x v="0"/>
    <s v="Low Price"/>
    <s v="High Volume"/>
    <x v="2"/>
    <s v="April"/>
    <x v="0"/>
    <x v="9"/>
    <x v="3"/>
  </r>
  <r>
    <s v="DEC-11160-362"/>
    <x v="119"/>
    <s v="48582-05061-RY"/>
    <x v="15"/>
    <n v="4"/>
    <x v="125"/>
    <s v="agallyoney@engadget.com"/>
    <x v="0"/>
    <s v="Rob"/>
    <s v="D"/>
    <x v="3"/>
    <n v="2.6849999999999996"/>
    <n v="10.739999999999998"/>
    <x v="0"/>
    <x v="0"/>
    <x v="0"/>
    <n v="1"/>
    <n v="10.739999999999998"/>
    <x v="0"/>
    <x v="0"/>
    <x v="0"/>
    <s v="Low Price"/>
    <s v="Low Volume"/>
    <x v="3"/>
    <s v="October"/>
    <x v="1"/>
    <x v="0"/>
    <x v="1"/>
  </r>
  <r>
    <s v="DFK-35846-692"/>
    <x v="120"/>
    <s v="49612-33852-CN"/>
    <x v="15"/>
    <n v="5"/>
    <x v="126"/>
    <s v=""/>
    <x v="0"/>
    <s v="Rob"/>
    <s v="D"/>
    <x v="3"/>
    <n v="2.6849999999999996"/>
    <n v="13.424999999999997"/>
    <x v="0"/>
    <x v="0"/>
    <x v="0"/>
    <n v="1"/>
    <n v="13.424999999999997"/>
    <x v="0"/>
    <x v="0"/>
    <x v="0"/>
    <s v="Low Price"/>
    <s v="High Volume"/>
    <x v="2"/>
    <s v="November"/>
    <x v="1"/>
    <x v="0"/>
    <x v="1"/>
  </r>
  <r>
    <s v="DFS-49954-707"/>
    <x v="121"/>
    <s v="39019-13649-CL"/>
    <x v="40"/>
    <n v="5"/>
    <x v="127"/>
    <s v="gskingle44@clickbank.net"/>
    <x v="0"/>
    <s v="Exc"/>
    <s v="D"/>
    <x v="3"/>
    <n v="3.645"/>
    <n v="18.225000000000001"/>
    <x v="3"/>
    <x v="0"/>
    <x v="0"/>
    <n v="1"/>
    <n v="18.225000000000001"/>
    <x v="0"/>
    <x v="0"/>
    <x v="0"/>
    <s v="Low Price"/>
    <s v="High Volume"/>
    <x v="2"/>
    <s v="December"/>
    <x v="1"/>
    <x v="8"/>
    <x v="2"/>
  </r>
  <r>
    <s v="DFZ-45083-941"/>
    <x v="122"/>
    <s v="34665-62561-AU"/>
    <x v="44"/>
    <n v="1"/>
    <x v="128"/>
    <s v="ttaffarello78@sciencedaily.com"/>
    <x v="0"/>
    <s v="Rob"/>
    <s v="L"/>
    <x v="2"/>
    <n v="27.484999999999996"/>
    <n v="27.484999999999996"/>
    <x v="0"/>
    <x v="1"/>
    <x v="0"/>
    <n v="1"/>
    <n v="27.484999999999996"/>
    <x v="0"/>
    <x v="0"/>
    <x v="0"/>
    <s v="Low Price"/>
    <s v="Low Volume"/>
    <x v="3"/>
    <s v="November"/>
    <x v="1"/>
    <x v="11"/>
    <x v="1"/>
  </r>
  <r>
    <s v="DGC-21813-731"/>
    <x v="123"/>
    <s v="43606-83072-OA"/>
    <x v="29"/>
    <n v="2"/>
    <x v="129"/>
    <s v=""/>
    <x v="0"/>
    <s v="Lib"/>
    <s v="D"/>
    <x v="3"/>
    <n v="3.8849999999999998"/>
    <n v="7.77"/>
    <x v="1"/>
    <x v="0"/>
    <x v="1"/>
    <n v="1"/>
    <n v="7.77"/>
    <x v="0"/>
    <x v="0"/>
    <x v="0"/>
    <s v="Low Price"/>
    <s v="Low Volume"/>
    <x v="3"/>
    <s v="April"/>
    <x v="0"/>
    <x v="9"/>
    <x v="3"/>
  </r>
  <r>
    <s v="DGL-29648-995"/>
    <x v="124"/>
    <s v="59367-30821-ZQ"/>
    <x v="5"/>
    <n v="2"/>
    <x v="130"/>
    <s v=""/>
    <x v="0"/>
    <s v="Lib"/>
    <s v="M"/>
    <x v="3"/>
    <n v="4.3650000000000002"/>
    <n v="8.73"/>
    <x v="1"/>
    <x v="2"/>
    <x v="0"/>
    <n v="1"/>
    <n v="8.73"/>
    <x v="0"/>
    <x v="0"/>
    <x v="0"/>
    <s v="Low Price"/>
    <s v="Low Volume"/>
    <x v="3"/>
    <s v="July"/>
    <x v="3"/>
    <x v="4"/>
    <x v="0"/>
  </r>
  <r>
    <s v="DGY-35773-612"/>
    <x v="125"/>
    <s v="17503-27693-ZH"/>
    <x v="45"/>
    <n v="3"/>
    <x v="131"/>
    <s v=""/>
    <x v="0"/>
    <s v="Exc"/>
    <s v="L"/>
    <x v="0"/>
    <n v="14.85"/>
    <n v="44.55"/>
    <x v="3"/>
    <x v="1"/>
    <x v="0"/>
    <n v="1"/>
    <n v="44.55"/>
    <x v="0"/>
    <x v="0"/>
    <x v="0"/>
    <s v="High Price"/>
    <s v="Low Volume"/>
    <x v="0"/>
    <s v="July"/>
    <x v="3"/>
    <x v="10"/>
    <x v="0"/>
  </r>
  <r>
    <s v="DGZ-82537-477"/>
    <x v="126"/>
    <s v="43439-94003-DW"/>
    <x v="0"/>
    <n v="5"/>
    <x v="132"/>
    <s v=""/>
    <x v="0"/>
    <s v="Rob"/>
    <s v="D"/>
    <x v="0"/>
    <n v="8.9499999999999993"/>
    <n v="44.75"/>
    <x v="0"/>
    <x v="0"/>
    <x v="1"/>
    <n v="1"/>
    <n v="44.75"/>
    <x v="0"/>
    <x v="0"/>
    <x v="0"/>
    <s v="High Price"/>
    <s v="High Volume"/>
    <x v="1"/>
    <s v="August"/>
    <x v="3"/>
    <x v="0"/>
    <x v="0"/>
  </r>
  <r>
    <s v="DHJ-87461-571"/>
    <x v="127"/>
    <s v="94525-76037-JP"/>
    <x v="35"/>
    <n v="2"/>
    <x v="133"/>
    <s v="eryles9r@fastcompany.com"/>
    <x v="0"/>
    <s v="Ara"/>
    <s v="M"/>
    <x v="0"/>
    <n v="11.25"/>
    <n v="22.5"/>
    <x v="2"/>
    <x v="2"/>
    <x v="1"/>
    <n v="1"/>
    <n v="22.5"/>
    <x v="0"/>
    <x v="0"/>
    <x v="0"/>
    <s v="Low Price"/>
    <s v="Low Volume"/>
    <x v="3"/>
    <s v="August"/>
    <x v="3"/>
    <x v="2"/>
    <x v="0"/>
  </r>
  <r>
    <s v="DHT-93810-053"/>
    <x v="128"/>
    <s v="17005-82030-EA"/>
    <x v="45"/>
    <n v="5"/>
    <x v="134"/>
    <s v="sweldsar@wired.com"/>
    <x v="0"/>
    <s v="Exc"/>
    <s v="L"/>
    <x v="0"/>
    <n v="14.85"/>
    <n v="74.25"/>
    <x v="3"/>
    <x v="1"/>
    <x v="0"/>
    <n v="1"/>
    <n v="74.25"/>
    <x v="0"/>
    <x v="0"/>
    <x v="1"/>
    <s v="High Price"/>
    <s v="High Volume"/>
    <x v="1"/>
    <s v="September"/>
    <x v="3"/>
    <x v="10"/>
    <x v="1"/>
  </r>
  <r>
    <s v="DJG-14442-608"/>
    <x v="129"/>
    <s v="75716-12782-SS"/>
    <x v="0"/>
    <n v="3"/>
    <x v="135"/>
    <s v="gcroysdaleb6@nih.gov"/>
    <x v="0"/>
    <s v="Rob"/>
    <s v="D"/>
    <x v="0"/>
    <n v="8.9499999999999993"/>
    <n v="26.849999999999998"/>
    <x v="0"/>
    <x v="0"/>
    <x v="0"/>
    <n v="1"/>
    <n v="26.849999999999998"/>
    <x v="0"/>
    <x v="0"/>
    <x v="0"/>
    <s v="Low Price"/>
    <s v="Low Volume"/>
    <x v="3"/>
    <s v="February"/>
    <x v="2"/>
    <x v="0"/>
    <x v="2"/>
  </r>
  <r>
    <s v="DJH-05202-380"/>
    <x v="130"/>
    <s v="85589-17020-CX"/>
    <x v="4"/>
    <n v="2"/>
    <x v="136"/>
    <s v=""/>
    <x v="0"/>
    <s v="Exc"/>
    <s v="M"/>
    <x v="2"/>
    <n v="31.624999999999996"/>
    <n v="63.249999999999993"/>
    <x v="3"/>
    <x v="2"/>
    <x v="0"/>
    <n v="1"/>
    <n v="63.249999999999993"/>
    <x v="0"/>
    <x v="0"/>
    <x v="1"/>
    <s v="High Price"/>
    <s v="Low Volume"/>
    <x v="0"/>
    <s v="November"/>
    <x v="1"/>
    <x v="3"/>
    <x v="1"/>
  </r>
  <r>
    <s v="DKB-78053-329"/>
    <x v="131"/>
    <s v="12444-05174-OO"/>
    <x v="11"/>
    <n v="2"/>
    <x v="137"/>
    <s v="ihay77@lulu.com"/>
    <x v="2"/>
    <s v="Rob"/>
    <s v="M"/>
    <x v="3"/>
    <n v="2.9849999999999999"/>
    <n v="5.97"/>
    <x v="0"/>
    <x v="2"/>
    <x v="1"/>
    <n v="1"/>
    <n v="5.97"/>
    <x v="0"/>
    <x v="0"/>
    <x v="0"/>
    <s v="Low Price"/>
    <s v="Low Volume"/>
    <x v="3"/>
    <s v="June"/>
    <x v="0"/>
    <x v="5"/>
    <x v="0"/>
  </r>
  <r>
    <s v="DKM-97676-850"/>
    <x v="132"/>
    <s v="43439-94003-DW"/>
    <x v="36"/>
    <n v="5"/>
    <x v="132"/>
    <s v=""/>
    <x v="0"/>
    <s v="Exc"/>
    <s v="D"/>
    <x v="1"/>
    <n v="7.29"/>
    <n v="36.450000000000003"/>
    <x v="3"/>
    <x v="0"/>
    <x v="1"/>
    <n v="1"/>
    <n v="36.450000000000003"/>
    <x v="0"/>
    <x v="0"/>
    <x v="0"/>
    <s v="High Price"/>
    <s v="High Volume"/>
    <x v="1"/>
    <s v="June"/>
    <x v="0"/>
    <x v="8"/>
    <x v="0"/>
  </r>
  <r>
    <s v="DLV-65840-759"/>
    <x v="133"/>
    <s v="77192-72145-RG"/>
    <x v="34"/>
    <n v="2"/>
    <x v="138"/>
    <s v="mbirkinnz@java.com"/>
    <x v="0"/>
    <s v="Lib"/>
    <s v="M"/>
    <x v="0"/>
    <n v="14.55"/>
    <n v="29.1"/>
    <x v="1"/>
    <x v="2"/>
    <x v="0"/>
    <n v="1"/>
    <n v="29.1"/>
    <x v="0"/>
    <x v="0"/>
    <x v="0"/>
    <s v="Low Price"/>
    <s v="Low Volume"/>
    <x v="3"/>
    <s v="May"/>
    <x v="0"/>
    <x v="4"/>
    <x v="3"/>
  </r>
  <r>
    <s v="DLX-01059-899"/>
    <x v="134"/>
    <s v="74940-09646-MU"/>
    <x v="31"/>
    <n v="5"/>
    <x v="139"/>
    <s v="gciccottip8@so-net.ne.jp"/>
    <x v="0"/>
    <s v="Rob"/>
    <s v="L"/>
    <x v="0"/>
    <n v="11.95"/>
    <n v="59.75"/>
    <x v="0"/>
    <x v="1"/>
    <x v="1"/>
    <n v="1"/>
    <n v="59.75"/>
    <x v="0"/>
    <x v="0"/>
    <x v="1"/>
    <s v="High Price"/>
    <s v="High Volume"/>
    <x v="1"/>
    <s v="January"/>
    <x v="2"/>
    <x v="11"/>
    <x v="2"/>
  </r>
  <r>
    <s v="DMY-96037-963"/>
    <x v="135"/>
    <s v="42179-95059-DO"/>
    <x v="29"/>
    <n v="3"/>
    <x v="140"/>
    <s v="msarvaras@artisteer.com"/>
    <x v="0"/>
    <s v="Lib"/>
    <s v="D"/>
    <x v="3"/>
    <n v="3.8849999999999998"/>
    <n v="11.654999999999999"/>
    <x v="1"/>
    <x v="0"/>
    <x v="0"/>
    <n v="1"/>
    <n v="11.654999999999999"/>
    <x v="0"/>
    <x v="0"/>
    <x v="0"/>
    <s v="Low Price"/>
    <s v="Low Volume"/>
    <x v="3"/>
    <s v="October"/>
    <x v="1"/>
    <x v="9"/>
    <x v="1"/>
  </r>
  <r>
    <s v="DNZ-11665-950"/>
    <x v="136"/>
    <s v="10637-45522-ID"/>
    <x v="33"/>
    <n v="2"/>
    <x v="141"/>
    <s v=""/>
    <x v="0"/>
    <s v="Lib"/>
    <s v="L"/>
    <x v="2"/>
    <n v="36.454999999999998"/>
    <n v="72.91"/>
    <x v="1"/>
    <x v="1"/>
    <x v="1"/>
    <n v="1"/>
    <n v="72.91"/>
    <x v="0"/>
    <x v="0"/>
    <x v="1"/>
    <s v="High Price"/>
    <s v="Low Volume"/>
    <x v="0"/>
    <s v="February"/>
    <x v="2"/>
    <x v="1"/>
    <x v="2"/>
  </r>
  <r>
    <s v="DOH-92927-530"/>
    <x v="137"/>
    <s v="12839-56537-TQ"/>
    <x v="10"/>
    <n v="6"/>
    <x v="142"/>
    <s v="cvasiliev9b@discuz.net"/>
    <x v="0"/>
    <s v="Lib"/>
    <s v="L"/>
    <x v="3"/>
    <n v="4.7549999999999999"/>
    <n v="28.53"/>
    <x v="1"/>
    <x v="1"/>
    <x v="0"/>
    <n v="1"/>
    <n v="28.53"/>
    <x v="0"/>
    <x v="0"/>
    <x v="0"/>
    <s v="Low Price"/>
    <s v="High Volume"/>
    <x v="2"/>
    <s v="February"/>
    <x v="2"/>
    <x v="1"/>
    <x v="2"/>
  </r>
  <r>
    <s v="DSL-69915-544"/>
    <x v="138"/>
    <s v="10142-55267-YO"/>
    <x v="25"/>
    <n v="3"/>
    <x v="143"/>
    <s v="wlightollersf9@baidu.com"/>
    <x v="0"/>
    <s v="Rob"/>
    <s v="L"/>
    <x v="3"/>
    <n v="3.5849999999999995"/>
    <n v="10.754999999999999"/>
    <x v="0"/>
    <x v="1"/>
    <x v="0"/>
    <n v="1"/>
    <n v="10.754999999999999"/>
    <x v="0"/>
    <x v="0"/>
    <x v="0"/>
    <s v="Low Price"/>
    <s v="Low Volume"/>
    <x v="3"/>
    <s v="March"/>
    <x v="2"/>
    <x v="11"/>
    <x v="3"/>
  </r>
  <r>
    <s v="DSN-15872-519"/>
    <x v="139"/>
    <s v="53809-98498-SN"/>
    <x v="33"/>
    <n v="4"/>
    <x v="144"/>
    <s v="bkindleygl@wikimedia.org"/>
    <x v="0"/>
    <s v="Lib"/>
    <s v="L"/>
    <x v="2"/>
    <n v="36.454999999999998"/>
    <n v="145.82"/>
    <x v="1"/>
    <x v="1"/>
    <x v="0"/>
    <n v="1"/>
    <n v="145.82"/>
    <x v="0"/>
    <x v="0"/>
    <x v="3"/>
    <s v="High Price"/>
    <s v="Low Volume"/>
    <x v="0"/>
    <s v="December"/>
    <x v="1"/>
    <x v="1"/>
    <x v="2"/>
  </r>
  <r>
    <s v="DTB-71371-705"/>
    <x v="92"/>
    <s v="48544-90737-AZ"/>
    <x v="19"/>
    <n v="1"/>
    <x v="145"/>
    <s v="cshaldersqx@cisco.com"/>
    <x v="0"/>
    <s v="Lib"/>
    <s v="D"/>
    <x v="0"/>
    <n v="12.95"/>
    <n v="12.95"/>
    <x v="1"/>
    <x v="0"/>
    <x v="0"/>
    <n v="1"/>
    <n v="12.95"/>
    <x v="0"/>
    <x v="0"/>
    <x v="0"/>
    <s v="Low Price"/>
    <s v="Low Volume"/>
    <x v="3"/>
    <s v="July"/>
    <x v="3"/>
    <x v="9"/>
    <x v="0"/>
  </r>
  <r>
    <s v="DUV-12075-132"/>
    <x v="140"/>
    <s v="62494-09113-RP"/>
    <x v="14"/>
    <n v="2"/>
    <x v="7"/>
    <s v=""/>
    <x v="0"/>
    <s v="Lib"/>
    <s v="D"/>
    <x v="1"/>
    <n v="7.77"/>
    <n v="15.54"/>
    <x v="1"/>
    <x v="0"/>
    <x v="1"/>
    <n v="2"/>
    <n v="16.8825"/>
    <x v="1"/>
    <x v="1"/>
    <x v="0"/>
    <s v="Low Price"/>
    <s v="Low Volume"/>
    <x v="3"/>
    <s v="June"/>
    <x v="0"/>
    <x v="9"/>
    <x v="0"/>
  </r>
  <r>
    <s v="DUV-12075-132"/>
    <x v="140"/>
    <s v="62494-09113-RP"/>
    <x v="40"/>
    <n v="5"/>
    <x v="7"/>
    <s v=""/>
    <x v="0"/>
    <s v="Exc"/>
    <s v="D"/>
    <x v="3"/>
    <n v="3.645"/>
    <n v="18.225000000000001"/>
    <x v="3"/>
    <x v="0"/>
    <x v="1"/>
    <n v="2"/>
    <n v="16.8825"/>
    <x v="1"/>
    <x v="1"/>
    <x v="0"/>
    <s v="Low Price"/>
    <s v="High Volume"/>
    <x v="2"/>
    <s v="June"/>
    <x v="0"/>
    <x v="8"/>
    <x v="0"/>
  </r>
  <r>
    <s v="DWB-61381-370"/>
    <x v="141"/>
    <s v="11812-00461-KH"/>
    <x v="10"/>
    <n v="2"/>
    <x v="146"/>
    <s v="bgozzettb7@github.com"/>
    <x v="0"/>
    <s v="Lib"/>
    <s v="L"/>
    <x v="3"/>
    <n v="4.7549999999999999"/>
    <n v="9.51"/>
    <x v="1"/>
    <x v="1"/>
    <x v="1"/>
    <n v="1"/>
    <n v="9.51"/>
    <x v="0"/>
    <x v="0"/>
    <x v="0"/>
    <s v="Low Price"/>
    <s v="Low Volume"/>
    <x v="3"/>
    <s v="April"/>
    <x v="0"/>
    <x v="1"/>
    <x v="3"/>
  </r>
  <r>
    <s v="DWW-28642-549"/>
    <x v="142"/>
    <s v="91181-19412-RQ"/>
    <x v="40"/>
    <n v="2"/>
    <x v="147"/>
    <s v="erasmus9f@techcrunch.com"/>
    <x v="0"/>
    <s v="Exc"/>
    <s v="D"/>
    <x v="3"/>
    <n v="3.645"/>
    <n v="7.29"/>
    <x v="3"/>
    <x v="0"/>
    <x v="0"/>
    <n v="1"/>
    <n v="7.29"/>
    <x v="0"/>
    <x v="0"/>
    <x v="0"/>
    <s v="Low Price"/>
    <s v="Low Volume"/>
    <x v="3"/>
    <s v="March"/>
    <x v="2"/>
    <x v="8"/>
    <x v="3"/>
  </r>
  <r>
    <s v="DWY-56352-412"/>
    <x v="143"/>
    <s v="55427-08059-DF"/>
    <x v="15"/>
    <n v="1"/>
    <x v="148"/>
    <s v="zwalisiakqv@ucsd.edu"/>
    <x v="1"/>
    <s v="Rob"/>
    <s v="D"/>
    <x v="3"/>
    <n v="2.6849999999999996"/>
    <n v="2.6849999999999996"/>
    <x v="0"/>
    <x v="0"/>
    <x v="0"/>
    <n v="1"/>
    <n v="2.6849999999999996"/>
    <x v="0"/>
    <x v="0"/>
    <x v="0"/>
    <s v="Low Price"/>
    <s v="Low Volume"/>
    <x v="3"/>
    <s v="February"/>
    <x v="2"/>
    <x v="0"/>
    <x v="2"/>
  </r>
  <r>
    <s v="DWZ-69106-473"/>
    <x v="144"/>
    <s v="76447-50326-IC"/>
    <x v="33"/>
    <n v="4"/>
    <x v="149"/>
    <s v="kflanders1f@over-blog.com"/>
    <x v="1"/>
    <s v="Lib"/>
    <s v="L"/>
    <x v="2"/>
    <n v="36.454999999999998"/>
    <n v="145.82"/>
    <x v="1"/>
    <x v="1"/>
    <x v="0"/>
    <n v="1"/>
    <n v="145.82"/>
    <x v="0"/>
    <x v="0"/>
    <x v="3"/>
    <s v="High Price"/>
    <s v="Low Volume"/>
    <x v="0"/>
    <s v="May"/>
    <x v="0"/>
    <x v="1"/>
    <x v="3"/>
  </r>
  <r>
    <s v="DXA-50313-073"/>
    <x v="145"/>
    <s v="19755-55847-VW"/>
    <x v="45"/>
    <n v="2"/>
    <x v="150"/>
    <s v="pmatignono7@harvard.edu"/>
    <x v="2"/>
    <s v="Exc"/>
    <s v="L"/>
    <x v="0"/>
    <n v="14.85"/>
    <n v="29.7"/>
    <x v="3"/>
    <x v="1"/>
    <x v="0"/>
    <n v="1"/>
    <n v="29.7"/>
    <x v="0"/>
    <x v="0"/>
    <x v="0"/>
    <s v="Low Price"/>
    <s v="Low Volume"/>
    <x v="3"/>
    <s v="August"/>
    <x v="3"/>
    <x v="10"/>
    <x v="0"/>
  </r>
  <r>
    <s v="DXQ-44537-297"/>
    <x v="146"/>
    <s v="96116-24737-LV"/>
    <x v="20"/>
    <n v="4"/>
    <x v="151"/>
    <s v="myoxenhk@google.com"/>
    <x v="0"/>
    <s v="Exc"/>
    <s v="L"/>
    <x v="1"/>
    <n v="8.91"/>
    <n v="35.64"/>
    <x v="3"/>
    <x v="1"/>
    <x v="1"/>
    <n v="1"/>
    <n v="35.64"/>
    <x v="0"/>
    <x v="0"/>
    <x v="0"/>
    <s v="High Price"/>
    <s v="Low Volume"/>
    <x v="0"/>
    <s v="August"/>
    <x v="3"/>
    <x v="10"/>
    <x v="0"/>
  </r>
  <r>
    <s v="DXY-76225-633"/>
    <x v="147"/>
    <s v="88574-37083-WX"/>
    <x v="2"/>
    <n v="1"/>
    <x v="152"/>
    <s v="mcobbledickpd@ucsd.edu"/>
    <x v="0"/>
    <s v="Ara"/>
    <s v="M"/>
    <x v="1"/>
    <n v="6.75"/>
    <n v="6.75"/>
    <x v="2"/>
    <x v="2"/>
    <x v="1"/>
    <n v="1"/>
    <n v="6.75"/>
    <x v="0"/>
    <x v="0"/>
    <x v="0"/>
    <s v="Low Price"/>
    <s v="Low Volume"/>
    <x v="3"/>
    <s v="July"/>
    <x v="3"/>
    <x v="2"/>
    <x v="0"/>
  </r>
  <r>
    <s v="DYG-25473-881"/>
    <x v="148"/>
    <s v="10138-31681-SD"/>
    <x v="43"/>
    <n v="2"/>
    <x v="153"/>
    <s v="rdriversd4@hexun.com"/>
    <x v="0"/>
    <s v="Ara"/>
    <s v="D"/>
    <x v="3"/>
    <n v="2.9849999999999999"/>
    <n v="5.97"/>
    <x v="2"/>
    <x v="0"/>
    <x v="1"/>
    <n v="1"/>
    <n v="5.97"/>
    <x v="0"/>
    <x v="0"/>
    <x v="0"/>
    <s v="Low Price"/>
    <s v="Low Volume"/>
    <x v="3"/>
    <s v="February"/>
    <x v="2"/>
    <x v="7"/>
    <x v="2"/>
  </r>
  <r>
    <s v="DYP-74337-787"/>
    <x v="149"/>
    <s v="41486-52502-QQ"/>
    <x v="6"/>
    <n v="1"/>
    <x v="154"/>
    <s v=""/>
    <x v="0"/>
    <s v="Rob"/>
    <s v="M"/>
    <x v="1"/>
    <n v="5.97"/>
    <n v="5.97"/>
    <x v="0"/>
    <x v="2"/>
    <x v="1"/>
    <n v="1"/>
    <n v="5.97"/>
    <x v="0"/>
    <x v="0"/>
    <x v="0"/>
    <s v="Low Price"/>
    <s v="Low Volume"/>
    <x v="3"/>
    <s v="October"/>
    <x v="1"/>
    <x v="5"/>
    <x v="1"/>
  </r>
  <r>
    <s v="DZI-35365-596"/>
    <x v="82"/>
    <s v="54798-14109-HC"/>
    <x v="42"/>
    <n v="2"/>
    <x v="155"/>
    <s v="oskermen3@hatena.ne.jp"/>
    <x v="0"/>
    <s v="Exc"/>
    <s v="M"/>
    <x v="3"/>
    <n v="4.125"/>
    <n v="8.25"/>
    <x v="3"/>
    <x v="2"/>
    <x v="0"/>
    <n v="1"/>
    <n v="8.25"/>
    <x v="0"/>
    <x v="0"/>
    <x v="0"/>
    <s v="Low Price"/>
    <s v="Low Volume"/>
    <x v="3"/>
    <s v="November"/>
    <x v="1"/>
    <x v="3"/>
    <x v="1"/>
  </r>
  <r>
    <s v="EAI-25194-209"/>
    <x v="150"/>
    <s v="44601-51441-BH"/>
    <x v="17"/>
    <n v="5"/>
    <x v="156"/>
    <s v="dsopperp4@eventbrite.com"/>
    <x v="0"/>
    <s v="Ara"/>
    <s v="L"/>
    <x v="2"/>
    <n v="29.784999999999997"/>
    <n v="148.92499999999998"/>
    <x v="2"/>
    <x v="1"/>
    <x v="1"/>
    <n v="1"/>
    <n v="148.92499999999998"/>
    <x v="0"/>
    <x v="0"/>
    <x v="3"/>
    <s v="High Price"/>
    <s v="High Volume"/>
    <x v="1"/>
    <s v="September"/>
    <x v="3"/>
    <x v="6"/>
    <x v="1"/>
  </r>
  <r>
    <s v="EAY-89850-211"/>
    <x v="151"/>
    <s v="43155-71724-XP"/>
    <x v="43"/>
    <n v="2"/>
    <x v="157"/>
    <s v=""/>
    <x v="0"/>
    <s v="Ara"/>
    <s v="D"/>
    <x v="3"/>
    <n v="2.9849999999999999"/>
    <n v="5.97"/>
    <x v="2"/>
    <x v="0"/>
    <x v="0"/>
    <n v="1"/>
    <n v="5.97"/>
    <x v="0"/>
    <x v="0"/>
    <x v="0"/>
    <s v="Low Price"/>
    <s v="Low Volume"/>
    <x v="3"/>
    <s v="February"/>
    <x v="2"/>
    <x v="7"/>
    <x v="2"/>
  </r>
  <r>
    <s v="EBA-82404-343"/>
    <x v="152"/>
    <s v="20236-42322-CM"/>
    <x v="29"/>
    <n v="4"/>
    <x v="158"/>
    <s v=""/>
    <x v="0"/>
    <s v="Lib"/>
    <s v="D"/>
    <x v="3"/>
    <n v="3.8849999999999998"/>
    <n v="15.54"/>
    <x v="1"/>
    <x v="0"/>
    <x v="0"/>
    <n v="1"/>
    <n v="15.54"/>
    <x v="0"/>
    <x v="0"/>
    <x v="0"/>
    <s v="Low Price"/>
    <s v="Low Volume"/>
    <x v="3"/>
    <s v="January"/>
    <x v="2"/>
    <x v="9"/>
    <x v="2"/>
  </r>
  <r>
    <s v="EEG-74197-843"/>
    <x v="153"/>
    <s v="25729-68859-UA"/>
    <x v="45"/>
    <n v="4"/>
    <x v="159"/>
    <s v="rrelton1l@stanford.edu"/>
    <x v="0"/>
    <s v="Exc"/>
    <s v="L"/>
    <x v="0"/>
    <n v="14.85"/>
    <n v="59.4"/>
    <x v="3"/>
    <x v="1"/>
    <x v="1"/>
    <n v="1"/>
    <n v="59.4"/>
    <x v="0"/>
    <x v="0"/>
    <x v="1"/>
    <s v="High Price"/>
    <s v="Low Volume"/>
    <x v="0"/>
    <s v="July"/>
    <x v="3"/>
    <x v="10"/>
    <x v="0"/>
  </r>
  <r>
    <s v="EEJ-16185-108"/>
    <x v="154"/>
    <s v="65552-60476-KY"/>
    <x v="10"/>
    <n v="5"/>
    <x v="160"/>
    <s v=""/>
    <x v="0"/>
    <s v="Lib"/>
    <s v="L"/>
    <x v="3"/>
    <n v="4.7549999999999999"/>
    <n v="23.774999999999999"/>
    <x v="1"/>
    <x v="1"/>
    <x v="0"/>
    <n v="1"/>
    <n v="23.774999999999999"/>
    <x v="0"/>
    <x v="0"/>
    <x v="0"/>
    <s v="Low Price"/>
    <s v="High Volume"/>
    <x v="2"/>
    <s v="February"/>
    <x v="2"/>
    <x v="1"/>
    <x v="2"/>
  </r>
  <r>
    <s v="EFB-72860-209"/>
    <x v="155"/>
    <s v="53035-99701-WG"/>
    <x v="46"/>
    <n v="4"/>
    <x v="161"/>
    <s v="bmergue7y@umn.edu"/>
    <x v="0"/>
    <s v="Ara"/>
    <s v="M"/>
    <x v="3"/>
    <n v="3.375"/>
    <n v="13.5"/>
    <x v="2"/>
    <x v="2"/>
    <x v="0"/>
    <n v="1"/>
    <n v="13.5"/>
    <x v="0"/>
    <x v="0"/>
    <x v="0"/>
    <s v="Low Price"/>
    <s v="Low Volume"/>
    <x v="3"/>
    <s v="October"/>
    <x v="1"/>
    <x v="2"/>
    <x v="1"/>
  </r>
  <r>
    <s v="EFC-39577-424"/>
    <x v="156"/>
    <s v="16046-34805-ZF"/>
    <x v="21"/>
    <n v="5"/>
    <x v="162"/>
    <s v="arizonba@xing.com"/>
    <x v="0"/>
    <s v="Exc"/>
    <s v="M"/>
    <x v="0"/>
    <n v="13.75"/>
    <n v="68.75"/>
    <x v="3"/>
    <x v="2"/>
    <x v="0"/>
    <n v="1"/>
    <n v="68.75"/>
    <x v="0"/>
    <x v="0"/>
    <x v="1"/>
    <s v="High Price"/>
    <s v="High Volume"/>
    <x v="1"/>
    <s v="August"/>
    <x v="3"/>
    <x v="3"/>
    <x v="0"/>
  </r>
  <r>
    <s v="EGK-03027-418"/>
    <x v="157"/>
    <s v="19820-29285-FD"/>
    <x v="42"/>
    <n v="3"/>
    <x v="163"/>
    <s v="bfallowesjm@purevolume.com"/>
    <x v="0"/>
    <s v="Exc"/>
    <s v="M"/>
    <x v="3"/>
    <n v="4.125"/>
    <n v="12.375"/>
    <x v="3"/>
    <x v="2"/>
    <x v="1"/>
    <n v="1"/>
    <n v="12.375"/>
    <x v="0"/>
    <x v="0"/>
    <x v="0"/>
    <s v="Low Price"/>
    <s v="Low Volume"/>
    <x v="3"/>
    <s v="June"/>
    <x v="0"/>
    <x v="3"/>
    <x v="0"/>
  </r>
  <r>
    <s v="EHE-94714-312"/>
    <x v="158"/>
    <s v="27132-68907-RC"/>
    <x v="27"/>
    <n v="5"/>
    <x v="164"/>
    <s v="abrashda@plala.or.jp"/>
    <x v="0"/>
    <s v="Exc"/>
    <s v="L"/>
    <x v="3"/>
    <n v="4.4550000000000001"/>
    <n v="22.274999999999999"/>
    <x v="3"/>
    <x v="1"/>
    <x v="0"/>
    <n v="1"/>
    <n v="22.274999999999999"/>
    <x v="0"/>
    <x v="0"/>
    <x v="0"/>
    <s v="Low Price"/>
    <s v="High Volume"/>
    <x v="2"/>
    <s v="June"/>
    <x v="0"/>
    <x v="10"/>
    <x v="0"/>
  </r>
  <r>
    <s v="EHJ-05910-257"/>
    <x v="159"/>
    <s v="06812-11924-IK"/>
    <x v="0"/>
    <n v="6"/>
    <x v="165"/>
    <s v=""/>
    <x v="0"/>
    <s v="Rob"/>
    <s v="D"/>
    <x v="0"/>
    <n v="8.9499999999999993"/>
    <n v="53.699999999999996"/>
    <x v="0"/>
    <x v="0"/>
    <x v="0"/>
    <n v="1"/>
    <n v="53.699999999999996"/>
    <x v="0"/>
    <x v="0"/>
    <x v="1"/>
    <s v="High Price"/>
    <s v="High Volume"/>
    <x v="1"/>
    <s v="February"/>
    <x v="2"/>
    <x v="0"/>
    <x v="2"/>
  </r>
  <r>
    <s v="EHJ-82097-549"/>
    <x v="160"/>
    <s v="27517-43747-YD"/>
    <x v="15"/>
    <n v="2"/>
    <x v="166"/>
    <s v="moilierkt@paginegialle.it"/>
    <x v="1"/>
    <s v="Rob"/>
    <s v="D"/>
    <x v="3"/>
    <n v="2.6849999999999996"/>
    <n v="5.3699999999999992"/>
    <x v="0"/>
    <x v="0"/>
    <x v="0"/>
    <n v="1"/>
    <n v="5.3699999999999992"/>
    <x v="0"/>
    <x v="0"/>
    <x v="0"/>
    <s v="Low Price"/>
    <s v="Low Volume"/>
    <x v="3"/>
    <s v="January"/>
    <x v="2"/>
    <x v="0"/>
    <x v="2"/>
  </r>
  <r>
    <s v="EHX-66333-637"/>
    <x v="161"/>
    <s v="01297-94364-XH"/>
    <x v="37"/>
    <n v="2"/>
    <x v="167"/>
    <s v="dstaite3z@scientificamerican.com"/>
    <x v="0"/>
    <s v="Lib"/>
    <s v="M"/>
    <x v="1"/>
    <n v="8.73"/>
    <n v="17.46"/>
    <x v="1"/>
    <x v="2"/>
    <x v="1"/>
    <n v="1"/>
    <n v="17.46"/>
    <x v="0"/>
    <x v="0"/>
    <x v="0"/>
    <s v="Low Price"/>
    <s v="Low Volume"/>
    <x v="3"/>
    <s v="September"/>
    <x v="3"/>
    <x v="4"/>
    <x v="1"/>
  </r>
  <r>
    <s v="EIL-44855-309"/>
    <x v="162"/>
    <s v="59741-90220-OW"/>
    <x v="47"/>
    <n v="5"/>
    <x v="168"/>
    <s v=""/>
    <x v="0"/>
    <s v="Rob"/>
    <s v="D"/>
    <x v="1"/>
    <n v="5.3699999999999992"/>
    <n v="26.849999999999994"/>
    <x v="0"/>
    <x v="0"/>
    <x v="0"/>
    <n v="1"/>
    <n v="26.849999999999994"/>
    <x v="0"/>
    <x v="0"/>
    <x v="0"/>
    <s v="Low Price"/>
    <s v="High Volume"/>
    <x v="2"/>
    <s v="March"/>
    <x v="2"/>
    <x v="0"/>
    <x v="3"/>
  </r>
  <r>
    <s v="EIP-19142-462"/>
    <x v="163"/>
    <s v="60973-72562-DQ"/>
    <x v="23"/>
    <n v="1"/>
    <x v="169"/>
    <s v="aiddisonaw@usa.gov"/>
    <x v="0"/>
    <s v="Ara"/>
    <s v="L"/>
    <x v="3"/>
    <n v="3.8849999999999998"/>
    <n v="3.8849999999999998"/>
    <x v="2"/>
    <x v="1"/>
    <x v="1"/>
    <n v="2"/>
    <n v="46.4925"/>
    <x v="1"/>
    <x v="1"/>
    <x v="0"/>
    <s v="Low Price"/>
    <s v="Low Volume"/>
    <x v="3"/>
    <s v="September"/>
    <x v="3"/>
    <x v="6"/>
    <x v="1"/>
  </r>
  <r>
    <s v="EIP-19142-462"/>
    <x v="163"/>
    <s v="60973-72562-DQ"/>
    <x v="45"/>
    <n v="6"/>
    <x v="169"/>
    <s v="aiddisonaw@usa.gov"/>
    <x v="0"/>
    <s v="Exc"/>
    <s v="L"/>
    <x v="0"/>
    <n v="14.85"/>
    <n v="89.1"/>
    <x v="3"/>
    <x v="1"/>
    <x v="1"/>
    <n v="2"/>
    <n v="46.4925"/>
    <x v="1"/>
    <x v="1"/>
    <x v="1"/>
    <s v="High Price"/>
    <s v="High Volume"/>
    <x v="1"/>
    <s v="September"/>
    <x v="3"/>
    <x v="10"/>
    <x v="1"/>
  </r>
  <r>
    <s v="EJA-79176-833"/>
    <x v="164"/>
    <s v="91509-62250-GN"/>
    <x v="9"/>
    <n v="6"/>
    <x v="170"/>
    <s v="deburahld@google.co.jp"/>
    <x v="2"/>
    <s v="Rob"/>
    <s v="M"/>
    <x v="2"/>
    <n v="22.884999999999998"/>
    <n v="137.31"/>
    <x v="0"/>
    <x v="2"/>
    <x v="1"/>
    <n v="1"/>
    <n v="137.31"/>
    <x v="0"/>
    <x v="0"/>
    <x v="3"/>
    <s v="High Price"/>
    <s v="High Volume"/>
    <x v="1"/>
    <s v="March"/>
    <x v="2"/>
    <x v="5"/>
    <x v="3"/>
  </r>
  <r>
    <s v="ELB-07929-407"/>
    <x v="165"/>
    <s v="54004-04664-AA"/>
    <x v="3"/>
    <n v="2"/>
    <x v="171"/>
    <s v="tbennison8u@google.cn"/>
    <x v="0"/>
    <s v="Ara"/>
    <s v="M"/>
    <x v="2"/>
    <n v="25.874999999999996"/>
    <n v="51.749999999999993"/>
    <x v="2"/>
    <x v="2"/>
    <x v="0"/>
    <n v="1"/>
    <n v="51.749999999999993"/>
    <x v="0"/>
    <x v="0"/>
    <x v="1"/>
    <s v="High Price"/>
    <s v="Low Volume"/>
    <x v="0"/>
    <s v="January"/>
    <x v="2"/>
    <x v="2"/>
    <x v="2"/>
  </r>
  <r>
    <s v="ELJ-87741-745"/>
    <x v="166"/>
    <s v="48389-71976-JB"/>
    <x v="45"/>
    <n v="4"/>
    <x v="172"/>
    <s v="dmagowan6n@fc2.com"/>
    <x v="0"/>
    <s v="Exc"/>
    <s v="L"/>
    <x v="0"/>
    <n v="14.85"/>
    <n v="59.4"/>
    <x v="3"/>
    <x v="1"/>
    <x v="1"/>
    <n v="1"/>
    <n v="59.4"/>
    <x v="0"/>
    <x v="0"/>
    <x v="1"/>
    <s v="High Price"/>
    <s v="Low Volume"/>
    <x v="0"/>
    <s v="February"/>
    <x v="2"/>
    <x v="10"/>
    <x v="2"/>
  </r>
  <r>
    <s v="EMA-63190-618"/>
    <x v="167"/>
    <s v="90993-98984-JK"/>
    <x v="42"/>
    <n v="1"/>
    <x v="173"/>
    <s v="ulethbrigdo@hc360.com"/>
    <x v="0"/>
    <s v="Exc"/>
    <s v="M"/>
    <x v="3"/>
    <n v="4.125"/>
    <n v="4.125"/>
    <x v="3"/>
    <x v="2"/>
    <x v="0"/>
    <n v="1"/>
    <n v="4.125"/>
    <x v="0"/>
    <x v="0"/>
    <x v="0"/>
    <s v="Low Price"/>
    <s v="Low Volume"/>
    <x v="3"/>
    <s v="February"/>
    <x v="2"/>
    <x v="3"/>
    <x v="2"/>
  </r>
  <r>
    <s v="ENN-79947-323"/>
    <x v="168"/>
    <s v="67847-82662-TE"/>
    <x v="37"/>
    <n v="2"/>
    <x v="174"/>
    <s v="mschollom@taobao.com"/>
    <x v="0"/>
    <s v="Lib"/>
    <s v="M"/>
    <x v="1"/>
    <n v="8.73"/>
    <n v="17.46"/>
    <x v="1"/>
    <x v="2"/>
    <x v="1"/>
    <n v="1"/>
    <n v="17.46"/>
    <x v="0"/>
    <x v="0"/>
    <x v="0"/>
    <s v="Low Price"/>
    <s v="Low Volume"/>
    <x v="3"/>
    <s v="November"/>
    <x v="1"/>
    <x v="4"/>
    <x v="1"/>
  </r>
  <r>
    <s v="ENQ-42923-176"/>
    <x v="169"/>
    <s v="56248-75861-JX"/>
    <x v="16"/>
    <n v="3"/>
    <x v="175"/>
    <s v="lrubrow4h@microsoft.com"/>
    <x v="0"/>
    <s v="Ara"/>
    <s v="L"/>
    <x v="1"/>
    <n v="7.77"/>
    <n v="23.31"/>
    <x v="2"/>
    <x v="1"/>
    <x v="1"/>
    <n v="1"/>
    <n v="23.31"/>
    <x v="0"/>
    <x v="0"/>
    <x v="0"/>
    <s v="Low Price"/>
    <s v="Low Volume"/>
    <x v="3"/>
    <s v="January"/>
    <x v="2"/>
    <x v="6"/>
    <x v="2"/>
  </r>
  <r>
    <s v="EOI-02511-919"/>
    <x v="170"/>
    <s v="66776-88682-RG"/>
    <x v="27"/>
    <n v="5"/>
    <x v="176"/>
    <s v="amussen50@51.la"/>
    <x v="0"/>
    <s v="Exc"/>
    <s v="L"/>
    <x v="3"/>
    <n v="4.4550000000000001"/>
    <n v="22.274999999999999"/>
    <x v="3"/>
    <x v="1"/>
    <x v="1"/>
    <n v="2"/>
    <n v="26.0625"/>
    <x v="1"/>
    <x v="1"/>
    <x v="0"/>
    <s v="Low Price"/>
    <s v="High Volume"/>
    <x v="2"/>
    <s v="March"/>
    <x v="2"/>
    <x v="10"/>
    <x v="3"/>
  </r>
  <r>
    <s v="EOI-02511-919"/>
    <x v="170"/>
    <s v="66776-88682-RG"/>
    <x v="18"/>
    <n v="5"/>
    <x v="176"/>
    <s v="amussen50@51.la"/>
    <x v="0"/>
    <s v="Ara"/>
    <s v="D"/>
    <x v="1"/>
    <n v="5.97"/>
    <n v="29.849999999999998"/>
    <x v="2"/>
    <x v="0"/>
    <x v="1"/>
    <n v="2"/>
    <n v="26.0625"/>
    <x v="1"/>
    <x v="1"/>
    <x v="0"/>
    <s v="High Price"/>
    <s v="High Volume"/>
    <x v="1"/>
    <s v="March"/>
    <x v="2"/>
    <x v="7"/>
    <x v="3"/>
  </r>
  <r>
    <s v="EOL-92666-762"/>
    <x v="171"/>
    <s v="15776-91507-GT"/>
    <x v="10"/>
    <n v="2"/>
    <x v="177"/>
    <s v="sbarribalcn@microsoft.com"/>
    <x v="1"/>
    <s v="Lib"/>
    <s v="L"/>
    <x v="3"/>
    <n v="4.7549999999999999"/>
    <n v="9.51"/>
    <x v="1"/>
    <x v="1"/>
    <x v="0"/>
    <n v="1"/>
    <n v="9.51"/>
    <x v="0"/>
    <x v="0"/>
    <x v="0"/>
    <s v="Low Price"/>
    <s v="Low Volume"/>
    <x v="3"/>
    <s v="January"/>
    <x v="2"/>
    <x v="1"/>
    <x v="2"/>
  </r>
  <r>
    <s v="EPT-12715-397"/>
    <x v="161"/>
    <s v="08478-75251-OG"/>
    <x v="43"/>
    <n v="6"/>
    <x v="178"/>
    <s v=""/>
    <x v="0"/>
    <s v="Ara"/>
    <s v="D"/>
    <x v="3"/>
    <n v="2.9849999999999999"/>
    <n v="17.91"/>
    <x v="2"/>
    <x v="0"/>
    <x v="0"/>
    <n v="1"/>
    <n v="17.91"/>
    <x v="0"/>
    <x v="0"/>
    <x v="0"/>
    <s v="Low Price"/>
    <s v="High Volume"/>
    <x v="2"/>
    <s v="September"/>
    <x v="3"/>
    <x v="7"/>
    <x v="1"/>
  </r>
  <r>
    <s v="EQE-31648-909"/>
    <x v="172"/>
    <s v="19821-05175-WZ"/>
    <x v="36"/>
    <n v="5"/>
    <x v="179"/>
    <s v="arizzetti55@naver.com"/>
    <x v="0"/>
    <s v="Exc"/>
    <s v="D"/>
    <x v="1"/>
    <n v="7.29"/>
    <n v="36.450000000000003"/>
    <x v="3"/>
    <x v="0"/>
    <x v="0"/>
    <n v="1"/>
    <n v="36.450000000000003"/>
    <x v="0"/>
    <x v="0"/>
    <x v="0"/>
    <s v="High Price"/>
    <s v="High Volume"/>
    <x v="1"/>
    <s v="January"/>
    <x v="2"/>
    <x v="8"/>
    <x v="2"/>
  </r>
  <r>
    <s v="EQH-53569-934"/>
    <x v="173"/>
    <s v="53667-91553-LT"/>
    <x v="21"/>
    <n v="4"/>
    <x v="180"/>
    <s v="bsillispw@istockphoto.com"/>
    <x v="0"/>
    <s v="Exc"/>
    <s v="M"/>
    <x v="0"/>
    <n v="13.75"/>
    <n v="55"/>
    <x v="3"/>
    <x v="2"/>
    <x v="1"/>
    <n v="1"/>
    <n v="55"/>
    <x v="0"/>
    <x v="0"/>
    <x v="1"/>
    <s v="High Price"/>
    <s v="Low Volume"/>
    <x v="0"/>
    <s v="October"/>
    <x v="1"/>
    <x v="3"/>
    <x v="1"/>
  </r>
  <r>
    <s v="EQI-82205-066"/>
    <x v="174"/>
    <s v="52316-30571-GD"/>
    <x v="9"/>
    <n v="2"/>
    <x v="181"/>
    <s v="mmcparlandi7@w3.org"/>
    <x v="0"/>
    <s v="Rob"/>
    <s v="M"/>
    <x v="2"/>
    <n v="22.884999999999998"/>
    <n v="45.769999999999996"/>
    <x v="0"/>
    <x v="2"/>
    <x v="0"/>
    <n v="1"/>
    <n v="45.769999999999996"/>
    <x v="0"/>
    <x v="0"/>
    <x v="0"/>
    <s v="High Price"/>
    <s v="Low Volume"/>
    <x v="0"/>
    <s v="September"/>
    <x v="3"/>
    <x v="5"/>
    <x v="1"/>
  </r>
  <r>
    <s v="ERC-54560-934"/>
    <x v="175"/>
    <s v="11932-85629-CU"/>
    <x v="13"/>
    <n v="6"/>
    <x v="182"/>
    <s v="hreuvenpk@whitehouse.gov"/>
    <x v="0"/>
    <s v="Rob"/>
    <s v="D"/>
    <x v="2"/>
    <n v="20.584999999999997"/>
    <n v="123.50999999999999"/>
    <x v="0"/>
    <x v="0"/>
    <x v="1"/>
    <n v="1"/>
    <n v="123.50999999999999"/>
    <x v="0"/>
    <x v="0"/>
    <x v="3"/>
    <s v="High Price"/>
    <s v="High Volume"/>
    <x v="1"/>
    <s v="May"/>
    <x v="0"/>
    <x v="0"/>
    <x v="3"/>
  </r>
  <r>
    <s v="ESR-54041-053"/>
    <x v="176"/>
    <s v="59771-90302-OF"/>
    <x v="16"/>
    <n v="6"/>
    <x v="183"/>
    <s v="cgibbonsonab@accuweather.com"/>
    <x v="0"/>
    <s v="Ara"/>
    <s v="L"/>
    <x v="1"/>
    <n v="7.77"/>
    <n v="46.62"/>
    <x v="2"/>
    <x v="1"/>
    <x v="0"/>
    <n v="1"/>
    <n v="46.62"/>
    <x v="0"/>
    <x v="0"/>
    <x v="0"/>
    <s v="High Price"/>
    <s v="High Volume"/>
    <x v="1"/>
    <s v="May"/>
    <x v="0"/>
    <x v="6"/>
    <x v="3"/>
  </r>
  <r>
    <s v="ESR-66651-814"/>
    <x v="177"/>
    <s v="76624-72205-CK"/>
    <x v="43"/>
    <n v="4"/>
    <x v="184"/>
    <s v="jsisneros7j@a8.net"/>
    <x v="0"/>
    <s v="Ara"/>
    <s v="D"/>
    <x v="3"/>
    <n v="2.9849999999999999"/>
    <n v="11.94"/>
    <x v="2"/>
    <x v="0"/>
    <x v="0"/>
    <n v="1"/>
    <n v="11.94"/>
    <x v="0"/>
    <x v="0"/>
    <x v="0"/>
    <s v="Low Price"/>
    <s v="Low Volume"/>
    <x v="3"/>
    <s v="May"/>
    <x v="0"/>
    <x v="7"/>
    <x v="3"/>
  </r>
  <r>
    <s v="ETD-58130-674"/>
    <x v="178"/>
    <s v="05325-97750-WP"/>
    <x v="24"/>
    <n v="2"/>
    <x v="185"/>
    <s v="cverissimogh@theglobeandmail.com"/>
    <x v="2"/>
    <s v="Exc"/>
    <s v="M"/>
    <x v="1"/>
    <n v="8.25"/>
    <n v="16.5"/>
    <x v="3"/>
    <x v="2"/>
    <x v="0"/>
    <n v="1"/>
    <n v="16.5"/>
    <x v="0"/>
    <x v="0"/>
    <x v="0"/>
    <s v="Low Price"/>
    <s v="Low Volume"/>
    <x v="3"/>
    <s v="November"/>
    <x v="1"/>
    <x v="3"/>
    <x v="1"/>
  </r>
  <r>
    <s v="EUH-08089-954"/>
    <x v="179"/>
    <s v="29050-93691-TS"/>
    <x v="43"/>
    <n v="2"/>
    <x v="186"/>
    <s v="vkirdsch2o@google.fr"/>
    <x v="0"/>
    <s v="Ara"/>
    <s v="D"/>
    <x v="3"/>
    <n v="2.9849999999999999"/>
    <n v="5.97"/>
    <x v="2"/>
    <x v="0"/>
    <x v="1"/>
    <n v="1"/>
    <n v="5.97"/>
    <x v="0"/>
    <x v="0"/>
    <x v="0"/>
    <s v="Low Price"/>
    <s v="Low Volume"/>
    <x v="3"/>
    <s v="December"/>
    <x v="1"/>
    <x v="7"/>
    <x v="2"/>
  </r>
  <r>
    <s v="EUO-69145-988"/>
    <x v="180"/>
    <s v="60370-41934-IF"/>
    <x v="40"/>
    <n v="3"/>
    <x v="187"/>
    <s v="hpallisterds@ning.com"/>
    <x v="0"/>
    <s v="Exc"/>
    <s v="D"/>
    <x v="3"/>
    <n v="3.645"/>
    <n v="10.935"/>
    <x v="3"/>
    <x v="0"/>
    <x v="1"/>
    <n v="1"/>
    <n v="10.935"/>
    <x v="0"/>
    <x v="0"/>
    <x v="0"/>
    <s v="Low Price"/>
    <s v="Low Volume"/>
    <x v="3"/>
    <s v="August"/>
    <x v="3"/>
    <x v="8"/>
    <x v="0"/>
  </r>
  <r>
    <s v="EVP-43500-491"/>
    <x v="181"/>
    <s v="49231-44455-IC"/>
    <x v="2"/>
    <n v="4"/>
    <x v="188"/>
    <s v="sshalesq@umich.edu"/>
    <x v="0"/>
    <s v="Ara"/>
    <s v="M"/>
    <x v="1"/>
    <n v="6.75"/>
    <n v="27"/>
    <x v="2"/>
    <x v="2"/>
    <x v="0"/>
    <n v="1"/>
    <n v="27"/>
    <x v="0"/>
    <x v="0"/>
    <x v="0"/>
    <s v="Low Price"/>
    <s v="Low Volume"/>
    <x v="3"/>
    <s v="February"/>
    <x v="2"/>
    <x v="2"/>
    <x v="2"/>
  </r>
  <r>
    <s v="EXP-21628-670"/>
    <x v="182"/>
    <s v="94447-35885-HK"/>
    <x v="3"/>
    <n v="3"/>
    <x v="189"/>
    <s v="wbernthhe@miitbeian.gov.cn"/>
    <x v="0"/>
    <s v="Ara"/>
    <s v="M"/>
    <x v="2"/>
    <n v="25.874999999999996"/>
    <n v="77.624999999999986"/>
    <x v="2"/>
    <x v="2"/>
    <x v="1"/>
    <n v="1"/>
    <n v="77.624999999999986"/>
    <x v="0"/>
    <x v="0"/>
    <x v="1"/>
    <s v="High Price"/>
    <s v="Low Volume"/>
    <x v="0"/>
    <s v="March"/>
    <x v="2"/>
    <x v="2"/>
    <x v="3"/>
  </r>
  <r>
    <s v="EYE-70374-835"/>
    <x v="183"/>
    <s v="89115-11966-VF"/>
    <x v="25"/>
    <n v="5"/>
    <x v="190"/>
    <s v="bmathon6c@barnesandnoble.com"/>
    <x v="0"/>
    <s v="Rob"/>
    <s v="L"/>
    <x v="3"/>
    <n v="3.5849999999999995"/>
    <n v="17.924999999999997"/>
    <x v="0"/>
    <x v="1"/>
    <x v="1"/>
    <n v="1"/>
    <n v="17.924999999999997"/>
    <x v="0"/>
    <x v="0"/>
    <x v="0"/>
    <s v="Low Price"/>
    <s v="High Volume"/>
    <x v="2"/>
    <s v="June"/>
    <x v="0"/>
    <x v="11"/>
    <x v="0"/>
  </r>
  <r>
    <s v="EYH-88288-452"/>
    <x v="184"/>
    <s v="03010-30348-UA"/>
    <x v="33"/>
    <n v="5"/>
    <x v="191"/>
    <s v="dcarojb@twitter.com"/>
    <x v="0"/>
    <s v="Lib"/>
    <s v="L"/>
    <x v="2"/>
    <n v="36.454999999999998"/>
    <n v="182.27499999999998"/>
    <x v="1"/>
    <x v="1"/>
    <x v="0"/>
    <n v="1"/>
    <n v="182.27499999999998"/>
    <x v="0"/>
    <x v="0"/>
    <x v="2"/>
    <s v="High Price"/>
    <s v="High Volume"/>
    <x v="1"/>
    <s v="April"/>
    <x v="0"/>
    <x v="1"/>
    <x v="3"/>
  </r>
  <r>
    <s v="EZB-68383-559"/>
    <x v="56"/>
    <s v="90123-01967-KS"/>
    <x v="31"/>
    <n v="6"/>
    <x v="192"/>
    <s v=""/>
    <x v="0"/>
    <s v="Rob"/>
    <s v="L"/>
    <x v="0"/>
    <n v="11.95"/>
    <n v="71.699999999999989"/>
    <x v="0"/>
    <x v="1"/>
    <x v="1"/>
    <n v="1"/>
    <n v="71.699999999999989"/>
    <x v="0"/>
    <x v="0"/>
    <x v="1"/>
    <s v="High Price"/>
    <s v="High Volume"/>
    <x v="1"/>
    <s v="February"/>
    <x v="2"/>
    <x v="11"/>
    <x v="2"/>
  </r>
  <r>
    <s v="EZL-27919-704"/>
    <x v="185"/>
    <s v="49480-85909-DG"/>
    <x v="30"/>
    <n v="5"/>
    <x v="193"/>
    <s v=""/>
    <x v="0"/>
    <s v="Lib"/>
    <s v="L"/>
    <x v="1"/>
    <n v="9.51"/>
    <n v="47.55"/>
    <x v="1"/>
    <x v="1"/>
    <x v="1"/>
    <n v="1"/>
    <n v="47.55"/>
    <x v="0"/>
    <x v="0"/>
    <x v="0"/>
    <s v="High Price"/>
    <s v="High Volume"/>
    <x v="1"/>
    <s v="January"/>
    <x v="2"/>
    <x v="1"/>
    <x v="2"/>
  </r>
  <r>
    <s v="EZT-46571-659"/>
    <x v="94"/>
    <s v="03396-68805-ZC"/>
    <x v="6"/>
    <n v="3"/>
    <x v="194"/>
    <s v="gpetracci8@livejournal.com"/>
    <x v="0"/>
    <s v="Rob"/>
    <s v="M"/>
    <x v="1"/>
    <n v="5.97"/>
    <n v="17.91"/>
    <x v="0"/>
    <x v="2"/>
    <x v="1"/>
    <n v="1"/>
    <n v="17.91"/>
    <x v="0"/>
    <x v="0"/>
    <x v="0"/>
    <s v="Low Price"/>
    <s v="Low Volume"/>
    <x v="3"/>
    <s v="January"/>
    <x v="2"/>
    <x v="5"/>
    <x v="2"/>
  </r>
  <r>
    <s v="FAA-43335-268"/>
    <x v="186"/>
    <s v="21125-22134-PX"/>
    <x v="7"/>
    <n v="1"/>
    <x v="195"/>
    <s v="jredholes2@tmall.com"/>
    <x v="0"/>
    <s v="Ara"/>
    <s v="L"/>
    <x v="0"/>
    <n v="12.95"/>
    <n v="12.95"/>
    <x v="2"/>
    <x v="1"/>
    <x v="0"/>
    <n v="1"/>
    <n v="12.95"/>
    <x v="0"/>
    <x v="0"/>
    <x v="0"/>
    <s v="Low Price"/>
    <s v="Low Volume"/>
    <x v="3"/>
    <s v="June"/>
    <x v="0"/>
    <x v="6"/>
    <x v="0"/>
  </r>
  <r>
    <s v="FBD-56220-430"/>
    <x v="187"/>
    <s v="59205-20324-NB"/>
    <x v="25"/>
    <n v="6"/>
    <x v="196"/>
    <s v="mharbyfy@163.com"/>
    <x v="0"/>
    <s v="Rob"/>
    <s v="L"/>
    <x v="3"/>
    <n v="3.5849999999999995"/>
    <n v="21.509999999999998"/>
    <x v="0"/>
    <x v="1"/>
    <x v="0"/>
    <n v="1"/>
    <n v="21.509999999999998"/>
    <x v="0"/>
    <x v="0"/>
    <x v="0"/>
    <s v="Low Price"/>
    <s v="High Volume"/>
    <x v="2"/>
    <s v="May"/>
    <x v="0"/>
    <x v="11"/>
    <x v="3"/>
  </r>
  <r>
    <s v="FBI-35855-418"/>
    <x v="188"/>
    <s v="06552-04430-AG"/>
    <x v="6"/>
    <n v="6"/>
    <x v="197"/>
    <s v="sfarnishdp@dmoz.org"/>
    <x v="2"/>
    <s v="Rob"/>
    <s v="M"/>
    <x v="1"/>
    <n v="5.97"/>
    <n v="35.82"/>
    <x v="0"/>
    <x v="2"/>
    <x v="1"/>
    <n v="1"/>
    <n v="35.82"/>
    <x v="0"/>
    <x v="0"/>
    <x v="0"/>
    <s v="High Price"/>
    <s v="High Volume"/>
    <x v="1"/>
    <s v="September"/>
    <x v="3"/>
    <x v="5"/>
    <x v="1"/>
  </r>
  <r>
    <s v="FBZ-64200-586"/>
    <x v="189"/>
    <s v="51738-61457-RS"/>
    <x v="4"/>
    <n v="2"/>
    <x v="198"/>
    <s v="mmatiasekps@ucoz.ru"/>
    <x v="0"/>
    <s v="Exc"/>
    <s v="M"/>
    <x v="2"/>
    <n v="31.624999999999996"/>
    <n v="63.249999999999993"/>
    <x v="3"/>
    <x v="2"/>
    <x v="0"/>
    <n v="1"/>
    <n v="63.249999999999993"/>
    <x v="0"/>
    <x v="0"/>
    <x v="1"/>
    <s v="High Price"/>
    <s v="Low Volume"/>
    <x v="0"/>
    <s v="July"/>
    <x v="3"/>
    <x v="3"/>
    <x v="0"/>
  </r>
  <r>
    <s v="FDO-25756-141"/>
    <x v="190"/>
    <s v="57360-46846-NS"/>
    <x v="17"/>
    <n v="3"/>
    <x v="199"/>
    <s v=""/>
    <x v="1"/>
    <s v="Ara"/>
    <s v="L"/>
    <x v="2"/>
    <n v="29.784999999999997"/>
    <n v="89.35499999999999"/>
    <x v="2"/>
    <x v="1"/>
    <x v="0"/>
    <n v="1"/>
    <n v="89.35499999999999"/>
    <x v="0"/>
    <x v="0"/>
    <x v="1"/>
    <s v="High Price"/>
    <s v="Low Volume"/>
    <x v="0"/>
    <s v="August"/>
    <x v="3"/>
    <x v="6"/>
    <x v="0"/>
  </r>
  <r>
    <s v="FDY-03414-903"/>
    <x v="191"/>
    <s v="94840-49457-UD"/>
    <x v="18"/>
    <n v="3"/>
    <x v="200"/>
    <s v="qparsons98@blogtalkradio.com"/>
    <x v="0"/>
    <s v="Ara"/>
    <s v="D"/>
    <x v="1"/>
    <n v="5.97"/>
    <n v="17.91"/>
    <x v="2"/>
    <x v="0"/>
    <x v="0"/>
    <n v="1"/>
    <n v="17.91"/>
    <x v="0"/>
    <x v="0"/>
    <x v="0"/>
    <s v="Low Price"/>
    <s v="Low Volume"/>
    <x v="3"/>
    <s v="August"/>
    <x v="3"/>
    <x v="7"/>
    <x v="0"/>
  </r>
  <r>
    <s v="FEK-14025-351"/>
    <x v="192"/>
    <s v="03990-21586-MQ"/>
    <x v="27"/>
    <n v="6"/>
    <x v="201"/>
    <s v="gdimitrioud8@chronoengine.com"/>
    <x v="0"/>
    <s v="Exc"/>
    <s v="L"/>
    <x v="3"/>
    <n v="4.4550000000000001"/>
    <n v="26.73"/>
    <x v="3"/>
    <x v="1"/>
    <x v="0"/>
    <n v="1"/>
    <n v="26.73"/>
    <x v="0"/>
    <x v="0"/>
    <x v="0"/>
    <s v="Low Price"/>
    <s v="High Volume"/>
    <x v="2"/>
    <s v="March"/>
    <x v="2"/>
    <x v="10"/>
    <x v="3"/>
  </r>
  <r>
    <s v="FEO-11834-332"/>
    <x v="193"/>
    <s v="95399-57205-HI"/>
    <x v="43"/>
    <n v="4"/>
    <x v="202"/>
    <s v="ikleinertn@timesonline.co.uk"/>
    <x v="0"/>
    <s v="Ara"/>
    <s v="D"/>
    <x v="3"/>
    <n v="2.9849999999999999"/>
    <n v="11.94"/>
    <x v="2"/>
    <x v="0"/>
    <x v="0"/>
    <n v="1"/>
    <n v="11.94"/>
    <x v="0"/>
    <x v="0"/>
    <x v="0"/>
    <s v="Low Price"/>
    <s v="Low Volume"/>
    <x v="3"/>
    <s v="February"/>
    <x v="2"/>
    <x v="7"/>
    <x v="2"/>
  </r>
  <r>
    <s v="FEP-36895-658"/>
    <x v="194"/>
    <s v="44699-43836-UH"/>
    <x v="25"/>
    <n v="6"/>
    <x v="203"/>
    <s v="yskipsey9z@spotify.com"/>
    <x v="2"/>
    <s v="Rob"/>
    <s v="L"/>
    <x v="3"/>
    <n v="3.5849999999999995"/>
    <n v="21.509999999999998"/>
    <x v="0"/>
    <x v="1"/>
    <x v="1"/>
    <n v="1"/>
    <n v="21.509999999999998"/>
    <x v="0"/>
    <x v="0"/>
    <x v="0"/>
    <s v="Low Price"/>
    <s v="High Volume"/>
    <x v="2"/>
    <s v="April"/>
    <x v="0"/>
    <x v="11"/>
    <x v="3"/>
  </r>
  <r>
    <s v="FHD-89872-325"/>
    <x v="195"/>
    <s v="31715-98714-OO"/>
    <x v="1"/>
    <n v="4"/>
    <x v="204"/>
    <s v="koslerf0@gmpg.org"/>
    <x v="0"/>
    <s v="Lib"/>
    <s v="L"/>
    <x v="0"/>
    <n v="15.85"/>
    <n v="63.4"/>
    <x v="1"/>
    <x v="1"/>
    <x v="0"/>
    <n v="1"/>
    <n v="63.4"/>
    <x v="0"/>
    <x v="0"/>
    <x v="1"/>
    <s v="High Price"/>
    <s v="Low Volume"/>
    <x v="0"/>
    <s v="April"/>
    <x v="0"/>
    <x v="1"/>
    <x v="3"/>
  </r>
  <r>
    <s v="FHD-94983-982"/>
    <x v="196"/>
    <s v="62839-56723-CH"/>
    <x v="6"/>
    <n v="3"/>
    <x v="205"/>
    <s v=""/>
    <x v="0"/>
    <s v="Rob"/>
    <s v="M"/>
    <x v="1"/>
    <n v="5.97"/>
    <n v="17.91"/>
    <x v="0"/>
    <x v="2"/>
    <x v="0"/>
    <n v="1"/>
    <n v="17.91"/>
    <x v="0"/>
    <x v="0"/>
    <x v="0"/>
    <s v="Low Price"/>
    <s v="Low Volume"/>
    <x v="3"/>
    <s v="January"/>
    <x v="2"/>
    <x v="5"/>
    <x v="2"/>
  </r>
  <r>
    <s v="FJQ-60035-234"/>
    <x v="116"/>
    <s v="08847-29858-HN"/>
    <x v="23"/>
    <n v="2"/>
    <x v="206"/>
    <s v=""/>
    <x v="0"/>
    <s v="Ara"/>
    <s v="L"/>
    <x v="3"/>
    <n v="3.8849999999999998"/>
    <n v="7.77"/>
    <x v="2"/>
    <x v="1"/>
    <x v="0"/>
    <n v="1"/>
    <n v="7.77"/>
    <x v="0"/>
    <x v="0"/>
    <x v="0"/>
    <s v="Low Price"/>
    <s v="Low Volume"/>
    <x v="3"/>
    <s v="April"/>
    <x v="0"/>
    <x v="6"/>
    <x v="3"/>
  </r>
  <r>
    <s v="FLI-11493-954"/>
    <x v="197"/>
    <s v="80454-42225-FT"/>
    <x v="16"/>
    <n v="4"/>
    <x v="207"/>
    <s v="jkennicottm5@yahoo.co.jp"/>
    <x v="0"/>
    <s v="Ara"/>
    <s v="L"/>
    <x v="1"/>
    <n v="7.77"/>
    <n v="31.08"/>
    <x v="2"/>
    <x v="1"/>
    <x v="1"/>
    <n v="1"/>
    <n v="31.08"/>
    <x v="0"/>
    <x v="0"/>
    <x v="0"/>
    <s v="High Price"/>
    <s v="Low Volume"/>
    <x v="0"/>
    <s v="July"/>
    <x v="3"/>
    <x v="6"/>
    <x v="0"/>
  </r>
  <r>
    <s v="FLM-82229-989"/>
    <x v="198"/>
    <s v="73017-69644-MS"/>
    <x v="10"/>
    <n v="2"/>
    <x v="208"/>
    <s v=""/>
    <x v="1"/>
    <s v="Lib"/>
    <s v="L"/>
    <x v="3"/>
    <n v="4.7549999999999999"/>
    <n v="9.51"/>
    <x v="1"/>
    <x v="1"/>
    <x v="1"/>
    <n v="1"/>
    <n v="9.51"/>
    <x v="0"/>
    <x v="0"/>
    <x v="0"/>
    <s v="Low Price"/>
    <s v="Low Volume"/>
    <x v="3"/>
    <s v="January"/>
    <x v="2"/>
    <x v="1"/>
    <x v="2"/>
  </r>
  <r>
    <s v="FLR-82914-153"/>
    <x v="68"/>
    <s v="86100-33488-WP"/>
    <x v="3"/>
    <n v="6"/>
    <x v="209"/>
    <s v=""/>
    <x v="0"/>
    <s v="Ara"/>
    <s v="M"/>
    <x v="2"/>
    <n v="25.874999999999996"/>
    <n v="155.24999999999997"/>
    <x v="2"/>
    <x v="2"/>
    <x v="1"/>
    <n v="1"/>
    <n v="155.24999999999997"/>
    <x v="0"/>
    <x v="0"/>
    <x v="2"/>
    <s v="High Price"/>
    <s v="High Volume"/>
    <x v="1"/>
    <s v="September"/>
    <x v="3"/>
    <x v="2"/>
    <x v="1"/>
  </r>
  <r>
    <s v="FMT-94584-786"/>
    <x v="199"/>
    <s v="86504-96610-BH"/>
    <x v="7"/>
    <n v="2"/>
    <x v="210"/>
    <s v="kmelloi4y@imdb.com"/>
    <x v="0"/>
    <s v="Ara"/>
    <s v="L"/>
    <x v="0"/>
    <n v="12.95"/>
    <n v="25.9"/>
    <x v="2"/>
    <x v="1"/>
    <x v="1"/>
    <n v="1"/>
    <n v="25.9"/>
    <x v="0"/>
    <x v="0"/>
    <x v="0"/>
    <s v="Low Price"/>
    <s v="Low Volume"/>
    <x v="3"/>
    <s v="October"/>
    <x v="1"/>
    <x v="6"/>
    <x v="1"/>
  </r>
  <r>
    <s v="FND-99527-640"/>
    <x v="200"/>
    <s v="89574-96203-EP"/>
    <x v="20"/>
    <n v="2"/>
    <x v="211"/>
    <s v="relnaughlj@comsenz.com"/>
    <x v="0"/>
    <s v="Exc"/>
    <s v="L"/>
    <x v="1"/>
    <n v="8.91"/>
    <n v="17.82"/>
    <x v="3"/>
    <x v="1"/>
    <x v="0"/>
    <n v="1"/>
    <n v="17.82"/>
    <x v="0"/>
    <x v="0"/>
    <x v="0"/>
    <s v="Low Price"/>
    <s v="Low Volume"/>
    <x v="3"/>
    <s v="July"/>
    <x v="3"/>
    <x v="10"/>
    <x v="0"/>
  </r>
  <r>
    <s v="FOJ-02234-063"/>
    <x v="201"/>
    <s v="59081-87231-VP"/>
    <x v="32"/>
    <n v="1"/>
    <x v="212"/>
    <s v="docalleran75@ucla.edu"/>
    <x v="0"/>
    <s v="Exc"/>
    <s v="D"/>
    <x v="2"/>
    <n v="27.945"/>
    <n v="27.945"/>
    <x v="3"/>
    <x v="0"/>
    <x v="0"/>
    <n v="1"/>
    <n v="27.945"/>
    <x v="0"/>
    <x v="0"/>
    <x v="0"/>
    <s v="Low Price"/>
    <s v="Low Volume"/>
    <x v="3"/>
    <s v="April"/>
    <x v="0"/>
    <x v="8"/>
    <x v="3"/>
  </r>
  <r>
    <s v="FQK-28730-361"/>
    <x v="202"/>
    <s v="22725-79522-GP"/>
    <x v="38"/>
    <n v="6"/>
    <x v="213"/>
    <s v="dfrieseq@cargocollective.com"/>
    <x v="0"/>
    <s v="Rob"/>
    <s v="M"/>
    <x v="0"/>
    <n v="9.9499999999999993"/>
    <n v="59.699999999999996"/>
    <x v="0"/>
    <x v="2"/>
    <x v="1"/>
    <n v="1"/>
    <n v="59.699999999999996"/>
    <x v="0"/>
    <x v="0"/>
    <x v="1"/>
    <s v="High Price"/>
    <s v="High Volume"/>
    <x v="1"/>
    <s v="April"/>
    <x v="0"/>
    <x v="5"/>
    <x v="3"/>
  </r>
  <r>
    <s v="FRD-17347-990"/>
    <x v="177"/>
    <s v="46681-78850-ZW"/>
    <x v="8"/>
    <n v="4"/>
    <x v="214"/>
    <s v="tcraggsb8@house.gov"/>
    <x v="1"/>
    <s v="Ara"/>
    <s v="D"/>
    <x v="0"/>
    <n v="9.9499999999999993"/>
    <n v="39.799999999999997"/>
    <x v="2"/>
    <x v="0"/>
    <x v="1"/>
    <n v="1"/>
    <n v="39.799999999999997"/>
    <x v="0"/>
    <x v="0"/>
    <x v="0"/>
    <s v="High Price"/>
    <s v="Low Volume"/>
    <x v="0"/>
    <s v="May"/>
    <x v="0"/>
    <x v="7"/>
    <x v="3"/>
  </r>
  <r>
    <s v="FSA-98650-921"/>
    <x v="60"/>
    <s v="01841-48191-NL"/>
    <x v="30"/>
    <n v="2"/>
    <x v="215"/>
    <s v="cjewsterlu@moonfruit.com"/>
    <x v="0"/>
    <s v="Lib"/>
    <s v="L"/>
    <x v="1"/>
    <n v="9.51"/>
    <n v="19.02"/>
    <x v="1"/>
    <x v="1"/>
    <x v="0"/>
    <n v="1"/>
    <n v="19.02"/>
    <x v="0"/>
    <x v="0"/>
    <x v="0"/>
    <s v="Low Price"/>
    <s v="Low Volume"/>
    <x v="3"/>
    <s v="February"/>
    <x v="2"/>
    <x v="1"/>
    <x v="2"/>
  </r>
  <r>
    <s v="FTC-35822-530"/>
    <x v="29"/>
    <s v="14307-87663-KB"/>
    <x v="36"/>
    <n v="4"/>
    <x v="216"/>
    <s v="tdrynan6r@deviantart.com"/>
    <x v="0"/>
    <s v="Exc"/>
    <s v="D"/>
    <x v="1"/>
    <n v="7.29"/>
    <n v="29.16"/>
    <x v="3"/>
    <x v="0"/>
    <x v="0"/>
    <n v="1"/>
    <n v="29.16"/>
    <x v="0"/>
    <x v="0"/>
    <x v="0"/>
    <s v="Low Price"/>
    <s v="Low Volume"/>
    <x v="3"/>
    <s v="October"/>
    <x v="1"/>
    <x v="8"/>
    <x v="1"/>
  </r>
  <r>
    <s v="FTV-77095-168"/>
    <x v="203"/>
    <s v="66708-26678-QK"/>
    <x v="30"/>
    <n v="6"/>
    <x v="217"/>
    <s v=""/>
    <x v="0"/>
    <s v="Lib"/>
    <s v="L"/>
    <x v="1"/>
    <n v="9.51"/>
    <n v="57.06"/>
    <x v="1"/>
    <x v="1"/>
    <x v="1"/>
    <n v="1"/>
    <n v="57.06"/>
    <x v="0"/>
    <x v="0"/>
    <x v="1"/>
    <s v="High Price"/>
    <s v="High Volume"/>
    <x v="1"/>
    <s v="April"/>
    <x v="0"/>
    <x v="1"/>
    <x v="3"/>
  </r>
  <r>
    <s v="FUO-99821-974"/>
    <x v="204"/>
    <s v="31245-81098-PJ"/>
    <x v="21"/>
    <n v="3"/>
    <x v="218"/>
    <s v=""/>
    <x v="0"/>
    <s v="Exc"/>
    <s v="M"/>
    <x v="0"/>
    <n v="13.75"/>
    <n v="41.25"/>
    <x v="3"/>
    <x v="2"/>
    <x v="1"/>
    <n v="1"/>
    <n v="41.25"/>
    <x v="0"/>
    <x v="0"/>
    <x v="0"/>
    <s v="High Price"/>
    <s v="Low Volume"/>
    <x v="0"/>
    <s v="February"/>
    <x v="2"/>
    <x v="3"/>
    <x v="2"/>
  </r>
  <r>
    <s v="FUX-85791-078"/>
    <x v="105"/>
    <s v="59122-08794-WT"/>
    <x v="46"/>
    <n v="2"/>
    <x v="219"/>
    <s v="whollingdaleaf@about.me"/>
    <x v="0"/>
    <s v="Ara"/>
    <s v="M"/>
    <x v="3"/>
    <n v="3.375"/>
    <n v="6.75"/>
    <x v="2"/>
    <x v="2"/>
    <x v="0"/>
    <n v="1"/>
    <n v="6.75"/>
    <x v="0"/>
    <x v="0"/>
    <x v="0"/>
    <s v="Low Price"/>
    <s v="Low Volume"/>
    <x v="3"/>
    <s v="October"/>
    <x v="1"/>
    <x v="2"/>
    <x v="1"/>
  </r>
  <r>
    <s v="FVH-29271-315"/>
    <x v="205"/>
    <s v="74415-50873-FC"/>
    <x v="18"/>
    <n v="3"/>
    <x v="220"/>
    <s v=""/>
    <x v="1"/>
    <s v="Ara"/>
    <s v="D"/>
    <x v="1"/>
    <n v="5.97"/>
    <n v="17.91"/>
    <x v="2"/>
    <x v="0"/>
    <x v="0"/>
    <n v="1"/>
    <n v="17.91"/>
    <x v="0"/>
    <x v="0"/>
    <x v="0"/>
    <s v="Low Price"/>
    <s v="Low Volume"/>
    <x v="3"/>
    <s v="June"/>
    <x v="0"/>
    <x v="7"/>
    <x v="0"/>
  </r>
  <r>
    <s v="FVV-75700-005"/>
    <x v="206"/>
    <s v="24891-77957-LU"/>
    <x v="36"/>
    <n v="3"/>
    <x v="221"/>
    <s v="rhuscroftk8@jimdo.com"/>
    <x v="0"/>
    <s v="Exc"/>
    <s v="D"/>
    <x v="1"/>
    <n v="7.29"/>
    <n v="21.87"/>
    <x v="3"/>
    <x v="0"/>
    <x v="0"/>
    <n v="1"/>
    <n v="21.87"/>
    <x v="0"/>
    <x v="0"/>
    <x v="0"/>
    <s v="Low Price"/>
    <s v="Low Volume"/>
    <x v="3"/>
    <s v="November"/>
    <x v="1"/>
    <x v="8"/>
    <x v="1"/>
  </r>
  <r>
    <s v="FWD-85967-769"/>
    <x v="207"/>
    <s v="20256-54689-LO"/>
    <x v="40"/>
    <n v="3"/>
    <x v="222"/>
    <s v=""/>
    <x v="0"/>
    <s v="Exc"/>
    <s v="D"/>
    <x v="3"/>
    <n v="3.645"/>
    <n v="10.935"/>
    <x v="3"/>
    <x v="0"/>
    <x v="1"/>
    <n v="1"/>
    <n v="10.935"/>
    <x v="0"/>
    <x v="0"/>
    <x v="0"/>
    <s v="Low Price"/>
    <s v="Low Volume"/>
    <x v="3"/>
    <s v="June"/>
    <x v="0"/>
    <x v="8"/>
    <x v="0"/>
  </r>
  <r>
    <s v="FWE-98471-488"/>
    <x v="208"/>
    <s v="27930-59250-JT"/>
    <x v="1"/>
    <n v="5"/>
    <x v="223"/>
    <s v=""/>
    <x v="0"/>
    <s v="Lib"/>
    <s v="L"/>
    <x v="0"/>
    <n v="15.85"/>
    <n v="79.25"/>
    <x v="1"/>
    <x v="1"/>
    <x v="1"/>
    <n v="1"/>
    <n v="79.25"/>
    <x v="0"/>
    <x v="0"/>
    <x v="1"/>
    <s v="High Price"/>
    <s v="High Volume"/>
    <x v="1"/>
    <s v="July"/>
    <x v="3"/>
    <x v="1"/>
    <x v="0"/>
  </r>
  <r>
    <s v="FWU-44971-444"/>
    <x v="209"/>
    <s v="12190-25421-WM"/>
    <x v="22"/>
    <n v="3"/>
    <x v="224"/>
    <s v="mmalloyi6@seattletimes.com"/>
    <x v="0"/>
    <s v="Ara"/>
    <s v="D"/>
    <x v="2"/>
    <n v="22.884999999999998"/>
    <n v="68.655000000000001"/>
    <x v="2"/>
    <x v="0"/>
    <x v="1"/>
    <n v="1"/>
    <n v="68.655000000000001"/>
    <x v="0"/>
    <x v="0"/>
    <x v="1"/>
    <s v="High Price"/>
    <s v="Low Volume"/>
    <x v="0"/>
    <s v="January"/>
    <x v="2"/>
    <x v="7"/>
    <x v="2"/>
  </r>
  <r>
    <s v="FYQ-78248-319"/>
    <x v="210"/>
    <s v="25473-43727-BY"/>
    <x v="9"/>
    <n v="5"/>
    <x v="225"/>
    <s v="loscroftf@ebay.co.uk"/>
    <x v="0"/>
    <s v="Rob"/>
    <s v="M"/>
    <x v="2"/>
    <n v="22.884999999999998"/>
    <n v="114.42499999999998"/>
    <x v="0"/>
    <x v="2"/>
    <x v="1"/>
    <n v="1"/>
    <n v="114.42499999999998"/>
    <x v="0"/>
    <x v="0"/>
    <x v="3"/>
    <s v="High Price"/>
    <s v="High Volume"/>
    <x v="1"/>
    <s v="June"/>
    <x v="0"/>
    <x v="5"/>
    <x v="0"/>
  </r>
  <r>
    <s v="FZQ-29439-457"/>
    <x v="211"/>
    <s v="50449-80974-BZ"/>
    <x v="27"/>
    <n v="5"/>
    <x v="226"/>
    <s v="tbownecb@unicef.org"/>
    <x v="1"/>
    <s v="Exc"/>
    <s v="L"/>
    <x v="3"/>
    <n v="4.4550000000000001"/>
    <n v="22.274999999999999"/>
    <x v="3"/>
    <x v="1"/>
    <x v="0"/>
    <n v="1"/>
    <n v="22.274999999999999"/>
    <x v="0"/>
    <x v="0"/>
    <x v="0"/>
    <s v="Low Price"/>
    <s v="High Volume"/>
    <x v="2"/>
    <s v="February"/>
    <x v="2"/>
    <x v="10"/>
    <x v="2"/>
  </r>
  <r>
    <s v="GAZ-58626-277"/>
    <x v="212"/>
    <s v="69533-84907-FA"/>
    <x v="10"/>
    <n v="2"/>
    <x v="227"/>
    <s v="sedmondson1z@theguardian.com"/>
    <x v="1"/>
    <s v="Lib"/>
    <s v="L"/>
    <x v="3"/>
    <n v="4.7549999999999999"/>
    <n v="9.51"/>
    <x v="1"/>
    <x v="1"/>
    <x v="1"/>
    <n v="1"/>
    <n v="9.51"/>
    <x v="0"/>
    <x v="0"/>
    <x v="0"/>
    <s v="Low Price"/>
    <s v="Low Volume"/>
    <x v="3"/>
    <s v="January"/>
    <x v="2"/>
    <x v="1"/>
    <x v="2"/>
  </r>
  <r>
    <s v="GCD-75444-320"/>
    <x v="213"/>
    <s v="51277-93873-RP"/>
    <x v="41"/>
    <n v="1"/>
    <x v="228"/>
    <s v="cayrere@symantec.com"/>
    <x v="0"/>
    <s v="Lib"/>
    <s v="M"/>
    <x v="2"/>
    <n v="33.464999999999996"/>
    <n v="33.464999999999996"/>
    <x v="1"/>
    <x v="2"/>
    <x v="1"/>
    <n v="1"/>
    <n v="33.464999999999996"/>
    <x v="0"/>
    <x v="0"/>
    <x v="0"/>
    <s v="High Price"/>
    <s v="Low Volume"/>
    <x v="0"/>
    <s v="May"/>
    <x v="0"/>
    <x v="4"/>
    <x v="3"/>
  </r>
  <r>
    <s v="GEJ-39834-935"/>
    <x v="214"/>
    <s v="49412-86877-VY"/>
    <x v="5"/>
    <n v="6"/>
    <x v="229"/>
    <s v="pwitheringtonea@networkadvertising.org"/>
    <x v="0"/>
    <s v="Lib"/>
    <s v="M"/>
    <x v="3"/>
    <n v="4.3650000000000002"/>
    <n v="26.19"/>
    <x v="1"/>
    <x v="2"/>
    <x v="0"/>
    <n v="1"/>
    <n v="26.19"/>
    <x v="0"/>
    <x v="0"/>
    <x v="0"/>
    <s v="Low Price"/>
    <s v="High Volume"/>
    <x v="2"/>
    <s v="December"/>
    <x v="1"/>
    <x v="4"/>
    <x v="2"/>
  </r>
  <r>
    <s v="GFI-83300-059"/>
    <x v="215"/>
    <s v="40414-26467-VE"/>
    <x v="46"/>
    <n v="6"/>
    <x v="230"/>
    <s v="acampsallid@zimbio.com"/>
    <x v="0"/>
    <s v="Ara"/>
    <s v="M"/>
    <x v="3"/>
    <n v="3.375"/>
    <n v="20.25"/>
    <x v="2"/>
    <x v="2"/>
    <x v="0"/>
    <n v="1"/>
    <n v="20.25"/>
    <x v="0"/>
    <x v="0"/>
    <x v="0"/>
    <s v="Low Price"/>
    <s v="High Volume"/>
    <x v="2"/>
    <s v="October"/>
    <x v="1"/>
    <x v="2"/>
    <x v="1"/>
  </r>
  <r>
    <s v="GFK-52063-244"/>
    <x v="216"/>
    <s v="44981-99666-XB"/>
    <x v="30"/>
    <n v="6"/>
    <x v="231"/>
    <s v="uwelberryy@ebay.co.uk"/>
    <x v="2"/>
    <s v="Lib"/>
    <s v="L"/>
    <x v="1"/>
    <n v="9.51"/>
    <n v="57.06"/>
    <x v="1"/>
    <x v="1"/>
    <x v="0"/>
    <n v="1"/>
    <n v="57.06"/>
    <x v="0"/>
    <x v="0"/>
    <x v="1"/>
    <s v="High Price"/>
    <s v="High Volume"/>
    <x v="1"/>
    <s v="June"/>
    <x v="0"/>
    <x v="1"/>
    <x v="0"/>
  </r>
  <r>
    <s v="GGD-38107-641"/>
    <x v="217"/>
    <s v="99562-88650-YF"/>
    <x v="34"/>
    <n v="4"/>
    <x v="232"/>
    <s v="lkernan71@wsj.com"/>
    <x v="0"/>
    <s v="Lib"/>
    <s v="M"/>
    <x v="0"/>
    <n v="14.55"/>
    <n v="58.2"/>
    <x v="1"/>
    <x v="2"/>
    <x v="1"/>
    <n v="1"/>
    <n v="58.2"/>
    <x v="0"/>
    <x v="0"/>
    <x v="1"/>
    <s v="High Price"/>
    <s v="Low Volume"/>
    <x v="0"/>
    <s v="November"/>
    <x v="1"/>
    <x v="4"/>
    <x v="1"/>
  </r>
  <r>
    <s v="GHR-72274-715"/>
    <x v="218"/>
    <s v="86881-41559-OR"/>
    <x v="19"/>
    <n v="1"/>
    <x v="233"/>
    <s v="osyseland3p@independent.co.uk"/>
    <x v="0"/>
    <s v="Lib"/>
    <s v="D"/>
    <x v="0"/>
    <n v="12.95"/>
    <n v="12.95"/>
    <x v="1"/>
    <x v="0"/>
    <x v="1"/>
    <n v="1"/>
    <n v="12.95"/>
    <x v="0"/>
    <x v="0"/>
    <x v="0"/>
    <s v="Low Price"/>
    <s v="Low Volume"/>
    <x v="3"/>
    <s v="May"/>
    <x v="0"/>
    <x v="9"/>
    <x v="3"/>
  </r>
  <r>
    <s v="GJC-66474-557"/>
    <x v="190"/>
    <s v="64965-78386-MY"/>
    <x v="8"/>
    <n v="1"/>
    <x v="234"/>
    <s v="njennyrq@bigcartel.com"/>
    <x v="0"/>
    <s v="Ara"/>
    <s v="D"/>
    <x v="0"/>
    <n v="9.9499999999999993"/>
    <n v="9.9499999999999993"/>
    <x v="2"/>
    <x v="0"/>
    <x v="1"/>
    <n v="1"/>
    <n v="9.9499999999999993"/>
    <x v="0"/>
    <x v="0"/>
    <x v="0"/>
    <s v="Low Price"/>
    <s v="Low Volume"/>
    <x v="3"/>
    <s v="August"/>
    <x v="3"/>
    <x v="7"/>
    <x v="0"/>
  </r>
  <r>
    <s v="GKQ-82603-910"/>
    <x v="219"/>
    <s v="83737-56117-JE"/>
    <x v="31"/>
    <n v="5"/>
    <x v="235"/>
    <s v="asnazle9l@oracle.com"/>
    <x v="0"/>
    <s v="Rob"/>
    <s v="L"/>
    <x v="0"/>
    <n v="11.95"/>
    <n v="59.75"/>
    <x v="0"/>
    <x v="1"/>
    <x v="1"/>
    <n v="1"/>
    <n v="59.75"/>
    <x v="0"/>
    <x v="0"/>
    <x v="1"/>
    <s v="High Price"/>
    <s v="High Volume"/>
    <x v="1"/>
    <s v="January"/>
    <x v="2"/>
    <x v="11"/>
    <x v="2"/>
  </r>
  <r>
    <s v="GMF-18638-786"/>
    <x v="220"/>
    <s v="60004-62976-NI"/>
    <x v="14"/>
    <n v="6"/>
    <x v="236"/>
    <s v="gkislingburyaz@samsung.com"/>
    <x v="0"/>
    <s v="Lib"/>
    <s v="D"/>
    <x v="1"/>
    <n v="7.77"/>
    <n v="46.62"/>
    <x v="1"/>
    <x v="0"/>
    <x v="0"/>
    <n v="1"/>
    <n v="46.62"/>
    <x v="0"/>
    <x v="0"/>
    <x v="0"/>
    <s v="High Price"/>
    <s v="High Volume"/>
    <x v="1"/>
    <s v="September"/>
    <x v="3"/>
    <x v="9"/>
    <x v="1"/>
  </r>
  <r>
    <s v="GMM-72397-378"/>
    <x v="187"/>
    <s v="45899-92796-EI"/>
    <x v="25"/>
    <n v="4"/>
    <x v="237"/>
    <s v="kpatise7z@jigsy.com"/>
    <x v="0"/>
    <s v="Rob"/>
    <s v="L"/>
    <x v="3"/>
    <n v="3.5849999999999995"/>
    <n v="14.339999999999998"/>
    <x v="0"/>
    <x v="1"/>
    <x v="1"/>
    <n v="1"/>
    <n v="14.339999999999998"/>
    <x v="0"/>
    <x v="0"/>
    <x v="0"/>
    <s v="Low Price"/>
    <s v="Low Volume"/>
    <x v="3"/>
    <s v="May"/>
    <x v="0"/>
    <x v="11"/>
    <x v="3"/>
  </r>
  <r>
    <s v="GND-08192-056"/>
    <x v="221"/>
    <s v="17088-16989-PL"/>
    <x v="14"/>
    <n v="2"/>
    <x v="238"/>
    <s v="wrocheh7@xinhuanet.com"/>
    <x v="0"/>
    <s v="Lib"/>
    <s v="D"/>
    <x v="1"/>
    <n v="7.77"/>
    <n v="15.54"/>
    <x v="1"/>
    <x v="0"/>
    <x v="0"/>
    <n v="1"/>
    <n v="15.54"/>
    <x v="0"/>
    <x v="0"/>
    <x v="0"/>
    <s v="Low Price"/>
    <s v="Low Volume"/>
    <x v="3"/>
    <s v="May"/>
    <x v="0"/>
    <x v="9"/>
    <x v="3"/>
  </r>
  <r>
    <s v="GNL-98714-885"/>
    <x v="222"/>
    <s v="83731-53280-YC"/>
    <x v="38"/>
    <n v="3"/>
    <x v="239"/>
    <s v=""/>
    <x v="2"/>
    <s v="Rob"/>
    <s v="M"/>
    <x v="0"/>
    <n v="9.9499999999999993"/>
    <n v="29.849999999999998"/>
    <x v="0"/>
    <x v="2"/>
    <x v="0"/>
    <n v="1"/>
    <n v="29.849999999999998"/>
    <x v="0"/>
    <x v="0"/>
    <x v="0"/>
    <s v="High Price"/>
    <s v="Low Volume"/>
    <x v="0"/>
    <s v="March"/>
    <x v="2"/>
    <x v="5"/>
    <x v="3"/>
  </r>
  <r>
    <s v="GNO-91911-159"/>
    <x v="72"/>
    <s v="96503-31833-CW"/>
    <x v="14"/>
    <n v="3"/>
    <x v="240"/>
    <s v="sjeyness8y@biglobe.ne.jp"/>
    <x v="1"/>
    <s v="Lib"/>
    <s v="D"/>
    <x v="1"/>
    <n v="7.77"/>
    <n v="23.31"/>
    <x v="1"/>
    <x v="0"/>
    <x v="1"/>
    <n v="1"/>
    <n v="23.31"/>
    <x v="0"/>
    <x v="0"/>
    <x v="0"/>
    <s v="Low Price"/>
    <s v="Low Volume"/>
    <x v="3"/>
    <s v="December"/>
    <x v="1"/>
    <x v="9"/>
    <x v="2"/>
  </r>
  <r>
    <s v="GNZ-46006-527"/>
    <x v="223"/>
    <s v="95875-73336-RG"/>
    <x v="29"/>
    <n v="3"/>
    <x v="241"/>
    <s v="ptrobee@wunderground.com"/>
    <x v="0"/>
    <s v="Lib"/>
    <s v="D"/>
    <x v="3"/>
    <n v="3.8849999999999998"/>
    <n v="11.654999999999999"/>
    <x v="1"/>
    <x v="0"/>
    <x v="0"/>
    <n v="1"/>
    <n v="11.654999999999999"/>
    <x v="0"/>
    <x v="0"/>
    <x v="0"/>
    <s v="Low Price"/>
    <s v="Low Volume"/>
    <x v="3"/>
    <s v="April"/>
    <x v="0"/>
    <x v="9"/>
    <x v="3"/>
  </r>
  <r>
    <s v="GOI-41472-677"/>
    <x v="99"/>
    <s v="16545-76328-JY"/>
    <x v="32"/>
    <n v="4"/>
    <x v="242"/>
    <s v="dtingly8f@goo.ne.jp"/>
    <x v="0"/>
    <s v="Exc"/>
    <s v="D"/>
    <x v="2"/>
    <n v="27.945"/>
    <n v="111.78"/>
    <x v="3"/>
    <x v="0"/>
    <x v="0"/>
    <n v="1"/>
    <n v="111.78"/>
    <x v="0"/>
    <x v="0"/>
    <x v="3"/>
    <s v="High Price"/>
    <s v="Low Volume"/>
    <x v="0"/>
    <s v="August"/>
    <x v="3"/>
    <x v="8"/>
    <x v="0"/>
  </r>
  <r>
    <s v="GOW-03198-575"/>
    <x v="224"/>
    <s v="61513-27752-FA"/>
    <x v="18"/>
    <n v="4"/>
    <x v="243"/>
    <s v="mludwell3e@blogger.com"/>
    <x v="0"/>
    <s v="Ara"/>
    <s v="D"/>
    <x v="1"/>
    <n v="5.97"/>
    <n v="23.88"/>
    <x v="2"/>
    <x v="0"/>
    <x v="0"/>
    <n v="1"/>
    <n v="23.88"/>
    <x v="0"/>
    <x v="0"/>
    <x v="0"/>
    <s v="Low Price"/>
    <s v="Low Volume"/>
    <x v="3"/>
    <s v="March"/>
    <x v="2"/>
    <x v="7"/>
    <x v="3"/>
  </r>
  <r>
    <s v="GPH-40635-105"/>
    <x v="225"/>
    <s v="37397-05992-VO"/>
    <x v="35"/>
    <n v="1"/>
    <x v="244"/>
    <s v="hsynnot3i@about.com"/>
    <x v="0"/>
    <s v="Ara"/>
    <s v="M"/>
    <x v="0"/>
    <n v="11.25"/>
    <n v="11.25"/>
    <x v="2"/>
    <x v="2"/>
    <x v="1"/>
    <n v="1"/>
    <n v="11.25"/>
    <x v="0"/>
    <x v="0"/>
    <x v="0"/>
    <s v="Low Price"/>
    <s v="Low Volume"/>
    <x v="3"/>
    <s v="July"/>
    <x v="3"/>
    <x v="2"/>
    <x v="0"/>
  </r>
  <r>
    <s v="GPR-19973-483"/>
    <x v="226"/>
    <s v="92926-08470-YS"/>
    <x v="47"/>
    <n v="5"/>
    <x v="245"/>
    <s v="bfominov33@yale.edu"/>
    <x v="0"/>
    <s v="Rob"/>
    <s v="D"/>
    <x v="1"/>
    <n v="5.3699999999999992"/>
    <n v="26.849999999999994"/>
    <x v="0"/>
    <x v="0"/>
    <x v="1"/>
    <n v="1"/>
    <n v="26.849999999999994"/>
    <x v="0"/>
    <x v="0"/>
    <x v="0"/>
    <s v="Low Price"/>
    <s v="High Volume"/>
    <x v="2"/>
    <s v="June"/>
    <x v="0"/>
    <x v="0"/>
    <x v="0"/>
  </r>
  <r>
    <s v="GPT-67705-953"/>
    <x v="227"/>
    <s v="70631-33225-MZ"/>
    <x v="46"/>
    <n v="5"/>
    <x v="246"/>
    <s v="cbournermw@chronoengine.com"/>
    <x v="0"/>
    <s v="Ara"/>
    <s v="M"/>
    <x v="3"/>
    <n v="3.375"/>
    <n v="16.875"/>
    <x v="2"/>
    <x v="2"/>
    <x v="0"/>
    <n v="1"/>
    <n v="16.875"/>
    <x v="0"/>
    <x v="0"/>
    <x v="0"/>
    <s v="Low Price"/>
    <s v="High Volume"/>
    <x v="2"/>
    <s v="November"/>
    <x v="1"/>
    <x v="2"/>
    <x v="1"/>
  </r>
  <r>
    <s v="GPU-65651-504"/>
    <x v="228"/>
    <s v="83947-45528-ET"/>
    <x v="4"/>
    <n v="2"/>
    <x v="247"/>
    <s v="lflaoniera8@wordpress.org"/>
    <x v="0"/>
    <s v="Exc"/>
    <s v="M"/>
    <x v="2"/>
    <n v="31.624999999999996"/>
    <n v="63.249999999999993"/>
    <x v="3"/>
    <x v="2"/>
    <x v="1"/>
    <n v="1"/>
    <n v="63.249999999999993"/>
    <x v="0"/>
    <x v="0"/>
    <x v="1"/>
    <s v="High Price"/>
    <s v="Low Volume"/>
    <x v="0"/>
    <s v="May"/>
    <x v="0"/>
    <x v="3"/>
    <x v="3"/>
  </r>
  <r>
    <s v="GPU-79113-136"/>
    <x v="229"/>
    <s v="73284-01385-SJ"/>
    <x v="15"/>
    <n v="3"/>
    <x v="248"/>
    <s v="atolworthy16@toplist.cz"/>
    <x v="0"/>
    <s v="Rob"/>
    <s v="D"/>
    <x v="3"/>
    <n v="2.6849999999999996"/>
    <n v="8.0549999999999997"/>
    <x v="0"/>
    <x v="0"/>
    <x v="0"/>
    <n v="1"/>
    <n v="8.0549999999999997"/>
    <x v="0"/>
    <x v="0"/>
    <x v="0"/>
    <s v="Low Price"/>
    <s v="Low Volume"/>
    <x v="3"/>
    <s v="May"/>
    <x v="0"/>
    <x v="0"/>
    <x v="3"/>
  </r>
  <r>
    <s v="GPW-43956-761"/>
    <x v="230"/>
    <s v="09667-09231-YM"/>
    <x v="20"/>
    <n v="6"/>
    <x v="249"/>
    <s v="bwardellqu@adobe.com"/>
    <x v="0"/>
    <s v="Exc"/>
    <s v="L"/>
    <x v="1"/>
    <n v="8.91"/>
    <n v="53.46"/>
    <x v="3"/>
    <x v="1"/>
    <x v="0"/>
    <n v="1"/>
    <n v="53.46"/>
    <x v="0"/>
    <x v="0"/>
    <x v="1"/>
    <s v="High Price"/>
    <s v="High Volume"/>
    <x v="1"/>
    <s v="January"/>
    <x v="2"/>
    <x v="10"/>
    <x v="2"/>
  </r>
  <r>
    <s v="GPZ-36017-366"/>
    <x v="231"/>
    <s v="65732-22589-OW"/>
    <x v="22"/>
    <n v="5"/>
    <x v="250"/>
    <s v="kmarrisonoq@dropbox.com"/>
    <x v="0"/>
    <s v="Ara"/>
    <s v="D"/>
    <x v="2"/>
    <n v="22.884999999999998"/>
    <n v="114.42499999999998"/>
    <x v="2"/>
    <x v="0"/>
    <x v="0"/>
    <n v="1"/>
    <n v="114.42499999999998"/>
    <x v="0"/>
    <x v="0"/>
    <x v="3"/>
    <s v="High Price"/>
    <s v="High Volume"/>
    <x v="1"/>
    <s v="July"/>
    <x v="3"/>
    <x v="7"/>
    <x v="0"/>
  </r>
  <r>
    <s v="GQA-37241-629"/>
    <x v="232"/>
    <s v="08405-33165-BS"/>
    <x v="46"/>
    <n v="2"/>
    <x v="251"/>
    <s v="fparlotrb@forbes.com"/>
    <x v="0"/>
    <s v="Ara"/>
    <s v="M"/>
    <x v="3"/>
    <n v="3.375"/>
    <n v="6.75"/>
    <x v="2"/>
    <x v="2"/>
    <x v="0"/>
    <n v="1"/>
    <n v="6.75"/>
    <x v="0"/>
    <x v="0"/>
    <x v="0"/>
    <s v="Low Price"/>
    <s v="Low Volume"/>
    <x v="3"/>
    <s v="January"/>
    <x v="2"/>
    <x v="2"/>
    <x v="2"/>
  </r>
  <r>
    <s v="GQR-12490-152"/>
    <x v="233"/>
    <s v="22832-98538-RB"/>
    <x v="25"/>
    <n v="1"/>
    <x v="252"/>
    <s v="sgaweng7@creativecommons.org"/>
    <x v="0"/>
    <s v="Rob"/>
    <s v="L"/>
    <x v="3"/>
    <n v="3.5849999999999995"/>
    <n v="3.5849999999999995"/>
    <x v="0"/>
    <x v="1"/>
    <x v="0"/>
    <n v="1"/>
    <n v="3.5849999999999995"/>
    <x v="0"/>
    <x v="0"/>
    <x v="0"/>
    <s v="Low Price"/>
    <s v="Low Volume"/>
    <x v="3"/>
    <s v="March"/>
    <x v="2"/>
    <x v="11"/>
    <x v="3"/>
  </r>
  <r>
    <s v="GRB-68838-629"/>
    <x v="234"/>
    <s v="15064-65241-HB"/>
    <x v="44"/>
    <n v="4"/>
    <x v="253"/>
    <s v="grattqd@phpbb.com"/>
    <x v="1"/>
    <s v="Rob"/>
    <s v="L"/>
    <x v="2"/>
    <n v="27.484999999999996"/>
    <n v="109.93999999999998"/>
    <x v="0"/>
    <x v="1"/>
    <x v="1"/>
    <n v="1"/>
    <n v="109.93999999999998"/>
    <x v="0"/>
    <x v="0"/>
    <x v="3"/>
    <s v="High Price"/>
    <s v="Low Volume"/>
    <x v="0"/>
    <s v="September"/>
    <x v="3"/>
    <x v="11"/>
    <x v="1"/>
  </r>
  <r>
    <s v="GRH-45571-667"/>
    <x v="235"/>
    <s v="32291-18308-YZ"/>
    <x v="21"/>
    <n v="3"/>
    <x v="254"/>
    <s v="jkopke7a@auda.org.au"/>
    <x v="0"/>
    <s v="Exc"/>
    <s v="M"/>
    <x v="0"/>
    <n v="13.75"/>
    <n v="41.25"/>
    <x v="3"/>
    <x v="2"/>
    <x v="1"/>
    <n v="1"/>
    <n v="41.25"/>
    <x v="0"/>
    <x v="0"/>
    <x v="0"/>
    <s v="High Price"/>
    <s v="Low Volume"/>
    <x v="0"/>
    <s v="August"/>
    <x v="3"/>
    <x v="3"/>
    <x v="0"/>
  </r>
  <r>
    <s v="GSJ-01065-125"/>
    <x v="236"/>
    <s v="69779-40609-RS"/>
    <x v="40"/>
    <n v="4"/>
    <x v="255"/>
    <s v="dcamilletti5w@businesswire.com"/>
    <x v="0"/>
    <s v="Exc"/>
    <s v="D"/>
    <x v="3"/>
    <n v="3.645"/>
    <n v="14.58"/>
    <x v="3"/>
    <x v="0"/>
    <x v="0"/>
    <n v="1"/>
    <n v="14.58"/>
    <x v="0"/>
    <x v="0"/>
    <x v="0"/>
    <s v="Low Price"/>
    <s v="Low Volume"/>
    <x v="3"/>
    <s v="March"/>
    <x v="2"/>
    <x v="8"/>
    <x v="3"/>
  </r>
  <r>
    <s v="GTS-22482-014"/>
    <x v="237"/>
    <s v="36769-16558-SX"/>
    <x v="41"/>
    <n v="4"/>
    <x v="256"/>
    <s v=""/>
    <x v="0"/>
    <s v="Lib"/>
    <s v="M"/>
    <x v="2"/>
    <n v="33.464999999999996"/>
    <n v="133.85999999999999"/>
    <x v="1"/>
    <x v="2"/>
    <x v="0"/>
    <n v="1"/>
    <n v="133.85999999999999"/>
    <x v="0"/>
    <x v="0"/>
    <x v="3"/>
    <s v="High Price"/>
    <s v="Low Volume"/>
    <x v="0"/>
    <s v="March"/>
    <x v="2"/>
    <x v="4"/>
    <x v="3"/>
  </r>
  <r>
    <s v="GTT-73214-334"/>
    <x v="238"/>
    <s v="98636-90072-YE"/>
    <x v="7"/>
    <n v="6"/>
    <x v="257"/>
    <s v="nbuneylx@jugem.jp"/>
    <x v="0"/>
    <s v="Ara"/>
    <s v="L"/>
    <x v="0"/>
    <n v="12.95"/>
    <n v="77.699999999999989"/>
    <x v="2"/>
    <x v="1"/>
    <x v="1"/>
    <n v="1"/>
    <n v="77.699999999999989"/>
    <x v="0"/>
    <x v="0"/>
    <x v="1"/>
    <s v="High Price"/>
    <s v="High Volume"/>
    <x v="1"/>
    <s v="January"/>
    <x v="2"/>
    <x v="6"/>
    <x v="2"/>
  </r>
  <r>
    <s v="GUG-45603-775"/>
    <x v="239"/>
    <s v="40959-32642-DN"/>
    <x v="10"/>
    <n v="5"/>
    <x v="258"/>
    <s v="rstrathernqn@devhub.com"/>
    <x v="0"/>
    <s v="Lib"/>
    <s v="L"/>
    <x v="3"/>
    <n v="4.7549999999999999"/>
    <n v="23.774999999999999"/>
    <x v="1"/>
    <x v="1"/>
    <x v="0"/>
    <n v="1"/>
    <n v="23.774999999999999"/>
    <x v="0"/>
    <x v="0"/>
    <x v="0"/>
    <s v="Low Price"/>
    <s v="High Volume"/>
    <x v="2"/>
    <s v="February"/>
    <x v="2"/>
    <x v="1"/>
    <x v="2"/>
  </r>
  <r>
    <s v="GUU-40666-525"/>
    <x v="240"/>
    <s v="68555-89840-GZ"/>
    <x v="23"/>
    <n v="3"/>
    <x v="259"/>
    <s v="msesonck@census.gov"/>
    <x v="0"/>
    <s v="Ara"/>
    <s v="L"/>
    <x v="3"/>
    <n v="3.8849999999999998"/>
    <n v="11.654999999999999"/>
    <x v="2"/>
    <x v="1"/>
    <x v="1"/>
    <n v="1"/>
    <n v="11.654999999999999"/>
    <x v="0"/>
    <x v="0"/>
    <x v="0"/>
    <s v="Low Price"/>
    <s v="Low Volume"/>
    <x v="3"/>
    <s v="November"/>
    <x v="1"/>
    <x v="6"/>
    <x v="1"/>
  </r>
  <r>
    <s v="GVG-59542-307"/>
    <x v="241"/>
    <s v="26314-66792-VP"/>
    <x v="21"/>
    <n v="2"/>
    <x v="260"/>
    <s v="bsterkekw@biblegateway.com"/>
    <x v="0"/>
    <s v="Exc"/>
    <s v="M"/>
    <x v="0"/>
    <n v="13.75"/>
    <n v="27.5"/>
    <x v="3"/>
    <x v="2"/>
    <x v="0"/>
    <n v="1"/>
    <n v="27.5"/>
    <x v="0"/>
    <x v="0"/>
    <x v="0"/>
    <s v="Low Price"/>
    <s v="Low Volume"/>
    <x v="3"/>
    <s v="July"/>
    <x v="3"/>
    <x v="3"/>
    <x v="0"/>
  </r>
  <r>
    <s v="GYA-80327-368"/>
    <x v="242"/>
    <s v="06899-54551-EH"/>
    <x v="8"/>
    <n v="4"/>
    <x v="261"/>
    <s v="cmershdt@drupal.org"/>
    <x v="1"/>
    <s v="Ara"/>
    <s v="D"/>
    <x v="0"/>
    <n v="9.9499999999999993"/>
    <n v="39.799999999999997"/>
    <x v="2"/>
    <x v="0"/>
    <x v="1"/>
    <n v="1"/>
    <n v="39.799999999999997"/>
    <x v="0"/>
    <x v="0"/>
    <x v="0"/>
    <s v="High Price"/>
    <s v="Low Volume"/>
    <x v="0"/>
    <s v="June"/>
    <x v="0"/>
    <x v="7"/>
    <x v="0"/>
  </r>
  <r>
    <s v="GZS-50547-887"/>
    <x v="243"/>
    <s v="61600-55136-UM"/>
    <x v="12"/>
    <n v="2"/>
    <x v="262"/>
    <s v="ccatchesideaa@macromedia.com"/>
    <x v="0"/>
    <s v="Exc"/>
    <s v="D"/>
    <x v="0"/>
    <n v="12.15"/>
    <n v="24.3"/>
    <x v="3"/>
    <x v="0"/>
    <x v="0"/>
    <n v="1"/>
    <n v="24.3"/>
    <x v="0"/>
    <x v="0"/>
    <x v="0"/>
    <s v="Low Price"/>
    <s v="Low Volume"/>
    <x v="3"/>
    <s v="February"/>
    <x v="2"/>
    <x v="8"/>
    <x v="2"/>
  </r>
  <r>
    <s v="HBH-64794-080"/>
    <x v="244"/>
    <s v="40560-18556-YE"/>
    <x v="15"/>
    <n v="3"/>
    <x v="263"/>
    <s v=""/>
    <x v="0"/>
    <s v="Rob"/>
    <s v="D"/>
    <x v="3"/>
    <n v="2.6849999999999996"/>
    <n v="8.0549999999999997"/>
    <x v="0"/>
    <x v="0"/>
    <x v="0"/>
    <n v="1"/>
    <n v="8.0549999999999997"/>
    <x v="0"/>
    <x v="0"/>
    <x v="0"/>
    <s v="Low Price"/>
    <s v="Low Volume"/>
    <x v="3"/>
    <s v="February"/>
    <x v="2"/>
    <x v="0"/>
    <x v="2"/>
  </r>
  <r>
    <s v="HBY-35655-049"/>
    <x v="213"/>
    <s v="69207-93422-CQ"/>
    <x v="32"/>
    <n v="3"/>
    <x v="264"/>
    <s v="ihesselpf@ox.ac.uk"/>
    <x v="0"/>
    <s v="Exc"/>
    <s v="D"/>
    <x v="2"/>
    <n v="27.945"/>
    <n v="83.835000000000008"/>
    <x v="3"/>
    <x v="0"/>
    <x v="0"/>
    <n v="1"/>
    <n v="83.835000000000008"/>
    <x v="0"/>
    <x v="0"/>
    <x v="1"/>
    <s v="High Price"/>
    <s v="Low Volume"/>
    <x v="0"/>
    <s v="May"/>
    <x v="0"/>
    <x v="8"/>
    <x v="3"/>
  </r>
  <r>
    <s v="HCA-87224-420"/>
    <x v="49"/>
    <s v="62682-27930-PD"/>
    <x v="24"/>
    <n v="5"/>
    <x v="265"/>
    <s v="tfero4n@comsenz.com"/>
    <x v="0"/>
    <s v="Exc"/>
    <s v="M"/>
    <x v="1"/>
    <n v="8.25"/>
    <n v="41.25"/>
    <x v="3"/>
    <x v="2"/>
    <x v="0"/>
    <n v="1"/>
    <n v="41.25"/>
    <x v="0"/>
    <x v="0"/>
    <x v="0"/>
    <s v="High Price"/>
    <s v="High Volume"/>
    <x v="1"/>
    <s v="August"/>
    <x v="3"/>
    <x v="3"/>
    <x v="0"/>
  </r>
  <r>
    <s v="HCT-95608-959"/>
    <x v="245"/>
    <s v="08523-01791-TI"/>
    <x v="9"/>
    <n v="5"/>
    <x v="266"/>
    <s v="dde12@unesco.org"/>
    <x v="0"/>
    <s v="Rob"/>
    <s v="M"/>
    <x v="2"/>
    <n v="22.884999999999998"/>
    <n v="114.42499999999998"/>
    <x v="0"/>
    <x v="2"/>
    <x v="1"/>
    <n v="1"/>
    <n v="114.42499999999998"/>
    <x v="0"/>
    <x v="0"/>
    <x v="3"/>
    <s v="High Price"/>
    <s v="High Volume"/>
    <x v="1"/>
    <s v="April"/>
    <x v="0"/>
    <x v="5"/>
    <x v="3"/>
  </r>
  <r>
    <s v="HDQ-86094-507"/>
    <x v="103"/>
    <s v="32481-61533-ZJ"/>
    <x v="12"/>
    <n v="6"/>
    <x v="267"/>
    <s v="ptoffula4@posterous.com"/>
    <x v="0"/>
    <s v="Exc"/>
    <s v="D"/>
    <x v="0"/>
    <n v="12.15"/>
    <n v="72.900000000000006"/>
    <x v="3"/>
    <x v="0"/>
    <x v="0"/>
    <n v="1"/>
    <n v="72.900000000000006"/>
    <x v="0"/>
    <x v="0"/>
    <x v="1"/>
    <s v="High Price"/>
    <s v="High Volume"/>
    <x v="1"/>
    <s v="April"/>
    <x v="0"/>
    <x v="8"/>
    <x v="3"/>
  </r>
  <r>
    <s v="HEL-86709-449"/>
    <x v="246"/>
    <s v="86579-92122-OC"/>
    <x v="32"/>
    <n v="1"/>
    <x v="268"/>
    <s v=""/>
    <x v="0"/>
    <s v="Exc"/>
    <s v="D"/>
    <x v="2"/>
    <n v="27.945"/>
    <n v="27.945"/>
    <x v="3"/>
    <x v="0"/>
    <x v="0"/>
    <n v="1"/>
    <n v="27.945"/>
    <x v="0"/>
    <x v="0"/>
    <x v="0"/>
    <s v="Low Price"/>
    <s v="Low Volume"/>
    <x v="3"/>
    <s v="June"/>
    <x v="0"/>
    <x v="8"/>
    <x v="0"/>
  </r>
  <r>
    <s v="HFT-77191-168"/>
    <x v="247"/>
    <s v="48419-02347-XP"/>
    <x v="15"/>
    <n v="2"/>
    <x v="269"/>
    <s v="mkippenby@dion.ne.jp"/>
    <x v="0"/>
    <s v="Rob"/>
    <s v="D"/>
    <x v="3"/>
    <n v="2.6849999999999996"/>
    <n v="5.3699999999999992"/>
    <x v="0"/>
    <x v="0"/>
    <x v="0"/>
    <n v="1"/>
    <n v="5.3699999999999992"/>
    <x v="0"/>
    <x v="0"/>
    <x v="0"/>
    <s v="Low Price"/>
    <s v="Low Volume"/>
    <x v="3"/>
    <s v="November"/>
    <x v="1"/>
    <x v="0"/>
    <x v="1"/>
  </r>
  <r>
    <s v="HGE-19842-613"/>
    <x v="248"/>
    <s v="49401-45041-ZU"/>
    <x v="26"/>
    <n v="4"/>
    <x v="270"/>
    <s v="jedinboronc@reverbnation.com"/>
    <x v="0"/>
    <s v="Rob"/>
    <s v="L"/>
    <x v="1"/>
    <n v="7.169999999999999"/>
    <n v="28.679999999999996"/>
    <x v="0"/>
    <x v="1"/>
    <x v="0"/>
    <n v="1"/>
    <n v="28.679999999999996"/>
    <x v="0"/>
    <x v="0"/>
    <x v="0"/>
    <s v="Low Price"/>
    <s v="Low Volume"/>
    <x v="3"/>
    <s v="January"/>
    <x v="2"/>
    <x v="11"/>
    <x v="2"/>
  </r>
  <r>
    <s v="HGJ-82768-173"/>
    <x v="249"/>
    <s v="62741-01322-HU"/>
    <x v="35"/>
    <n v="4"/>
    <x v="271"/>
    <s v="tomoylan9c@liveinternet.ru"/>
    <x v="2"/>
    <s v="Ara"/>
    <s v="M"/>
    <x v="0"/>
    <n v="11.25"/>
    <n v="45"/>
    <x v="2"/>
    <x v="2"/>
    <x v="1"/>
    <n v="1"/>
    <n v="45"/>
    <x v="0"/>
    <x v="0"/>
    <x v="0"/>
    <s v="High Price"/>
    <s v="Low Volume"/>
    <x v="0"/>
    <s v="August"/>
    <x v="3"/>
    <x v="2"/>
    <x v="0"/>
  </r>
  <r>
    <s v="HHF-36647-854"/>
    <x v="178"/>
    <s v="39011-18412-GR"/>
    <x v="22"/>
    <n v="6"/>
    <x v="272"/>
    <s v="aroubertn0@tmall.com"/>
    <x v="0"/>
    <s v="Ara"/>
    <s v="D"/>
    <x v="2"/>
    <n v="22.884999999999998"/>
    <n v="137.31"/>
    <x v="2"/>
    <x v="0"/>
    <x v="0"/>
    <n v="1"/>
    <n v="137.31"/>
    <x v="0"/>
    <x v="0"/>
    <x v="3"/>
    <s v="High Price"/>
    <s v="High Volume"/>
    <x v="1"/>
    <s v="November"/>
    <x v="1"/>
    <x v="7"/>
    <x v="1"/>
  </r>
  <r>
    <s v="HHO-79903-185"/>
    <x v="250"/>
    <s v="53893-01719-CL"/>
    <x v="17"/>
    <n v="1"/>
    <x v="273"/>
    <s v="bfattorinio3@quantcast.com"/>
    <x v="1"/>
    <s v="Ara"/>
    <s v="L"/>
    <x v="2"/>
    <n v="29.784999999999997"/>
    <n v="29.784999999999997"/>
    <x v="2"/>
    <x v="1"/>
    <x v="0"/>
    <n v="1"/>
    <n v="29.784999999999997"/>
    <x v="0"/>
    <x v="0"/>
    <x v="0"/>
    <s v="Low Price"/>
    <s v="Low Volume"/>
    <x v="3"/>
    <s v="August"/>
    <x v="3"/>
    <x v="6"/>
    <x v="0"/>
  </r>
  <r>
    <s v="HKN-31467-517"/>
    <x v="251"/>
    <s v="84045-66771-SL"/>
    <x v="34"/>
    <n v="6"/>
    <x v="17"/>
    <s v="ckeaver1@ucoz.com"/>
    <x v="0"/>
    <s v="Lib"/>
    <s v="M"/>
    <x v="0"/>
    <n v="14.55"/>
    <n v="87.300000000000011"/>
    <x v="1"/>
    <x v="2"/>
    <x v="1"/>
    <n v="1"/>
    <n v="87.300000000000011"/>
    <x v="0"/>
    <x v="0"/>
    <x v="1"/>
    <s v="High Price"/>
    <s v="High Volume"/>
    <x v="1"/>
    <s v="October"/>
    <x v="1"/>
    <x v="4"/>
    <x v="1"/>
  </r>
  <r>
    <s v="HMB-30634-745"/>
    <x v="252"/>
    <s v="19485-98072-PS"/>
    <x v="22"/>
    <n v="6"/>
    <x v="274"/>
    <s v="dflintiffg1@e-recht24.de"/>
    <x v="2"/>
    <s v="Ara"/>
    <s v="D"/>
    <x v="2"/>
    <n v="22.884999999999998"/>
    <n v="137.31"/>
    <x v="2"/>
    <x v="0"/>
    <x v="1"/>
    <n v="1"/>
    <n v="137.31"/>
    <x v="0"/>
    <x v="0"/>
    <x v="3"/>
    <s v="High Price"/>
    <s v="High Volume"/>
    <x v="1"/>
    <s v="February"/>
    <x v="2"/>
    <x v="7"/>
    <x v="2"/>
  </r>
  <r>
    <s v="HNI-91338-546"/>
    <x v="253"/>
    <s v="67285-75317-XI"/>
    <x v="18"/>
    <n v="5"/>
    <x v="275"/>
    <s v=""/>
    <x v="0"/>
    <s v="Ara"/>
    <s v="D"/>
    <x v="1"/>
    <n v="5.97"/>
    <n v="29.849999999999998"/>
    <x v="2"/>
    <x v="0"/>
    <x v="1"/>
    <n v="1"/>
    <n v="29.849999999999998"/>
    <x v="0"/>
    <x v="0"/>
    <x v="0"/>
    <s v="High Price"/>
    <s v="High Volume"/>
    <x v="1"/>
    <s v="February"/>
    <x v="2"/>
    <x v="7"/>
    <x v="2"/>
  </r>
  <r>
    <s v="HPD-65272-772"/>
    <x v="254"/>
    <s v="57504-13456-UO"/>
    <x v="41"/>
    <n v="1"/>
    <x v="276"/>
    <s v="pmetrick7r@rakuten.co.jp"/>
    <x v="0"/>
    <s v="Lib"/>
    <s v="M"/>
    <x v="2"/>
    <n v="33.464999999999996"/>
    <n v="33.464999999999996"/>
    <x v="1"/>
    <x v="2"/>
    <x v="0"/>
    <n v="1"/>
    <n v="33.464999999999996"/>
    <x v="0"/>
    <x v="0"/>
    <x v="0"/>
    <s v="High Price"/>
    <s v="Low Volume"/>
    <x v="0"/>
    <s v="February"/>
    <x v="2"/>
    <x v="4"/>
    <x v="2"/>
  </r>
  <r>
    <s v="HPI-42308-142"/>
    <x v="35"/>
    <s v="06631-86965-XP"/>
    <x v="24"/>
    <n v="2"/>
    <x v="277"/>
    <s v="obaudassi18@seesaa.net"/>
    <x v="0"/>
    <s v="Exc"/>
    <s v="M"/>
    <x v="1"/>
    <n v="8.25"/>
    <n v="16.5"/>
    <x v="3"/>
    <x v="2"/>
    <x v="0"/>
    <n v="1"/>
    <n v="16.5"/>
    <x v="0"/>
    <x v="0"/>
    <x v="0"/>
    <s v="Low Price"/>
    <s v="Low Volume"/>
    <x v="3"/>
    <s v="April"/>
    <x v="0"/>
    <x v="3"/>
    <x v="3"/>
  </r>
  <r>
    <s v="HRM-94548-288"/>
    <x v="255"/>
    <s v="08934-65581-ZI"/>
    <x v="17"/>
    <n v="6"/>
    <x v="278"/>
    <s v="rsimaonv@simplemachines.org"/>
    <x v="0"/>
    <s v="Ara"/>
    <s v="L"/>
    <x v="2"/>
    <n v="29.784999999999997"/>
    <n v="178.70999999999998"/>
    <x v="2"/>
    <x v="1"/>
    <x v="1"/>
    <n v="1"/>
    <n v="178.70999999999998"/>
    <x v="0"/>
    <x v="0"/>
    <x v="2"/>
    <s v="High Price"/>
    <s v="High Volume"/>
    <x v="1"/>
    <s v="September"/>
    <x v="3"/>
    <x v="6"/>
    <x v="1"/>
  </r>
  <r>
    <s v="HSF-66926-425"/>
    <x v="256"/>
    <s v="00539-42510-RY"/>
    <x v="28"/>
    <n v="5"/>
    <x v="279"/>
    <s v="nyoules2t@reference.com"/>
    <x v="1"/>
    <s v="Lib"/>
    <s v="D"/>
    <x v="2"/>
    <n v="29.784999999999997"/>
    <n v="148.92499999999998"/>
    <x v="1"/>
    <x v="0"/>
    <x v="0"/>
    <n v="1"/>
    <n v="148.92499999999998"/>
    <x v="0"/>
    <x v="0"/>
    <x v="3"/>
    <s v="High Price"/>
    <s v="High Volume"/>
    <x v="1"/>
    <s v="March"/>
    <x v="2"/>
    <x v="9"/>
    <x v="3"/>
  </r>
  <r>
    <s v="HST-96923-073"/>
    <x v="257"/>
    <s v="54722-76431-EX"/>
    <x v="13"/>
    <n v="6"/>
    <x v="280"/>
    <s v="hpetroulisol@state.tx.us"/>
    <x v="1"/>
    <s v="Rob"/>
    <s v="D"/>
    <x v="2"/>
    <n v="20.584999999999997"/>
    <n v="123.50999999999999"/>
    <x v="0"/>
    <x v="0"/>
    <x v="1"/>
    <n v="1"/>
    <n v="123.50999999999999"/>
    <x v="0"/>
    <x v="0"/>
    <x v="3"/>
    <s v="High Price"/>
    <s v="High Volume"/>
    <x v="1"/>
    <s v="July"/>
    <x v="3"/>
    <x v="0"/>
    <x v="0"/>
  </r>
  <r>
    <s v="HTH-52867-812"/>
    <x v="158"/>
    <s v="29851-36402-UX"/>
    <x v="3"/>
    <n v="4"/>
    <x v="281"/>
    <s v="aburgetti5@moonfruit.com"/>
    <x v="0"/>
    <s v="Ara"/>
    <s v="M"/>
    <x v="2"/>
    <n v="25.874999999999996"/>
    <n v="103.49999999999999"/>
    <x v="2"/>
    <x v="2"/>
    <x v="1"/>
    <n v="1"/>
    <n v="103.49999999999999"/>
    <x v="0"/>
    <x v="0"/>
    <x v="3"/>
    <s v="High Price"/>
    <s v="Low Volume"/>
    <x v="0"/>
    <s v="June"/>
    <x v="0"/>
    <x v="2"/>
    <x v="0"/>
  </r>
  <r>
    <s v="HTR-21838-286"/>
    <x v="193"/>
    <s v="24669-76297-SF"/>
    <x v="7"/>
    <n v="2"/>
    <x v="282"/>
    <s v="hzeald5@google.de"/>
    <x v="0"/>
    <s v="Ara"/>
    <s v="L"/>
    <x v="0"/>
    <n v="12.95"/>
    <n v="25.9"/>
    <x v="2"/>
    <x v="1"/>
    <x v="1"/>
    <n v="1"/>
    <n v="25.9"/>
    <x v="0"/>
    <x v="0"/>
    <x v="0"/>
    <s v="Low Price"/>
    <s v="Low Volume"/>
    <x v="3"/>
    <s v="February"/>
    <x v="2"/>
    <x v="6"/>
    <x v="2"/>
  </r>
  <r>
    <s v="HTS-15020-632"/>
    <x v="258"/>
    <s v="53817-13148-RK"/>
    <x v="11"/>
    <n v="3"/>
    <x v="283"/>
    <s v="ghawkyensbj@census.gov"/>
    <x v="0"/>
    <s v="Rob"/>
    <s v="M"/>
    <x v="3"/>
    <n v="2.9849999999999999"/>
    <n v="8.9550000000000001"/>
    <x v="0"/>
    <x v="2"/>
    <x v="1"/>
    <n v="1"/>
    <n v="8.9550000000000001"/>
    <x v="0"/>
    <x v="0"/>
    <x v="0"/>
    <s v="Low Price"/>
    <s v="Low Volume"/>
    <x v="3"/>
    <s v="August"/>
    <x v="3"/>
    <x v="5"/>
    <x v="0"/>
  </r>
  <r>
    <s v="HTY-30660-254"/>
    <x v="259"/>
    <s v="83844-95908-RX"/>
    <x v="38"/>
    <n v="3"/>
    <x v="284"/>
    <s v="jjefferysqt@blog.com"/>
    <x v="0"/>
    <s v="Rob"/>
    <s v="M"/>
    <x v="0"/>
    <n v="9.9499999999999993"/>
    <n v="29.849999999999998"/>
    <x v="0"/>
    <x v="2"/>
    <x v="0"/>
    <n v="1"/>
    <n v="29.849999999999998"/>
    <x v="0"/>
    <x v="0"/>
    <x v="0"/>
    <s v="High Price"/>
    <s v="Low Volume"/>
    <x v="0"/>
    <s v="September"/>
    <x v="3"/>
    <x v="5"/>
    <x v="1"/>
  </r>
  <r>
    <s v="HUB-47311-849"/>
    <x v="260"/>
    <s v="04521-04300-OK"/>
    <x v="37"/>
    <n v="3"/>
    <x v="285"/>
    <s v="sgilroy1n@eepurl.com"/>
    <x v="0"/>
    <s v="Lib"/>
    <s v="M"/>
    <x v="1"/>
    <n v="8.73"/>
    <n v="26.19"/>
    <x v="1"/>
    <x v="2"/>
    <x v="0"/>
    <n v="1"/>
    <n v="26.19"/>
    <x v="0"/>
    <x v="0"/>
    <x v="0"/>
    <s v="Low Price"/>
    <s v="Low Volume"/>
    <x v="3"/>
    <s v="December"/>
    <x v="1"/>
    <x v="4"/>
    <x v="2"/>
  </r>
  <r>
    <s v="HUG-52766-375"/>
    <x v="261"/>
    <s v="78786-77449-RQ"/>
    <x v="22"/>
    <n v="4"/>
    <x v="286"/>
    <s v="jbranchettii@bravesites.com"/>
    <x v="0"/>
    <s v="Ara"/>
    <s v="D"/>
    <x v="2"/>
    <n v="22.884999999999998"/>
    <n v="91.539999999999992"/>
    <x v="2"/>
    <x v="0"/>
    <x v="1"/>
    <n v="1"/>
    <n v="91.539999999999992"/>
    <x v="0"/>
    <x v="0"/>
    <x v="1"/>
    <s v="High Price"/>
    <s v="Low Volume"/>
    <x v="0"/>
    <s v="June"/>
    <x v="0"/>
    <x v="7"/>
    <x v="0"/>
  </r>
  <r>
    <s v="HVQ-64398-930"/>
    <x v="262"/>
    <s v="62979-53167-ML"/>
    <x v="2"/>
    <n v="6"/>
    <x v="287"/>
    <s v="lmizzi26@rakuten.co.jp"/>
    <x v="0"/>
    <s v="Ara"/>
    <s v="M"/>
    <x v="1"/>
    <n v="6.75"/>
    <n v="40.5"/>
    <x v="2"/>
    <x v="2"/>
    <x v="0"/>
    <n v="1"/>
    <n v="40.5"/>
    <x v="0"/>
    <x v="0"/>
    <x v="0"/>
    <s v="High Price"/>
    <s v="High Volume"/>
    <x v="1"/>
    <s v="March"/>
    <x v="2"/>
    <x v="2"/>
    <x v="3"/>
  </r>
  <r>
    <s v="HVU-21634-076"/>
    <x v="263"/>
    <s v="27723-45097-MH"/>
    <x v="44"/>
    <n v="4"/>
    <x v="288"/>
    <s v="dbury7o@tinyurl.com"/>
    <x v="1"/>
    <s v="Rob"/>
    <s v="L"/>
    <x v="2"/>
    <n v="27.484999999999996"/>
    <n v="109.93999999999998"/>
    <x v="0"/>
    <x v="1"/>
    <x v="0"/>
    <n v="1"/>
    <n v="109.93999999999998"/>
    <x v="0"/>
    <x v="0"/>
    <x v="3"/>
    <s v="High Price"/>
    <s v="Low Volume"/>
    <x v="0"/>
    <s v="June"/>
    <x v="0"/>
    <x v="11"/>
    <x v="0"/>
  </r>
  <r>
    <s v="HVW-25584-144"/>
    <x v="264"/>
    <s v="93405-51204-UW"/>
    <x v="10"/>
    <n v="5"/>
    <x v="289"/>
    <s v="lmallan6t@state.gov"/>
    <x v="0"/>
    <s v="Lib"/>
    <s v="L"/>
    <x v="3"/>
    <n v="4.7549999999999999"/>
    <n v="23.774999999999999"/>
    <x v="1"/>
    <x v="1"/>
    <x v="0"/>
    <n v="1"/>
    <n v="23.774999999999999"/>
    <x v="0"/>
    <x v="0"/>
    <x v="0"/>
    <s v="Low Price"/>
    <s v="High Volume"/>
    <x v="2"/>
    <s v="April"/>
    <x v="0"/>
    <x v="1"/>
    <x v="3"/>
  </r>
  <r>
    <s v="HXA-72415-025"/>
    <x v="265"/>
    <s v="93417-12322-YB"/>
    <x v="22"/>
    <n v="2"/>
    <x v="290"/>
    <s v="dgadsdenib@google.com.hk"/>
    <x v="1"/>
    <s v="Ara"/>
    <s v="D"/>
    <x v="2"/>
    <n v="22.884999999999998"/>
    <n v="45.769999999999996"/>
    <x v="2"/>
    <x v="0"/>
    <x v="0"/>
    <n v="1"/>
    <n v="45.769999999999996"/>
    <x v="0"/>
    <x v="0"/>
    <x v="0"/>
    <s v="High Price"/>
    <s v="Low Volume"/>
    <x v="0"/>
    <s v="May"/>
    <x v="0"/>
    <x v="7"/>
    <x v="3"/>
  </r>
  <r>
    <s v="HXL-22497-359"/>
    <x v="258"/>
    <s v="64875-71224-UI"/>
    <x v="7"/>
    <n v="3"/>
    <x v="291"/>
    <s v="mhowsden5f@infoseek.co.jp"/>
    <x v="0"/>
    <s v="Ara"/>
    <s v="L"/>
    <x v="0"/>
    <n v="12.95"/>
    <n v="38.849999999999994"/>
    <x v="2"/>
    <x v="1"/>
    <x v="1"/>
    <n v="1"/>
    <n v="38.849999999999994"/>
    <x v="0"/>
    <x v="0"/>
    <x v="0"/>
    <s v="High Price"/>
    <s v="Low Volume"/>
    <x v="0"/>
    <s v="August"/>
    <x v="3"/>
    <x v="6"/>
    <x v="0"/>
  </r>
  <r>
    <s v="HYF-10254-369"/>
    <x v="266"/>
    <s v="30373-66619-CB"/>
    <x v="30"/>
    <n v="1"/>
    <x v="292"/>
    <s v="zsherewood2c@apache.org"/>
    <x v="0"/>
    <s v="Lib"/>
    <s v="L"/>
    <x v="1"/>
    <n v="9.51"/>
    <n v="9.51"/>
    <x v="1"/>
    <x v="1"/>
    <x v="1"/>
    <n v="1"/>
    <n v="9.51"/>
    <x v="0"/>
    <x v="0"/>
    <x v="0"/>
    <s v="Low Price"/>
    <s v="Low Volume"/>
    <x v="3"/>
    <s v="November"/>
    <x v="1"/>
    <x v="1"/>
    <x v="1"/>
  </r>
  <r>
    <s v="HYR-03455-684"/>
    <x v="267"/>
    <s v="29808-89098-XD"/>
    <x v="29"/>
    <n v="2"/>
    <x v="293"/>
    <s v="isjostromig@pbs.org"/>
    <x v="0"/>
    <s v="Lib"/>
    <s v="D"/>
    <x v="3"/>
    <n v="3.8849999999999998"/>
    <n v="7.77"/>
    <x v="1"/>
    <x v="0"/>
    <x v="1"/>
    <n v="2"/>
    <n v="40.335000000000001"/>
    <x v="1"/>
    <x v="1"/>
    <x v="0"/>
    <s v="Low Price"/>
    <s v="Low Volume"/>
    <x v="3"/>
    <s v="December"/>
    <x v="1"/>
    <x v="9"/>
    <x v="2"/>
  </r>
  <r>
    <s v="HYR-03455-684"/>
    <x v="267"/>
    <s v="29808-89098-XD"/>
    <x v="12"/>
    <n v="6"/>
    <x v="293"/>
    <s v="isjostromig@pbs.org"/>
    <x v="0"/>
    <s v="Exc"/>
    <s v="D"/>
    <x v="0"/>
    <n v="12.15"/>
    <n v="72.900000000000006"/>
    <x v="3"/>
    <x v="0"/>
    <x v="1"/>
    <n v="2"/>
    <n v="40.335000000000001"/>
    <x v="1"/>
    <x v="1"/>
    <x v="1"/>
    <s v="High Price"/>
    <s v="High Volume"/>
    <x v="1"/>
    <s v="December"/>
    <x v="1"/>
    <x v="8"/>
    <x v="2"/>
  </r>
  <r>
    <s v="IBW-87442-480"/>
    <x v="268"/>
    <s v="79814-23626-JR"/>
    <x v="17"/>
    <n v="1"/>
    <x v="294"/>
    <s v="tle91@epa.gov"/>
    <x v="0"/>
    <s v="Ara"/>
    <s v="L"/>
    <x v="2"/>
    <n v="29.784999999999997"/>
    <n v="29.784999999999997"/>
    <x v="2"/>
    <x v="1"/>
    <x v="0"/>
    <n v="1"/>
    <n v="29.784999999999997"/>
    <x v="0"/>
    <x v="0"/>
    <x v="0"/>
    <s v="Low Price"/>
    <s v="Low Volume"/>
    <x v="3"/>
    <s v="July"/>
    <x v="3"/>
    <x v="6"/>
    <x v="0"/>
  </r>
  <r>
    <s v="ICC-73030-502"/>
    <x v="269"/>
    <s v="59480-02795-IU"/>
    <x v="7"/>
    <n v="3"/>
    <x v="295"/>
    <s v="raynoldfj@ustream.tv"/>
    <x v="0"/>
    <s v="Ara"/>
    <s v="L"/>
    <x v="0"/>
    <n v="12.95"/>
    <n v="38.849999999999994"/>
    <x v="2"/>
    <x v="1"/>
    <x v="0"/>
    <n v="1"/>
    <n v="38.849999999999994"/>
    <x v="0"/>
    <x v="0"/>
    <x v="0"/>
    <s v="High Price"/>
    <s v="Low Volume"/>
    <x v="0"/>
    <s v="April"/>
    <x v="0"/>
    <x v="6"/>
    <x v="3"/>
  </r>
  <r>
    <s v="ICF-17486-106"/>
    <x v="100"/>
    <s v="19196-09748-DB"/>
    <x v="33"/>
    <n v="1"/>
    <x v="296"/>
    <s v="wspringallbh@jugem.jp"/>
    <x v="0"/>
    <s v="Lib"/>
    <s v="L"/>
    <x v="2"/>
    <n v="36.454999999999998"/>
    <n v="36.454999999999998"/>
    <x v="1"/>
    <x v="1"/>
    <x v="0"/>
    <n v="1"/>
    <n v="36.454999999999998"/>
    <x v="0"/>
    <x v="0"/>
    <x v="0"/>
    <s v="High Price"/>
    <s v="Low Volume"/>
    <x v="0"/>
    <s v="January"/>
    <x v="2"/>
    <x v="1"/>
    <x v="2"/>
  </r>
  <r>
    <s v="IDJ-55379-750"/>
    <x v="270"/>
    <s v="24040-20817-QB"/>
    <x v="38"/>
    <n v="4"/>
    <x v="297"/>
    <s v="acleyburngy@lycos.com"/>
    <x v="0"/>
    <s v="Rob"/>
    <s v="M"/>
    <x v="0"/>
    <n v="9.9499999999999993"/>
    <n v="39.799999999999997"/>
    <x v="0"/>
    <x v="2"/>
    <x v="1"/>
    <n v="1"/>
    <n v="39.799999999999997"/>
    <x v="0"/>
    <x v="0"/>
    <x v="0"/>
    <s v="High Price"/>
    <s v="Low Volume"/>
    <x v="0"/>
    <s v="October"/>
    <x v="1"/>
    <x v="5"/>
    <x v="1"/>
  </r>
  <r>
    <s v="IDQ-20193-502"/>
    <x v="271"/>
    <s v="36021-61205-DF"/>
    <x v="5"/>
    <n v="2"/>
    <x v="298"/>
    <s v="rpithcockb5@yellowbook.com"/>
    <x v="0"/>
    <s v="Lib"/>
    <s v="M"/>
    <x v="3"/>
    <n v="4.3650000000000002"/>
    <n v="8.73"/>
    <x v="1"/>
    <x v="2"/>
    <x v="0"/>
    <n v="1"/>
    <n v="8.73"/>
    <x v="0"/>
    <x v="0"/>
    <x v="0"/>
    <s v="Low Price"/>
    <s v="Low Volume"/>
    <x v="3"/>
    <s v="May"/>
    <x v="0"/>
    <x v="4"/>
    <x v="3"/>
  </r>
  <r>
    <s v="IDU-25793-399"/>
    <x v="272"/>
    <s v="76664-37050-DT"/>
    <x v="40"/>
    <n v="4"/>
    <x v="299"/>
    <s v="acorradinoj@harvard.edu"/>
    <x v="0"/>
    <s v="Exc"/>
    <s v="D"/>
    <x v="3"/>
    <n v="3.645"/>
    <n v="14.58"/>
    <x v="3"/>
    <x v="0"/>
    <x v="0"/>
    <n v="2"/>
    <n v="15.727499999999999"/>
    <x v="1"/>
    <x v="1"/>
    <x v="0"/>
    <s v="Low Price"/>
    <s v="Low Volume"/>
    <x v="3"/>
    <s v="December"/>
    <x v="1"/>
    <x v="8"/>
    <x v="2"/>
  </r>
  <r>
    <s v="IDU-25793-399"/>
    <x v="272"/>
    <s v="76664-37050-DT"/>
    <x v="46"/>
    <n v="5"/>
    <x v="299"/>
    <s v="acorradinoj@harvard.edu"/>
    <x v="0"/>
    <s v="Ara"/>
    <s v="M"/>
    <x v="3"/>
    <n v="3.375"/>
    <n v="16.875"/>
    <x v="2"/>
    <x v="2"/>
    <x v="0"/>
    <n v="2"/>
    <n v="15.727499999999999"/>
    <x v="1"/>
    <x v="1"/>
    <x v="0"/>
    <s v="Low Price"/>
    <s v="High Volume"/>
    <x v="2"/>
    <s v="December"/>
    <x v="1"/>
    <x v="2"/>
    <x v="2"/>
  </r>
  <r>
    <s v="IGK-51227-573"/>
    <x v="273"/>
    <s v="46959-60474-LT"/>
    <x v="14"/>
    <n v="2"/>
    <x v="300"/>
    <s v="bgiannazzidm@apple.com"/>
    <x v="0"/>
    <s v="Lib"/>
    <s v="D"/>
    <x v="1"/>
    <n v="7.77"/>
    <n v="15.54"/>
    <x v="1"/>
    <x v="0"/>
    <x v="1"/>
    <n v="1"/>
    <n v="15.54"/>
    <x v="0"/>
    <x v="0"/>
    <x v="0"/>
    <s v="Low Price"/>
    <s v="Low Volume"/>
    <x v="3"/>
    <s v="October"/>
    <x v="1"/>
    <x v="9"/>
    <x v="1"/>
  </r>
  <r>
    <s v="IGM-84664-265"/>
    <x v="274"/>
    <s v="80179-44620-WN"/>
    <x v="26"/>
    <n v="3"/>
    <x v="301"/>
    <s v="cblowfelde73@ustream.tv"/>
    <x v="0"/>
    <s v="Rob"/>
    <s v="L"/>
    <x v="1"/>
    <n v="7.169999999999999"/>
    <n v="21.509999999999998"/>
    <x v="0"/>
    <x v="1"/>
    <x v="1"/>
    <n v="1"/>
    <n v="21.509999999999998"/>
    <x v="0"/>
    <x v="0"/>
    <x v="0"/>
    <s v="Low Price"/>
    <s v="Low Volume"/>
    <x v="3"/>
    <s v="August"/>
    <x v="3"/>
    <x v="11"/>
    <x v="0"/>
  </r>
  <r>
    <s v="IGW-04801-466"/>
    <x v="275"/>
    <s v="29051-27555-GD"/>
    <x v="29"/>
    <n v="1"/>
    <x v="302"/>
    <s v="jcapeyhr@bravesites.com"/>
    <x v="0"/>
    <s v="Lib"/>
    <s v="D"/>
    <x v="3"/>
    <n v="3.8849999999999998"/>
    <n v="3.8849999999999998"/>
    <x v="1"/>
    <x v="0"/>
    <x v="0"/>
    <n v="1"/>
    <n v="3.8849999999999998"/>
    <x v="0"/>
    <x v="0"/>
    <x v="0"/>
    <s v="Low Price"/>
    <s v="Low Volume"/>
    <x v="3"/>
    <s v="May"/>
    <x v="0"/>
    <x v="9"/>
    <x v="3"/>
  </r>
  <r>
    <s v="IHN-19982-362"/>
    <x v="276"/>
    <s v="68894-91205-MP"/>
    <x v="31"/>
    <n v="3"/>
    <x v="303"/>
    <s v="egrise2g@cargocollective.com"/>
    <x v="0"/>
    <s v="Rob"/>
    <s v="L"/>
    <x v="0"/>
    <n v="11.95"/>
    <n v="35.849999999999994"/>
    <x v="0"/>
    <x v="1"/>
    <x v="1"/>
    <n v="1"/>
    <n v="35.849999999999994"/>
    <x v="0"/>
    <x v="0"/>
    <x v="0"/>
    <s v="High Price"/>
    <s v="Low Volume"/>
    <x v="0"/>
    <s v="March"/>
    <x v="2"/>
    <x v="11"/>
    <x v="3"/>
  </r>
  <r>
    <s v="IHS-71573-008"/>
    <x v="277"/>
    <s v="07972-83134-NM"/>
    <x v="40"/>
    <n v="6"/>
    <x v="304"/>
    <s v="snortheast7f@mashable.com"/>
    <x v="0"/>
    <s v="Exc"/>
    <s v="D"/>
    <x v="3"/>
    <n v="3.645"/>
    <n v="21.87"/>
    <x v="3"/>
    <x v="0"/>
    <x v="0"/>
    <n v="1"/>
    <n v="21.87"/>
    <x v="0"/>
    <x v="0"/>
    <x v="0"/>
    <s v="Low Price"/>
    <s v="High Volume"/>
    <x v="2"/>
    <s v="May"/>
    <x v="0"/>
    <x v="8"/>
    <x v="3"/>
  </r>
  <r>
    <s v="IIZ-24416-212"/>
    <x v="278"/>
    <s v="76060-30540-LB"/>
    <x v="47"/>
    <n v="6"/>
    <x v="305"/>
    <s v="bcargenow@geocities.jp"/>
    <x v="0"/>
    <s v="Rob"/>
    <s v="D"/>
    <x v="1"/>
    <n v="5.3699999999999992"/>
    <n v="32.22"/>
    <x v="0"/>
    <x v="0"/>
    <x v="0"/>
    <n v="1"/>
    <n v="32.22"/>
    <x v="0"/>
    <x v="0"/>
    <x v="0"/>
    <s v="High Price"/>
    <s v="High Volume"/>
    <x v="1"/>
    <s v="May"/>
    <x v="0"/>
    <x v="0"/>
    <x v="3"/>
  </r>
  <r>
    <s v="IJK-34441-720"/>
    <x v="279"/>
    <s v="97201-58870-WB"/>
    <x v="2"/>
    <n v="6"/>
    <x v="306"/>
    <s v=""/>
    <x v="0"/>
    <s v="Ara"/>
    <s v="M"/>
    <x v="1"/>
    <n v="6.75"/>
    <n v="40.5"/>
    <x v="2"/>
    <x v="2"/>
    <x v="0"/>
    <n v="1"/>
    <n v="40.5"/>
    <x v="0"/>
    <x v="0"/>
    <x v="0"/>
    <s v="High Price"/>
    <s v="High Volume"/>
    <x v="1"/>
    <s v="April"/>
    <x v="0"/>
    <x v="2"/>
    <x v="3"/>
  </r>
  <r>
    <s v="IKK-62234-199"/>
    <x v="280"/>
    <s v="91190-84826-IQ"/>
    <x v="30"/>
    <n v="6"/>
    <x v="307"/>
    <s v="rschankelborgot@ameblo.jp"/>
    <x v="0"/>
    <s v="Lib"/>
    <s v="L"/>
    <x v="1"/>
    <n v="9.51"/>
    <n v="57.06"/>
    <x v="1"/>
    <x v="1"/>
    <x v="0"/>
    <n v="1"/>
    <n v="57.06"/>
    <x v="0"/>
    <x v="0"/>
    <x v="1"/>
    <s v="High Price"/>
    <s v="High Volume"/>
    <x v="1"/>
    <s v="March"/>
    <x v="2"/>
    <x v="1"/>
    <x v="3"/>
  </r>
  <r>
    <s v="IKL-95976-565"/>
    <x v="281"/>
    <s v="53486-73919-BQ"/>
    <x v="35"/>
    <n v="2"/>
    <x v="308"/>
    <s v=""/>
    <x v="0"/>
    <s v="Ara"/>
    <s v="M"/>
    <x v="0"/>
    <n v="11.25"/>
    <n v="22.5"/>
    <x v="2"/>
    <x v="2"/>
    <x v="1"/>
    <n v="1"/>
    <n v="22.5"/>
    <x v="0"/>
    <x v="0"/>
    <x v="0"/>
    <s v="Low Price"/>
    <s v="Low Volume"/>
    <x v="3"/>
    <s v="December"/>
    <x v="1"/>
    <x v="2"/>
    <x v="2"/>
  </r>
  <r>
    <s v="IKQ-39946-768"/>
    <x v="192"/>
    <s v="72778-50968-UQ"/>
    <x v="38"/>
    <n v="6"/>
    <x v="309"/>
    <s v="ijespern4@theglobeandmail.com"/>
    <x v="0"/>
    <s v="Rob"/>
    <s v="M"/>
    <x v="0"/>
    <n v="9.9499999999999993"/>
    <n v="59.699999999999996"/>
    <x v="0"/>
    <x v="2"/>
    <x v="1"/>
    <n v="1"/>
    <n v="59.699999999999996"/>
    <x v="0"/>
    <x v="0"/>
    <x v="1"/>
    <s v="High Price"/>
    <s v="High Volume"/>
    <x v="1"/>
    <s v="March"/>
    <x v="2"/>
    <x v="5"/>
    <x v="3"/>
  </r>
  <r>
    <s v="ILQ-11027-588"/>
    <x v="282"/>
    <s v="76293-30918-DQ"/>
    <x v="12"/>
    <n v="6"/>
    <x v="310"/>
    <s v="ppetrushanko5c@blinklist.com"/>
    <x v="1"/>
    <s v="Exc"/>
    <s v="D"/>
    <x v="0"/>
    <n v="12.15"/>
    <n v="72.900000000000006"/>
    <x v="3"/>
    <x v="0"/>
    <x v="0"/>
    <n v="1"/>
    <n v="72.900000000000006"/>
    <x v="0"/>
    <x v="0"/>
    <x v="1"/>
    <s v="High Price"/>
    <s v="High Volume"/>
    <x v="1"/>
    <s v="March"/>
    <x v="2"/>
    <x v="8"/>
    <x v="3"/>
  </r>
  <r>
    <s v="IMP-12563-728"/>
    <x v="283"/>
    <s v="68346-14810-UA"/>
    <x v="20"/>
    <n v="6"/>
    <x v="311"/>
    <s v=""/>
    <x v="0"/>
    <s v="Exc"/>
    <s v="L"/>
    <x v="1"/>
    <n v="8.91"/>
    <n v="53.46"/>
    <x v="3"/>
    <x v="1"/>
    <x v="1"/>
    <n v="1"/>
    <n v="53.46"/>
    <x v="0"/>
    <x v="0"/>
    <x v="1"/>
    <s v="High Price"/>
    <s v="High Volume"/>
    <x v="1"/>
    <s v="January"/>
    <x v="2"/>
    <x v="10"/>
    <x v="2"/>
  </r>
  <r>
    <s v="IOB-32673-745"/>
    <x v="284"/>
    <s v="07095-81281-NJ"/>
    <x v="16"/>
    <n v="3"/>
    <x v="312"/>
    <s v="rworg9m@arstechnica.com"/>
    <x v="0"/>
    <s v="Ara"/>
    <s v="L"/>
    <x v="1"/>
    <n v="7.77"/>
    <n v="23.31"/>
    <x v="2"/>
    <x v="1"/>
    <x v="0"/>
    <n v="1"/>
    <n v="23.31"/>
    <x v="0"/>
    <x v="0"/>
    <x v="0"/>
    <s v="Low Price"/>
    <s v="Low Volume"/>
    <x v="3"/>
    <s v="May"/>
    <x v="0"/>
    <x v="6"/>
    <x v="3"/>
  </r>
  <r>
    <s v="IOM-51636-823"/>
    <x v="285"/>
    <s v="04609-95151-XH"/>
    <x v="8"/>
    <n v="3"/>
    <x v="313"/>
    <s v=""/>
    <x v="0"/>
    <s v="Ara"/>
    <s v="D"/>
    <x v="0"/>
    <n v="9.9499999999999993"/>
    <n v="29.849999999999998"/>
    <x v="2"/>
    <x v="0"/>
    <x v="1"/>
    <n v="1"/>
    <n v="29.849999999999998"/>
    <x v="0"/>
    <x v="0"/>
    <x v="0"/>
    <s v="High Price"/>
    <s v="Low Volume"/>
    <x v="0"/>
    <s v="August"/>
    <x v="3"/>
    <x v="7"/>
    <x v="0"/>
  </r>
  <r>
    <s v="IOQ-84840-827"/>
    <x v="227"/>
    <s v="32038-81174-JF"/>
    <x v="35"/>
    <n v="6"/>
    <x v="314"/>
    <s v="cvenourfx@ask.com"/>
    <x v="0"/>
    <s v="Ara"/>
    <s v="M"/>
    <x v="0"/>
    <n v="11.25"/>
    <n v="67.5"/>
    <x v="2"/>
    <x v="2"/>
    <x v="1"/>
    <n v="1"/>
    <n v="67.5"/>
    <x v="0"/>
    <x v="0"/>
    <x v="1"/>
    <s v="High Price"/>
    <s v="High Volume"/>
    <x v="1"/>
    <s v="November"/>
    <x v="1"/>
    <x v="2"/>
    <x v="1"/>
  </r>
  <r>
    <s v="IPA-94170-889"/>
    <x v="286"/>
    <s v="64439-27325-LG"/>
    <x v="25"/>
    <n v="3"/>
    <x v="315"/>
    <s v="ckide6@narod.ru"/>
    <x v="1"/>
    <s v="Rob"/>
    <s v="L"/>
    <x v="3"/>
    <n v="3.5849999999999995"/>
    <n v="10.754999999999999"/>
    <x v="0"/>
    <x v="1"/>
    <x v="0"/>
    <n v="1"/>
    <n v="10.754999999999999"/>
    <x v="0"/>
    <x v="0"/>
    <x v="0"/>
    <s v="Low Price"/>
    <s v="Low Volume"/>
    <x v="3"/>
    <s v="December"/>
    <x v="1"/>
    <x v="11"/>
    <x v="2"/>
  </r>
  <r>
    <s v="IPP-31994-879"/>
    <x v="287"/>
    <s v="65223-29612-CB"/>
    <x v="36"/>
    <n v="3"/>
    <x v="316"/>
    <s v="slobe6@nifty.com"/>
    <x v="0"/>
    <s v="Exc"/>
    <s v="D"/>
    <x v="1"/>
    <n v="7.29"/>
    <n v="21.87"/>
    <x v="3"/>
    <x v="0"/>
    <x v="0"/>
    <n v="1"/>
    <n v="21.87"/>
    <x v="0"/>
    <x v="0"/>
    <x v="0"/>
    <s v="Low Price"/>
    <s v="Low Volume"/>
    <x v="3"/>
    <s v="January"/>
    <x v="2"/>
    <x v="8"/>
    <x v="2"/>
  </r>
  <r>
    <s v="IRJ-67095-738"/>
    <x v="88"/>
    <s v="86447-02699-UT"/>
    <x v="4"/>
    <n v="2"/>
    <x v="317"/>
    <s v="mchamberlayne4r@bigcartel.com"/>
    <x v="0"/>
    <s v="Exc"/>
    <s v="M"/>
    <x v="2"/>
    <n v="31.624999999999996"/>
    <n v="63.249999999999993"/>
    <x v="3"/>
    <x v="2"/>
    <x v="0"/>
    <n v="1"/>
    <n v="63.249999999999993"/>
    <x v="0"/>
    <x v="0"/>
    <x v="1"/>
    <s v="High Price"/>
    <s v="Low Volume"/>
    <x v="0"/>
    <s v="March"/>
    <x v="2"/>
    <x v="3"/>
    <x v="3"/>
  </r>
  <r>
    <s v="IRV-20769-219"/>
    <x v="288"/>
    <s v="77131-58092-GE"/>
    <x v="42"/>
    <n v="3"/>
    <x v="318"/>
    <s v=""/>
    <x v="2"/>
    <s v="Exc"/>
    <s v="M"/>
    <x v="3"/>
    <n v="4.125"/>
    <n v="12.375"/>
    <x v="3"/>
    <x v="2"/>
    <x v="0"/>
    <n v="1"/>
    <n v="12.375"/>
    <x v="0"/>
    <x v="0"/>
    <x v="0"/>
    <s v="Low Price"/>
    <s v="Low Volume"/>
    <x v="3"/>
    <s v="October"/>
    <x v="1"/>
    <x v="3"/>
    <x v="1"/>
  </r>
  <r>
    <s v="IRX-59256-644"/>
    <x v="289"/>
    <s v="96446-62142-EN"/>
    <x v="43"/>
    <n v="3"/>
    <x v="319"/>
    <s v="ckingwellr3@squarespace.com"/>
    <x v="1"/>
    <s v="Ara"/>
    <s v="D"/>
    <x v="3"/>
    <n v="2.9849999999999999"/>
    <n v="8.9550000000000001"/>
    <x v="2"/>
    <x v="0"/>
    <x v="0"/>
    <n v="1"/>
    <n v="8.9550000000000001"/>
    <x v="0"/>
    <x v="0"/>
    <x v="0"/>
    <s v="Low Price"/>
    <s v="Low Volume"/>
    <x v="3"/>
    <s v="December"/>
    <x v="1"/>
    <x v="7"/>
    <x v="2"/>
  </r>
  <r>
    <s v="ISJ-48676-420"/>
    <x v="290"/>
    <s v="93046-67561-AY"/>
    <x v="30"/>
    <n v="6"/>
    <x v="320"/>
    <s v="kcakedg@huffingtonpost.com"/>
    <x v="0"/>
    <s v="Lib"/>
    <s v="L"/>
    <x v="1"/>
    <n v="9.51"/>
    <n v="57.06"/>
    <x v="1"/>
    <x v="1"/>
    <x v="1"/>
    <n v="1"/>
    <n v="57.06"/>
    <x v="0"/>
    <x v="0"/>
    <x v="1"/>
    <s v="High Price"/>
    <s v="High Volume"/>
    <x v="1"/>
    <s v="October"/>
    <x v="1"/>
    <x v="1"/>
    <x v="1"/>
  </r>
  <r>
    <s v="ISK-42066-094"/>
    <x v="291"/>
    <s v="41505-42181-EF"/>
    <x v="12"/>
    <n v="3"/>
    <x v="321"/>
    <s v="srushbrooke6q@youku.com"/>
    <x v="0"/>
    <s v="Exc"/>
    <s v="D"/>
    <x v="0"/>
    <n v="12.15"/>
    <n v="36.450000000000003"/>
    <x v="3"/>
    <x v="0"/>
    <x v="0"/>
    <n v="1"/>
    <n v="36.450000000000003"/>
    <x v="0"/>
    <x v="0"/>
    <x v="0"/>
    <s v="High Price"/>
    <s v="Low Volume"/>
    <x v="0"/>
    <s v="March"/>
    <x v="2"/>
    <x v="8"/>
    <x v="3"/>
  </r>
  <r>
    <s v="ISL-11200-600"/>
    <x v="292"/>
    <s v="13654-85265-IL"/>
    <x v="43"/>
    <n v="6"/>
    <x v="322"/>
    <s v=""/>
    <x v="1"/>
    <s v="Ara"/>
    <s v="D"/>
    <x v="3"/>
    <n v="2.9849999999999999"/>
    <n v="17.91"/>
    <x v="2"/>
    <x v="0"/>
    <x v="0"/>
    <n v="1"/>
    <n v="17.91"/>
    <x v="0"/>
    <x v="0"/>
    <x v="0"/>
    <s v="Low Price"/>
    <s v="High Volume"/>
    <x v="2"/>
    <s v="July"/>
    <x v="3"/>
    <x v="7"/>
    <x v="0"/>
  </r>
  <r>
    <s v="ITA-87418-783"/>
    <x v="293"/>
    <s v="39396-12890-PE"/>
    <x v="13"/>
    <n v="2"/>
    <x v="323"/>
    <s v="tvanyutind@wix.com"/>
    <x v="0"/>
    <s v="Rob"/>
    <s v="D"/>
    <x v="2"/>
    <n v="20.584999999999997"/>
    <n v="41.169999999999995"/>
    <x v="0"/>
    <x v="0"/>
    <x v="1"/>
    <n v="1"/>
    <n v="41.169999999999995"/>
    <x v="0"/>
    <x v="0"/>
    <x v="0"/>
    <s v="High Price"/>
    <s v="Low Volume"/>
    <x v="0"/>
    <s v="May"/>
    <x v="0"/>
    <x v="0"/>
    <x v="3"/>
  </r>
  <r>
    <s v="ITE-28312-615"/>
    <x v="294"/>
    <s v="56450-21890-HK"/>
    <x v="45"/>
    <n v="6"/>
    <x v="324"/>
    <s v="ckendrickl5@webnode.com"/>
    <x v="0"/>
    <s v="Exc"/>
    <s v="L"/>
    <x v="0"/>
    <n v="14.85"/>
    <n v="89.1"/>
    <x v="3"/>
    <x v="1"/>
    <x v="0"/>
    <n v="1"/>
    <n v="89.1"/>
    <x v="0"/>
    <x v="0"/>
    <x v="1"/>
    <s v="High Price"/>
    <s v="High Volume"/>
    <x v="1"/>
    <s v="September"/>
    <x v="3"/>
    <x v="10"/>
    <x v="1"/>
  </r>
  <r>
    <s v="ITR-54735-364"/>
    <x v="295"/>
    <s v="92599-58687-CS"/>
    <x v="15"/>
    <n v="5"/>
    <x v="325"/>
    <s v=""/>
    <x v="0"/>
    <s v="Rob"/>
    <s v="D"/>
    <x v="3"/>
    <n v="2.6849999999999996"/>
    <n v="13.424999999999997"/>
    <x v="0"/>
    <x v="0"/>
    <x v="0"/>
    <n v="1"/>
    <n v="13.424999999999997"/>
    <x v="0"/>
    <x v="0"/>
    <x v="0"/>
    <s v="Low Price"/>
    <s v="High Volume"/>
    <x v="2"/>
    <s v="July"/>
    <x v="3"/>
    <x v="0"/>
    <x v="0"/>
  </r>
  <r>
    <s v="ITY-92466-909"/>
    <x v="296"/>
    <s v="34927-68586-ZV"/>
    <x v="3"/>
    <n v="3"/>
    <x v="326"/>
    <s v=""/>
    <x v="1"/>
    <s v="Ara"/>
    <s v="M"/>
    <x v="2"/>
    <n v="25.874999999999996"/>
    <n v="77.624999999999986"/>
    <x v="2"/>
    <x v="2"/>
    <x v="0"/>
    <n v="1"/>
    <n v="77.624999999999986"/>
    <x v="0"/>
    <x v="0"/>
    <x v="1"/>
    <s v="High Price"/>
    <s v="Low Volume"/>
    <x v="0"/>
    <s v="August"/>
    <x v="3"/>
    <x v="2"/>
    <x v="0"/>
  </r>
  <r>
    <s v="ITZ-21793-986"/>
    <x v="297"/>
    <s v="67388-17544-XX"/>
    <x v="40"/>
    <n v="4"/>
    <x v="327"/>
    <s v="aplluju@dagondesign.com"/>
    <x v="1"/>
    <s v="Exc"/>
    <s v="D"/>
    <x v="3"/>
    <n v="3.645"/>
    <n v="14.58"/>
    <x v="3"/>
    <x v="0"/>
    <x v="0"/>
    <n v="1"/>
    <n v="14.58"/>
    <x v="0"/>
    <x v="0"/>
    <x v="0"/>
    <s v="Low Price"/>
    <s v="Low Volume"/>
    <x v="3"/>
    <s v="June"/>
    <x v="0"/>
    <x v="8"/>
    <x v="0"/>
  </r>
  <r>
    <s v="IWL-13117-537"/>
    <x v="298"/>
    <s v="29129-60664-KO"/>
    <x v="15"/>
    <n v="3"/>
    <x v="328"/>
    <s v="gruggenm6@nymag.com"/>
    <x v="0"/>
    <s v="Rob"/>
    <s v="D"/>
    <x v="3"/>
    <n v="2.6849999999999996"/>
    <n v="8.0549999999999997"/>
    <x v="0"/>
    <x v="0"/>
    <x v="0"/>
    <n v="1"/>
    <n v="8.0549999999999997"/>
    <x v="0"/>
    <x v="0"/>
    <x v="0"/>
    <s v="Low Price"/>
    <s v="Low Volume"/>
    <x v="3"/>
    <s v="April"/>
    <x v="0"/>
    <x v="0"/>
    <x v="3"/>
  </r>
  <r>
    <s v="IXU-20263-532"/>
    <x v="299"/>
    <s v="68044-89277-ML"/>
    <x v="41"/>
    <n v="2"/>
    <x v="329"/>
    <s v="kwarmancd@printfriendly.com"/>
    <x v="1"/>
    <s v="Lib"/>
    <s v="M"/>
    <x v="2"/>
    <n v="33.464999999999996"/>
    <n v="66.929999999999993"/>
    <x v="1"/>
    <x v="2"/>
    <x v="0"/>
    <n v="1"/>
    <n v="66.929999999999993"/>
    <x v="0"/>
    <x v="0"/>
    <x v="1"/>
    <s v="High Price"/>
    <s v="Low Volume"/>
    <x v="0"/>
    <s v="November"/>
    <x v="1"/>
    <x v="4"/>
    <x v="1"/>
  </r>
  <r>
    <s v="IXU-67272-326"/>
    <x v="300"/>
    <s v="91654-79216-IC"/>
    <x v="20"/>
    <n v="5"/>
    <x v="330"/>
    <s v="aferreal4@wikia.com"/>
    <x v="0"/>
    <s v="Exc"/>
    <s v="L"/>
    <x v="1"/>
    <n v="8.91"/>
    <n v="44.55"/>
    <x v="3"/>
    <x v="1"/>
    <x v="1"/>
    <n v="1"/>
    <n v="44.55"/>
    <x v="0"/>
    <x v="0"/>
    <x v="0"/>
    <s v="High Price"/>
    <s v="High Volume"/>
    <x v="1"/>
    <s v="December"/>
    <x v="1"/>
    <x v="10"/>
    <x v="2"/>
  </r>
  <r>
    <s v="IXW-20780-268"/>
    <x v="97"/>
    <s v="20236-64364-QL"/>
    <x v="33"/>
    <n v="2"/>
    <x v="331"/>
    <s v="scouronneh3@mozilla.org"/>
    <x v="0"/>
    <s v="Lib"/>
    <s v="L"/>
    <x v="2"/>
    <n v="36.454999999999998"/>
    <n v="72.91"/>
    <x v="1"/>
    <x v="1"/>
    <x v="0"/>
    <n v="1"/>
    <n v="72.91"/>
    <x v="0"/>
    <x v="0"/>
    <x v="1"/>
    <s v="High Price"/>
    <s v="Low Volume"/>
    <x v="0"/>
    <s v="June"/>
    <x v="0"/>
    <x v="1"/>
    <x v="0"/>
  </r>
  <r>
    <s v="IYO-10245-081"/>
    <x v="12"/>
    <s v="57145-31023-FK"/>
    <x v="4"/>
    <n v="3"/>
    <x v="332"/>
    <s v=""/>
    <x v="0"/>
    <s v="Exc"/>
    <s v="M"/>
    <x v="2"/>
    <n v="31.624999999999996"/>
    <n v="94.874999999999986"/>
    <x v="3"/>
    <x v="2"/>
    <x v="1"/>
    <n v="1"/>
    <n v="94.874999999999986"/>
    <x v="0"/>
    <x v="0"/>
    <x v="1"/>
    <s v="High Price"/>
    <s v="Low Volume"/>
    <x v="0"/>
    <s v="May"/>
    <x v="0"/>
    <x v="3"/>
    <x v="3"/>
  </r>
  <r>
    <s v="IZA-61469-812"/>
    <x v="134"/>
    <s v="13561-92774-WP"/>
    <x v="28"/>
    <n v="4"/>
    <x v="333"/>
    <s v="kbromehead68@un.org"/>
    <x v="0"/>
    <s v="Lib"/>
    <s v="D"/>
    <x v="2"/>
    <n v="29.784999999999997"/>
    <n v="119.13999999999999"/>
    <x v="1"/>
    <x v="0"/>
    <x v="0"/>
    <n v="1"/>
    <n v="119.13999999999999"/>
    <x v="0"/>
    <x v="0"/>
    <x v="3"/>
    <s v="High Price"/>
    <s v="Low Volume"/>
    <x v="0"/>
    <s v="January"/>
    <x v="2"/>
    <x v="9"/>
    <x v="2"/>
  </r>
  <r>
    <s v="IZU-90429-382"/>
    <x v="301"/>
    <s v="33011-52383-BA"/>
    <x v="7"/>
    <n v="3"/>
    <x v="334"/>
    <s v="ade8c@1und1.de"/>
    <x v="0"/>
    <s v="Ara"/>
    <s v="L"/>
    <x v="0"/>
    <n v="12.95"/>
    <n v="38.849999999999994"/>
    <x v="2"/>
    <x v="1"/>
    <x v="0"/>
    <n v="1"/>
    <n v="38.849999999999994"/>
    <x v="0"/>
    <x v="0"/>
    <x v="0"/>
    <s v="High Price"/>
    <s v="Low Volume"/>
    <x v="0"/>
    <s v="March"/>
    <x v="2"/>
    <x v="6"/>
    <x v="3"/>
  </r>
  <r>
    <s v="JAF-18294-750"/>
    <x v="294"/>
    <s v="73564-98204-EY"/>
    <x v="13"/>
    <n v="6"/>
    <x v="335"/>
    <s v=""/>
    <x v="0"/>
    <s v="Rob"/>
    <s v="D"/>
    <x v="2"/>
    <n v="20.584999999999997"/>
    <n v="123.50999999999999"/>
    <x v="0"/>
    <x v="0"/>
    <x v="0"/>
    <n v="1"/>
    <n v="123.50999999999999"/>
    <x v="0"/>
    <x v="0"/>
    <x v="3"/>
    <s v="High Price"/>
    <s v="High Volume"/>
    <x v="1"/>
    <s v="September"/>
    <x v="3"/>
    <x v="0"/>
    <x v="1"/>
  </r>
  <r>
    <s v="JBE-92943-643"/>
    <x v="302"/>
    <s v="84466-22864-CE"/>
    <x v="32"/>
    <n v="5"/>
    <x v="336"/>
    <s v="kimortsee@alexa.com"/>
    <x v="0"/>
    <s v="Exc"/>
    <s v="D"/>
    <x v="2"/>
    <n v="27.945"/>
    <n v="139.72499999999999"/>
    <x v="3"/>
    <x v="0"/>
    <x v="1"/>
    <n v="1"/>
    <n v="139.72499999999999"/>
    <x v="0"/>
    <x v="0"/>
    <x v="3"/>
    <s v="High Price"/>
    <s v="High Volume"/>
    <x v="1"/>
    <s v="December"/>
    <x v="1"/>
    <x v="8"/>
    <x v="2"/>
  </r>
  <r>
    <s v="JBP-78754-392"/>
    <x v="264"/>
    <s v="74330-29286-RO"/>
    <x v="4"/>
    <n v="6"/>
    <x v="337"/>
    <s v="crushe8n@about.me"/>
    <x v="0"/>
    <s v="Exc"/>
    <s v="M"/>
    <x v="2"/>
    <n v="31.624999999999996"/>
    <n v="189.74999999999997"/>
    <x v="3"/>
    <x v="2"/>
    <x v="0"/>
    <n v="1"/>
    <n v="189.74999999999997"/>
    <x v="0"/>
    <x v="0"/>
    <x v="2"/>
    <s v="High Price"/>
    <s v="High Volume"/>
    <x v="1"/>
    <s v="April"/>
    <x v="0"/>
    <x v="3"/>
    <x v="3"/>
  </r>
  <r>
    <s v="JBQ-93412-846"/>
    <x v="123"/>
    <s v="69037-66822-DW"/>
    <x v="39"/>
    <n v="4"/>
    <x v="338"/>
    <s v=""/>
    <x v="1"/>
    <s v="Exc"/>
    <s v="L"/>
    <x v="2"/>
    <n v="34.154999999999994"/>
    <n v="136.61999999999998"/>
    <x v="3"/>
    <x v="1"/>
    <x v="0"/>
    <n v="1"/>
    <n v="136.61999999999998"/>
    <x v="0"/>
    <x v="0"/>
    <x v="3"/>
    <s v="High Price"/>
    <s v="Low Volume"/>
    <x v="0"/>
    <s v="April"/>
    <x v="0"/>
    <x v="10"/>
    <x v="3"/>
  </r>
  <r>
    <s v="JBW-95055-851"/>
    <x v="303"/>
    <s v="47355-97488-XS"/>
    <x v="35"/>
    <n v="5"/>
    <x v="339"/>
    <s v="agoldieiw@goo.gl"/>
    <x v="0"/>
    <s v="Ara"/>
    <s v="M"/>
    <x v="0"/>
    <n v="11.25"/>
    <n v="56.25"/>
    <x v="2"/>
    <x v="2"/>
    <x v="1"/>
    <n v="1"/>
    <n v="56.25"/>
    <x v="0"/>
    <x v="0"/>
    <x v="1"/>
    <s v="High Price"/>
    <s v="High Volume"/>
    <x v="1"/>
    <s v="July"/>
    <x v="3"/>
    <x v="2"/>
    <x v="0"/>
  </r>
  <r>
    <s v="JDS-33440-914"/>
    <x v="304"/>
    <s v="58511-10548-ZU"/>
    <x v="38"/>
    <n v="3"/>
    <x v="340"/>
    <s v="anesfield8p@people.com.cn"/>
    <x v="2"/>
    <s v="Rob"/>
    <s v="M"/>
    <x v="0"/>
    <n v="9.9499999999999993"/>
    <n v="29.849999999999998"/>
    <x v="0"/>
    <x v="2"/>
    <x v="0"/>
    <n v="1"/>
    <n v="29.849999999999998"/>
    <x v="0"/>
    <x v="0"/>
    <x v="0"/>
    <s v="High Price"/>
    <s v="Low Volume"/>
    <x v="0"/>
    <s v="October"/>
    <x v="1"/>
    <x v="5"/>
    <x v="1"/>
  </r>
  <r>
    <s v="JEG-93140-224"/>
    <x v="159"/>
    <s v="53751-57560-CN"/>
    <x v="24"/>
    <n v="5"/>
    <x v="341"/>
    <s v=""/>
    <x v="0"/>
    <s v="Exc"/>
    <s v="M"/>
    <x v="1"/>
    <n v="8.25"/>
    <n v="41.25"/>
    <x v="3"/>
    <x v="2"/>
    <x v="0"/>
    <n v="1"/>
    <n v="41.25"/>
    <x v="0"/>
    <x v="0"/>
    <x v="0"/>
    <s v="High Price"/>
    <s v="High Volume"/>
    <x v="1"/>
    <s v="February"/>
    <x v="2"/>
    <x v="3"/>
    <x v="2"/>
  </r>
  <r>
    <s v="JEH-37276-048"/>
    <x v="305"/>
    <s v="80896-38819-DW"/>
    <x v="16"/>
    <n v="3"/>
    <x v="342"/>
    <s v="jrudeforthai@wunderground.com"/>
    <x v="1"/>
    <s v="Ara"/>
    <s v="L"/>
    <x v="1"/>
    <n v="7.77"/>
    <n v="23.31"/>
    <x v="2"/>
    <x v="1"/>
    <x v="0"/>
    <n v="1"/>
    <n v="23.31"/>
    <x v="0"/>
    <x v="0"/>
    <x v="0"/>
    <s v="Low Price"/>
    <s v="Low Volume"/>
    <x v="3"/>
    <s v="June"/>
    <x v="0"/>
    <x v="6"/>
    <x v="0"/>
  </r>
  <r>
    <s v="JGZ-16947-591"/>
    <x v="306"/>
    <s v="14264-41252-SL"/>
    <x v="10"/>
    <n v="6"/>
    <x v="343"/>
    <s v="wpummeryq3@topsy.com"/>
    <x v="0"/>
    <s v="Lib"/>
    <s v="L"/>
    <x v="3"/>
    <n v="4.7549999999999999"/>
    <n v="28.53"/>
    <x v="1"/>
    <x v="1"/>
    <x v="1"/>
    <n v="1"/>
    <n v="28.53"/>
    <x v="0"/>
    <x v="0"/>
    <x v="0"/>
    <s v="Low Price"/>
    <s v="High Volume"/>
    <x v="2"/>
    <s v="February"/>
    <x v="2"/>
    <x v="1"/>
    <x v="2"/>
  </r>
  <r>
    <s v="JHW-74554-805"/>
    <x v="307"/>
    <s v="14103-58987-ZU"/>
    <x v="38"/>
    <n v="6"/>
    <x v="344"/>
    <s v="grizzello1x@symantec.com"/>
    <x v="2"/>
    <s v="Rob"/>
    <s v="M"/>
    <x v="0"/>
    <n v="9.9499999999999993"/>
    <n v="59.699999999999996"/>
    <x v="0"/>
    <x v="2"/>
    <x v="0"/>
    <n v="1"/>
    <n v="59.699999999999996"/>
    <x v="0"/>
    <x v="0"/>
    <x v="1"/>
    <s v="High Price"/>
    <s v="High Volume"/>
    <x v="1"/>
    <s v="November"/>
    <x v="1"/>
    <x v="5"/>
    <x v="1"/>
  </r>
  <r>
    <s v="JIG-27636-870"/>
    <x v="308"/>
    <s v="67204-04870-LG"/>
    <x v="31"/>
    <n v="4"/>
    <x v="345"/>
    <s v=""/>
    <x v="0"/>
    <s v="Rob"/>
    <s v="L"/>
    <x v="0"/>
    <n v="11.95"/>
    <n v="47.8"/>
    <x v="0"/>
    <x v="1"/>
    <x v="1"/>
    <n v="1"/>
    <n v="47.8"/>
    <x v="0"/>
    <x v="0"/>
    <x v="0"/>
    <s v="High Price"/>
    <s v="Low Volume"/>
    <x v="0"/>
    <s v="July"/>
    <x v="3"/>
    <x v="11"/>
    <x v="0"/>
  </r>
  <r>
    <s v="JJX-83339-346"/>
    <x v="165"/>
    <s v="32928-18158-OW"/>
    <x v="25"/>
    <n v="1"/>
    <x v="346"/>
    <s v=""/>
    <x v="0"/>
    <s v="Rob"/>
    <s v="L"/>
    <x v="3"/>
    <n v="3.5849999999999995"/>
    <n v="3.5849999999999995"/>
    <x v="0"/>
    <x v="1"/>
    <x v="0"/>
    <n v="1"/>
    <n v="3.5849999999999995"/>
    <x v="0"/>
    <x v="0"/>
    <x v="0"/>
    <s v="Low Price"/>
    <s v="Low Volume"/>
    <x v="3"/>
    <s v="January"/>
    <x v="2"/>
    <x v="11"/>
    <x v="2"/>
  </r>
  <r>
    <s v="JKA-27899-806"/>
    <x v="309"/>
    <s v="97005-25609-CQ"/>
    <x v="31"/>
    <n v="5"/>
    <x v="347"/>
    <s v="gheindrickin@usda.gov"/>
    <x v="0"/>
    <s v="Rob"/>
    <s v="L"/>
    <x v="0"/>
    <n v="11.95"/>
    <n v="59.75"/>
    <x v="0"/>
    <x v="1"/>
    <x v="1"/>
    <n v="1"/>
    <n v="59.75"/>
    <x v="0"/>
    <x v="0"/>
    <x v="1"/>
    <s v="High Price"/>
    <s v="High Volume"/>
    <x v="1"/>
    <s v="October"/>
    <x v="1"/>
    <x v="11"/>
    <x v="1"/>
  </r>
  <r>
    <s v="JKC-64636-831"/>
    <x v="310"/>
    <s v="52098-80103-FD"/>
    <x v="3"/>
    <n v="2"/>
    <x v="348"/>
    <s v=""/>
    <x v="0"/>
    <s v="Ara"/>
    <s v="M"/>
    <x v="2"/>
    <n v="25.874999999999996"/>
    <n v="51.749999999999993"/>
    <x v="2"/>
    <x v="2"/>
    <x v="0"/>
    <n v="1"/>
    <n v="51.749999999999993"/>
    <x v="0"/>
    <x v="0"/>
    <x v="1"/>
    <s v="High Price"/>
    <s v="Low Volume"/>
    <x v="0"/>
    <s v="July"/>
    <x v="3"/>
    <x v="2"/>
    <x v="0"/>
  </r>
  <r>
    <s v="JLJ-81802-619"/>
    <x v="311"/>
    <s v="16880-78077-FB"/>
    <x v="7"/>
    <n v="6"/>
    <x v="349"/>
    <s v="tfarraac@behance.net"/>
    <x v="0"/>
    <s v="Ara"/>
    <s v="L"/>
    <x v="0"/>
    <n v="12.95"/>
    <n v="77.699999999999989"/>
    <x v="2"/>
    <x v="1"/>
    <x v="1"/>
    <n v="1"/>
    <n v="77.699999999999989"/>
    <x v="0"/>
    <x v="0"/>
    <x v="1"/>
    <s v="High Price"/>
    <s v="High Volume"/>
    <x v="1"/>
    <s v="June"/>
    <x v="0"/>
    <x v="6"/>
    <x v="0"/>
  </r>
  <r>
    <s v="JLN-14700-924"/>
    <x v="312"/>
    <s v="79058-02767-CP"/>
    <x v="10"/>
    <n v="5"/>
    <x v="350"/>
    <s v="cgheraldi6g@opera.com"/>
    <x v="2"/>
    <s v="Lib"/>
    <s v="L"/>
    <x v="3"/>
    <n v="4.7549999999999999"/>
    <n v="23.774999999999999"/>
    <x v="1"/>
    <x v="1"/>
    <x v="1"/>
    <n v="1"/>
    <n v="23.774999999999999"/>
    <x v="0"/>
    <x v="0"/>
    <x v="0"/>
    <s v="Low Price"/>
    <s v="High Volume"/>
    <x v="2"/>
    <s v="June"/>
    <x v="0"/>
    <x v="1"/>
    <x v="0"/>
  </r>
  <r>
    <s v="JMS-48374-462"/>
    <x v="313"/>
    <s v="49667-96708-JL"/>
    <x v="22"/>
    <n v="2"/>
    <x v="351"/>
    <s v=""/>
    <x v="0"/>
    <s v="Ara"/>
    <s v="D"/>
    <x v="2"/>
    <n v="22.884999999999998"/>
    <n v="45.769999999999996"/>
    <x v="2"/>
    <x v="0"/>
    <x v="0"/>
    <n v="1"/>
    <n v="45.769999999999996"/>
    <x v="0"/>
    <x v="0"/>
    <x v="0"/>
    <s v="High Price"/>
    <s v="Low Volume"/>
    <x v="0"/>
    <s v="November"/>
    <x v="1"/>
    <x v="7"/>
    <x v="1"/>
  </r>
  <r>
    <s v="JNA-21450-177"/>
    <x v="193"/>
    <s v="54798-14109-HC"/>
    <x v="8"/>
    <n v="3"/>
    <x v="155"/>
    <s v="oskermen3@hatena.ne.jp"/>
    <x v="0"/>
    <s v="Ara"/>
    <s v="D"/>
    <x v="0"/>
    <n v="9.9499999999999993"/>
    <n v="29.849999999999998"/>
    <x v="2"/>
    <x v="0"/>
    <x v="0"/>
    <n v="1"/>
    <n v="29.849999999999998"/>
    <x v="0"/>
    <x v="0"/>
    <x v="0"/>
    <s v="High Price"/>
    <s v="Low Volume"/>
    <x v="0"/>
    <s v="February"/>
    <x v="2"/>
    <x v="7"/>
    <x v="2"/>
  </r>
  <r>
    <s v="JOM-80930-071"/>
    <x v="314"/>
    <s v="54904-18397-UD"/>
    <x v="19"/>
    <n v="6"/>
    <x v="352"/>
    <s v="rlepere3j@shop-pro.jp"/>
    <x v="1"/>
    <s v="Lib"/>
    <s v="D"/>
    <x v="0"/>
    <n v="12.95"/>
    <n v="77.699999999999989"/>
    <x v="1"/>
    <x v="0"/>
    <x v="1"/>
    <n v="1"/>
    <n v="77.699999999999989"/>
    <x v="0"/>
    <x v="0"/>
    <x v="1"/>
    <s v="High Price"/>
    <s v="High Volume"/>
    <x v="1"/>
    <s v="November"/>
    <x v="1"/>
    <x v="9"/>
    <x v="1"/>
  </r>
  <r>
    <s v="JPB-45297-000"/>
    <x v="315"/>
    <s v="83105-86631-IU"/>
    <x v="25"/>
    <n v="4"/>
    <x v="353"/>
    <s v="ddaveridge9p@arstechnica.com"/>
    <x v="0"/>
    <s v="Rob"/>
    <s v="L"/>
    <x v="3"/>
    <n v="3.5849999999999995"/>
    <n v="14.339999999999998"/>
    <x v="0"/>
    <x v="1"/>
    <x v="1"/>
    <n v="1"/>
    <n v="14.339999999999998"/>
    <x v="0"/>
    <x v="0"/>
    <x v="0"/>
    <s v="Low Price"/>
    <s v="Low Volume"/>
    <x v="3"/>
    <s v="July"/>
    <x v="3"/>
    <x v="11"/>
    <x v="0"/>
  </r>
  <r>
    <s v="JQK-64922-985"/>
    <x v="314"/>
    <s v="23779-10274-KN"/>
    <x v="9"/>
    <n v="3"/>
    <x v="354"/>
    <s v="bleffek48@ning.com"/>
    <x v="0"/>
    <s v="Rob"/>
    <s v="M"/>
    <x v="2"/>
    <n v="22.884999999999998"/>
    <n v="68.655000000000001"/>
    <x v="0"/>
    <x v="2"/>
    <x v="0"/>
    <n v="1"/>
    <n v="68.655000000000001"/>
    <x v="0"/>
    <x v="0"/>
    <x v="1"/>
    <s v="High Price"/>
    <s v="Low Volume"/>
    <x v="0"/>
    <s v="November"/>
    <x v="1"/>
    <x v="5"/>
    <x v="1"/>
  </r>
  <r>
    <s v="JQT-14347-517"/>
    <x v="316"/>
    <s v="11621-09964-ID"/>
    <x v="0"/>
    <n v="1"/>
    <x v="355"/>
    <s v="lnardonil2@hao123.com"/>
    <x v="0"/>
    <s v="Rob"/>
    <s v="D"/>
    <x v="0"/>
    <n v="8.9499999999999993"/>
    <n v="8.9499999999999993"/>
    <x v="0"/>
    <x v="0"/>
    <x v="1"/>
    <n v="1"/>
    <n v="8.9499999999999993"/>
    <x v="0"/>
    <x v="0"/>
    <x v="0"/>
    <s v="Low Price"/>
    <s v="Low Volume"/>
    <x v="3"/>
    <s v="July"/>
    <x v="3"/>
    <x v="0"/>
    <x v="0"/>
  </r>
  <r>
    <s v="JSN-73975-443"/>
    <x v="317"/>
    <s v="93047-98331-DD"/>
    <x v="37"/>
    <n v="1"/>
    <x v="356"/>
    <s v="adanzeybn@github.com"/>
    <x v="0"/>
    <s v="Lib"/>
    <s v="M"/>
    <x v="1"/>
    <n v="8.73"/>
    <n v="8.73"/>
    <x v="1"/>
    <x v="2"/>
    <x v="0"/>
    <n v="1"/>
    <n v="8.73"/>
    <x v="0"/>
    <x v="0"/>
    <x v="0"/>
    <s v="Low Price"/>
    <s v="Low Volume"/>
    <x v="3"/>
    <s v="June"/>
    <x v="0"/>
    <x v="4"/>
    <x v="0"/>
  </r>
  <r>
    <s v="JSU-23781-256"/>
    <x v="318"/>
    <s v="76499-89100-JQ"/>
    <x v="29"/>
    <n v="1"/>
    <x v="357"/>
    <s v="marmisteadeg@blogtalkradio.com"/>
    <x v="0"/>
    <s v="Lib"/>
    <s v="D"/>
    <x v="3"/>
    <n v="3.8849999999999998"/>
    <n v="3.8849999999999998"/>
    <x v="1"/>
    <x v="0"/>
    <x v="1"/>
    <n v="2"/>
    <n v="21.842499999999998"/>
    <x v="1"/>
    <x v="1"/>
    <x v="0"/>
    <s v="Low Price"/>
    <s v="Low Volume"/>
    <x v="3"/>
    <s v="September"/>
    <x v="3"/>
    <x v="9"/>
    <x v="1"/>
  </r>
  <r>
    <s v="JSU-23781-256"/>
    <x v="318"/>
    <s v="76499-89100-JQ"/>
    <x v="38"/>
    <n v="4"/>
    <x v="357"/>
    <s v="marmisteadeg@blogtalkradio.com"/>
    <x v="0"/>
    <s v="Rob"/>
    <s v="M"/>
    <x v="0"/>
    <n v="9.9499999999999993"/>
    <n v="39.799999999999997"/>
    <x v="0"/>
    <x v="2"/>
    <x v="1"/>
    <n v="2"/>
    <n v="21.842499999999998"/>
    <x v="1"/>
    <x v="1"/>
    <x v="0"/>
    <s v="High Price"/>
    <s v="Low Volume"/>
    <x v="0"/>
    <s v="September"/>
    <x v="3"/>
    <x v="5"/>
    <x v="1"/>
  </r>
  <r>
    <s v="JTU-55897-581"/>
    <x v="319"/>
    <s v="70290-38099-GB"/>
    <x v="11"/>
    <n v="5"/>
    <x v="358"/>
    <s v="jbagot8i@mac.com"/>
    <x v="0"/>
    <s v="Rob"/>
    <s v="M"/>
    <x v="3"/>
    <n v="2.9849999999999999"/>
    <n v="14.924999999999999"/>
    <x v="0"/>
    <x v="2"/>
    <x v="1"/>
    <n v="1"/>
    <n v="14.924999999999999"/>
    <x v="0"/>
    <x v="0"/>
    <x v="0"/>
    <s v="Low Price"/>
    <s v="High Volume"/>
    <x v="2"/>
    <s v="February"/>
    <x v="2"/>
    <x v="5"/>
    <x v="2"/>
  </r>
  <r>
    <s v="JUA-13580-095"/>
    <x v="320"/>
    <s v="55265-75151-AK"/>
    <x v="25"/>
    <n v="4"/>
    <x v="359"/>
    <s v="mdarrigoebu@hud.gov"/>
    <x v="1"/>
    <s v="Rob"/>
    <s v="L"/>
    <x v="3"/>
    <n v="3.5849999999999995"/>
    <n v="14.339999999999998"/>
    <x v="0"/>
    <x v="1"/>
    <x v="0"/>
    <n v="1"/>
    <n v="14.339999999999998"/>
    <x v="0"/>
    <x v="0"/>
    <x v="0"/>
    <s v="Low Price"/>
    <s v="Low Volume"/>
    <x v="3"/>
    <s v="April"/>
    <x v="0"/>
    <x v="11"/>
    <x v="3"/>
  </r>
  <r>
    <s v="JUO-34131-517"/>
    <x v="321"/>
    <s v="07972-83748-JI"/>
    <x v="19"/>
    <n v="6"/>
    <x v="360"/>
    <s v=""/>
    <x v="0"/>
    <s v="Lib"/>
    <s v="D"/>
    <x v="0"/>
    <n v="12.95"/>
    <n v="77.699999999999989"/>
    <x v="1"/>
    <x v="0"/>
    <x v="0"/>
    <n v="1"/>
    <n v="77.699999999999989"/>
    <x v="0"/>
    <x v="0"/>
    <x v="1"/>
    <s v="High Price"/>
    <s v="High Volume"/>
    <x v="1"/>
    <s v="February"/>
    <x v="2"/>
    <x v="9"/>
    <x v="2"/>
  </r>
  <r>
    <s v="JVF-91003-729"/>
    <x v="322"/>
    <s v="98536-88616-FF"/>
    <x v="22"/>
    <n v="3"/>
    <x v="361"/>
    <s v="dohx@redcross.org"/>
    <x v="0"/>
    <s v="Ara"/>
    <s v="D"/>
    <x v="2"/>
    <n v="22.884999999999998"/>
    <n v="68.655000000000001"/>
    <x v="2"/>
    <x v="0"/>
    <x v="0"/>
    <n v="1"/>
    <n v="68.655000000000001"/>
    <x v="0"/>
    <x v="0"/>
    <x v="1"/>
    <s v="High Price"/>
    <s v="Low Volume"/>
    <x v="0"/>
    <s v="October"/>
    <x v="1"/>
    <x v="7"/>
    <x v="1"/>
  </r>
  <r>
    <s v="JVW-22582-137"/>
    <x v="323"/>
    <s v="89208-74646-UK"/>
    <x v="42"/>
    <n v="5"/>
    <x v="362"/>
    <s v="bkenwell6h@over-blog.com"/>
    <x v="0"/>
    <s v="Exc"/>
    <s v="M"/>
    <x v="3"/>
    <n v="4.125"/>
    <n v="20.625"/>
    <x v="3"/>
    <x v="2"/>
    <x v="1"/>
    <n v="1"/>
    <n v="20.625"/>
    <x v="0"/>
    <x v="0"/>
    <x v="0"/>
    <s v="Low Price"/>
    <s v="High Volume"/>
    <x v="2"/>
    <s v="March"/>
    <x v="2"/>
    <x v="3"/>
    <x v="3"/>
  </r>
  <r>
    <s v="JXP-28398-485"/>
    <x v="297"/>
    <s v="23039-93032-FN"/>
    <x v="22"/>
    <n v="5"/>
    <x v="363"/>
    <s v="mvedmore9v@a8.net"/>
    <x v="0"/>
    <s v="Ara"/>
    <s v="D"/>
    <x v="2"/>
    <n v="22.884999999999998"/>
    <n v="114.42499999999998"/>
    <x v="2"/>
    <x v="0"/>
    <x v="0"/>
    <n v="1"/>
    <n v="114.42499999999998"/>
    <x v="0"/>
    <x v="0"/>
    <x v="3"/>
    <s v="High Price"/>
    <s v="High Volume"/>
    <x v="1"/>
    <s v="June"/>
    <x v="0"/>
    <x v="7"/>
    <x v="0"/>
  </r>
  <r>
    <s v="JYR-22052-185"/>
    <x v="232"/>
    <s v="39528-19971-OR"/>
    <x v="2"/>
    <n v="2"/>
    <x v="364"/>
    <s v="wplacei9@wsj.com"/>
    <x v="0"/>
    <s v="Ara"/>
    <s v="M"/>
    <x v="1"/>
    <n v="6.75"/>
    <n v="13.5"/>
    <x v="2"/>
    <x v="2"/>
    <x v="0"/>
    <n v="1"/>
    <n v="13.5"/>
    <x v="0"/>
    <x v="0"/>
    <x v="0"/>
    <s v="Low Price"/>
    <s v="Low Volume"/>
    <x v="3"/>
    <s v="January"/>
    <x v="2"/>
    <x v="2"/>
    <x v="2"/>
  </r>
  <r>
    <s v="JZC-31180-557"/>
    <x v="324"/>
    <s v="09171-42203-EB"/>
    <x v="41"/>
    <n v="1"/>
    <x v="365"/>
    <s v="relizabethh5@live.com"/>
    <x v="0"/>
    <s v="Lib"/>
    <s v="M"/>
    <x v="2"/>
    <n v="33.464999999999996"/>
    <n v="33.464999999999996"/>
    <x v="1"/>
    <x v="2"/>
    <x v="1"/>
    <n v="1"/>
    <n v="33.464999999999996"/>
    <x v="0"/>
    <x v="0"/>
    <x v="0"/>
    <s v="High Price"/>
    <s v="Low Volume"/>
    <x v="0"/>
    <s v="April"/>
    <x v="0"/>
    <x v="4"/>
    <x v="3"/>
  </r>
  <r>
    <s v="JZV-43874-185"/>
    <x v="325"/>
    <s v="18551-80943-YQ"/>
    <x v="35"/>
    <n v="5"/>
    <x v="366"/>
    <s v=""/>
    <x v="0"/>
    <s v="Ara"/>
    <s v="M"/>
    <x v="0"/>
    <n v="11.25"/>
    <n v="56.25"/>
    <x v="2"/>
    <x v="2"/>
    <x v="0"/>
    <n v="1"/>
    <n v="56.25"/>
    <x v="0"/>
    <x v="0"/>
    <x v="1"/>
    <s v="High Price"/>
    <s v="High Volume"/>
    <x v="1"/>
    <s v="August"/>
    <x v="3"/>
    <x v="2"/>
    <x v="0"/>
  </r>
  <r>
    <s v="KAC-83089-793"/>
    <x v="326"/>
    <s v="23806-46781-OU"/>
    <x v="21"/>
    <n v="2"/>
    <x v="367"/>
    <s v=""/>
    <x v="1"/>
    <s v="Exc"/>
    <s v="M"/>
    <x v="0"/>
    <n v="13.75"/>
    <n v="27.5"/>
    <x v="3"/>
    <x v="2"/>
    <x v="1"/>
    <n v="2"/>
    <n v="41.234999999999999"/>
    <x v="1"/>
    <x v="1"/>
    <x v="0"/>
    <s v="Low Price"/>
    <s v="Low Volume"/>
    <x v="3"/>
    <s v="July"/>
    <x v="3"/>
    <x v="3"/>
    <x v="0"/>
  </r>
  <r>
    <s v="KAC-83089-793"/>
    <x v="326"/>
    <s v="23806-46781-OU"/>
    <x v="44"/>
    <n v="2"/>
    <x v="367"/>
    <s v=""/>
    <x v="1"/>
    <s v="Rob"/>
    <s v="L"/>
    <x v="2"/>
    <n v="27.484999999999996"/>
    <n v="54.969999999999992"/>
    <x v="0"/>
    <x v="1"/>
    <x v="1"/>
    <n v="2"/>
    <n v="41.234999999999999"/>
    <x v="1"/>
    <x v="1"/>
    <x v="1"/>
    <s v="High Price"/>
    <s v="Low Volume"/>
    <x v="0"/>
    <s v="July"/>
    <x v="3"/>
    <x v="11"/>
    <x v="0"/>
  </r>
  <r>
    <s v="KAR-24978-271"/>
    <x v="327"/>
    <s v="23187-65750-HZ"/>
    <x v="38"/>
    <n v="6"/>
    <x v="368"/>
    <s v="sarpinep@moonfruit.com"/>
    <x v="0"/>
    <s v="Rob"/>
    <s v="M"/>
    <x v="0"/>
    <n v="9.9499999999999993"/>
    <n v="59.699999999999996"/>
    <x v="0"/>
    <x v="2"/>
    <x v="1"/>
    <n v="1"/>
    <n v="59.699999999999996"/>
    <x v="0"/>
    <x v="0"/>
    <x v="1"/>
    <s v="High Price"/>
    <s v="High Volume"/>
    <x v="1"/>
    <s v="January"/>
    <x v="2"/>
    <x v="5"/>
    <x v="2"/>
  </r>
  <r>
    <s v="KAW-95195-329"/>
    <x v="328"/>
    <s v="34570-99384-AF"/>
    <x v="13"/>
    <n v="4"/>
    <x v="369"/>
    <s v=""/>
    <x v="1"/>
    <s v="Rob"/>
    <s v="D"/>
    <x v="2"/>
    <n v="20.584999999999997"/>
    <n v="82.339999999999989"/>
    <x v="0"/>
    <x v="0"/>
    <x v="0"/>
    <n v="1"/>
    <n v="82.339999999999989"/>
    <x v="0"/>
    <x v="0"/>
    <x v="1"/>
    <s v="High Price"/>
    <s v="Low Volume"/>
    <x v="0"/>
    <s v="July"/>
    <x v="3"/>
    <x v="0"/>
    <x v="0"/>
  </r>
  <r>
    <s v="KBB-52530-416"/>
    <x v="329"/>
    <s v="06488-46303-IZ"/>
    <x v="28"/>
    <n v="2"/>
    <x v="370"/>
    <s v=""/>
    <x v="0"/>
    <s v="Lib"/>
    <s v="D"/>
    <x v="2"/>
    <n v="29.784999999999997"/>
    <n v="59.569999999999993"/>
    <x v="1"/>
    <x v="0"/>
    <x v="0"/>
    <n v="1"/>
    <n v="59.569999999999993"/>
    <x v="0"/>
    <x v="0"/>
    <x v="1"/>
    <s v="High Price"/>
    <s v="Low Volume"/>
    <x v="0"/>
    <s v="November"/>
    <x v="1"/>
    <x v="9"/>
    <x v="1"/>
  </r>
  <r>
    <s v="KCW-50949-318"/>
    <x v="52"/>
    <s v="52374-27313-IV"/>
    <x v="45"/>
    <n v="5"/>
    <x v="371"/>
    <s v="dgutq2@umich.edu"/>
    <x v="0"/>
    <s v="Exc"/>
    <s v="L"/>
    <x v="0"/>
    <n v="14.85"/>
    <n v="74.25"/>
    <x v="3"/>
    <x v="1"/>
    <x v="0"/>
    <n v="1"/>
    <n v="74.25"/>
    <x v="0"/>
    <x v="0"/>
    <x v="1"/>
    <s v="High Price"/>
    <s v="High Volume"/>
    <x v="1"/>
    <s v="December"/>
    <x v="1"/>
    <x v="10"/>
    <x v="2"/>
  </r>
  <r>
    <s v="KCY-61732-849"/>
    <x v="43"/>
    <s v="11349-55147-SN"/>
    <x v="19"/>
    <n v="2"/>
    <x v="372"/>
    <s v=""/>
    <x v="1"/>
    <s v="Lib"/>
    <s v="D"/>
    <x v="0"/>
    <n v="12.95"/>
    <n v="25.9"/>
    <x v="1"/>
    <x v="0"/>
    <x v="1"/>
    <n v="1"/>
    <n v="25.9"/>
    <x v="0"/>
    <x v="0"/>
    <x v="0"/>
    <s v="Low Price"/>
    <s v="Low Volume"/>
    <x v="3"/>
    <s v="March"/>
    <x v="2"/>
    <x v="9"/>
    <x v="3"/>
  </r>
  <r>
    <s v="KFJ-46568-890"/>
    <x v="238"/>
    <s v="71003-85639-HB"/>
    <x v="20"/>
    <n v="2"/>
    <x v="373"/>
    <s v=""/>
    <x v="0"/>
    <s v="Exc"/>
    <s v="L"/>
    <x v="1"/>
    <n v="8.91"/>
    <n v="17.82"/>
    <x v="3"/>
    <x v="1"/>
    <x v="0"/>
    <n v="1"/>
    <n v="17.82"/>
    <x v="0"/>
    <x v="0"/>
    <x v="0"/>
    <s v="Low Price"/>
    <s v="Low Volume"/>
    <x v="3"/>
    <s v="January"/>
    <x v="2"/>
    <x v="10"/>
    <x v="2"/>
  </r>
  <r>
    <s v="KGC-95046-911"/>
    <x v="330"/>
    <s v="95351-96177-QV"/>
    <x v="3"/>
    <n v="2"/>
    <x v="374"/>
    <s v="eandriessenj9@europa.eu"/>
    <x v="0"/>
    <s v="Ara"/>
    <s v="M"/>
    <x v="2"/>
    <n v="25.874999999999996"/>
    <n v="51.749999999999993"/>
    <x v="2"/>
    <x v="2"/>
    <x v="0"/>
    <n v="1"/>
    <n v="51.749999999999993"/>
    <x v="0"/>
    <x v="0"/>
    <x v="1"/>
    <s v="High Price"/>
    <s v="Low Volume"/>
    <x v="0"/>
    <s v="June"/>
    <x v="0"/>
    <x v="2"/>
    <x v="0"/>
  </r>
  <r>
    <s v="KGZ-56395-231"/>
    <x v="331"/>
    <s v="22221-71106-JD"/>
    <x v="18"/>
    <n v="1"/>
    <x v="375"/>
    <s v="rlequeuxcz@newyorker.com"/>
    <x v="0"/>
    <s v="Ara"/>
    <s v="D"/>
    <x v="1"/>
    <n v="5.97"/>
    <n v="5.97"/>
    <x v="2"/>
    <x v="0"/>
    <x v="1"/>
    <n v="1"/>
    <n v="5.97"/>
    <x v="0"/>
    <x v="0"/>
    <x v="0"/>
    <s v="Low Price"/>
    <s v="Low Volume"/>
    <x v="3"/>
    <s v="December"/>
    <x v="1"/>
    <x v="7"/>
    <x v="2"/>
  </r>
  <r>
    <s v="KHG-33953-115"/>
    <x v="332"/>
    <s v="78226-97287-JI"/>
    <x v="14"/>
    <n v="3"/>
    <x v="376"/>
    <s v="kferrettimf@huffingtonpost.com"/>
    <x v="1"/>
    <s v="Lib"/>
    <s v="D"/>
    <x v="1"/>
    <n v="7.77"/>
    <n v="23.31"/>
    <x v="1"/>
    <x v="0"/>
    <x v="1"/>
    <n v="1"/>
    <n v="23.31"/>
    <x v="0"/>
    <x v="0"/>
    <x v="0"/>
    <s v="Low Price"/>
    <s v="Low Volume"/>
    <x v="3"/>
    <s v="December"/>
    <x v="1"/>
    <x v="9"/>
    <x v="2"/>
  </r>
  <r>
    <s v="KHK-13105-388"/>
    <x v="333"/>
    <s v="46242-54946-ZW"/>
    <x v="35"/>
    <n v="6"/>
    <x v="377"/>
    <s v=""/>
    <x v="0"/>
    <s v="Ara"/>
    <s v="M"/>
    <x v="0"/>
    <n v="11.25"/>
    <n v="67.5"/>
    <x v="2"/>
    <x v="2"/>
    <x v="0"/>
    <n v="1"/>
    <n v="67.5"/>
    <x v="0"/>
    <x v="0"/>
    <x v="1"/>
    <s v="High Price"/>
    <s v="High Volume"/>
    <x v="1"/>
    <s v="April"/>
    <x v="0"/>
    <x v="2"/>
    <x v="3"/>
  </r>
  <r>
    <s v="KHO-27106-786"/>
    <x v="29"/>
    <s v="01603-43789-TN"/>
    <x v="35"/>
    <n v="6"/>
    <x v="378"/>
    <s v="bromeramj@list-manage.com"/>
    <x v="1"/>
    <s v="Ara"/>
    <s v="M"/>
    <x v="0"/>
    <n v="11.25"/>
    <n v="67.5"/>
    <x v="2"/>
    <x v="2"/>
    <x v="0"/>
    <n v="2"/>
    <n v="123.10499999999999"/>
    <x v="1"/>
    <x v="1"/>
    <x v="1"/>
    <s v="High Price"/>
    <s v="High Volume"/>
    <x v="1"/>
    <s v="October"/>
    <x v="1"/>
    <x v="2"/>
    <x v="1"/>
  </r>
  <r>
    <s v="KHO-27106-786"/>
    <x v="29"/>
    <s v="01603-43789-TN"/>
    <x v="28"/>
    <n v="6"/>
    <x v="378"/>
    <s v="bromeramj@list-manage.com"/>
    <x v="1"/>
    <s v="Lib"/>
    <s v="D"/>
    <x v="2"/>
    <n v="29.784999999999997"/>
    <n v="178.70999999999998"/>
    <x v="1"/>
    <x v="0"/>
    <x v="0"/>
    <n v="2"/>
    <n v="123.10499999999999"/>
    <x v="1"/>
    <x v="1"/>
    <x v="2"/>
    <s v="High Price"/>
    <s v="High Volume"/>
    <x v="1"/>
    <s v="October"/>
    <x v="1"/>
    <x v="9"/>
    <x v="1"/>
  </r>
  <r>
    <s v="KHZ-26264-253"/>
    <x v="334"/>
    <s v="24972-55878-KX"/>
    <x v="10"/>
    <n v="6"/>
    <x v="104"/>
    <s v="fconstancekz@ifeng.com"/>
    <x v="0"/>
    <s v="Lib"/>
    <s v="L"/>
    <x v="3"/>
    <n v="4.7549999999999999"/>
    <n v="28.53"/>
    <x v="1"/>
    <x v="1"/>
    <x v="1"/>
    <n v="1"/>
    <n v="28.53"/>
    <x v="0"/>
    <x v="0"/>
    <x v="0"/>
    <s v="Low Price"/>
    <s v="High Volume"/>
    <x v="2"/>
    <s v="July"/>
    <x v="3"/>
    <x v="1"/>
    <x v="0"/>
  </r>
  <r>
    <s v="KIX-93248-135"/>
    <x v="335"/>
    <s v="36605-83052-WB"/>
    <x v="18"/>
    <n v="1"/>
    <x v="379"/>
    <s v="vhellmore7d@bbc.co.uk"/>
    <x v="0"/>
    <s v="Ara"/>
    <s v="D"/>
    <x v="1"/>
    <n v="5.97"/>
    <n v="5.97"/>
    <x v="2"/>
    <x v="0"/>
    <x v="0"/>
    <n v="1"/>
    <n v="5.97"/>
    <x v="0"/>
    <x v="0"/>
    <x v="0"/>
    <s v="Low Price"/>
    <s v="Low Volume"/>
    <x v="3"/>
    <s v="February"/>
    <x v="2"/>
    <x v="7"/>
    <x v="2"/>
  </r>
  <r>
    <s v="KJB-98240-098"/>
    <x v="44"/>
    <s v="77746-08153-PM"/>
    <x v="1"/>
    <n v="5"/>
    <x v="380"/>
    <s v="cmiguelqo@exblog.jp"/>
    <x v="0"/>
    <s v="Lib"/>
    <s v="L"/>
    <x v="0"/>
    <n v="15.85"/>
    <n v="79.25"/>
    <x v="1"/>
    <x v="1"/>
    <x v="0"/>
    <n v="1"/>
    <n v="79.25"/>
    <x v="0"/>
    <x v="0"/>
    <x v="1"/>
    <s v="High Price"/>
    <s v="High Volume"/>
    <x v="1"/>
    <s v="January"/>
    <x v="2"/>
    <x v="1"/>
    <x v="2"/>
  </r>
  <r>
    <s v="KJJ-12573-591"/>
    <x v="336"/>
    <s v="12997-41076-FQ"/>
    <x v="17"/>
    <n v="1"/>
    <x v="381"/>
    <s v=""/>
    <x v="0"/>
    <s v="Ara"/>
    <s v="L"/>
    <x v="2"/>
    <n v="29.784999999999997"/>
    <n v="29.784999999999997"/>
    <x v="2"/>
    <x v="1"/>
    <x v="0"/>
    <n v="1"/>
    <n v="29.784999999999997"/>
    <x v="0"/>
    <x v="0"/>
    <x v="0"/>
    <s v="Low Price"/>
    <s v="Low Volume"/>
    <x v="3"/>
    <s v="September"/>
    <x v="3"/>
    <x v="6"/>
    <x v="1"/>
  </r>
  <r>
    <s v="KLD-88731-484"/>
    <x v="337"/>
    <s v="17775-77072-PP"/>
    <x v="35"/>
    <n v="5"/>
    <x v="382"/>
    <s v="clinskillkh@sphinn.com"/>
    <x v="0"/>
    <s v="Ara"/>
    <s v="M"/>
    <x v="0"/>
    <n v="11.25"/>
    <n v="56.25"/>
    <x v="2"/>
    <x v="2"/>
    <x v="1"/>
    <n v="1"/>
    <n v="56.25"/>
    <x v="0"/>
    <x v="0"/>
    <x v="1"/>
    <s v="High Price"/>
    <s v="High Volume"/>
    <x v="1"/>
    <s v="September"/>
    <x v="3"/>
    <x v="2"/>
    <x v="1"/>
  </r>
  <r>
    <s v="KMB-95211-174"/>
    <x v="338"/>
    <s v="23941-30203-MO"/>
    <x v="13"/>
    <n v="4"/>
    <x v="383"/>
    <s v="ldwerryhousen5@gravatar.com"/>
    <x v="0"/>
    <s v="Rob"/>
    <s v="D"/>
    <x v="2"/>
    <n v="20.584999999999997"/>
    <n v="82.339999999999989"/>
    <x v="0"/>
    <x v="0"/>
    <x v="0"/>
    <n v="1"/>
    <n v="82.339999999999989"/>
    <x v="0"/>
    <x v="0"/>
    <x v="1"/>
    <s v="High Price"/>
    <s v="Low Volume"/>
    <x v="0"/>
    <s v="April"/>
    <x v="0"/>
    <x v="0"/>
    <x v="3"/>
  </r>
  <r>
    <s v="KMS-49214-806"/>
    <x v="339"/>
    <s v="50384-52703-LA"/>
    <x v="39"/>
    <n v="4"/>
    <x v="384"/>
    <s v="lmacmanusmu@imdb.com"/>
    <x v="0"/>
    <s v="Exc"/>
    <s v="L"/>
    <x v="2"/>
    <n v="34.154999999999994"/>
    <n v="136.61999999999998"/>
    <x v="3"/>
    <x v="1"/>
    <x v="1"/>
    <n v="1"/>
    <n v="136.61999999999998"/>
    <x v="0"/>
    <x v="0"/>
    <x v="3"/>
    <s v="High Price"/>
    <s v="Low Volume"/>
    <x v="0"/>
    <s v="April"/>
    <x v="0"/>
    <x v="10"/>
    <x v="3"/>
  </r>
  <r>
    <s v="KPO-24942-184"/>
    <x v="340"/>
    <s v="70567-65133-CN"/>
    <x v="33"/>
    <n v="3"/>
    <x v="385"/>
    <s v=""/>
    <x v="1"/>
    <s v="Lib"/>
    <s v="L"/>
    <x v="2"/>
    <n v="36.454999999999998"/>
    <n v="109.36499999999999"/>
    <x v="1"/>
    <x v="1"/>
    <x v="1"/>
    <n v="1"/>
    <n v="109.36499999999999"/>
    <x v="0"/>
    <x v="0"/>
    <x v="3"/>
    <s v="High Price"/>
    <s v="Low Volume"/>
    <x v="0"/>
    <s v="March"/>
    <x v="2"/>
    <x v="1"/>
    <x v="3"/>
  </r>
  <r>
    <s v="KRB-88066-642"/>
    <x v="341"/>
    <s v="22107-86640-SB"/>
    <x v="34"/>
    <n v="5"/>
    <x v="386"/>
    <s v="agillard1i@issuu.com"/>
    <x v="0"/>
    <s v="Lib"/>
    <s v="M"/>
    <x v="0"/>
    <n v="14.55"/>
    <n v="72.75"/>
    <x v="1"/>
    <x v="2"/>
    <x v="1"/>
    <n v="1"/>
    <n v="72.75"/>
    <x v="0"/>
    <x v="0"/>
    <x v="1"/>
    <s v="High Price"/>
    <s v="High Volume"/>
    <x v="1"/>
    <s v="March"/>
    <x v="2"/>
    <x v="4"/>
    <x v="3"/>
  </r>
  <r>
    <s v="KRW-91640-596"/>
    <x v="342"/>
    <s v="70879-00984-FJ"/>
    <x v="26"/>
    <n v="3"/>
    <x v="387"/>
    <s v="ttilzeyeb@hostgator.com"/>
    <x v="0"/>
    <s v="Rob"/>
    <s v="L"/>
    <x v="1"/>
    <n v="7.169999999999999"/>
    <n v="21.509999999999998"/>
    <x v="0"/>
    <x v="1"/>
    <x v="1"/>
    <n v="1"/>
    <n v="21.509999999999998"/>
    <x v="0"/>
    <x v="0"/>
    <x v="0"/>
    <s v="Low Price"/>
    <s v="Low Volume"/>
    <x v="3"/>
    <s v="April"/>
    <x v="0"/>
    <x v="11"/>
    <x v="3"/>
  </r>
  <r>
    <s v="KRZ-13868-122"/>
    <x v="237"/>
    <s v="86779-84838-EJ"/>
    <x v="45"/>
    <n v="3"/>
    <x v="388"/>
    <s v=""/>
    <x v="0"/>
    <s v="Exc"/>
    <s v="L"/>
    <x v="0"/>
    <n v="14.85"/>
    <n v="44.55"/>
    <x v="3"/>
    <x v="1"/>
    <x v="1"/>
    <n v="1"/>
    <n v="44.55"/>
    <x v="0"/>
    <x v="0"/>
    <x v="0"/>
    <s v="High Price"/>
    <s v="Low Volume"/>
    <x v="0"/>
    <s v="March"/>
    <x v="2"/>
    <x v="10"/>
    <x v="3"/>
  </r>
  <r>
    <s v="KSH-47717-456"/>
    <x v="343"/>
    <s v="74671-55639-TU"/>
    <x v="34"/>
    <n v="3"/>
    <x v="389"/>
    <s v="luttermarehm@engadget.com"/>
    <x v="0"/>
    <s v="Lib"/>
    <s v="M"/>
    <x v="0"/>
    <n v="14.55"/>
    <n v="43.650000000000006"/>
    <x v="1"/>
    <x v="2"/>
    <x v="1"/>
    <n v="1"/>
    <n v="43.650000000000006"/>
    <x v="0"/>
    <x v="0"/>
    <x v="0"/>
    <s v="High Price"/>
    <s v="Low Volume"/>
    <x v="0"/>
    <s v="April"/>
    <x v="0"/>
    <x v="4"/>
    <x v="3"/>
  </r>
  <r>
    <s v="KTO-53793-109"/>
    <x v="329"/>
    <s v="17572-27091-AA"/>
    <x v="25"/>
    <n v="2"/>
    <x v="390"/>
    <s v="chatfullog@ebay.com"/>
    <x v="0"/>
    <s v="Rob"/>
    <s v="L"/>
    <x v="3"/>
    <n v="3.5849999999999995"/>
    <n v="7.169999999999999"/>
    <x v="0"/>
    <x v="1"/>
    <x v="1"/>
    <n v="1"/>
    <n v="7.169999999999999"/>
    <x v="0"/>
    <x v="0"/>
    <x v="0"/>
    <s v="Low Price"/>
    <s v="Low Volume"/>
    <x v="3"/>
    <s v="November"/>
    <x v="1"/>
    <x v="11"/>
    <x v="1"/>
  </r>
  <r>
    <s v="KTX-17944-494"/>
    <x v="344"/>
    <s v="74330-29286-RO"/>
    <x v="23"/>
    <n v="1"/>
    <x v="337"/>
    <s v="crushe8n@about.me"/>
    <x v="0"/>
    <s v="Ara"/>
    <s v="L"/>
    <x v="3"/>
    <n v="3.8849999999999998"/>
    <n v="3.8849999999999998"/>
    <x v="2"/>
    <x v="1"/>
    <x v="0"/>
    <n v="1"/>
    <n v="3.8849999999999998"/>
    <x v="0"/>
    <x v="0"/>
    <x v="0"/>
    <s v="Low Price"/>
    <s v="Low Volume"/>
    <x v="3"/>
    <s v="December"/>
    <x v="1"/>
    <x v="6"/>
    <x v="2"/>
  </r>
  <r>
    <s v="KUX-19632-830"/>
    <x v="334"/>
    <s v="55409-07759-YG"/>
    <x v="40"/>
    <n v="6"/>
    <x v="391"/>
    <s v="cbernardotr9@wix.com"/>
    <x v="0"/>
    <s v="Exc"/>
    <s v="D"/>
    <x v="3"/>
    <n v="3.645"/>
    <n v="21.87"/>
    <x v="3"/>
    <x v="0"/>
    <x v="0"/>
    <n v="1"/>
    <n v="21.87"/>
    <x v="0"/>
    <x v="0"/>
    <x v="0"/>
    <s v="Low Price"/>
    <s v="High Volume"/>
    <x v="2"/>
    <s v="July"/>
    <x v="3"/>
    <x v="8"/>
    <x v="0"/>
  </r>
  <r>
    <s v="KXA-27983-918"/>
    <x v="345"/>
    <s v="96042-27290-EQ"/>
    <x v="26"/>
    <n v="5"/>
    <x v="392"/>
    <s v=""/>
    <x v="0"/>
    <s v="Rob"/>
    <s v="L"/>
    <x v="1"/>
    <n v="7.169999999999999"/>
    <n v="35.849999999999994"/>
    <x v="0"/>
    <x v="1"/>
    <x v="1"/>
    <n v="1"/>
    <n v="35.849999999999994"/>
    <x v="0"/>
    <x v="0"/>
    <x v="0"/>
    <s v="High Price"/>
    <s v="High Volume"/>
    <x v="1"/>
    <s v="September"/>
    <x v="3"/>
    <x v="11"/>
    <x v="1"/>
  </r>
  <r>
    <s v="KXN-85094-246"/>
    <x v="346"/>
    <s v="81744-27332-RR"/>
    <x v="41"/>
    <n v="3"/>
    <x v="393"/>
    <s v="bnaulls2a@tiny.cc"/>
    <x v="1"/>
    <s v="Lib"/>
    <s v="M"/>
    <x v="2"/>
    <n v="33.464999999999996"/>
    <n v="100.39499999999998"/>
    <x v="1"/>
    <x v="2"/>
    <x v="0"/>
    <n v="1"/>
    <n v="100.39499999999998"/>
    <x v="0"/>
    <x v="0"/>
    <x v="3"/>
    <s v="High Price"/>
    <s v="Low Volume"/>
    <x v="0"/>
    <s v="September"/>
    <x v="3"/>
    <x v="4"/>
    <x v="1"/>
  </r>
  <r>
    <s v="KYG-28296-920"/>
    <x v="292"/>
    <s v="78050-20355-DI"/>
    <x v="4"/>
    <n v="1"/>
    <x v="394"/>
    <s v="gsmallcombed6@ucla.edu"/>
    <x v="1"/>
    <s v="Exc"/>
    <s v="M"/>
    <x v="2"/>
    <n v="31.624999999999996"/>
    <n v="31.624999999999996"/>
    <x v="3"/>
    <x v="2"/>
    <x v="0"/>
    <n v="1"/>
    <n v="31.624999999999996"/>
    <x v="0"/>
    <x v="0"/>
    <x v="0"/>
    <s v="High Price"/>
    <s v="Low Volume"/>
    <x v="0"/>
    <s v="July"/>
    <x v="3"/>
    <x v="3"/>
    <x v="0"/>
  </r>
  <r>
    <s v="KYS-27063-603"/>
    <x v="109"/>
    <s v="69958-32065-SW"/>
    <x v="39"/>
    <n v="4"/>
    <x v="395"/>
    <s v="slist1y@mapquest.com"/>
    <x v="0"/>
    <s v="Exc"/>
    <s v="L"/>
    <x v="2"/>
    <n v="34.154999999999994"/>
    <n v="136.61999999999998"/>
    <x v="3"/>
    <x v="1"/>
    <x v="1"/>
    <n v="1"/>
    <n v="136.61999999999998"/>
    <x v="0"/>
    <x v="0"/>
    <x v="3"/>
    <s v="High Price"/>
    <s v="Low Volume"/>
    <x v="0"/>
    <s v="June"/>
    <x v="0"/>
    <x v="10"/>
    <x v="0"/>
  </r>
  <r>
    <s v="KZR-33023-209"/>
    <x v="333"/>
    <s v="21177-40725-CF"/>
    <x v="45"/>
    <n v="3"/>
    <x v="396"/>
    <s v=""/>
    <x v="0"/>
    <s v="Exc"/>
    <s v="L"/>
    <x v="0"/>
    <n v="14.85"/>
    <n v="44.55"/>
    <x v="3"/>
    <x v="1"/>
    <x v="1"/>
    <n v="1"/>
    <n v="44.55"/>
    <x v="0"/>
    <x v="0"/>
    <x v="0"/>
    <s v="High Price"/>
    <s v="Low Volume"/>
    <x v="0"/>
    <s v="April"/>
    <x v="0"/>
    <x v="10"/>
    <x v="3"/>
  </r>
  <r>
    <s v="LAA-41879-001"/>
    <x v="347"/>
    <s v="11408-81032-UR"/>
    <x v="33"/>
    <n v="1"/>
    <x v="397"/>
    <s v="tsutty6i@google.es"/>
    <x v="0"/>
    <s v="Lib"/>
    <s v="L"/>
    <x v="2"/>
    <n v="36.454999999999998"/>
    <n v="36.454999999999998"/>
    <x v="1"/>
    <x v="1"/>
    <x v="1"/>
    <n v="1"/>
    <n v="36.454999999999998"/>
    <x v="0"/>
    <x v="0"/>
    <x v="0"/>
    <s v="High Price"/>
    <s v="Low Volume"/>
    <x v="0"/>
    <s v="February"/>
    <x v="2"/>
    <x v="1"/>
    <x v="2"/>
  </r>
  <r>
    <s v="LAW-80062-016"/>
    <x v="348"/>
    <s v="34546-70516-LR"/>
    <x v="24"/>
    <n v="6"/>
    <x v="398"/>
    <s v=""/>
    <x v="1"/>
    <s v="Exc"/>
    <s v="M"/>
    <x v="1"/>
    <n v="8.25"/>
    <n v="49.5"/>
    <x v="3"/>
    <x v="2"/>
    <x v="1"/>
    <n v="1"/>
    <n v="49.5"/>
    <x v="0"/>
    <x v="0"/>
    <x v="0"/>
    <s v="High Price"/>
    <s v="High Volume"/>
    <x v="1"/>
    <s v="February"/>
    <x v="2"/>
    <x v="3"/>
    <x v="2"/>
  </r>
  <r>
    <s v="LBC-45686-819"/>
    <x v="349"/>
    <s v="98573-41811-EQ"/>
    <x v="35"/>
    <n v="5"/>
    <x v="399"/>
    <s v="rfurman62@t.co"/>
    <x v="1"/>
    <s v="Ara"/>
    <s v="M"/>
    <x v="0"/>
    <n v="11.25"/>
    <n v="56.25"/>
    <x v="2"/>
    <x v="2"/>
    <x v="0"/>
    <n v="1"/>
    <n v="56.25"/>
    <x v="0"/>
    <x v="0"/>
    <x v="1"/>
    <s v="High Price"/>
    <s v="High Volume"/>
    <x v="1"/>
    <s v="May"/>
    <x v="0"/>
    <x v="2"/>
    <x v="3"/>
  </r>
  <r>
    <s v="LBZ-75997-047"/>
    <x v="75"/>
    <s v="40946-22090-FP"/>
    <x v="3"/>
    <n v="6"/>
    <x v="400"/>
    <s v="nmagauran2n@51.la"/>
    <x v="0"/>
    <s v="Ara"/>
    <s v="M"/>
    <x v="2"/>
    <n v="25.874999999999996"/>
    <n v="155.24999999999997"/>
    <x v="2"/>
    <x v="2"/>
    <x v="1"/>
    <n v="1"/>
    <n v="155.24999999999997"/>
    <x v="0"/>
    <x v="0"/>
    <x v="2"/>
    <s v="High Price"/>
    <s v="High Volume"/>
    <x v="1"/>
    <s v="December"/>
    <x v="1"/>
    <x v="2"/>
    <x v="2"/>
  </r>
  <r>
    <s v="LCB-02099-995"/>
    <x v="350"/>
    <s v="06757-96251-UH"/>
    <x v="43"/>
    <n v="6"/>
    <x v="401"/>
    <s v="gsibrayb2@wsj.com"/>
    <x v="0"/>
    <s v="Ara"/>
    <s v="D"/>
    <x v="3"/>
    <n v="2.9849999999999999"/>
    <n v="17.91"/>
    <x v="2"/>
    <x v="0"/>
    <x v="0"/>
    <n v="1"/>
    <n v="17.91"/>
    <x v="0"/>
    <x v="0"/>
    <x v="0"/>
    <s v="Low Price"/>
    <s v="High Volume"/>
    <x v="2"/>
    <s v="July"/>
    <x v="3"/>
    <x v="7"/>
    <x v="0"/>
  </r>
  <r>
    <s v="LCU-93317-340"/>
    <x v="351"/>
    <s v="84996-26826-DK"/>
    <x v="15"/>
    <n v="1"/>
    <x v="402"/>
    <s v="soliffeop@yellowbook.com"/>
    <x v="0"/>
    <s v="Rob"/>
    <s v="D"/>
    <x v="3"/>
    <n v="2.6849999999999996"/>
    <n v="2.6849999999999996"/>
    <x v="0"/>
    <x v="0"/>
    <x v="0"/>
    <n v="1"/>
    <n v="2.6849999999999996"/>
    <x v="0"/>
    <x v="0"/>
    <x v="0"/>
    <s v="Low Price"/>
    <s v="Low Volume"/>
    <x v="3"/>
    <s v="June"/>
    <x v="0"/>
    <x v="0"/>
    <x v="0"/>
  </r>
  <r>
    <s v="LCY-24377-948"/>
    <x v="352"/>
    <s v="21617-79890-DD"/>
    <x v="44"/>
    <n v="1"/>
    <x v="403"/>
    <s v=""/>
    <x v="0"/>
    <s v="Rob"/>
    <s v="L"/>
    <x v="2"/>
    <n v="27.484999999999996"/>
    <n v="27.484999999999996"/>
    <x v="0"/>
    <x v="1"/>
    <x v="0"/>
    <n v="1"/>
    <n v="27.484999999999996"/>
    <x v="0"/>
    <x v="0"/>
    <x v="0"/>
    <s v="Low Price"/>
    <s v="Low Volume"/>
    <x v="3"/>
    <s v="May"/>
    <x v="0"/>
    <x v="11"/>
    <x v="3"/>
  </r>
  <r>
    <s v="LDK-71031-121"/>
    <x v="327"/>
    <s v="84761-40784-SV"/>
    <x v="33"/>
    <n v="1"/>
    <x v="404"/>
    <s v="arudramka@prnewswire.com"/>
    <x v="0"/>
    <s v="Lib"/>
    <s v="L"/>
    <x v="2"/>
    <n v="36.454999999999998"/>
    <n v="36.454999999999998"/>
    <x v="1"/>
    <x v="1"/>
    <x v="1"/>
    <n v="1"/>
    <n v="36.454999999999998"/>
    <x v="0"/>
    <x v="0"/>
    <x v="0"/>
    <s v="High Price"/>
    <s v="Low Volume"/>
    <x v="0"/>
    <s v="January"/>
    <x v="2"/>
    <x v="1"/>
    <x v="2"/>
  </r>
  <r>
    <s v="LEF-83057-763"/>
    <x v="27"/>
    <s v="15395-90855-VB"/>
    <x v="5"/>
    <n v="5"/>
    <x v="405"/>
    <s v=""/>
    <x v="0"/>
    <s v="Lib"/>
    <s v="M"/>
    <x v="3"/>
    <n v="4.3650000000000002"/>
    <n v="21.825000000000003"/>
    <x v="1"/>
    <x v="2"/>
    <x v="0"/>
    <n v="1"/>
    <n v="21.825000000000003"/>
    <x v="0"/>
    <x v="0"/>
    <x v="0"/>
    <s v="Low Price"/>
    <s v="High Volume"/>
    <x v="2"/>
    <s v="June"/>
    <x v="0"/>
    <x v="4"/>
    <x v="0"/>
  </r>
  <r>
    <s v="LGD-24408-274"/>
    <x v="353"/>
    <s v="13694-25001-LX"/>
    <x v="30"/>
    <n v="3"/>
    <x v="406"/>
    <s v="sstrase11@booking.com"/>
    <x v="0"/>
    <s v="Lib"/>
    <s v="L"/>
    <x v="1"/>
    <n v="9.51"/>
    <n v="28.53"/>
    <x v="1"/>
    <x v="1"/>
    <x v="1"/>
    <n v="1"/>
    <n v="28.53"/>
    <x v="0"/>
    <x v="0"/>
    <x v="0"/>
    <s v="Low Price"/>
    <s v="Low Volume"/>
    <x v="3"/>
    <s v="April"/>
    <x v="0"/>
    <x v="1"/>
    <x v="3"/>
  </r>
  <r>
    <s v="LGL-16843-667"/>
    <x v="354"/>
    <s v="82458-87830-JE"/>
    <x v="43"/>
    <n v="4"/>
    <x v="407"/>
    <s v="ahulburtgn@fda.gov"/>
    <x v="0"/>
    <s v="Ara"/>
    <s v="D"/>
    <x v="3"/>
    <n v="2.9849999999999999"/>
    <n v="11.94"/>
    <x v="2"/>
    <x v="0"/>
    <x v="0"/>
    <n v="1"/>
    <n v="11.94"/>
    <x v="0"/>
    <x v="0"/>
    <x v="0"/>
    <s v="Low Price"/>
    <s v="Low Volume"/>
    <x v="3"/>
    <s v="May"/>
    <x v="0"/>
    <x v="7"/>
    <x v="3"/>
  </r>
  <r>
    <s v="LHN-75209-742"/>
    <x v="17"/>
    <s v="01433-04270-AX"/>
    <x v="6"/>
    <n v="6"/>
    <x v="408"/>
    <s v=""/>
    <x v="0"/>
    <s v="Rob"/>
    <s v="M"/>
    <x v="1"/>
    <n v="5.97"/>
    <n v="35.82"/>
    <x v="0"/>
    <x v="2"/>
    <x v="0"/>
    <n v="1"/>
    <n v="35.82"/>
    <x v="0"/>
    <x v="0"/>
    <x v="0"/>
    <s v="High Price"/>
    <s v="High Volume"/>
    <x v="1"/>
    <s v="March"/>
    <x v="2"/>
    <x v="5"/>
    <x v="3"/>
  </r>
  <r>
    <s v="LHX-81117-166"/>
    <x v="355"/>
    <s v="01282-28364-RZ"/>
    <x v="31"/>
    <n v="4"/>
    <x v="409"/>
    <s v="kogeneayrd@utexas.edu"/>
    <x v="0"/>
    <s v="Rob"/>
    <s v="L"/>
    <x v="0"/>
    <n v="11.95"/>
    <n v="47.8"/>
    <x v="0"/>
    <x v="1"/>
    <x v="1"/>
    <n v="1"/>
    <n v="47.8"/>
    <x v="0"/>
    <x v="0"/>
    <x v="0"/>
    <s v="High Price"/>
    <s v="Low Volume"/>
    <x v="0"/>
    <s v="December"/>
    <x v="1"/>
    <x v="11"/>
    <x v="2"/>
  </r>
  <r>
    <s v="LIN-88046-551"/>
    <x v="356"/>
    <s v="10725-45724-CO"/>
    <x v="26"/>
    <n v="4"/>
    <x v="410"/>
    <s v="kcragellkk@google.com"/>
    <x v="1"/>
    <s v="Rob"/>
    <s v="L"/>
    <x v="1"/>
    <n v="7.169999999999999"/>
    <n v="28.679999999999996"/>
    <x v="0"/>
    <x v="1"/>
    <x v="1"/>
    <n v="1"/>
    <n v="28.679999999999996"/>
    <x v="0"/>
    <x v="0"/>
    <x v="0"/>
    <s v="Low Price"/>
    <s v="Low Volume"/>
    <x v="3"/>
    <s v="March"/>
    <x v="2"/>
    <x v="11"/>
    <x v="3"/>
  </r>
  <r>
    <s v="LIS-96202-702"/>
    <x v="357"/>
    <s v="72028-63343-SU"/>
    <x v="28"/>
    <n v="4"/>
    <x v="411"/>
    <s v="abrentnallcw@biglobe.ne.jp"/>
    <x v="2"/>
    <s v="Lib"/>
    <s v="D"/>
    <x v="2"/>
    <n v="29.784999999999997"/>
    <n v="119.13999999999999"/>
    <x v="1"/>
    <x v="0"/>
    <x v="1"/>
    <n v="1"/>
    <n v="119.13999999999999"/>
    <x v="0"/>
    <x v="0"/>
    <x v="3"/>
    <s v="High Price"/>
    <s v="Low Volume"/>
    <x v="0"/>
    <s v="June"/>
    <x v="0"/>
    <x v="9"/>
    <x v="0"/>
  </r>
  <r>
    <s v="LJN-34281-921"/>
    <x v="358"/>
    <s v="52143-35672-JF"/>
    <x v="44"/>
    <n v="5"/>
    <x v="412"/>
    <s v="tmathonneti0@google.co.jp"/>
    <x v="0"/>
    <s v="Rob"/>
    <s v="L"/>
    <x v="2"/>
    <n v="27.484999999999996"/>
    <n v="137.42499999999998"/>
    <x v="0"/>
    <x v="1"/>
    <x v="1"/>
    <n v="1"/>
    <n v="137.42499999999998"/>
    <x v="0"/>
    <x v="0"/>
    <x v="3"/>
    <s v="High Price"/>
    <s v="High Volume"/>
    <x v="1"/>
    <s v="December"/>
    <x v="1"/>
    <x v="11"/>
    <x v="2"/>
  </r>
  <r>
    <s v="LKE-14821-285"/>
    <x v="359"/>
    <s v="13736-92418-JS"/>
    <x v="11"/>
    <n v="5"/>
    <x v="413"/>
    <s v="bsemkinsdk@unc.edu"/>
    <x v="1"/>
    <s v="Rob"/>
    <s v="M"/>
    <x v="3"/>
    <n v="2.9849999999999999"/>
    <n v="14.924999999999999"/>
    <x v="0"/>
    <x v="2"/>
    <x v="0"/>
    <n v="1"/>
    <n v="14.924999999999999"/>
    <x v="0"/>
    <x v="0"/>
    <x v="0"/>
    <s v="Low Price"/>
    <s v="High Volume"/>
    <x v="2"/>
    <s v="May"/>
    <x v="0"/>
    <x v="5"/>
    <x v="3"/>
  </r>
  <r>
    <s v="LOO-35324-159"/>
    <x v="360"/>
    <s v="68412-11126-YJ"/>
    <x v="23"/>
    <n v="4"/>
    <x v="414"/>
    <s v="bbett3x@google.de"/>
    <x v="0"/>
    <s v="Ara"/>
    <s v="L"/>
    <x v="3"/>
    <n v="3.8849999999999998"/>
    <n v="15.54"/>
    <x v="2"/>
    <x v="1"/>
    <x v="0"/>
    <n v="1"/>
    <n v="15.54"/>
    <x v="0"/>
    <x v="0"/>
    <x v="0"/>
    <s v="Low Price"/>
    <s v="Low Volume"/>
    <x v="3"/>
    <s v="May"/>
    <x v="0"/>
    <x v="6"/>
    <x v="3"/>
  </r>
  <r>
    <s v="LOU-41819-242"/>
    <x v="268"/>
    <s v="88060-50676-MV"/>
    <x v="38"/>
    <n v="2"/>
    <x v="415"/>
    <s v=""/>
    <x v="0"/>
    <s v="Rob"/>
    <s v="M"/>
    <x v="0"/>
    <n v="9.9499999999999993"/>
    <n v="19.899999999999999"/>
    <x v="0"/>
    <x v="2"/>
    <x v="0"/>
    <n v="1"/>
    <n v="19.899999999999999"/>
    <x v="0"/>
    <x v="0"/>
    <x v="0"/>
    <s v="Low Price"/>
    <s v="Low Volume"/>
    <x v="3"/>
    <s v="July"/>
    <x v="3"/>
    <x v="5"/>
    <x v="0"/>
  </r>
  <r>
    <s v="LPS-39089-432"/>
    <x v="8"/>
    <s v="97655-45555-LI"/>
    <x v="0"/>
    <n v="5"/>
    <x v="416"/>
    <s v="balldridge93@yandex.ru"/>
    <x v="0"/>
    <s v="Rob"/>
    <s v="D"/>
    <x v="0"/>
    <n v="8.9499999999999993"/>
    <n v="44.75"/>
    <x v="0"/>
    <x v="0"/>
    <x v="0"/>
    <n v="1"/>
    <n v="44.75"/>
    <x v="0"/>
    <x v="0"/>
    <x v="0"/>
    <s v="High Price"/>
    <s v="High Volume"/>
    <x v="1"/>
    <s v="April"/>
    <x v="0"/>
    <x v="0"/>
    <x v="3"/>
  </r>
  <r>
    <s v="LQG-41416-375"/>
    <x v="74"/>
    <s v="45190-08727-NV"/>
    <x v="19"/>
    <n v="3"/>
    <x v="417"/>
    <s v="daizikovitz2u@answers.com"/>
    <x v="1"/>
    <s v="Lib"/>
    <s v="D"/>
    <x v="0"/>
    <n v="12.95"/>
    <n v="38.849999999999994"/>
    <x v="1"/>
    <x v="0"/>
    <x v="0"/>
    <n v="1"/>
    <n v="38.849999999999994"/>
    <x v="0"/>
    <x v="0"/>
    <x v="0"/>
    <s v="High Price"/>
    <s v="Low Volume"/>
    <x v="0"/>
    <s v="October"/>
    <x v="1"/>
    <x v="9"/>
    <x v="1"/>
  </r>
  <r>
    <s v="LQU-08404-173"/>
    <x v="361"/>
    <s v="09960-34242-LZ"/>
    <x v="1"/>
    <n v="3"/>
    <x v="418"/>
    <s v=""/>
    <x v="0"/>
    <s v="Lib"/>
    <s v="L"/>
    <x v="0"/>
    <n v="15.85"/>
    <n v="47.55"/>
    <x v="1"/>
    <x v="1"/>
    <x v="1"/>
    <n v="1"/>
    <n v="47.55"/>
    <x v="0"/>
    <x v="0"/>
    <x v="0"/>
    <s v="High Price"/>
    <s v="Low Volume"/>
    <x v="0"/>
    <s v="December"/>
    <x v="1"/>
    <x v="1"/>
    <x v="2"/>
  </r>
  <r>
    <s v="LRK-97117-150"/>
    <x v="362"/>
    <s v="33000-22405-LO"/>
    <x v="1"/>
    <n v="6"/>
    <x v="419"/>
    <s v="slorenzettidl@is.gd"/>
    <x v="0"/>
    <s v="Lib"/>
    <s v="L"/>
    <x v="0"/>
    <n v="15.85"/>
    <n v="95.1"/>
    <x v="1"/>
    <x v="1"/>
    <x v="1"/>
    <n v="1"/>
    <n v="95.1"/>
    <x v="0"/>
    <x v="0"/>
    <x v="1"/>
    <s v="High Price"/>
    <s v="High Volume"/>
    <x v="1"/>
    <s v="July"/>
    <x v="3"/>
    <x v="1"/>
    <x v="0"/>
  </r>
  <r>
    <s v="LTD-71429-845"/>
    <x v="363"/>
    <s v="03157-23165-UB"/>
    <x v="16"/>
    <n v="1"/>
    <x v="420"/>
    <s v="fcrumpe7u@ftc.gov"/>
    <x v="2"/>
    <s v="Ara"/>
    <s v="L"/>
    <x v="1"/>
    <n v="7.77"/>
    <n v="7.77"/>
    <x v="2"/>
    <x v="1"/>
    <x v="1"/>
    <n v="1"/>
    <n v="7.77"/>
    <x v="0"/>
    <x v="0"/>
    <x v="0"/>
    <s v="Low Price"/>
    <s v="Low Volume"/>
    <x v="3"/>
    <s v="February"/>
    <x v="2"/>
    <x v="6"/>
    <x v="2"/>
  </r>
  <r>
    <s v="LTD-96842-834"/>
    <x v="189"/>
    <s v="00246-15080-LE"/>
    <x v="28"/>
    <n v="6"/>
    <x v="421"/>
    <s v=""/>
    <x v="0"/>
    <s v="Lib"/>
    <s v="D"/>
    <x v="2"/>
    <n v="29.784999999999997"/>
    <n v="178.70999999999998"/>
    <x v="1"/>
    <x v="0"/>
    <x v="1"/>
    <n v="1"/>
    <n v="178.70999999999998"/>
    <x v="0"/>
    <x v="0"/>
    <x v="2"/>
    <s v="High Price"/>
    <s v="High Volume"/>
    <x v="1"/>
    <s v="July"/>
    <x v="3"/>
    <x v="9"/>
    <x v="0"/>
  </r>
  <r>
    <s v="LTN-89139-350"/>
    <x v="364"/>
    <s v="07756-71018-GU"/>
    <x v="44"/>
    <n v="5"/>
    <x v="422"/>
    <s v="kcantor4@gmpg.org"/>
    <x v="0"/>
    <s v="Rob"/>
    <s v="L"/>
    <x v="2"/>
    <n v="27.484999999999996"/>
    <n v="137.42499999999998"/>
    <x v="0"/>
    <x v="1"/>
    <x v="0"/>
    <n v="1"/>
    <n v="137.42499999999998"/>
    <x v="0"/>
    <x v="0"/>
    <x v="3"/>
    <s v="High Price"/>
    <s v="High Volume"/>
    <x v="1"/>
    <s v="June"/>
    <x v="0"/>
    <x v="11"/>
    <x v="0"/>
  </r>
  <r>
    <s v="LTO-95975-728"/>
    <x v="119"/>
    <s v="46560-73885-PJ"/>
    <x v="26"/>
    <n v="4"/>
    <x v="423"/>
    <s v="rmclae72@dailymotion.com"/>
    <x v="2"/>
    <s v="Rob"/>
    <s v="L"/>
    <x v="1"/>
    <n v="7.169999999999999"/>
    <n v="28.679999999999996"/>
    <x v="0"/>
    <x v="1"/>
    <x v="1"/>
    <n v="1"/>
    <n v="28.679999999999996"/>
    <x v="0"/>
    <x v="0"/>
    <x v="0"/>
    <s v="Low Price"/>
    <s v="Low Volume"/>
    <x v="3"/>
    <s v="October"/>
    <x v="1"/>
    <x v="11"/>
    <x v="1"/>
  </r>
  <r>
    <s v="LTP-31133-134"/>
    <x v="365"/>
    <s v="66527-94478-PB"/>
    <x v="16"/>
    <n v="3"/>
    <x v="424"/>
    <s v=""/>
    <x v="0"/>
    <s v="Ara"/>
    <s v="L"/>
    <x v="1"/>
    <n v="7.77"/>
    <n v="23.31"/>
    <x v="2"/>
    <x v="1"/>
    <x v="1"/>
    <n v="1"/>
    <n v="23.31"/>
    <x v="0"/>
    <x v="0"/>
    <x v="0"/>
    <s v="Low Price"/>
    <s v="Low Volume"/>
    <x v="3"/>
    <s v="January"/>
    <x v="2"/>
    <x v="6"/>
    <x v="2"/>
  </r>
  <r>
    <s v="LTS-03470-353"/>
    <x v="366"/>
    <s v="90985-89807-RW"/>
    <x v="17"/>
    <n v="5"/>
    <x v="425"/>
    <s v="wpowleslandgt@soundcloud.com"/>
    <x v="0"/>
    <s v="Ara"/>
    <s v="L"/>
    <x v="2"/>
    <n v="29.784999999999997"/>
    <n v="148.92499999999998"/>
    <x v="2"/>
    <x v="1"/>
    <x v="0"/>
    <n v="1"/>
    <n v="148.92499999999998"/>
    <x v="0"/>
    <x v="0"/>
    <x v="3"/>
    <s v="High Price"/>
    <s v="High Volume"/>
    <x v="1"/>
    <s v="July"/>
    <x v="3"/>
    <x v="6"/>
    <x v="0"/>
  </r>
  <r>
    <s v="LUO-37559-016"/>
    <x v="367"/>
    <s v="21240-83132-SP"/>
    <x v="34"/>
    <n v="3"/>
    <x v="426"/>
    <s v=""/>
    <x v="0"/>
    <s v="Lib"/>
    <s v="M"/>
    <x v="0"/>
    <n v="14.55"/>
    <n v="43.650000000000006"/>
    <x v="1"/>
    <x v="2"/>
    <x v="1"/>
    <n v="1"/>
    <n v="43.650000000000006"/>
    <x v="0"/>
    <x v="0"/>
    <x v="0"/>
    <s v="High Price"/>
    <s v="Low Volume"/>
    <x v="0"/>
    <s v="April"/>
    <x v="0"/>
    <x v="4"/>
    <x v="3"/>
  </r>
  <r>
    <s v="LWJ-06793-303"/>
    <x v="165"/>
    <s v="95424-67020-AP"/>
    <x v="9"/>
    <n v="2"/>
    <x v="427"/>
    <s v="koculleneu@ca.gov"/>
    <x v="1"/>
    <s v="Rob"/>
    <s v="M"/>
    <x v="2"/>
    <n v="22.884999999999998"/>
    <n v="45.769999999999996"/>
    <x v="0"/>
    <x v="2"/>
    <x v="0"/>
    <n v="1"/>
    <n v="45.769999999999996"/>
    <x v="0"/>
    <x v="0"/>
    <x v="0"/>
    <s v="High Price"/>
    <s v="Low Volume"/>
    <x v="0"/>
    <s v="January"/>
    <x v="2"/>
    <x v="5"/>
    <x v="2"/>
  </r>
  <r>
    <s v="LWL-68108-794"/>
    <x v="368"/>
    <s v="44494-89923-UW"/>
    <x v="18"/>
    <n v="3"/>
    <x v="428"/>
    <s v="dhollymanl1@ibm.com"/>
    <x v="0"/>
    <s v="Ara"/>
    <s v="D"/>
    <x v="1"/>
    <n v="5.97"/>
    <n v="17.91"/>
    <x v="2"/>
    <x v="0"/>
    <x v="0"/>
    <n v="1"/>
    <n v="17.91"/>
    <x v="0"/>
    <x v="0"/>
    <x v="0"/>
    <s v="Low Price"/>
    <s v="Low Volume"/>
    <x v="3"/>
    <s v="May"/>
    <x v="0"/>
    <x v="7"/>
    <x v="3"/>
  </r>
  <r>
    <s v="LWS-13938-905"/>
    <x v="369"/>
    <s v="90533-82440-EE"/>
    <x v="3"/>
    <n v="6"/>
    <x v="429"/>
    <s v="mdelvespz@nature.com"/>
    <x v="0"/>
    <s v="Ara"/>
    <s v="M"/>
    <x v="2"/>
    <n v="25.874999999999996"/>
    <n v="155.24999999999997"/>
    <x v="2"/>
    <x v="2"/>
    <x v="0"/>
    <n v="1"/>
    <n v="155.24999999999997"/>
    <x v="0"/>
    <x v="0"/>
    <x v="2"/>
    <s v="High Price"/>
    <s v="High Volume"/>
    <x v="1"/>
    <s v="November"/>
    <x v="1"/>
    <x v="2"/>
    <x v="1"/>
  </r>
  <r>
    <s v="LXK-00634-611"/>
    <x v="370"/>
    <s v="94091-86957-HX"/>
    <x v="31"/>
    <n v="3"/>
    <x v="123"/>
    <s v="jdymokeje@prnewswire.com"/>
    <x v="1"/>
    <s v="Rob"/>
    <s v="L"/>
    <x v="0"/>
    <n v="11.95"/>
    <n v="35.849999999999994"/>
    <x v="0"/>
    <x v="1"/>
    <x v="1"/>
    <n v="1"/>
    <n v="35.849999999999994"/>
    <x v="0"/>
    <x v="0"/>
    <x v="0"/>
    <s v="High Price"/>
    <s v="Low Volume"/>
    <x v="0"/>
    <s v="February"/>
    <x v="2"/>
    <x v="11"/>
    <x v="2"/>
  </r>
  <r>
    <s v="LXR-09892-726"/>
    <x v="308"/>
    <s v="50924-94200-SQ"/>
    <x v="13"/>
    <n v="2"/>
    <x v="430"/>
    <s v="btartem9@aol.com"/>
    <x v="0"/>
    <s v="Rob"/>
    <s v="D"/>
    <x v="2"/>
    <n v="20.584999999999997"/>
    <n v="41.169999999999995"/>
    <x v="0"/>
    <x v="0"/>
    <x v="0"/>
    <n v="1"/>
    <n v="41.169999999999995"/>
    <x v="0"/>
    <x v="0"/>
    <x v="0"/>
    <s v="High Price"/>
    <s v="Low Volume"/>
    <x v="0"/>
    <s v="July"/>
    <x v="3"/>
    <x v="0"/>
    <x v="0"/>
  </r>
  <r>
    <s v="LXS-63326-144"/>
    <x v="371"/>
    <s v="35367-50483-AR"/>
    <x v="26"/>
    <n v="2"/>
    <x v="431"/>
    <s v="gsiudaq4@nytimes.com"/>
    <x v="0"/>
    <s v="Rob"/>
    <s v="L"/>
    <x v="1"/>
    <n v="7.169999999999999"/>
    <n v="14.339999999999998"/>
    <x v="0"/>
    <x v="1"/>
    <x v="0"/>
    <n v="1"/>
    <n v="14.339999999999998"/>
    <x v="0"/>
    <x v="0"/>
    <x v="0"/>
    <s v="Low Price"/>
    <s v="Low Volume"/>
    <x v="3"/>
    <s v="May"/>
    <x v="0"/>
    <x v="11"/>
    <x v="3"/>
  </r>
  <r>
    <s v="LYP-52345-883"/>
    <x v="372"/>
    <s v="17649-28133-PY"/>
    <x v="24"/>
    <n v="1"/>
    <x v="432"/>
    <s v=""/>
    <x v="1"/>
    <s v="Exc"/>
    <s v="M"/>
    <x v="1"/>
    <n v="8.25"/>
    <n v="8.25"/>
    <x v="3"/>
    <x v="2"/>
    <x v="0"/>
    <n v="1"/>
    <n v="8.25"/>
    <x v="0"/>
    <x v="0"/>
    <x v="0"/>
    <s v="Low Price"/>
    <s v="Low Volume"/>
    <x v="3"/>
    <s v="March"/>
    <x v="2"/>
    <x v="3"/>
    <x v="3"/>
  </r>
  <r>
    <s v="MAY-77231-536"/>
    <x v="373"/>
    <s v="01304-59807-OB"/>
    <x v="46"/>
    <n v="2"/>
    <x v="433"/>
    <s v=""/>
    <x v="0"/>
    <s v="Ara"/>
    <s v="M"/>
    <x v="3"/>
    <n v="3.375"/>
    <n v="6.75"/>
    <x v="2"/>
    <x v="2"/>
    <x v="0"/>
    <n v="1"/>
    <n v="6.75"/>
    <x v="0"/>
    <x v="0"/>
    <x v="0"/>
    <s v="Low Price"/>
    <s v="Low Volume"/>
    <x v="3"/>
    <s v="September"/>
    <x v="3"/>
    <x v="2"/>
    <x v="1"/>
  </r>
  <r>
    <s v="MBM-00112-248"/>
    <x v="374"/>
    <s v="50238-24377-ZS"/>
    <x v="1"/>
    <n v="5"/>
    <x v="434"/>
    <s v=""/>
    <x v="0"/>
    <s v="Lib"/>
    <s v="L"/>
    <x v="0"/>
    <n v="15.85"/>
    <n v="79.25"/>
    <x v="1"/>
    <x v="1"/>
    <x v="0"/>
    <n v="1"/>
    <n v="79.25"/>
    <x v="0"/>
    <x v="0"/>
    <x v="1"/>
    <s v="High Price"/>
    <s v="High Volume"/>
    <x v="1"/>
    <s v="September"/>
    <x v="3"/>
    <x v="1"/>
    <x v="1"/>
  </r>
  <r>
    <s v="MBM-55936-917"/>
    <x v="375"/>
    <s v="55989-39849-WO"/>
    <x v="14"/>
    <n v="3"/>
    <x v="435"/>
    <s v="ahavickat@nsw.gov.au"/>
    <x v="0"/>
    <s v="Lib"/>
    <s v="D"/>
    <x v="1"/>
    <n v="7.77"/>
    <n v="23.31"/>
    <x v="1"/>
    <x v="0"/>
    <x v="0"/>
    <n v="1"/>
    <n v="23.31"/>
    <x v="0"/>
    <x v="0"/>
    <x v="0"/>
    <s v="Low Price"/>
    <s v="Low Volume"/>
    <x v="3"/>
    <s v="March"/>
    <x v="2"/>
    <x v="9"/>
    <x v="3"/>
  </r>
  <r>
    <s v="MBT-23379-866"/>
    <x v="376"/>
    <s v="82990-92703-IX"/>
    <x v="1"/>
    <n v="5"/>
    <x v="436"/>
    <s v="nhelkine9@example.com"/>
    <x v="0"/>
    <s v="Lib"/>
    <s v="L"/>
    <x v="0"/>
    <n v="15.85"/>
    <n v="79.25"/>
    <x v="1"/>
    <x v="1"/>
    <x v="1"/>
    <n v="1"/>
    <n v="79.25"/>
    <x v="0"/>
    <x v="0"/>
    <x v="1"/>
    <s v="High Price"/>
    <s v="High Volume"/>
    <x v="1"/>
    <s v="May"/>
    <x v="0"/>
    <x v="1"/>
    <x v="3"/>
  </r>
  <r>
    <s v="MDC-03318-645"/>
    <x v="377"/>
    <s v="43974-44760-QI"/>
    <x v="23"/>
    <n v="2"/>
    <x v="437"/>
    <s v="wmaddox7l@timesonline.co.uk"/>
    <x v="0"/>
    <s v="Ara"/>
    <s v="L"/>
    <x v="3"/>
    <n v="3.8849999999999998"/>
    <n v="7.77"/>
    <x v="2"/>
    <x v="1"/>
    <x v="1"/>
    <n v="1"/>
    <n v="7.77"/>
    <x v="0"/>
    <x v="0"/>
    <x v="0"/>
    <s v="Low Price"/>
    <s v="Low Volume"/>
    <x v="3"/>
    <s v="April"/>
    <x v="0"/>
    <x v="6"/>
    <x v="3"/>
  </r>
  <r>
    <s v="MDG-14481-513"/>
    <x v="378"/>
    <s v="64897-79178-MH"/>
    <x v="3"/>
    <n v="4"/>
    <x v="438"/>
    <s v="zpellettf2@dailymotion.com"/>
    <x v="0"/>
    <s v="Ara"/>
    <s v="M"/>
    <x v="2"/>
    <n v="25.874999999999996"/>
    <n v="103.49999999999999"/>
    <x v="2"/>
    <x v="2"/>
    <x v="1"/>
    <n v="1"/>
    <n v="103.49999999999999"/>
    <x v="0"/>
    <x v="0"/>
    <x v="3"/>
    <s v="High Price"/>
    <s v="Low Volume"/>
    <x v="0"/>
    <s v="May"/>
    <x v="0"/>
    <x v="2"/>
    <x v="3"/>
  </r>
  <r>
    <s v="MEK-39769-035"/>
    <x v="379"/>
    <s v="15380-76513-PS"/>
    <x v="13"/>
    <n v="3"/>
    <x v="439"/>
    <s v="pyea4d@aol.com"/>
    <x v="1"/>
    <s v="Rob"/>
    <s v="D"/>
    <x v="2"/>
    <n v="20.584999999999997"/>
    <n v="61.754999999999995"/>
    <x v="0"/>
    <x v="0"/>
    <x v="1"/>
    <n v="1"/>
    <n v="61.754999999999995"/>
    <x v="0"/>
    <x v="0"/>
    <x v="1"/>
    <s v="High Price"/>
    <s v="Low Volume"/>
    <x v="0"/>
    <s v="June"/>
    <x v="0"/>
    <x v="0"/>
    <x v="0"/>
  </r>
  <r>
    <s v="MEK-85120-243"/>
    <x v="380"/>
    <s v="06623-54610-HC"/>
    <x v="25"/>
    <n v="3"/>
    <x v="440"/>
    <s v=""/>
    <x v="0"/>
    <s v="Rob"/>
    <s v="L"/>
    <x v="3"/>
    <n v="3.5849999999999995"/>
    <n v="10.754999999999999"/>
    <x v="0"/>
    <x v="1"/>
    <x v="1"/>
    <n v="1"/>
    <n v="10.754999999999999"/>
    <x v="0"/>
    <x v="0"/>
    <x v="0"/>
    <s v="Low Price"/>
    <s v="Low Volume"/>
    <x v="3"/>
    <s v="March"/>
    <x v="2"/>
    <x v="11"/>
    <x v="3"/>
  </r>
  <r>
    <s v="MEX-29350-659"/>
    <x v="115"/>
    <s v="02009-87294-SY"/>
    <x v="21"/>
    <n v="5"/>
    <x v="441"/>
    <s v="vpolglasefd@about.me"/>
    <x v="0"/>
    <s v="Exc"/>
    <s v="M"/>
    <x v="0"/>
    <n v="13.75"/>
    <n v="68.75"/>
    <x v="3"/>
    <x v="2"/>
    <x v="1"/>
    <n v="1"/>
    <n v="68.75"/>
    <x v="0"/>
    <x v="0"/>
    <x v="1"/>
    <s v="High Price"/>
    <s v="High Volume"/>
    <x v="1"/>
    <s v="September"/>
    <x v="3"/>
    <x v="3"/>
    <x v="1"/>
  </r>
  <r>
    <s v="MGH-36050-573"/>
    <x v="381"/>
    <s v="75156-80911-YT"/>
    <x v="6"/>
    <n v="2"/>
    <x v="442"/>
    <s v="vstansburygc@unblog.fr"/>
    <x v="0"/>
    <s v="Rob"/>
    <s v="M"/>
    <x v="1"/>
    <n v="5.97"/>
    <n v="11.94"/>
    <x v="0"/>
    <x v="2"/>
    <x v="0"/>
    <n v="1"/>
    <n v="11.94"/>
    <x v="0"/>
    <x v="0"/>
    <x v="0"/>
    <s v="Low Price"/>
    <s v="Low Volume"/>
    <x v="3"/>
    <s v="August"/>
    <x v="3"/>
    <x v="5"/>
    <x v="0"/>
  </r>
  <r>
    <s v="MGQ-98961-173"/>
    <x v="223"/>
    <s v="83895-90735-XH"/>
    <x v="30"/>
    <n v="4"/>
    <x v="443"/>
    <s v="bdrage39@youku.com"/>
    <x v="0"/>
    <s v="Lib"/>
    <s v="L"/>
    <x v="1"/>
    <n v="9.51"/>
    <n v="38.04"/>
    <x v="1"/>
    <x v="1"/>
    <x v="1"/>
    <n v="1"/>
    <n v="38.04"/>
    <x v="0"/>
    <x v="0"/>
    <x v="0"/>
    <s v="High Price"/>
    <s v="Low Volume"/>
    <x v="0"/>
    <s v="April"/>
    <x v="0"/>
    <x v="1"/>
    <x v="3"/>
  </r>
  <r>
    <s v="MHD-95615-696"/>
    <x v="253"/>
    <s v="27930-59250-JT"/>
    <x v="44"/>
    <n v="5"/>
    <x v="223"/>
    <s v=""/>
    <x v="0"/>
    <s v="Rob"/>
    <s v="L"/>
    <x v="2"/>
    <n v="27.484999999999996"/>
    <n v="137.42499999999998"/>
    <x v="0"/>
    <x v="1"/>
    <x v="1"/>
    <n v="1"/>
    <n v="137.42499999999998"/>
    <x v="0"/>
    <x v="0"/>
    <x v="3"/>
    <s v="High Price"/>
    <s v="High Volume"/>
    <x v="1"/>
    <s v="February"/>
    <x v="2"/>
    <x v="11"/>
    <x v="2"/>
  </r>
  <r>
    <s v="MHM-44857-599"/>
    <x v="66"/>
    <s v="26295-44907-DK"/>
    <x v="19"/>
    <n v="1"/>
    <x v="444"/>
    <s v="aweinmannj8@shinystat.com"/>
    <x v="0"/>
    <s v="Lib"/>
    <s v="D"/>
    <x v="0"/>
    <n v="12.95"/>
    <n v="12.95"/>
    <x v="1"/>
    <x v="0"/>
    <x v="1"/>
    <n v="1"/>
    <n v="12.95"/>
    <x v="0"/>
    <x v="0"/>
    <x v="0"/>
    <s v="Low Price"/>
    <s v="Low Volume"/>
    <x v="3"/>
    <s v="September"/>
    <x v="3"/>
    <x v="9"/>
    <x v="1"/>
  </r>
  <r>
    <s v="MIF-17920-768"/>
    <x v="382"/>
    <s v="68946-40750-LK"/>
    <x v="25"/>
    <n v="6"/>
    <x v="445"/>
    <s v="mhanseddh@instagram.com"/>
    <x v="1"/>
    <s v="Rob"/>
    <s v="L"/>
    <x v="3"/>
    <n v="3.5849999999999995"/>
    <n v="21.509999999999998"/>
    <x v="0"/>
    <x v="1"/>
    <x v="0"/>
    <n v="1"/>
    <n v="21.509999999999998"/>
    <x v="0"/>
    <x v="0"/>
    <x v="0"/>
    <s v="Low Price"/>
    <s v="High Volume"/>
    <x v="2"/>
    <s v="August"/>
    <x v="3"/>
    <x v="11"/>
    <x v="0"/>
  </r>
  <r>
    <s v="MIQ-16322-908"/>
    <x v="383"/>
    <s v="20118-28138-QD"/>
    <x v="7"/>
    <n v="2"/>
    <x v="446"/>
    <s v="jskentelberyoa@paypal.com"/>
    <x v="0"/>
    <s v="Ara"/>
    <s v="L"/>
    <x v="0"/>
    <n v="12.95"/>
    <n v="25.9"/>
    <x v="2"/>
    <x v="1"/>
    <x v="1"/>
    <n v="1"/>
    <n v="25.9"/>
    <x v="0"/>
    <x v="0"/>
    <x v="0"/>
    <s v="Low Price"/>
    <s v="Low Volume"/>
    <x v="3"/>
    <s v="August"/>
    <x v="3"/>
    <x v="6"/>
    <x v="0"/>
  </r>
  <r>
    <s v="MIS-54381-047"/>
    <x v="62"/>
    <s v="39276-95489-XV"/>
    <x v="18"/>
    <n v="5"/>
    <x v="447"/>
    <s v="nsictornesjh@buzzfeed.com"/>
    <x v="1"/>
    <s v="Ara"/>
    <s v="D"/>
    <x v="1"/>
    <n v="5.97"/>
    <n v="29.849999999999998"/>
    <x v="2"/>
    <x v="0"/>
    <x v="0"/>
    <n v="1"/>
    <n v="29.849999999999998"/>
    <x v="0"/>
    <x v="0"/>
    <x v="0"/>
    <s v="High Price"/>
    <s v="High Volume"/>
    <x v="1"/>
    <s v="June"/>
    <x v="0"/>
    <x v="7"/>
    <x v="0"/>
  </r>
  <r>
    <s v="MIU-01481-194"/>
    <x v="384"/>
    <s v="08439-55669-AI"/>
    <x v="16"/>
    <n v="2"/>
    <x v="448"/>
    <s v="rpursglovel9@biblegateway.com"/>
    <x v="0"/>
    <s v="Ara"/>
    <s v="L"/>
    <x v="1"/>
    <n v="7.77"/>
    <n v="15.54"/>
    <x v="2"/>
    <x v="1"/>
    <x v="0"/>
    <n v="2"/>
    <n v="37.619999999999997"/>
    <x v="1"/>
    <x v="1"/>
    <x v="0"/>
    <s v="Low Price"/>
    <s v="Low Volume"/>
    <x v="3"/>
    <s v="July"/>
    <x v="3"/>
    <x v="6"/>
    <x v="0"/>
  </r>
  <r>
    <s v="MIU-01481-194"/>
    <x v="384"/>
    <s v="08439-55669-AI"/>
    <x v="38"/>
    <n v="6"/>
    <x v="448"/>
    <s v="rpursglovel9@biblegateway.com"/>
    <x v="0"/>
    <s v="Rob"/>
    <s v="M"/>
    <x v="0"/>
    <n v="9.9499999999999993"/>
    <n v="59.699999999999996"/>
    <x v="0"/>
    <x v="2"/>
    <x v="0"/>
    <n v="2"/>
    <n v="37.619999999999997"/>
    <x v="1"/>
    <x v="1"/>
    <x v="1"/>
    <s v="High Price"/>
    <s v="High Volume"/>
    <x v="1"/>
    <s v="July"/>
    <x v="3"/>
    <x v="5"/>
    <x v="0"/>
  </r>
  <r>
    <s v="MJF-20065-335"/>
    <x v="385"/>
    <s v="56891-86662-UY"/>
    <x v="20"/>
    <n v="6"/>
    <x v="449"/>
    <s v="vwakelinic@unesco.org"/>
    <x v="0"/>
    <s v="Exc"/>
    <s v="L"/>
    <x v="1"/>
    <n v="8.91"/>
    <n v="53.46"/>
    <x v="3"/>
    <x v="1"/>
    <x v="1"/>
    <n v="1"/>
    <n v="53.46"/>
    <x v="0"/>
    <x v="0"/>
    <x v="1"/>
    <s v="High Price"/>
    <s v="High Volume"/>
    <x v="1"/>
    <s v="September"/>
    <x v="3"/>
    <x v="10"/>
    <x v="1"/>
  </r>
  <r>
    <s v="MJZ-93232-402"/>
    <x v="386"/>
    <s v="17816-67941-ZS"/>
    <x v="40"/>
    <n v="1"/>
    <x v="450"/>
    <s v="lellinghamgv@sciencedaily.com"/>
    <x v="0"/>
    <s v="Exc"/>
    <s v="D"/>
    <x v="3"/>
    <n v="3.645"/>
    <n v="3.645"/>
    <x v="3"/>
    <x v="0"/>
    <x v="0"/>
    <n v="1"/>
    <n v="3.645"/>
    <x v="0"/>
    <x v="0"/>
    <x v="0"/>
    <s v="Low Price"/>
    <s v="Low Volume"/>
    <x v="3"/>
    <s v="March"/>
    <x v="2"/>
    <x v="8"/>
    <x v="3"/>
  </r>
  <r>
    <s v="MKE-75518-399"/>
    <x v="387"/>
    <s v="62588-82624-II"/>
    <x v="35"/>
    <n v="3"/>
    <x v="451"/>
    <s v="cfluin8k@flickr.com"/>
    <x v="2"/>
    <s v="Ara"/>
    <s v="M"/>
    <x v="0"/>
    <n v="11.25"/>
    <n v="33.75"/>
    <x v="2"/>
    <x v="2"/>
    <x v="1"/>
    <n v="1"/>
    <n v="33.75"/>
    <x v="0"/>
    <x v="0"/>
    <x v="0"/>
    <s v="High Price"/>
    <s v="Low Volume"/>
    <x v="0"/>
    <s v="June"/>
    <x v="0"/>
    <x v="2"/>
    <x v="0"/>
  </r>
  <r>
    <s v="MOR-12987-399"/>
    <x v="388"/>
    <s v="34015-31593-JC"/>
    <x v="34"/>
    <n v="6"/>
    <x v="452"/>
    <s v="epriddis2w@nationalgeographic.com"/>
    <x v="0"/>
    <s v="Lib"/>
    <s v="M"/>
    <x v="0"/>
    <n v="14.55"/>
    <n v="87.300000000000011"/>
    <x v="1"/>
    <x v="2"/>
    <x v="1"/>
    <n v="1"/>
    <n v="87.300000000000011"/>
    <x v="0"/>
    <x v="0"/>
    <x v="1"/>
    <s v="High Price"/>
    <s v="High Volume"/>
    <x v="1"/>
    <s v="August"/>
    <x v="3"/>
    <x v="4"/>
    <x v="0"/>
  </r>
  <r>
    <s v="MOU-74341-266"/>
    <x v="389"/>
    <s v="99358-65399-TC"/>
    <x v="18"/>
    <n v="4"/>
    <x v="453"/>
    <s v="jawdry9q@utexas.edu"/>
    <x v="0"/>
    <s v="Ara"/>
    <s v="D"/>
    <x v="1"/>
    <n v="5.97"/>
    <n v="23.88"/>
    <x v="2"/>
    <x v="0"/>
    <x v="1"/>
    <n v="1"/>
    <n v="23.88"/>
    <x v="0"/>
    <x v="0"/>
    <x v="0"/>
    <s v="Low Price"/>
    <s v="Low Volume"/>
    <x v="3"/>
    <s v="May"/>
    <x v="0"/>
    <x v="7"/>
    <x v="3"/>
  </r>
  <r>
    <s v="MPQ-23421-608"/>
    <x v="38"/>
    <s v="08023-52962-ET"/>
    <x v="24"/>
    <n v="5"/>
    <x v="454"/>
    <s v="kheddanmy@icq.com"/>
    <x v="0"/>
    <s v="Exc"/>
    <s v="M"/>
    <x v="1"/>
    <n v="8.25"/>
    <n v="41.25"/>
    <x v="3"/>
    <x v="2"/>
    <x v="0"/>
    <n v="1"/>
    <n v="41.25"/>
    <x v="0"/>
    <x v="0"/>
    <x v="0"/>
    <s v="High Price"/>
    <s v="High Volume"/>
    <x v="1"/>
    <s v="March"/>
    <x v="2"/>
    <x v="3"/>
    <x v="3"/>
  </r>
  <r>
    <s v="MPV-26985-215"/>
    <x v="390"/>
    <s v="51466-52850-AG"/>
    <x v="47"/>
    <n v="1"/>
    <x v="455"/>
    <s v="achatto7v@sakura.ne.jp"/>
    <x v="2"/>
    <s v="Rob"/>
    <s v="D"/>
    <x v="1"/>
    <n v="5.3699999999999992"/>
    <n v="5.3699999999999992"/>
    <x v="0"/>
    <x v="0"/>
    <x v="0"/>
    <n v="1"/>
    <n v="5.3699999999999992"/>
    <x v="0"/>
    <x v="0"/>
    <x v="0"/>
    <s v="Low Price"/>
    <s v="Low Volume"/>
    <x v="3"/>
    <s v="June"/>
    <x v="0"/>
    <x v="0"/>
    <x v="0"/>
  </r>
  <r>
    <s v="MQU-86100-929"/>
    <x v="391"/>
    <s v="64418-01720-VW"/>
    <x v="30"/>
    <n v="4"/>
    <x v="456"/>
    <s v=""/>
    <x v="0"/>
    <s v="Lib"/>
    <s v="L"/>
    <x v="1"/>
    <n v="9.51"/>
    <n v="38.04"/>
    <x v="1"/>
    <x v="1"/>
    <x v="0"/>
    <n v="1"/>
    <n v="38.04"/>
    <x v="0"/>
    <x v="0"/>
    <x v="0"/>
    <s v="High Price"/>
    <s v="Low Volume"/>
    <x v="0"/>
    <s v="June"/>
    <x v="0"/>
    <x v="1"/>
    <x v="0"/>
  </r>
  <r>
    <s v="MSB-08397-648"/>
    <x v="138"/>
    <s v="49530-25460-RW"/>
    <x v="25"/>
    <n v="4"/>
    <x v="457"/>
    <s v=""/>
    <x v="0"/>
    <s v="Rob"/>
    <s v="L"/>
    <x v="3"/>
    <n v="3.5849999999999995"/>
    <n v="14.339999999999998"/>
    <x v="0"/>
    <x v="1"/>
    <x v="1"/>
    <n v="1"/>
    <n v="14.339999999999998"/>
    <x v="0"/>
    <x v="0"/>
    <x v="0"/>
    <s v="Low Price"/>
    <s v="Low Volume"/>
    <x v="3"/>
    <s v="March"/>
    <x v="2"/>
    <x v="11"/>
    <x v="3"/>
  </r>
  <r>
    <s v="MSJ-11909-468"/>
    <x v="392"/>
    <s v="07878-45872-CC"/>
    <x v="32"/>
    <n v="5"/>
    <x v="458"/>
    <s v="ccromwell76@desdev.cn"/>
    <x v="0"/>
    <s v="Exc"/>
    <s v="D"/>
    <x v="2"/>
    <n v="27.945"/>
    <n v="139.72499999999999"/>
    <x v="3"/>
    <x v="0"/>
    <x v="1"/>
    <n v="1"/>
    <n v="139.72499999999999"/>
    <x v="0"/>
    <x v="0"/>
    <x v="3"/>
    <s v="High Price"/>
    <s v="High Volume"/>
    <x v="1"/>
    <s v="November"/>
    <x v="1"/>
    <x v="8"/>
    <x v="1"/>
  </r>
  <r>
    <s v="MUY-15309-209"/>
    <x v="393"/>
    <s v="97152-03355-IW"/>
    <x v="19"/>
    <n v="3"/>
    <x v="459"/>
    <s v="gbentjens6u@netlog.com"/>
    <x v="2"/>
    <s v="Lib"/>
    <s v="D"/>
    <x v="0"/>
    <n v="12.95"/>
    <n v="38.849999999999994"/>
    <x v="1"/>
    <x v="0"/>
    <x v="1"/>
    <n v="1"/>
    <n v="38.849999999999994"/>
    <x v="0"/>
    <x v="0"/>
    <x v="0"/>
    <s v="High Price"/>
    <s v="Low Volume"/>
    <x v="0"/>
    <s v="December"/>
    <x v="1"/>
    <x v="9"/>
    <x v="2"/>
  </r>
  <r>
    <s v="MVB-22135-665"/>
    <x v="139"/>
    <s v="55621-06130-SA"/>
    <x v="8"/>
    <n v="1"/>
    <x v="460"/>
    <s v="drallinhy@howstuffworks.com"/>
    <x v="0"/>
    <s v="Ara"/>
    <s v="D"/>
    <x v="0"/>
    <n v="9.9499999999999993"/>
    <n v="9.9499999999999993"/>
    <x v="2"/>
    <x v="0"/>
    <x v="0"/>
    <n v="1"/>
    <n v="9.9499999999999993"/>
    <x v="0"/>
    <x v="0"/>
    <x v="0"/>
    <s v="Low Price"/>
    <s v="Low Volume"/>
    <x v="3"/>
    <s v="December"/>
    <x v="1"/>
    <x v="7"/>
    <x v="2"/>
  </r>
  <r>
    <s v="MVI-04946-827"/>
    <x v="394"/>
    <s v="62483-50867-OM"/>
    <x v="45"/>
    <n v="1"/>
    <x v="461"/>
    <s v=""/>
    <x v="2"/>
    <s v="Exc"/>
    <s v="L"/>
    <x v="0"/>
    <n v="14.85"/>
    <n v="14.85"/>
    <x v="3"/>
    <x v="1"/>
    <x v="1"/>
    <n v="1"/>
    <n v="14.85"/>
    <x v="0"/>
    <x v="0"/>
    <x v="0"/>
    <s v="Low Price"/>
    <s v="Low Volume"/>
    <x v="3"/>
    <s v="November"/>
    <x v="1"/>
    <x v="10"/>
    <x v="1"/>
  </r>
  <r>
    <s v="MVO-39328-830"/>
    <x v="395"/>
    <s v="84057-45461-AH"/>
    <x v="37"/>
    <n v="5"/>
    <x v="462"/>
    <s v="ocomberob@goo.gl"/>
    <x v="1"/>
    <s v="Lib"/>
    <s v="M"/>
    <x v="1"/>
    <n v="8.73"/>
    <n v="43.650000000000006"/>
    <x v="1"/>
    <x v="2"/>
    <x v="1"/>
    <n v="2"/>
    <n v="45.135000000000005"/>
    <x v="1"/>
    <x v="1"/>
    <x v="0"/>
    <s v="High Price"/>
    <s v="High Volume"/>
    <x v="1"/>
    <s v="February"/>
    <x v="2"/>
    <x v="4"/>
    <x v="2"/>
  </r>
  <r>
    <s v="MVO-39328-830"/>
    <x v="395"/>
    <s v="84057-45461-AH"/>
    <x v="16"/>
    <n v="6"/>
    <x v="462"/>
    <s v="ocomberob@goo.gl"/>
    <x v="1"/>
    <s v="Ara"/>
    <s v="L"/>
    <x v="1"/>
    <n v="7.77"/>
    <n v="46.62"/>
    <x v="2"/>
    <x v="1"/>
    <x v="1"/>
    <n v="2"/>
    <n v="45.135000000000005"/>
    <x v="1"/>
    <x v="1"/>
    <x v="0"/>
    <s v="High Price"/>
    <s v="High Volume"/>
    <x v="1"/>
    <s v="February"/>
    <x v="2"/>
    <x v="6"/>
    <x v="2"/>
  </r>
  <r>
    <s v="MVV-19034-198"/>
    <x v="396"/>
    <s v="98476-63654-CG"/>
    <x v="32"/>
    <n v="6"/>
    <x v="463"/>
    <s v=""/>
    <x v="0"/>
    <s v="Exc"/>
    <s v="D"/>
    <x v="2"/>
    <n v="27.945"/>
    <n v="167.67000000000002"/>
    <x v="3"/>
    <x v="0"/>
    <x v="0"/>
    <n v="1"/>
    <n v="167.67000000000002"/>
    <x v="0"/>
    <x v="0"/>
    <x v="2"/>
    <s v="High Price"/>
    <s v="High Volume"/>
    <x v="1"/>
    <s v="May"/>
    <x v="0"/>
    <x v="8"/>
    <x v="3"/>
  </r>
  <r>
    <s v="MWP-46239-785"/>
    <x v="103"/>
    <s v="87979-56781-YV"/>
    <x v="5"/>
    <n v="5"/>
    <x v="464"/>
    <s v="srodliff3g@ted.com"/>
    <x v="0"/>
    <s v="Lib"/>
    <s v="M"/>
    <x v="3"/>
    <n v="4.3650000000000002"/>
    <n v="21.825000000000003"/>
    <x v="1"/>
    <x v="2"/>
    <x v="0"/>
    <n v="1"/>
    <n v="21.825000000000003"/>
    <x v="0"/>
    <x v="0"/>
    <x v="0"/>
    <s v="Low Price"/>
    <s v="High Volume"/>
    <x v="2"/>
    <s v="April"/>
    <x v="0"/>
    <x v="4"/>
    <x v="3"/>
  </r>
  <r>
    <s v="MXM-42948-061"/>
    <x v="84"/>
    <s v="20203-03950-FY"/>
    <x v="10"/>
    <n v="4"/>
    <x v="465"/>
    <s v="gstandley38@dion.ne.jp"/>
    <x v="1"/>
    <s v="Lib"/>
    <s v="L"/>
    <x v="3"/>
    <n v="4.7549999999999999"/>
    <n v="19.02"/>
    <x v="1"/>
    <x v="1"/>
    <x v="0"/>
    <n v="1"/>
    <n v="19.02"/>
    <x v="0"/>
    <x v="0"/>
    <x v="0"/>
    <s v="Low Price"/>
    <s v="Low Volume"/>
    <x v="3"/>
    <s v="August"/>
    <x v="3"/>
    <x v="1"/>
    <x v="0"/>
  </r>
  <r>
    <s v="MZJ-77284-941"/>
    <x v="397"/>
    <s v="99978-56910-BN"/>
    <x v="27"/>
    <n v="5"/>
    <x v="466"/>
    <s v="erolingq@google.fr"/>
    <x v="0"/>
    <s v="Exc"/>
    <s v="L"/>
    <x v="3"/>
    <n v="4.4550000000000001"/>
    <n v="22.274999999999999"/>
    <x v="3"/>
    <x v="1"/>
    <x v="0"/>
    <n v="1"/>
    <n v="22.274999999999999"/>
    <x v="0"/>
    <x v="0"/>
    <x v="0"/>
    <s v="Low Price"/>
    <s v="High Volume"/>
    <x v="2"/>
    <s v="May"/>
    <x v="0"/>
    <x v="10"/>
    <x v="3"/>
  </r>
  <r>
    <s v="MZL-81126-390"/>
    <x v="398"/>
    <s v="48464-99723-HK"/>
    <x v="46"/>
    <n v="2"/>
    <x v="467"/>
    <s v="jethelstonnl@creativecommons.org"/>
    <x v="0"/>
    <s v="Ara"/>
    <s v="M"/>
    <x v="3"/>
    <n v="3.375"/>
    <n v="6.75"/>
    <x v="2"/>
    <x v="2"/>
    <x v="0"/>
    <n v="2"/>
    <n v="15.03"/>
    <x v="1"/>
    <x v="1"/>
    <x v="0"/>
    <s v="Low Price"/>
    <s v="Low Volume"/>
    <x v="3"/>
    <s v="March"/>
    <x v="2"/>
    <x v="2"/>
    <x v="3"/>
  </r>
  <r>
    <s v="MZL-81126-390"/>
    <x v="398"/>
    <s v="48464-99723-HK"/>
    <x v="23"/>
    <n v="6"/>
    <x v="467"/>
    <s v="jethelstonnl@creativecommons.org"/>
    <x v="0"/>
    <s v="Ara"/>
    <s v="L"/>
    <x v="3"/>
    <n v="3.8849999999999998"/>
    <n v="23.31"/>
    <x v="2"/>
    <x v="1"/>
    <x v="0"/>
    <n v="2"/>
    <n v="15.03"/>
    <x v="1"/>
    <x v="1"/>
    <x v="0"/>
    <s v="Low Price"/>
    <s v="High Volume"/>
    <x v="2"/>
    <s v="March"/>
    <x v="2"/>
    <x v="6"/>
    <x v="3"/>
  </r>
  <r>
    <s v="NAR-00747-074"/>
    <x v="215"/>
    <s v="23243-92649-RY"/>
    <x v="19"/>
    <n v="4"/>
    <x v="468"/>
    <s v="sjennaroyi8@purevolume.com"/>
    <x v="0"/>
    <s v="Lib"/>
    <s v="D"/>
    <x v="0"/>
    <n v="12.95"/>
    <n v="51.8"/>
    <x v="1"/>
    <x v="0"/>
    <x v="1"/>
    <n v="1"/>
    <n v="51.8"/>
    <x v="0"/>
    <x v="0"/>
    <x v="1"/>
    <s v="High Price"/>
    <s v="Low Volume"/>
    <x v="0"/>
    <s v="October"/>
    <x v="1"/>
    <x v="9"/>
    <x v="1"/>
  </r>
  <r>
    <s v="NBT-35757-542"/>
    <x v="399"/>
    <s v="73647-66148-VM"/>
    <x v="27"/>
    <n v="3"/>
    <x v="469"/>
    <s v="bmundenf8@elpais.com"/>
    <x v="0"/>
    <s v="Exc"/>
    <s v="L"/>
    <x v="3"/>
    <n v="4.4550000000000001"/>
    <n v="13.365"/>
    <x v="3"/>
    <x v="1"/>
    <x v="0"/>
    <n v="1"/>
    <n v="13.365"/>
    <x v="0"/>
    <x v="0"/>
    <x v="0"/>
    <s v="Low Price"/>
    <s v="Low Volume"/>
    <x v="3"/>
    <s v="July"/>
    <x v="3"/>
    <x v="10"/>
    <x v="0"/>
  </r>
  <r>
    <s v="NCH-55389-562"/>
    <x v="103"/>
    <s v="86579-92122-OC"/>
    <x v="23"/>
    <n v="2"/>
    <x v="268"/>
    <s v=""/>
    <x v="0"/>
    <s v="Ara"/>
    <s v="L"/>
    <x v="3"/>
    <n v="3.8849999999999998"/>
    <n v="7.77"/>
    <x v="2"/>
    <x v="1"/>
    <x v="0"/>
    <n v="4"/>
    <n v="62.091249999999988"/>
    <x v="1"/>
    <x v="1"/>
    <x v="0"/>
    <s v="Low Price"/>
    <s v="Low Volume"/>
    <x v="3"/>
    <s v="April"/>
    <x v="0"/>
    <x v="6"/>
    <x v="3"/>
  </r>
  <r>
    <s v="NCH-55389-562"/>
    <x v="103"/>
    <s v="86579-92122-OC"/>
    <x v="45"/>
    <n v="1"/>
    <x v="268"/>
    <s v=""/>
    <x v="0"/>
    <s v="Exc"/>
    <s v="L"/>
    <x v="0"/>
    <n v="14.85"/>
    <n v="14.85"/>
    <x v="3"/>
    <x v="1"/>
    <x v="0"/>
    <n v="4"/>
    <n v="62.091249999999988"/>
    <x v="1"/>
    <x v="1"/>
    <x v="0"/>
    <s v="Low Price"/>
    <s v="Low Volume"/>
    <x v="3"/>
    <s v="April"/>
    <x v="0"/>
    <x v="10"/>
    <x v="3"/>
  </r>
  <r>
    <s v="NCH-55389-562"/>
    <x v="103"/>
    <s v="86579-92122-OC"/>
    <x v="44"/>
    <n v="2"/>
    <x v="268"/>
    <s v=""/>
    <x v="0"/>
    <s v="Rob"/>
    <s v="L"/>
    <x v="2"/>
    <n v="27.484999999999996"/>
    <n v="54.969999999999992"/>
    <x v="0"/>
    <x v="1"/>
    <x v="0"/>
    <n v="4"/>
    <n v="62.091249999999988"/>
    <x v="1"/>
    <x v="1"/>
    <x v="1"/>
    <s v="High Price"/>
    <s v="Low Volume"/>
    <x v="0"/>
    <s v="April"/>
    <x v="0"/>
    <x v="11"/>
    <x v="3"/>
  </r>
  <r>
    <s v="NCH-55389-562"/>
    <x v="103"/>
    <s v="86579-92122-OC"/>
    <x v="39"/>
    <n v="5"/>
    <x v="268"/>
    <s v=""/>
    <x v="0"/>
    <s v="Exc"/>
    <s v="L"/>
    <x v="2"/>
    <n v="34.154999999999994"/>
    <n v="170.77499999999998"/>
    <x v="3"/>
    <x v="1"/>
    <x v="0"/>
    <n v="4"/>
    <n v="62.091249999999988"/>
    <x v="1"/>
    <x v="1"/>
    <x v="2"/>
    <s v="High Price"/>
    <s v="High Volume"/>
    <x v="1"/>
    <s v="April"/>
    <x v="0"/>
    <x v="10"/>
    <x v="3"/>
  </r>
  <r>
    <s v="NEU-86533-016"/>
    <x v="400"/>
    <s v="96544-91644-IT"/>
    <x v="15"/>
    <n v="6"/>
    <x v="470"/>
    <s v="gschonfeld4j@oracle.com"/>
    <x v="0"/>
    <s v="Rob"/>
    <s v="D"/>
    <x v="3"/>
    <n v="2.6849999999999996"/>
    <n v="16.11"/>
    <x v="0"/>
    <x v="0"/>
    <x v="1"/>
    <n v="1"/>
    <n v="16.11"/>
    <x v="0"/>
    <x v="0"/>
    <x v="0"/>
    <s v="Low Price"/>
    <s v="High Volume"/>
    <x v="2"/>
    <s v="June"/>
    <x v="0"/>
    <x v="0"/>
    <x v="0"/>
  </r>
  <r>
    <s v="NEX-63825-598"/>
    <x v="204"/>
    <s v="72072-33025-SD"/>
    <x v="26"/>
    <n v="2"/>
    <x v="471"/>
    <s v="athysfo@cdc.gov"/>
    <x v="0"/>
    <s v="Rob"/>
    <s v="L"/>
    <x v="1"/>
    <n v="7.169999999999999"/>
    <n v="14.339999999999998"/>
    <x v="0"/>
    <x v="1"/>
    <x v="1"/>
    <n v="1"/>
    <n v="14.339999999999998"/>
    <x v="0"/>
    <x v="0"/>
    <x v="0"/>
    <s v="Low Price"/>
    <s v="Low Volume"/>
    <x v="3"/>
    <s v="February"/>
    <x v="2"/>
    <x v="11"/>
    <x v="2"/>
  </r>
  <r>
    <s v="NFA-03411-746"/>
    <x v="148"/>
    <s v="07476-13102-NJ"/>
    <x v="16"/>
    <n v="2"/>
    <x v="472"/>
    <s v="hfromantf4@ucsd.edu"/>
    <x v="0"/>
    <s v="Ara"/>
    <s v="L"/>
    <x v="1"/>
    <n v="7.77"/>
    <n v="15.54"/>
    <x v="2"/>
    <x v="1"/>
    <x v="1"/>
    <n v="1"/>
    <n v="15.54"/>
    <x v="0"/>
    <x v="0"/>
    <x v="0"/>
    <s v="Low Price"/>
    <s v="Low Volume"/>
    <x v="3"/>
    <s v="February"/>
    <x v="2"/>
    <x v="6"/>
    <x v="2"/>
  </r>
  <r>
    <s v="NFI-37188-246"/>
    <x v="337"/>
    <s v="89490-75361-AF"/>
    <x v="22"/>
    <n v="4"/>
    <x v="473"/>
    <s v="wjallinpa@pcworld.com"/>
    <x v="0"/>
    <s v="Ara"/>
    <s v="D"/>
    <x v="2"/>
    <n v="22.884999999999998"/>
    <n v="91.539999999999992"/>
    <x v="2"/>
    <x v="0"/>
    <x v="1"/>
    <n v="1"/>
    <n v="91.539999999999992"/>
    <x v="0"/>
    <x v="0"/>
    <x v="1"/>
    <s v="High Price"/>
    <s v="Low Volume"/>
    <x v="0"/>
    <s v="September"/>
    <x v="3"/>
    <x v="7"/>
    <x v="1"/>
  </r>
  <r>
    <s v="NFQ-23241-793"/>
    <x v="401"/>
    <s v="88446-59251-SQ"/>
    <x v="35"/>
    <n v="3"/>
    <x v="474"/>
    <s v=""/>
    <x v="0"/>
    <s v="Ara"/>
    <s v="M"/>
    <x v="0"/>
    <n v="11.25"/>
    <n v="33.75"/>
    <x v="2"/>
    <x v="2"/>
    <x v="0"/>
    <n v="1"/>
    <n v="33.75"/>
    <x v="0"/>
    <x v="0"/>
    <x v="0"/>
    <s v="High Price"/>
    <s v="Low Volume"/>
    <x v="0"/>
    <s v="October"/>
    <x v="1"/>
    <x v="2"/>
    <x v="1"/>
  </r>
  <r>
    <s v="NGG-24006-937"/>
    <x v="341"/>
    <s v="29102-40100-TZ"/>
    <x v="4"/>
    <n v="4"/>
    <x v="475"/>
    <s v="lflippellih4@github.io"/>
    <x v="2"/>
    <s v="Exc"/>
    <s v="M"/>
    <x v="2"/>
    <n v="31.624999999999996"/>
    <n v="126.49999999999999"/>
    <x v="3"/>
    <x v="2"/>
    <x v="1"/>
    <n v="1"/>
    <n v="126.49999999999999"/>
    <x v="0"/>
    <x v="0"/>
    <x v="3"/>
    <s v="High Price"/>
    <s v="Low Volume"/>
    <x v="0"/>
    <s v="March"/>
    <x v="2"/>
    <x v="3"/>
    <x v="3"/>
  </r>
  <r>
    <s v="NHI-23264-055"/>
    <x v="402"/>
    <s v="44799-09711-XW"/>
    <x v="18"/>
    <n v="4"/>
    <x v="476"/>
    <s v=""/>
    <x v="0"/>
    <s v="Ara"/>
    <s v="D"/>
    <x v="1"/>
    <n v="5.97"/>
    <n v="23.88"/>
    <x v="2"/>
    <x v="0"/>
    <x v="0"/>
    <n v="1"/>
    <n v="23.88"/>
    <x v="0"/>
    <x v="0"/>
    <x v="0"/>
    <s v="Low Price"/>
    <s v="Low Volume"/>
    <x v="3"/>
    <s v="February"/>
    <x v="2"/>
    <x v="7"/>
    <x v="2"/>
  </r>
  <r>
    <s v="NHL-11063-100"/>
    <x v="177"/>
    <s v="39181-35745-WH"/>
    <x v="7"/>
    <n v="4"/>
    <x v="477"/>
    <s v=""/>
    <x v="1"/>
    <s v="Ara"/>
    <s v="L"/>
    <x v="0"/>
    <n v="12.95"/>
    <n v="51.8"/>
    <x v="2"/>
    <x v="1"/>
    <x v="0"/>
    <n v="1"/>
    <n v="51.8"/>
    <x v="0"/>
    <x v="0"/>
    <x v="1"/>
    <s v="High Price"/>
    <s v="Low Volume"/>
    <x v="0"/>
    <s v="May"/>
    <x v="0"/>
    <x v="6"/>
    <x v="3"/>
  </r>
  <r>
    <s v="NID-20149-329"/>
    <x v="403"/>
    <s v="49888-39458-PF"/>
    <x v="15"/>
    <n v="2"/>
    <x v="478"/>
    <s v="aharroldch@miibeian.gov.cn"/>
    <x v="0"/>
    <s v="Rob"/>
    <s v="D"/>
    <x v="3"/>
    <n v="2.6849999999999996"/>
    <n v="5.3699999999999992"/>
    <x v="0"/>
    <x v="0"/>
    <x v="1"/>
    <n v="1"/>
    <n v="5.3699999999999992"/>
    <x v="0"/>
    <x v="0"/>
    <x v="0"/>
    <s v="Low Price"/>
    <s v="Low Volume"/>
    <x v="3"/>
    <s v="May"/>
    <x v="0"/>
    <x v="0"/>
    <x v="3"/>
  </r>
  <r>
    <s v="NJR-03699-189"/>
    <x v="199"/>
    <s v="95152-82155-VQ"/>
    <x v="32"/>
    <n v="1"/>
    <x v="479"/>
    <s v="gwynespn@dagondesign.com"/>
    <x v="0"/>
    <s v="Exc"/>
    <s v="D"/>
    <x v="2"/>
    <n v="27.945"/>
    <n v="27.945"/>
    <x v="3"/>
    <x v="0"/>
    <x v="1"/>
    <n v="1"/>
    <n v="27.945"/>
    <x v="0"/>
    <x v="0"/>
    <x v="0"/>
    <s v="Low Price"/>
    <s v="Low Volume"/>
    <x v="3"/>
    <s v="October"/>
    <x v="1"/>
    <x v="8"/>
    <x v="1"/>
  </r>
  <r>
    <s v="NKW-24945-846"/>
    <x v="404"/>
    <s v="75977-30364-AY"/>
    <x v="22"/>
    <n v="5"/>
    <x v="480"/>
    <s v="jpray4a@youtube.com"/>
    <x v="0"/>
    <s v="Ara"/>
    <s v="D"/>
    <x v="2"/>
    <n v="22.884999999999998"/>
    <n v="114.42499999999998"/>
    <x v="2"/>
    <x v="0"/>
    <x v="1"/>
    <n v="1"/>
    <n v="114.42499999999998"/>
    <x v="0"/>
    <x v="0"/>
    <x v="3"/>
    <s v="High Price"/>
    <s v="High Volume"/>
    <x v="1"/>
    <s v="October"/>
    <x v="1"/>
    <x v="7"/>
    <x v="1"/>
  </r>
  <r>
    <s v="NLI-63891-565"/>
    <x v="28"/>
    <s v="41899-00283-VK"/>
    <x v="42"/>
    <n v="5"/>
    <x v="481"/>
    <s v="ichartersmz@abc.net.au"/>
    <x v="0"/>
    <s v="Exc"/>
    <s v="M"/>
    <x v="3"/>
    <n v="4.125"/>
    <n v="20.625"/>
    <x v="3"/>
    <x v="2"/>
    <x v="1"/>
    <n v="1"/>
    <n v="20.625"/>
    <x v="0"/>
    <x v="0"/>
    <x v="0"/>
    <s v="Low Price"/>
    <s v="High Volume"/>
    <x v="2"/>
    <s v="December"/>
    <x v="1"/>
    <x v="3"/>
    <x v="2"/>
  </r>
  <r>
    <s v="NNB-20459-430"/>
    <x v="405"/>
    <s v="79825-17822-UH"/>
    <x v="5"/>
    <n v="2"/>
    <x v="482"/>
    <s v="ddibleyd7@feedburner.com"/>
    <x v="0"/>
    <s v="Lib"/>
    <s v="M"/>
    <x v="3"/>
    <n v="4.3650000000000002"/>
    <n v="8.73"/>
    <x v="1"/>
    <x v="2"/>
    <x v="1"/>
    <n v="1"/>
    <n v="8.73"/>
    <x v="0"/>
    <x v="0"/>
    <x v="0"/>
    <s v="Low Price"/>
    <s v="Low Volume"/>
    <x v="3"/>
    <s v="July"/>
    <x v="3"/>
    <x v="4"/>
    <x v="0"/>
  </r>
  <r>
    <s v="NNF-47422-501"/>
    <x v="222"/>
    <s v="20260-32948-EB"/>
    <x v="27"/>
    <n v="6"/>
    <x v="483"/>
    <s v="agregorattilq@vistaprint.com"/>
    <x v="1"/>
    <s v="Exc"/>
    <s v="L"/>
    <x v="3"/>
    <n v="4.4550000000000001"/>
    <n v="26.73"/>
    <x v="3"/>
    <x v="1"/>
    <x v="1"/>
    <n v="1"/>
    <n v="26.73"/>
    <x v="0"/>
    <x v="0"/>
    <x v="0"/>
    <s v="Low Price"/>
    <s v="High Volume"/>
    <x v="2"/>
    <s v="March"/>
    <x v="2"/>
    <x v="10"/>
    <x v="3"/>
  </r>
  <r>
    <s v="NNH-62058-950"/>
    <x v="406"/>
    <s v="96112-42558-EA"/>
    <x v="45"/>
    <n v="4"/>
    <x v="484"/>
    <s v="kkarby7t@sbwire.com"/>
    <x v="0"/>
    <s v="Exc"/>
    <s v="L"/>
    <x v="0"/>
    <n v="14.85"/>
    <n v="59.4"/>
    <x v="3"/>
    <x v="1"/>
    <x v="0"/>
    <n v="1"/>
    <n v="59.4"/>
    <x v="0"/>
    <x v="0"/>
    <x v="1"/>
    <s v="High Price"/>
    <s v="Low Volume"/>
    <x v="0"/>
    <s v="January"/>
    <x v="2"/>
    <x v="10"/>
    <x v="2"/>
  </r>
  <r>
    <s v="NOA-79645-377"/>
    <x v="407"/>
    <s v="53729-30320-XZ"/>
    <x v="47"/>
    <n v="5"/>
    <x v="485"/>
    <s v="etrippmt@wp.com"/>
    <x v="0"/>
    <s v="Rob"/>
    <s v="D"/>
    <x v="1"/>
    <n v="5.3699999999999992"/>
    <n v="26.849999999999994"/>
    <x v="0"/>
    <x v="0"/>
    <x v="1"/>
    <n v="1"/>
    <n v="26.849999999999994"/>
    <x v="0"/>
    <x v="0"/>
    <x v="0"/>
    <s v="Low Price"/>
    <s v="High Volume"/>
    <x v="2"/>
    <s v="November"/>
    <x v="1"/>
    <x v="0"/>
    <x v="1"/>
  </r>
  <r>
    <s v="NOK-50349-551"/>
    <x v="408"/>
    <s v="09595-95726-OV"/>
    <x v="47"/>
    <n v="3"/>
    <x v="486"/>
    <s v="esedgebeer89@oaic.gov.au"/>
    <x v="0"/>
    <s v="Rob"/>
    <s v="D"/>
    <x v="1"/>
    <n v="5.3699999999999992"/>
    <n v="16.11"/>
    <x v="0"/>
    <x v="0"/>
    <x v="0"/>
    <n v="1"/>
    <n v="16.11"/>
    <x v="0"/>
    <x v="0"/>
    <x v="0"/>
    <s v="Low Price"/>
    <s v="Low Volume"/>
    <x v="3"/>
    <s v="March"/>
    <x v="2"/>
    <x v="0"/>
    <x v="3"/>
  </r>
  <r>
    <s v="NOM-56457-507"/>
    <x v="409"/>
    <s v="40214-03678-GU"/>
    <x v="21"/>
    <n v="6"/>
    <x v="487"/>
    <s v="hsaillip@odnoklassniki.ru"/>
    <x v="0"/>
    <s v="Exc"/>
    <s v="M"/>
    <x v="0"/>
    <n v="13.75"/>
    <n v="82.5"/>
    <x v="3"/>
    <x v="2"/>
    <x v="0"/>
    <n v="1"/>
    <n v="82.5"/>
    <x v="0"/>
    <x v="0"/>
    <x v="1"/>
    <s v="High Price"/>
    <s v="High Volume"/>
    <x v="1"/>
    <s v="October"/>
    <x v="1"/>
    <x v="3"/>
    <x v="1"/>
  </r>
  <r>
    <s v="NOP-21394-646"/>
    <x v="410"/>
    <s v="16982-35708-BZ"/>
    <x v="30"/>
    <n v="4"/>
    <x v="488"/>
    <s v="ncuttler5g@parallels.com"/>
    <x v="0"/>
    <s v="Lib"/>
    <s v="L"/>
    <x v="1"/>
    <n v="9.51"/>
    <n v="38.04"/>
    <x v="1"/>
    <x v="1"/>
    <x v="1"/>
    <n v="5"/>
    <n v="56.334999999999994"/>
    <x v="2"/>
    <x v="2"/>
    <x v="0"/>
    <s v="High Price"/>
    <s v="Low Volume"/>
    <x v="0"/>
    <s v="May"/>
    <x v="0"/>
    <x v="1"/>
    <x v="3"/>
  </r>
  <r>
    <s v="NOP-21394-646"/>
    <x v="410"/>
    <s v="16982-35708-BZ"/>
    <x v="21"/>
    <n v="3"/>
    <x v="488"/>
    <s v="ncuttler5g@parallels.com"/>
    <x v="0"/>
    <s v="Exc"/>
    <s v="M"/>
    <x v="0"/>
    <n v="13.75"/>
    <n v="41.25"/>
    <x v="3"/>
    <x v="2"/>
    <x v="1"/>
    <n v="5"/>
    <n v="56.334999999999994"/>
    <x v="2"/>
    <x v="2"/>
    <x v="0"/>
    <s v="High Price"/>
    <s v="Low Volume"/>
    <x v="0"/>
    <s v="May"/>
    <x v="0"/>
    <x v="3"/>
    <x v="3"/>
  </r>
  <r>
    <s v="NOP-21394-646"/>
    <x v="410"/>
    <s v="16982-35708-BZ"/>
    <x v="20"/>
    <n v="6"/>
    <x v="488"/>
    <s v="ncuttler5g@parallels.com"/>
    <x v="0"/>
    <s v="Exc"/>
    <s v="L"/>
    <x v="1"/>
    <n v="8.91"/>
    <n v="53.46"/>
    <x v="3"/>
    <x v="1"/>
    <x v="1"/>
    <n v="5"/>
    <n v="56.334999999999994"/>
    <x v="2"/>
    <x v="2"/>
    <x v="1"/>
    <s v="High Price"/>
    <s v="High Volume"/>
    <x v="1"/>
    <s v="May"/>
    <x v="0"/>
    <x v="10"/>
    <x v="3"/>
  </r>
  <r>
    <s v="NOP-21394-646"/>
    <x v="410"/>
    <s v="16982-35708-BZ"/>
    <x v="28"/>
    <n v="2"/>
    <x v="488"/>
    <s v="ncuttler5g@parallels.com"/>
    <x v="0"/>
    <s v="Lib"/>
    <s v="D"/>
    <x v="2"/>
    <n v="29.784999999999997"/>
    <n v="59.569999999999993"/>
    <x v="1"/>
    <x v="0"/>
    <x v="1"/>
    <n v="5"/>
    <n v="56.334999999999994"/>
    <x v="2"/>
    <x v="2"/>
    <x v="1"/>
    <s v="High Price"/>
    <s v="Low Volume"/>
    <x v="0"/>
    <s v="May"/>
    <x v="0"/>
    <x v="9"/>
    <x v="3"/>
  </r>
  <r>
    <s v="NOP-21394-646"/>
    <x v="410"/>
    <s v="16982-35708-BZ"/>
    <x v="28"/>
    <n v="3"/>
    <x v="488"/>
    <s v="ncuttler5g@parallels.com"/>
    <x v="0"/>
    <s v="Lib"/>
    <s v="D"/>
    <x v="2"/>
    <n v="29.784999999999997"/>
    <n v="89.35499999999999"/>
    <x v="1"/>
    <x v="0"/>
    <x v="1"/>
    <n v="5"/>
    <n v="56.334999999999994"/>
    <x v="2"/>
    <x v="2"/>
    <x v="1"/>
    <s v="High Price"/>
    <s v="Low Volume"/>
    <x v="0"/>
    <s v="May"/>
    <x v="0"/>
    <x v="9"/>
    <x v="3"/>
  </r>
  <r>
    <s v="NOY-99738-977"/>
    <x v="411"/>
    <s v="82872-34456-LJ"/>
    <x v="44"/>
    <n v="2"/>
    <x v="489"/>
    <s v=""/>
    <x v="2"/>
    <s v="Rob"/>
    <s v="L"/>
    <x v="2"/>
    <n v="27.484999999999996"/>
    <n v="54.969999999999992"/>
    <x v="0"/>
    <x v="1"/>
    <x v="0"/>
    <n v="1"/>
    <n v="54.969999999999992"/>
    <x v="0"/>
    <x v="0"/>
    <x v="1"/>
    <s v="High Price"/>
    <s v="Low Volume"/>
    <x v="0"/>
    <s v="September"/>
    <x v="3"/>
    <x v="11"/>
    <x v="1"/>
  </r>
  <r>
    <s v="NQS-01613-687"/>
    <x v="412"/>
    <s v="10204-31464-SA"/>
    <x v="14"/>
    <n v="1"/>
    <x v="490"/>
    <s v="bogb@elpais.com"/>
    <x v="0"/>
    <s v="Lib"/>
    <s v="D"/>
    <x v="1"/>
    <n v="7.77"/>
    <n v="7.77"/>
    <x v="1"/>
    <x v="0"/>
    <x v="0"/>
    <n v="1"/>
    <n v="7.77"/>
    <x v="0"/>
    <x v="0"/>
    <x v="0"/>
    <s v="Low Price"/>
    <s v="Low Volume"/>
    <x v="3"/>
    <s v="March"/>
    <x v="2"/>
    <x v="9"/>
    <x v="3"/>
  </r>
  <r>
    <s v="NQZ-82067-394"/>
    <x v="413"/>
    <s v="72320-29738-EB"/>
    <x v="44"/>
    <n v="1"/>
    <x v="491"/>
    <s v="avairowiv@studiopress.com"/>
    <x v="2"/>
    <s v="Rob"/>
    <s v="L"/>
    <x v="2"/>
    <n v="27.484999999999996"/>
    <n v="27.484999999999996"/>
    <x v="0"/>
    <x v="1"/>
    <x v="1"/>
    <n v="1"/>
    <n v="27.484999999999996"/>
    <x v="0"/>
    <x v="0"/>
    <x v="0"/>
    <s v="Low Price"/>
    <s v="Low Volume"/>
    <x v="3"/>
    <s v="March"/>
    <x v="2"/>
    <x v="11"/>
    <x v="3"/>
  </r>
  <r>
    <s v="NSQ-72210-345"/>
    <x v="414"/>
    <s v="90940-63327-DJ"/>
    <x v="46"/>
    <n v="6"/>
    <x v="492"/>
    <s v="akelstonfq@sakura.ne.jp"/>
    <x v="0"/>
    <s v="Ara"/>
    <s v="M"/>
    <x v="3"/>
    <n v="3.375"/>
    <n v="20.25"/>
    <x v="2"/>
    <x v="2"/>
    <x v="0"/>
    <n v="1"/>
    <n v="20.25"/>
    <x v="0"/>
    <x v="0"/>
    <x v="0"/>
    <s v="Low Price"/>
    <s v="High Volume"/>
    <x v="2"/>
    <s v="September"/>
    <x v="3"/>
    <x v="2"/>
    <x v="1"/>
  </r>
  <r>
    <s v="NTJ-88319-746"/>
    <x v="190"/>
    <s v="90882-88130-KQ"/>
    <x v="30"/>
    <n v="3"/>
    <x v="493"/>
    <s v="ztramelod@netlog.com"/>
    <x v="0"/>
    <s v="Lib"/>
    <s v="L"/>
    <x v="1"/>
    <n v="9.51"/>
    <n v="28.53"/>
    <x v="1"/>
    <x v="1"/>
    <x v="1"/>
    <n v="1"/>
    <n v="28.53"/>
    <x v="0"/>
    <x v="0"/>
    <x v="0"/>
    <s v="Low Price"/>
    <s v="Low Volume"/>
    <x v="3"/>
    <s v="August"/>
    <x v="3"/>
    <x v="1"/>
    <x v="0"/>
  </r>
  <r>
    <s v="NUN-48214-216"/>
    <x v="415"/>
    <s v="06953-94794-FB"/>
    <x v="2"/>
    <n v="4"/>
    <x v="494"/>
    <s v=""/>
    <x v="0"/>
    <s v="Ara"/>
    <s v="M"/>
    <x v="1"/>
    <n v="6.75"/>
    <n v="27"/>
    <x v="2"/>
    <x v="2"/>
    <x v="1"/>
    <n v="1"/>
    <n v="27"/>
    <x v="0"/>
    <x v="0"/>
    <x v="0"/>
    <s v="Low Price"/>
    <s v="Low Volume"/>
    <x v="3"/>
    <s v="July"/>
    <x v="3"/>
    <x v="2"/>
    <x v="0"/>
  </r>
  <r>
    <s v="NUO-20013-488"/>
    <x v="272"/>
    <s v="03090-88267-BQ"/>
    <x v="43"/>
    <n v="6"/>
    <x v="495"/>
    <s v="adavidowskyl@netvibes.com"/>
    <x v="0"/>
    <s v="Ara"/>
    <s v="D"/>
    <x v="3"/>
    <n v="2.9849999999999999"/>
    <n v="17.91"/>
    <x v="2"/>
    <x v="0"/>
    <x v="1"/>
    <n v="1"/>
    <n v="17.91"/>
    <x v="0"/>
    <x v="0"/>
    <x v="0"/>
    <s v="Low Price"/>
    <s v="High Volume"/>
    <x v="2"/>
    <s v="December"/>
    <x v="1"/>
    <x v="7"/>
    <x v="2"/>
  </r>
  <r>
    <s v="NUU-03893-975"/>
    <x v="416"/>
    <s v="41054-59693-XE"/>
    <x v="30"/>
    <n v="2"/>
    <x v="496"/>
    <s v="vshoebothamkv@redcross.org"/>
    <x v="0"/>
    <s v="Lib"/>
    <s v="L"/>
    <x v="1"/>
    <n v="9.51"/>
    <n v="19.02"/>
    <x v="1"/>
    <x v="1"/>
    <x v="1"/>
    <n v="1"/>
    <n v="19.02"/>
    <x v="0"/>
    <x v="0"/>
    <x v="0"/>
    <s v="Low Price"/>
    <s v="Low Volume"/>
    <x v="3"/>
    <s v="January"/>
    <x v="2"/>
    <x v="1"/>
    <x v="2"/>
  </r>
  <r>
    <s v="NVN-66443-451"/>
    <x v="417"/>
    <s v="98921-82417-GN"/>
    <x v="0"/>
    <n v="2"/>
    <x v="497"/>
    <s v="adarthbt@t.co"/>
    <x v="0"/>
    <s v="Rob"/>
    <s v="D"/>
    <x v="0"/>
    <n v="8.9499999999999993"/>
    <n v="17.899999999999999"/>
    <x v="0"/>
    <x v="0"/>
    <x v="1"/>
    <n v="1"/>
    <n v="17.899999999999999"/>
    <x v="0"/>
    <x v="0"/>
    <x v="0"/>
    <s v="Low Price"/>
    <s v="Low Volume"/>
    <x v="3"/>
    <s v="August"/>
    <x v="3"/>
    <x v="0"/>
    <x v="0"/>
  </r>
  <r>
    <s v="NWQ-70061-912"/>
    <x v="418"/>
    <s v="61021-27840-ZN"/>
    <x v="6"/>
    <n v="1"/>
    <x v="498"/>
    <s v="rraven9@ed.gov"/>
    <x v="0"/>
    <s v="Rob"/>
    <s v="M"/>
    <x v="1"/>
    <n v="5.97"/>
    <n v="5.97"/>
    <x v="0"/>
    <x v="2"/>
    <x v="1"/>
    <n v="1"/>
    <n v="5.97"/>
    <x v="0"/>
    <x v="0"/>
    <x v="0"/>
    <s v="Low Price"/>
    <s v="Low Volume"/>
    <x v="3"/>
    <s v="September"/>
    <x v="3"/>
    <x v="5"/>
    <x v="1"/>
  </r>
  <r>
    <s v="NWT-78222-575"/>
    <x v="419"/>
    <s v="75986-98864-EZ"/>
    <x v="43"/>
    <n v="1"/>
    <x v="499"/>
    <s v=""/>
    <x v="1"/>
    <s v="Ara"/>
    <s v="D"/>
    <x v="3"/>
    <n v="2.9849999999999999"/>
    <n v="2.9849999999999999"/>
    <x v="2"/>
    <x v="0"/>
    <x v="1"/>
    <n v="1"/>
    <n v="2.9849999999999999"/>
    <x v="0"/>
    <x v="0"/>
    <x v="0"/>
    <s v="Low Price"/>
    <s v="Low Volume"/>
    <x v="3"/>
    <s v="December"/>
    <x v="1"/>
    <x v="7"/>
    <x v="2"/>
  </r>
  <r>
    <s v="NXF-15738-707"/>
    <x v="420"/>
    <s v="28699-16256-XV"/>
    <x v="47"/>
    <n v="2"/>
    <x v="500"/>
    <s v=""/>
    <x v="0"/>
    <s v="Rob"/>
    <s v="D"/>
    <x v="1"/>
    <n v="5.3699999999999992"/>
    <n v="10.739999999999998"/>
    <x v="0"/>
    <x v="0"/>
    <x v="1"/>
    <n v="1"/>
    <n v="10.739999999999998"/>
    <x v="0"/>
    <x v="0"/>
    <x v="0"/>
    <s v="Low Price"/>
    <s v="Low Volume"/>
    <x v="3"/>
    <s v="January"/>
    <x v="2"/>
    <x v="0"/>
    <x v="2"/>
  </r>
  <r>
    <s v="NXM-89323-646"/>
    <x v="421"/>
    <s v="28158-93383-CK"/>
    <x v="12"/>
    <n v="1"/>
    <x v="501"/>
    <s v="kphilbrickpu@cdc.gov"/>
    <x v="0"/>
    <s v="Exc"/>
    <s v="D"/>
    <x v="0"/>
    <n v="12.15"/>
    <n v="12.15"/>
    <x v="3"/>
    <x v="0"/>
    <x v="0"/>
    <n v="1"/>
    <n v="12.15"/>
    <x v="0"/>
    <x v="0"/>
    <x v="0"/>
    <s v="Low Price"/>
    <s v="Low Volume"/>
    <x v="3"/>
    <s v="March"/>
    <x v="2"/>
    <x v="8"/>
    <x v="3"/>
  </r>
  <r>
    <s v="NXV-05302-067"/>
    <x v="422"/>
    <s v="25754-33191-ZI"/>
    <x v="41"/>
    <n v="4"/>
    <x v="502"/>
    <s v=""/>
    <x v="0"/>
    <s v="Lib"/>
    <s v="M"/>
    <x v="2"/>
    <n v="33.464999999999996"/>
    <n v="133.85999999999999"/>
    <x v="1"/>
    <x v="2"/>
    <x v="1"/>
    <n v="1"/>
    <n v="133.85999999999999"/>
    <x v="0"/>
    <x v="0"/>
    <x v="3"/>
    <s v="High Price"/>
    <s v="Low Volume"/>
    <x v="0"/>
    <s v="April"/>
    <x v="0"/>
    <x v="4"/>
    <x v="3"/>
  </r>
  <r>
    <s v="NYQ-24237-772"/>
    <x v="235"/>
    <s v="13441-34686-SW"/>
    <x v="14"/>
    <n v="4"/>
    <x v="503"/>
    <s v="jbluckjc@imageshack.us"/>
    <x v="0"/>
    <s v="Lib"/>
    <s v="D"/>
    <x v="1"/>
    <n v="7.77"/>
    <n v="31.08"/>
    <x v="1"/>
    <x v="0"/>
    <x v="1"/>
    <n v="1"/>
    <n v="31.08"/>
    <x v="0"/>
    <x v="0"/>
    <x v="0"/>
    <s v="High Price"/>
    <s v="Low Volume"/>
    <x v="0"/>
    <s v="August"/>
    <x v="3"/>
    <x v="9"/>
    <x v="0"/>
  </r>
  <r>
    <s v="NYY-73968-094"/>
    <x v="423"/>
    <s v="70451-38048-AH"/>
    <x v="47"/>
    <n v="6"/>
    <x v="504"/>
    <s v="nclimance9j@europa.eu"/>
    <x v="0"/>
    <s v="Rob"/>
    <s v="D"/>
    <x v="1"/>
    <n v="5.3699999999999992"/>
    <n v="32.22"/>
    <x v="0"/>
    <x v="0"/>
    <x v="1"/>
    <n v="1"/>
    <n v="32.22"/>
    <x v="0"/>
    <x v="0"/>
    <x v="0"/>
    <s v="High Price"/>
    <s v="High Volume"/>
    <x v="1"/>
    <s v="August"/>
    <x v="3"/>
    <x v="0"/>
    <x v="0"/>
  </r>
  <r>
    <s v="NZN-71683-705"/>
    <x v="332"/>
    <s v="04921-85445-SL"/>
    <x v="17"/>
    <n v="6"/>
    <x v="505"/>
    <s v="hlarvoriq@last.fm"/>
    <x v="0"/>
    <s v="Ara"/>
    <s v="L"/>
    <x v="2"/>
    <n v="29.784999999999997"/>
    <n v="178.70999999999998"/>
    <x v="2"/>
    <x v="1"/>
    <x v="0"/>
    <n v="1"/>
    <n v="178.70999999999998"/>
    <x v="0"/>
    <x v="0"/>
    <x v="2"/>
    <s v="High Price"/>
    <s v="High Volume"/>
    <x v="1"/>
    <s v="December"/>
    <x v="1"/>
    <x v="6"/>
    <x v="2"/>
  </r>
  <r>
    <s v="OAM-76916-748"/>
    <x v="424"/>
    <s v="63025-62939-AN"/>
    <x v="12"/>
    <n v="3"/>
    <x v="506"/>
    <s v=""/>
    <x v="0"/>
    <s v="Exc"/>
    <s v="D"/>
    <x v="0"/>
    <n v="12.15"/>
    <n v="36.450000000000003"/>
    <x v="3"/>
    <x v="0"/>
    <x v="0"/>
    <n v="1"/>
    <n v="36.450000000000003"/>
    <x v="0"/>
    <x v="0"/>
    <x v="0"/>
    <s v="High Price"/>
    <s v="Low Volume"/>
    <x v="0"/>
    <s v="January"/>
    <x v="2"/>
    <x v="8"/>
    <x v="2"/>
  </r>
  <r>
    <s v="OAW-17338-101"/>
    <x v="425"/>
    <s v="52143-35672-JF"/>
    <x v="15"/>
    <n v="6"/>
    <x v="412"/>
    <s v="tmathonneti0@google.co.jp"/>
    <x v="0"/>
    <s v="Rob"/>
    <s v="D"/>
    <x v="3"/>
    <n v="2.6849999999999996"/>
    <n v="16.11"/>
    <x v="0"/>
    <x v="0"/>
    <x v="1"/>
    <n v="1"/>
    <n v="16.11"/>
    <x v="0"/>
    <x v="0"/>
    <x v="0"/>
    <s v="Low Price"/>
    <s v="High Volume"/>
    <x v="2"/>
    <s v="February"/>
    <x v="2"/>
    <x v="0"/>
    <x v="2"/>
  </r>
  <r>
    <s v="OBN-66334-505"/>
    <x v="426"/>
    <s v="86757-52367-ON"/>
    <x v="27"/>
    <n v="2"/>
    <x v="507"/>
    <s v="jcamillopt@shinystat.com"/>
    <x v="0"/>
    <s v="Exc"/>
    <s v="L"/>
    <x v="3"/>
    <n v="4.4550000000000001"/>
    <n v="8.91"/>
    <x v="3"/>
    <x v="1"/>
    <x v="0"/>
    <n v="1"/>
    <n v="8.91"/>
    <x v="0"/>
    <x v="0"/>
    <x v="0"/>
    <s v="Low Price"/>
    <s v="Low Volume"/>
    <x v="3"/>
    <s v="November"/>
    <x v="1"/>
    <x v="10"/>
    <x v="1"/>
  </r>
  <r>
    <s v="OCK-89033-348"/>
    <x v="427"/>
    <s v="82300-88786-UE"/>
    <x v="23"/>
    <n v="6"/>
    <x v="508"/>
    <s v=""/>
    <x v="0"/>
    <s v="Ara"/>
    <s v="L"/>
    <x v="3"/>
    <n v="3.8849999999999998"/>
    <n v="23.31"/>
    <x v="2"/>
    <x v="1"/>
    <x v="0"/>
    <n v="1"/>
    <n v="23.31"/>
    <x v="0"/>
    <x v="0"/>
    <x v="0"/>
    <s v="Low Price"/>
    <s v="High Volume"/>
    <x v="2"/>
    <s v="March"/>
    <x v="2"/>
    <x v="6"/>
    <x v="3"/>
  </r>
  <r>
    <s v="OFN-49424-848"/>
    <x v="428"/>
    <s v="73346-85564-JB"/>
    <x v="44"/>
    <n v="2"/>
    <x v="509"/>
    <s v="isprakesf3@spiegel.de"/>
    <x v="0"/>
    <s v="Rob"/>
    <s v="L"/>
    <x v="2"/>
    <n v="27.484999999999996"/>
    <n v="54.969999999999992"/>
    <x v="0"/>
    <x v="1"/>
    <x v="1"/>
    <n v="1"/>
    <n v="54.969999999999992"/>
    <x v="0"/>
    <x v="0"/>
    <x v="1"/>
    <s v="High Price"/>
    <s v="Low Volume"/>
    <x v="0"/>
    <s v="July"/>
    <x v="3"/>
    <x v="11"/>
    <x v="0"/>
  </r>
  <r>
    <s v="OFX-99147-470"/>
    <x v="240"/>
    <s v="49860-68865-AB"/>
    <x v="38"/>
    <n v="6"/>
    <x v="510"/>
    <s v=""/>
    <x v="0"/>
    <s v="Rob"/>
    <s v="M"/>
    <x v="0"/>
    <n v="9.9499999999999993"/>
    <n v="59.699999999999996"/>
    <x v="0"/>
    <x v="2"/>
    <x v="0"/>
    <n v="1"/>
    <n v="59.699999999999996"/>
    <x v="0"/>
    <x v="0"/>
    <x v="1"/>
    <s v="High Price"/>
    <s v="High Volume"/>
    <x v="1"/>
    <s v="November"/>
    <x v="1"/>
    <x v="5"/>
    <x v="1"/>
  </r>
  <r>
    <s v="OGB-91614-810"/>
    <x v="252"/>
    <s v="08909-77713-CG"/>
    <x v="11"/>
    <n v="1"/>
    <x v="511"/>
    <s v="macott6y@pagesperso-orange.fr"/>
    <x v="0"/>
    <s v="Rob"/>
    <s v="M"/>
    <x v="3"/>
    <n v="2.9849999999999999"/>
    <n v="2.9849999999999999"/>
    <x v="0"/>
    <x v="2"/>
    <x v="0"/>
    <n v="1"/>
    <n v="2.9849999999999999"/>
    <x v="0"/>
    <x v="0"/>
    <x v="0"/>
    <s v="Low Price"/>
    <s v="Low Volume"/>
    <x v="3"/>
    <s v="February"/>
    <x v="2"/>
    <x v="5"/>
    <x v="2"/>
  </r>
  <r>
    <s v="OGD-10781-526"/>
    <x v="429"/>
    <s v="16880-78077-FB"/>
    <x v="26"/>
    <n v="6"/>
    <x v="349"/>
    <s v="tfarraac@behance.net"/>
    <x v="0"/>
    <s v="Rob"/>
    <s v="L"/>
    <x v="1"/>
    <n v="7.169999999999999"/>
    <n v="43.019999999999996"/>
    <x v="0"/>
    <x v="1"/>
    <x v="1"/>
    <n v="1"/>
    <n v="43.019999999999996"/>
    <x v="0"/>
    <x v="0"/>
    <x v="0"/>
    <s v="High Price"/>
    <s v="High Volume"/>
    <x v="1"/>
    <s v="October"/>
    <x v="1"/>
    <x v="11"/>
    <x v="1"/>
  </r>
  <r>
    <s v="OGW-60685-912"/>
    <x v="122"/>
    <s v="67423-10113-LM"/>
    <x v="32"/>
    <n v="4"/>
    <x v="512"/>
    <s v="hbranganex@woothemes.com"/>
    <x v="0"/>
    <s v="Exc"/>
    <s v="D"/>
    <x v="2"/>
    <n v="27.945"/>
    <n v="111.78"/>
    <x v="3"/>
    <x v="0"/>
    <x v="0"/>
    <n v="1"/>
    <n v="111.78"/>
    <x v="0"/>
    <x v="0"/>
    <x v="3"/>
    <s v="High Price"/>
    <s v="Low Volume"/>
    <x v="0"/>
    <s v="November"/>
    <x v="1"/>
    <x v="8"/>
    <x v="1"/>
  </r>
  <r>
    <s v="OGY-19377-175"/>
    <x v="430"/>
    <s v="49084-44492-OJ"/>
    <x v="36"/>
    <n v="1"/>
    <x v="513"/>
    <s v=""/>
    <x v="1"/>
    <s v="Exc"/>
    <s v="D"/>
    <x v="1"/>
    <n v="7.29"/>
    <n v="7.29"/>
    <x v="3"/>
    <x v="0"/>
    <x v="0"/>
    <n v="1"/>
    <n v="7.29"/>
    <x v="0"/>
    <x v="0"/>
    <x v="0"/>
    <s v="Low Price"/>
    <s v="Low Volume"/>
    <x v="3"/>
    <s v="July"/>
    <x v="3"/>
    <x v="8"/>
    <x v="0"/>
  </r>
  <r>
    <s v="OHX-11953-965"/>
    <x v="431"/>
    <s v="19524-21432-XP"/>
    <x v="39"/>
    <n v="2"/>
    <x v="514"/>
    <s v="tcastiglionegz@xing.com"/>
    <x v="0"/>
    <s v="Exc"/>
    <s v="L"/>
    <x v="2"/>
    <n v="34.154999999999994"/>
    <n v="68.309999999999988"/>
    <x v="3"/>
    <x v="1"/>
    <x v="1"/>
    <n v="1"/>
    <n v="68.309999999999988"/>
    <x v="0"/>
    <x v="0"/>
    <x v="1"/>
    <s v="High Price"/>
    <s v="Low Volume"/>
    <x v="0"/>
    <s v="October"/>
    <x v="1"/>
    <x v="10"/>
    <x v="1"/>
  </r>
  <r>
    <s v="OIB-13664-879"/>
    <x v="274"/>
    <s v="04713-57765-KR"/>
    <x v="35"/>
    <n v="2"/>
    <x v="515"/>
    <s v="jdrengqg@uiuc.edu"/>
    <x v="1"/>
    <s v="Ara"/>
    <s v="M"/>
    <x v="0"/>
    <n v="11.25"/>
    <n v="22.5"/>
    <x v="2"/>
    <x v="2"/>
    <x v="0"/>
    <n v="1"/>
    <n v="22.5"/>
    <x v="0"/>
    <x v="0"/>
    <x v="0"/>
    <s v="Low Price"/>
    <s v="Low Volume"/>
    <x v="3"/>
    <s v="August"/>
    <x v="3"/>
    <x v="2"/>
    <x v="0"/>
  </r>
  <r>
    <s v="OIB-77163-890"/>
    <x v="432"/>
    <s v="38972-89678-ZM"/>
    <x v="20"/>
    <n v="5"/>
    <x v="516"/>
    <s v="cclemencetg5@weather.com"/>
    <x v="2"/>
    <s v="Exc"/>
    <s v="L"/>
    <x v="1"/>
    <n v="8.91"/>
    <n v="44.55"/>
    <x v="3"/>
    <x v="1"/>
    <x v="0"/>
    <n v="1"/>
    <n v="44.55"/>
    <x v="0"/>
    <x v="0"/>
    <x v="0"/>
    <s v="High Price"/>
    <s v="High Volume"/>
    <x v="1"/>
    <s v="December"/>
    <x v="1"/>
    <x v="10"/>
    <x v="2"/>
  </r>
  <r>
    <s v="OIL-26493-755"/>
    <x v="274"/>
    <s v="19017-95853-EK"/>
    <x v="2"/>
    <n v="1"/>
    <x v="517"/>
    <s v="twoofinden3k@businesswire.com"/>
    <x v="0"/>
    <s v="Ara"/>
    <s v="M"/>
    <x v="1"/>
    <n v="6.75"/>
    <n v="6.75"/>
    <x v="2"/>
    <x v="2"/>
    <x v="1"/>
    <n v="1"/>
    <n v="6.75"/>
    <x v="0"/>
    <x v="0"/>
    <x v="0"/>
    <s v="Low Price"/>
    <s v="Low Volume"/>
    <x v="3"/>
    <s v="August"/>
    <x v="3"/>
    <x v="2"/>
    <x v="0"/>
  </r>
  <r>
    <s v="OJL-96844-459"/>
    <x v="359"/>
    <s v="61253-98356-VD"/>
    <x v="10"/>
    <n v="5"/>
    <x v="518"/>
    <s v="khuddartlz@about.com"/>
    <x v="0"/>
    <s v="Lib"/>
    <s v="L"/>
    <x v="3"/>
    <n v="4.7549999999999999"/>
    <n v="23.774999999999999"/>
    <x v="1"/>
    <x v="1"/>
    <x v="0"/>
    <n v="1"/>
    <n v="23.774999999999999"/>
    <x v="0"/>
    <x v="0"/>
    <x v="0"/>
    <s v="Low Price"/>
    <s v="High Volume"/>
    <x v="2"/>
    <s v="May"/>
    <x v="0"/>
    <x v="1"/>
    <x v="3"/>
  </r>
  <r>
    <s v="OJU-34452-896"/>
    <x v="433"/>
    <s v="60799-92593-CX"/>
    <x v="20"/>
    <n v="1"/>
    <x v="519"/>
    <s v=""/>
    <x v="0"/>
    <s v="Exc"/>
    <s v="L"/>
    <x v="1"/>
    <n v="8.91"/>
    <n v="8.91"/>
    <x v="3"/>
    <x v="1"/>
    <x v="0"/>
    <n v="1"/>
    <n v="8.91"/>
    <x v="0"/>
    <x v="0"/>
    <x v="0"/>
    <s v="Low Price"/>
    <s v="Low Volume"/>
    <x v="3"/>
    <s v="February"/>
    <x v="2"/>
    <x v="10"/>
    <x v="2"/>
  </r>
  <r>
    <s v="OKA-93124-100"/>
    <x v="434"/>
    <s v="05325-97750-WP"/>
    <x v="6"/>
    <n v="5"/>
    <x v="185"/>
    <s v="cverissimogh@theglobeandmail.com"/>
    <x v="2"/>
    <s v="Rob"/>
    <s v="M"/>
    <x v="1"/>
    <n v="5.97"/>
    <n v="29.849999999999998"/>
    <x v="0"/>
    <x v="2"/>
    <x v="0"/>
    <n v="1"/>
    <n v="29.849999999999998"/>
    <x v="0"/>
    <x v="0"/>
    <x v="0"/>
    <s v="High Price"/>
    <s v="High Volume"/>
    <x v="1"/>
    <s v="April"/>
    <x v="0"/>
    <x v="5"/>
    <x v="3"/>
  </r>
  <r>
    <s v="OKU-29966-417"/>
    <x v="149"/>
    <s v="76192-13390-HZ"/>
    <x v="27"/>
    <n v="4"/>
    <x v="520"/>
    <s v="galbertsfc@etsy.com"/>
    <x v="2"/>
    <s v="Exc"/>
    <s v="L"/>
    <x v="3"/>
    <n v="4.4550000000000001"/>
    <n v="17.82"/>
    <x v="3"/>
    <x v="1"/>
    <x v="0"/>
    <n v="1"/>
    <n v="17.82"/>
    <x v="0"/>
    <x v="0"/>
    <x v="0"/>
    <s v="Low Price"/>
    <s v="Low Volume"/>
    <x v="3"/>
    <s v="October"/>
    <x v="1"/>
    <x v="10"/>
    <x v="1"/>
  </r>
  <r>
    <s v="OLA-68289-577"/>
    <x v="330"/>
    <s v="40226-52317-IO"/>
    <x v="2"/>
    <n v="5"/>
    <x v="521"/>
    <s v="ewilsonepq@eepurl.com"/>
    <x v="0"/>
    <s v="Ara"/>
    <s v="M"/>
    <x v="1"/>
    <n v="6.75"/>
    <n v="33.75"/>
    <x v="2"/>
    <x v="2"/>
    <x v="0"/>
    <n v="1"/>
    <n v="33.75"/>
    <x v="0"/>
    <x v="0"/>
    <x v="0"/>
    <s v="High Price"/>
    <s v="High Volume"/>
    <x v="1"/>
    <s v="June"/>
    <x v="0"/>
    <x v="2"/>
    <x v="0"/>
  </r>
  <r>
    <s v="OLF-77983-457"/>
    <x v="435"/>
    <s v="51901-35210-UI"/>
    <x v="17"/>
    <n v="2"/>
    <x v="522"/>
    <s v="gstarcksgi@abc.net.au"/>
    <x v="0"/>
    <s v="Ara"/>
    <s v="L"/>
    <x v="2"/>
    <n v="29.784999999999997"/>
    <n v="59.569999999999993"/>
    <x v="2"/>
    <x v="1"/>
    <x v="1"/>
    <n v="1"/>
    <n v="59.569999999999993"/>
    <x v="0"/>
    <x v="0"/>
    <x v="1"/>
    <s v="High Price"/>
    <s v="Low Volume"/>
    <x v="0"/>
    <s v="February"/>
    <x v="2"/>
    <x v="6"/>
    <x v="2"/>
  </r>
  <r>
    <s v="OLH-95722-362"/>
    <x v="251"/>
    <s v="48553-69225-VX"/>
    <x v="14"/>
    <n v="3"/>
    <x v="523"/>
    <s v="dgrittonq0@nydailynews.com"/>
    <x v="0"/>
    <s v="Lib"/>
    <s v="D"/>
    <x v="1"/>
    <n v="7.77"/>
    <n v="23.31"/>
    <x v="1"/>
    <x v="0"/>
    <x v="0"/>
    <n v="2"/>
    <n v="57.424999999999997"/>
    <x v="1"/>
    <x v="1"/>
    <x v="0"/>
    <s v="Low Price"/>
    <s v="Low Volume"/>
    <x v="3"/>
    <s v="October"/>
    <x v="1"/>
    <x v="9"/>
    <x v="1"/>
  </r>
  <r>
    <s v="OLH-95722-362"/>
    <x v="251"/>
    <s v="48553-69225-VX"/>
    <x v="9"/>
    <n v="4"/>
    <x v="523"/>
    <s v="dgrittonq0@nydailynews.com"/>
    <x v="0"/>
    <s v="Rob"/>
    <s v="M"/>
    <x v="2"/>
    <n v="22.884999999999998"/>
    <n v="91.539999999999992"/>
    <x v="0"/>
    <x v="2"/>
    <x v="0"/>
    <n v="2"/>
    <n v="57.424999999999997"/>
    <x v="1"/>
    <x v="1"/>
    <x v="1"/>
    <s v="High Price"/>
    <s v="Low Volume"/>
    <x v="0"/>
    <s v="October"/>
    <x v="1"/>
    <x v="5"/>
    <x v="1"/>
  </r>
  <r>
    <s v="ONW-00560-570"/>
    <x v="254"/>
    <s v="32900-82606-BO"/>
    <x v="35"/>
    <n v="2"/>
    <x v="524"/>
    <s v="cweondo8@theglobeandmail.com"/>
    <x v="0"/>
    <s v="Ara"/>
    <s v="M"/>
    <x v="0"/>
    <n v="11.25"/>
    <n v="22.5"/>
    <x v="2"/>
    <x v="2"/>
    <x v="1"/>
    <n v="1"/>
    <n v="22.5"/>
    <x v="0"/>
    <x v="0"/>
    <x v="0"/>
    <s v="Low Price"/>
    <s v="Low Volume"/>
    <x v="3"/>
    <s v="February"/>
    <x v="2"/>
    <x v="2"/>
    <x v="2"/>
  </r>
  <r>
    <s v="OOU-61343-455"/>
    <x v="436"/>
    <s v="90123-70970-NY"/>
    <x v="35"/>
    <n v="2"/>
    <x v="525"/>
    <s v="npoolman5q@howstuffworks.com"/>
    <x v="0"/>
    <s v="Ara"/>
    <s v="M"/>
    <x v="0"/>
    <n v="11.25"/>
    <n v="22.5"/>
    <x v="2"/>
    <x v="2"/>
    <x v="1"/>
    <n v="1"/>
    <n v="22.5"/>
    <x v="0"/>
    <x v="0"/>
    <x v="0"/>
    <s v="Low Price"/>
    <s v="Low Volume"/>
    <x v="3"/>
    <s v="January"/>
    <x v="2"/>
    <x v="2"/>
    <x v="2"/>
  </r>
  <r>
    <s v="OPY-30711-853"/>
    <x v="437"/>
    <s v="81861-66046-SU"/>
    <x v="43"/>
    <n v="1"/>
    <x v="526"/>
    <s v=""/>
    <x v="1"/>
    <s v="Ara"/>
    <s v="D"/>
    <x v="3"/>
    <n v="2.9849999999999999"/>
    <n v="2.9849999999999999"/>
    <x v="2"/>
    <x v="0"/>
    <x v="1"/>
    <n v="1"/>
    <n v="2.9849999999999999"/>
    <x v="0"/>
    <x v="0"/>
    <x v="0"/>
    <s v="Low Price"/>
    <s v="Low Volume"/>
    <x v="3"/>
    <s v="July"/>
    <x v="3"/>
    <x v="7"/>
    <x v="0"/>
  </r>
  <r>
    <s v="OQA-93249-841"/>
    <x v="279"/>
    <s v="03917-13632-KC"/>
    <x v="3"/>
    <n v="6"/>
    <x v="527"/>
    <s v=""/>
    <x v="0"/>
    <s v="Ara"/>
    <s v="M"/>
    <x v="2"/>
    <n v="25.874999999999996"/>
    <n v="155.24999999999997"/>
    <x v="2"/>
    <x v="2"/>
    <x v="0"/>
    <n v="1"/>
    <n v="155.24999999999997"/>
    <x v="0"/>
    <x v="0"/>
    <x v="2"/>
    <s v="High Price"/>
    <s v="High Volume"/>
    <x v="1"/>
    <s v="April"/>
    <x v="0"/>
    <x v="2"/>
    <x v="3"/>
  </r>
  <r>
    <s v="OQS-46321-904"/>
    <x v="438"/>
    <s v="19597-91185-CM"/>
    <x v="21"/>
    <n v="1"/>
    <x v="528"/>
    <s v=""/>
    <x v="0"/>
    <s v="Exc"/>
    <s v="M"/>
    <x v="0"/>
    <n v="13.75"/>
    <n v="13.75"/>
    <x v="3"/>
    <x v="2"/>
    <x v="1"/>
    <n v="1"/>
    <n v="13.75"/>
    <x v="0"/>
    <x v="0"/>
    <x v="0"/>
    <s v="Low Price"/>
    <s v="Low Volume"/>
    <x v="3"/>
    <s v="July"/>
    <x v="3"/>
    <x v="3"/>
    <x v="0"/>
  </r>
  <r>
    <s v="ORX-57454-917"/>
    <x v="163"/>
    <s v="76209-39601-ZR"/>
    <x v="32"/>
    <n v="3"/>
    <x v="529"/>
    <s v="gcheekeqc@sitemeter.com"/>
    <x v="2"/>
    <s v="Exc"/>
    <s v="D"/>
    <x v="2"/>
    <n v="27.945"/>
    <n v="83.835000000000008"/>
    <x v="3"/>
    <x v="0"/>
    <x v="0"/>
    <n v="1"/>
    <n v="83.835000000000008"/>
    <x v="0"/>
    <x v="0"/>
    <x v="1"/>
    <s v="High Price"/>
    <s v="Low Volume"/>
    <x v="0"/>
    <s v="September"/>
    <x v="3"/>
    <x v="8"/>
    <x v="1"/>
  </r>
  <r>
    <s v="ORZ-67699-748"/>
    <x v="439"/>
    <s v="44708-78241-DF"/>
    <x v="3"/>
    <n v="6"/>
    <x v="530"/>
    <s v="jcaldicott9u@usda.gov"/>
    <x v="0"/>
    <s v="Ara"/>
    <s v="M"/>
    <x v="2"/>
    <n v="25.874999999999996"/>
    <n v="155.24999999999997"/>
    <x v="2"/>
    <x v="2"/>
    <x v="1"/>
    <n v="1"/>
    <n v="155.24999999999997"/>
    <x v="0"/>
    <x v="0"/>
    <x v="2"/>
    <s v="High Price"/>
    <s v="High Volume"/>
    <x v="1"/>
    <s v="February"/>
    <x v="2"/>
    <x v="2"/>
    <x v="2"/>
  </r>
  <r>
    <s v="OTA-40969-710"/>
    <x v="233"/>
    <s v="77877-11993-QH"/>
    <x v="31"/>
    <n v="5"/>
    <x v="531"/>
    <s v="mcanty79@jigsy.com"/>
    <x v="0"/>
    <s v="Rob"/>
    <s v="L"/>
    <x v="0"/>
    <n v="11.95"/>
    <n v="59.75"/>
    <x v="0"/>
    <x v="1"/>
    <x v="0"/>
    <n v="1"/>
    <n v="59.75"/>
    <x v="0"/>
    <x v="0"/>
    <x v="1"/>
    <s v="High Price"/>
    <s v="High Volume"/>
    <x v="1"/>
    <s v="March"/>
    <x v="2"/>
    <x v="11"/>
    <x v="3"/>
  </r>
  <r>
    <s v="OUQ-73954-002"/>
    <x v="107"/>
    <s v="66308-13503-KD"/>
    <x v="11"/>
    <n v="4"/>
    <x v="532"/>
    <s v="khammettgm@dmoz.org"/>
    <x v="0"/>
    <s v="Rob"/>
    <s v="M"/>
    <x v="3"/>
    <n v="2.9849999999999999"/>
    <n v="11.94"/>
    <x v="0"/>
    <x v="2"/>
    <x v="0"/>
    <n v="1"/>
    <n v="11.94"/>
    <x v="0"/>
    <x v="0"/>
    <x v="0"/>
    <s v="Low Price"/>
    <s v="Low Volume"/>
    <x v="3"/>
    <s v="January"/>
    <x v="2"/>
    <x v="5"/>
    <x v="2"/>
  </r>
  <r>
    <s v="OVI-27064-381"/>
    <x v="440"/>
    <s v="37274-08534-FM"/>
    <x v="47"/>
    <n v="3"/>
    <x v="533"/>
    <s v="smcmillian8t@csmonitor.com"/>
    <x v="0"/>
    <s v="Rob"/>
    <s v="D"/>
    <x v="1"/>
    <n v="5.3699999999999992"/>
    <n v="16.11"/>
    <x v="0"/>
    <x v="0"/>
    <x v="1"/>
    <n v="1"/>
    <n v="16.11"/>
    <x v="0"/>
    <x v="0"/>
    <x v="0"/>
    <s v="Low Price"/>
    <s v="Low Volume"/>
    <x v="3"/>
    <s v="November"/>
    <x v="1"/>
    <x v="0"/>
    <x v="1"/>
  </r>
  <r>
    <s v="OVO-01283-090"/>
    <x v="441"/>
    <s v="15958-25089-OS"/>
    <x v="33"/>
    <n v="2"/>
    <x v="534"/>
    <s v="jdruittj1@feedburner.com"/>
    <x v="0"/>
    <s v="Lib"/>
    <s v="L"/>
    <x v="2"/>
    <n v="36.454999999999998"/>
    <n v="72.91"/>
    <x v="1"/>
    <x v="1"/>
    <x v="0"/>
    <n v="1"/>
    <n v="72.91"/>
    <x v="0"/>
    <x v="0"/>
    <x v="1"/>
    <s v="High Price"/>
    <s v="Low Volume"/>
    <x v="0"/>
    <s v="March"/>
    <x v="2"/>
    <x v="1"/>
    <x v="3"/>
  </r>
  <r>
    <s v="OWH-11126-533"/>
    <x v="121"/>
    <s v="25331-13794-SB"/>
    <x v="41"/>
    <n v="2"/>
    <x v="535"/>
    <s v="ftourryil@google.de"/>
    <x v="0"/>
    <s v="Lib"/>
    <s v="M"/>
    <x v="2"/>
    <n v="33.464999999999996"/>
    <n v="66.929999999999993"/>
    <x v="1"/>
    <x v="2"/>
    <x v="1"/>
    <n v="1"/>
    <n v="66.929999999999993"/>
    <x v="0"/>
    <x v="0"/>
    <x v="1"/>
    <s v="High Price"/>
    <s v="Low Volume"/>
    <x v="0"/>
    <s v="December"/>
    <x v="1"/>
    <x v="4"/>
    <x v="2"/>
  </r>
  <r>
    <s v="OWY-43108-475"/>
    <x v="442"/>
    <s v="06432-73165-ML"/>
    <x v="46"/>
    <n v="6"/>
    <x v="536"/>
    <s v="ggoggin8x@wix.com"/>
    <x v="1"/>
    <s v="Ara"/>
    <s v="M"/>
    <x v="3"/>
    <n v="3.375"/>
    <n v="20.25"/>
    <x v="2"/>
    <x v="2"/>
    <x v="0"/>
    <n v="1"/>
    <n v="20.25"/>
    <x v="0"/>
    <x v="0"/>
    <x v="0"/>
    <s v="Low Price"/>
    <s v="High Volume"/>
    <x v="2"/>
    <s v="December"/>
    <x v="1"/>
    <x v="2"/>
    <x v="2"/>
  </r>
  <r>
    <s v="OXY-65322-253"/>
    <x v="443"/>
    <s v="07591-92789-UA"/>
    <x v="42"/>
    <n v="3"/>
    <x v="537"/>
    <s v=""/>
    <x v="0"/>
    <s v="Exc"/>
    <s v="M"/>
    <x v="3"/>
    <n v="4.125"/>
    <n v="12.375"/>
    <x v="3"/>
    <x v="2"/>
    <x v="0"/>
    <n v="1"/>
    <n v="12.375"/>
    <x v="0"/>
    <x v="0"/>
    <x v="0"/>
    <s v="Low Price"/>
    <s v="Low Volume"/>
    <x v="3"/>
    <s v="October"/>
    <x v="1"/>
    <x v="3"/>
    <x v="1"/>
  </r>
  <r>
    <s v="OYH-16533-767"/>
    <x v="444"/>
    <s v="44932-34838-RM"/>
    <x v="45"/>
    <n v="4"/>
    <x v="538"/>
    <s v="wfetherston9e@constantcontact.com"/>
    <x v="0"/>
    <s v="Exc"/>
    <s v="L"/>
    <x v="0"/>
    <n v="14.85"/>
    <n v="59.4"/>
    <x v="3"/>
    <x v="1"/>
    <x v="1"/>
    <n v="1"/>
    <n v="59.4"/>
    <x v="0"/>
    <x v="0"/>
    <x v="1"/>
    <s v="High Price"/>
    <s v="Low Volume"/>
    <x v="0"/>
    <s v="June"/>
    <x v="0"/>
    <x v="10"/>
    <x v="0"/>
  </r>
  <r>
    <s v="OYU-25085-528"/>
    <x v="445"/>
    <s v="10142-55267-YO"/>
    <x v="27"/>
    <n v="4"/>
    <x v="143"/>
    <s v="wlightollersf9@baidu.com"/>
    <x v="0"/>
    <s v="Exc"/>
    <s v="L"/>
    <x v="3"/>
    <n v="4.4550000000000001"/>
    <n v="17.82"/>
    <x v="3"/>
    <x v="1"/>
    <x v="0"/>
    <n v="1"/>
    <n v="17.82"/>
    <x v="0"/>
    <x v="0"/>
    <x v="0"/>
    <s v="Low Price"/>
    <s v="Low Volume"/>
    <x v="3"/>
    <s v="February"/>
    <x v="2"/>
    <x v="10"/>
    <x v="2"/>
  </r>
  <r>
    <s v="PBP-87115-410"/>
    <x v="446"/>
    <s v="93812-74772-MV"/>
    <x v="36"/>
    <n v="5"/>
    <x v="539"/>
    <s v="rcrookshanksk0@unc.edu"/>
    <x v="0"/>
    <s v="Exc"/>
    <s v="D"/>
    <x v="1"/>
    <n v="7.29"/>
    <n v="36.450000000000003"/>
    <x v="3"/>
    <x v="0"/>
    <x v="0"/>
    <n v="1"/>
    <n v="36.450000000000003"/>
    <x v="0"/>
    <x v="0"/>
    <x v="0"/>
    <s v="High Price"/>
    <s v="High Volume"/>
    <x v="1"/>
    <s v="January"/>
    <x v="2"/>
    <x v="8"/>
    <x v="2"/>
  </r>
  <r>
    <s v="PBT-36926-102"/>
    <x v="325"/>
    <s v="19485-98072-PS"/>
    <x v="34"/>
    <n v="4"/>
    <x v="274"/>
    <s v="dflintiffg1@e-recht24.de"/>
    <x v="2"/>
    <s v="Lib"/>
    <s v="M"/>
    <x v="0"/>
    <n v="14.55"/>
    <n v="58.2"/>
    <x v="1"/>
    <x v="2"/>
    <x v="1"/>
    <n v="1"/>
    <n v="58.2"/>
    <x v="0"/>
    <x v="0"/>
    <x v="1"/>
    <s v="High Price"/>
    <s v="Low Volume"/>
    <x v="0"/>
    <s v="August"/>
    <x v="3"/>
    <x v="4"/>
    <x v="0"/>
  </r>
  <r>
    <s v="PCA-14081-576"/>
    <x v="447"/>
    <s v="63112-10870-LC"/>
    <x v="25"/>
    <n v="5"/>
    <x v="540"/>
    <s v="lwhittleseem1@e-recht24.de"/>
    <x v="0"/>
    <s v="Rob"/>
    <s v="L"/>
    <x v="3"/>
    <n v="3.5849999999999995"/>
    <n v="17.924999999999997"/>
    <x v="0"/>
    <x v="1"/>
    <x v="1"/>
    <n v="1"/>
    <n v="17.924999999999997"/>
    <x v="0"/>
    <x v="0"/>
    <x v="0"/>
    <s v="Low Price"/>
    <s v="High Volume"/>
    <x v="2"/>
    <s v="June"/>
    <x v="0"/>
    <x v="11"/>
    <x v="0"/>
  </r>
  <r>
    <s v="PDB-98743-282"/>
    <x v="448"/>
    <s v="51940-02669-OR"/>
    <x v="1"/>
    <n v="3"/>
    <x v="541"/>
    <s v=""/>
    <x v="1"/>
    <s v="Lib"/>
    <s v="L"/>
    <x v="0"/>
    <n v="15.85"/>
    <n v="47.55"/>
    <x v="1"/>
    <x v="1"/>
    <x v="1"/>
    <n v="1"/>
    <n v="47.55"/>
    <x v="0"/>
    <x v="0"/>
    <x v="0"/>
    <s v="High Price"/>
    <s v="Low Volume"/>
    <x v="0"/>
    <s v="January"/>
    <x v="2"/>
    <x v="1"/>
    <x v="2"/>
  </r>
  <r>
    <s v="PJB-15659-994"/>
    <x v="449"/>
    <s v="39457-62611-YK"/>
    <x v="28"/>
    <n v="4"/>
    <x v="542"/>
    <s v=""/>
    <x v="1"/>
    <s v="Lib"/>
    <s v="D"/>
    <x v="2"/>
    <n v="29.784999999999997"/>
    <n v="119.13999999999999"/>
    <x v="1"/>
    <x v="0"/>
    <x v="1"/>
    <n v="1"/>
    <n v="119.13999999999999"/>
    <x v="0"/>
    <x v="0"/>
    <x v="3"/>
    <s v="High Price"/>
    <s v="Low Volume"/>
    <x v="0"/>
    <s v="November"/>
    <x v="1"/>
    <x v="9"/>
    <x v="1"/>
  </r>
  <r>
    <s v="PJC-31401-893"/>
    <x v="160"/>
    <s v="11212-69985-ZJ"/>
    <x v="18"/>
    <n v="3"/>
    <x v="543"/>
    <s v="rtreachero2@usa.gov"/>
    <x v="1"/>
    <s v="Ara"/>
    <s v="D"/>
    <x v="1"/>
    <n v="5.97"/>
    <n v="17.91"/>
    <x v="2"/>
    <x v="0"/>
    <x v="1"/>
    <n v="1"/>
    <n v="17.91"/>
    <x v="0"/>
    <x v="0"/>
    <x v="0"/>
    <s v="Low Price"/>
    <s v="Low Volume"/>
    <x v="3"/>
    <s v="January"/>
    <x v="2"/>
    <x v="7"/>
    <x v="2"/>
  </r>
  <r>
    <s v="PJH-42618-877"/>
    <x v="450"/>
    <s v="93676-95250-XJ"/>
    <x v="22"/>
    <n v="5"/>
    <x v="544"/>
    <s v="cdolohuntyor@dailymail.co.uk"/>
    <x v="0"/>
    <s v="Ara"/>
    <s v="D"/>
    <x v="2"/>
    <n v="22.884999999999998"/>
    <n v="114.42499999999998"/>
    <x v="2"/>
    <x v="0"/>
    <x v="0"/>
    <n v="1"/>
    <n v="114.42499999999998"/>
    <x v="0"/>
    <x v="0"/>
    <x v="3"/>
    <s v="High Price"/>
    <s v="High Volume"/>
    <x v="1"/>
    <s v="September"/>
    <x v="3"/>
    <x v="7"/>
    <x v="1"/>
  </r>
  <r>
    <s v="PJS-30996-485"/>
    <x v="287"/>
    <s v="86579-92122-OC"/>
    <x v="23"/>
    <n v="1"/>
    <x v="268"/>
    <s v=""/>
    <x v="0"/>
    <s v="Ara"/>
    <s v="L"/>
    <x v="3"/>
    <n v="3.8849999999999998"/>
    <n v="3.8849999999999998"/>
    <x v="2"/>
    <x v="1"/>
    <x v="0"/>
    <n v="1"/>
    <n v="3.8849999999999998"/>
    <x v="0"/>
    <x v="0"/>
    <x v="0"/>
    <s v="Low Price"/>
    <s v="Low Volume"/>
    <x v="3"/>
    <s v="January"/>
    <x v="2"/>
    <x v="6"/>
    <x v="2"/>
  </r>
  <r>
    <s v="PJV-20427-019"/>
    <x v="113"/>
    <s v="13404-39127-WQ"/>
    <x v="17"/>
    <n v="3"/>
    <x v="545"/>
    <s v="cmaccourtpo@amazon.com"/>
    <x v="0"/>
    <s v="Ara"/>
    <s v="L"/>
    <x v="2"/>
    <n v="29.784999999999997"/>
    <n v="89.35499999999999"/>
    <x v="2"/>
    <x v="1"/>
    <x v="1"/>
    <n v="1"/>
    <n v="89.35499999999999"/>
    <x v="0"/>
    <x v="0"/>
    <x v="1"/>
    <s v="High Price"/>
    <s v="Low Volume"/>
    <x v="0"/>
    <s v="September"/>
    <x v="3"/>
    <x v="6"/>
    <x v="1"/>
  </r>
  <r>
    <s v="PKJ-30083-501"/>
    <x v="451"/>
    <s v="76948-43532-JS"/>
    <x v="36"/>
    <n v="2"/>
    <x v="546"/>
    <s v="jhaldenkp@comcast.net"/>
    <x v="1"/>
    <s v="Exc"/>
    <s v="D"/>
    <x v="1"/>
    <n v="7.29"/>
    <n v="14.58"/>
    <x v="3"/>
    <x v="0"/>
    <x v="1"/>
    <n v="1"/>
    <n v="14.58"/>
    <x v="0"/>
    <x v="0"/>
    <x v="0"/>
    <s v="Low Price"/>
    <s v="Low Volume"/>
    <x v="3"/>
    <s v="December"/>
    <x v="1"/>
    <x v="8"/>
    <x v="2"/>
  </r>
  <r>
    <s v="PKJ-99134-523"/>
    <x v="399"/>
    <s v="77284-34297-YY"/>
    <x v="26"/>
    <n v="5"/>
    <x v="547"/>
    <s v="kheadsca@jalbum.net"/>
    <x v="0"/>
    <s v="Rob"/>
    <s v="L"/>
    <x v="1"/>
    <n v="7.169999999999999"/>
    <n v="35.849999999999994"/>
    <x v="0"/>
    <x v="1"/>
    <x v="1"/>
    <n v="1"/>
    <n v="35.849999999999994"/>
    <x v="0"/>
    <x v="0"/>
    <x v="0"/>
    <s v="High Price"/>
    <s v="High Volume"/>
    <x v="1"/>
    <s v="July"/>
    <x v="3"/>
    <x v="11"/>
    <x v="0"/>
  </r>
  <r>
    <s v="PKN-19556-918"/>
    <x v="452"/>
    <s v="00445-42781-KX"/>
    <x v="43"/>
    <n v="1"/>
    <x v="548"/>
    <s v="fbrighamhg@blog.com"/>
    <x v="1"/>
    <s v="Ara"/>
    <s v="D"/>
    <x v="3"/>
    <n v="2.9849999999999999"/>
    <n v="2.9849999999999999"/>
    <x v="2"/>
    <x v="0"/>
    <x v="0"/>
    <n v="4"/>
    <n v="40.929999999999993"/>
    <x v="1"/>
    <x v="1"/>
    <x v="0"/>
    <s v="Low Price"/>
    <s v="Low Volume"/>
    <x v="3"/>
    <s v="April"/>
    <x v="0"/>
    <x v="7"/>
    <x v="3"/>
  </r>
  <r>
    <s v="PKN-19556-918"/>
    <x v="452"/>
    <s v="00445-42781-KX"/>
    <x v="27"/>
    <n v="6"/>
    <x v="548"/>
    <s v="fbrighamhg@blog.com"/>
    <x v="1"/>
    <s v="Exc"/>
    <s v="L"/>
    <x v="3"/>
    <n v="4.4550000000000001"/>
    <n v="26.73"/>
    <x v="3"/>
    <x v="1"/>
    <x v="0"/>
    <n v="4"/>
    <n v="40.929999999999993"/>
    <x v="1"/>
    <x v="1"/>
    <x v="0"/>
    <s v="Low Price"/>
    <s v="High Volume"/>
    <x v="2"/>
    <s v="April"/>
    <x v="0"/>
    <x v="10"/>
    <x v="3"/>
  </r>
  <r>
    <s v="PKN-19556-918"/>
    <x v="452"/>
    <s v="00445-42781-KX"/>
    <x v="14"/>
    <n v="4"/>
    <x v="548"/>
    <s v="fbrighamhg@blog.com"/>
    <x v="1"/>
    <s v="Lib"/>
    <s v="D"/>
    <x v="1"/>
    <n v="7.77"/>
    <n v="31.08"/>
    <x v="1"/>
    <x v="0"/>
    <x v="0"/>
    <n v="4"/>
    <n v="40.929999999999993"/>
    <x v="1"/>
    <x v="1"/>
    <x v="0"/>
    <s v="High Price"/>
    <s v="Low Volume"/>
    <x v="0"/>
    <s v="April"/>
    <x v="0"/>
    <x v="9"/>
    <x v="3"/>
  </r>
  <r>
    <s v="PKN-19556-918"/>
    <x v="452"/>
    <s v="00445-42781-KX"/>
    <x v="13"/>
    <n v="5"/>
    <x v="548"/>
    <s v="fbrighamhg@blog.com"/>
    <x v="1"/>
    <s v="Rob"/>
    <s v="D"/>
    <x v="2"/>
    <n v="20.584999999999997"/>
    <n v="102.92499999999998"/>
    <x v="0"/>
    <x v="0"/>
    <x v="0"/>
    <n v="4"/>
    <n v="40.929999999999993"/>
    <x v="1"/>
    <x v="1"/>
    <x v="3"/>
    <s v="High Price"/>
    <s v="High Volume"/>
    <x v="1"/>
    <s v="April"/>
    <x v="0"/>
    <x v="0"/>
    <x v="3"/>
  </r>
  <r>
    <s v="PKQ-46841-696"/>
    <x v="453"/>
    <s v="37177-68797-ON"/>
    <x v="6"/>
    <n v="3"/>
    <x v="549"/>
    <s v="abraidmancf@census.gov"/>
    <x v="0"/>
    <s v="Rob"/>
    <s v="M"/>
    <x v="1"/>
    <n v="5.97"/>
    <n v="17.91"/>
    <x v="0"/>
    <x v="2"/>
    <x v="1"/>
    <n v="1"/>
    <n v="17.91"/>
    <x v="0"/>
    <x v="0"/>
    <x v="0"/>
    <s v="Low Price"/>
    <s v="Low Volume"/>
    <x v="3"/>
    <s v="March"/>
    <x v="2"/>
    <x v="5"/>
    <x v="3"/>
  </r>
  <r>
    <s v="PKR-88575-066"/>
    <x v="454"/>
    <s v="28728-47861-TZ"/>
    <x v="27"/>
    <n v="1"/>
    <x v="550"/>
    <s v="akitchingham58@com.com"/>
    <x v="0"/>
    <s v="Exc"/>
    <s v="L"/>
    <x v="3"/>
    <n v="4.4550000000000001"/>
    <n v="4.4550000000000001"/>
    <x v="3"/>
    <x v="1"/>
    <x v="0"/>
    <n v="1"/>
    <n v="4.4550000000000001"/>
    <x v="0"/>
    <x v="0"/>
    <x v="0"/>
    <s v="Low Price"/>
    <s v="Low Volume"/>
    <x v="3"/>
    <s v="May"/>
    <x v="0"/>
    <x v="10"/>
    <x v="3"/>
  </r>
  <r>
    <s v="PMR-56062-609"/>
    <x v="455"/>
    <s v="43605-12616-YH"/>
    <x v="36"/>
    <n v="3"/>
    <x v="551"/>
    <s v="ewindressam@marketwatch.com"/>
    <x v="0"/>
    <s v="Exc"/>
    <s v="D"/>
    <x v="1"/>
    <n v="7.29"/>
    <n v="21.87"/>
    <x v="3"/>
    <x v="0"/>
    <x v="1"/>
    <n v="1"/>
    <n v="21.87"/>
    <x v="0"/>
    <x v="0"/>
    <x v="0"/>
    <s v="Low Price"/>
    <s v="Low Volume"/>
    <x v="3"/>
    <s v="January"/>
    <x v="2"/>
    <x v="8"/>
    <x v="2"/>
  </r>
  <r>
    <s v="PMV-54491-220"/>
    <x v="456"/>
    <s v="87242-18006-IR"/>
    <x v="5"/>
    <n v="2"/>
    <x v="552"/>
    <s v="libertkl@huffingtonpost.com"/>
    <x v="0"/>
    <s v="Lib"/>
    <s v="M"/>
    <x v="3"/>
    <n v="4.3650000000000002"/>
    <n v="8.73"/>
    <x v="1"/>
    <x v="2"/>
    <x v="1"/>
    <n v="1"/>
    <n v="8.73"/>
    <x v="0"/>
    <x v="0"/>
    <x v="0"/>
    <s v="Low Price"/>
    <s v="Low Volume"/>
    <x v="3"/>
    <s v="April"/>
    <x v="0"/>
    <x v="4"/>
    <x v="3"/>
  </r>
  <r>
    <s v="PNU-22150-408"/>
    <x v="457"/>
    <s v="77408-43873-RS"/>
    <x v="43"/>
    <n v="6"/>
    <x v="553"/>
    <s v=""/>
    <x v="1"/>
    <s v="Ara"/>
    <s v="D"/>
    <x v="3"/>
    <n v="2.9849999999999999"/>
    <n v="17.91"/>
    <x v="2"/>
    <x v="0"/>
    <x v="0"/>
    <n v="1"/>
    <n v="17.91"/>
    <x v="0"/>
    <x v="0"/>
    <x v="0"/>
    <s v="Low Price"/>
    <s v="High Volume"/>
    <x v="2"/>
    <s v="August"/>
    <x v="3"/>
    <x v="7"/>
    <x v="0"/>
  </r>
  <r>
    <s v="POF-29666-012"/>
    <x v="320"/>
    <s v="46885-00260-TL"/>
    <x v="47"/>
    <n v="1"/>
    <x v="554"/>
    <s v="sroseboroughr2@virginia.edu"/>
    <x v="0"/>
    <s v="Rob"/>
    <s v="D"/>
    <x v="1"/>
    <n v="5.3699999999999992"/>
    <n v="5.3699999999999992"/>
    <x v="0"/>
    <x v="0"/>
    <x v="0"/>
    <n v="1"/>
    <n v="5.3699999999999992"/>
    <x v="0"/>
    <x v="0"/>
    <x v="0"/>
    <s v="Low Price"/>
    <s v="Low Volume"/>
    <x v="3"/>
    <s v="April"/>
    <x v="0"/>
    <x v="0"/>
    <x v="3"/>
  </r>
  <r>
    <s v="PPP-78935-365"/>
    <x v="458"/>
    <s v="91074-60023-IP"/>
    <x v="12"/>
    <n v="4"/>
    <x v="555"/>
    <s v=""/>
    <x v="0"/>
    <s v="Exc"/>
    <s v="D"/>
    <x v="0"/>
    <n v="12.15"/>
    <n v="48.6"/>
    <x v="3"/>
    <x v="0"/>
    <x v="1"/>
    <n v="1"/>
    <n v="48.6"/>
    <x v="0"/>
    <x v="0"/>
    <x v="0"/>
    <s v="High Price"/>
    <s v="Low Volume"/>
    <x v="0"/>
    <s v="February"/>
    <x v="2"/>
    <x v="8"/>
    <x v="2"/>
  </r>
  <r>
    <s v="PQA-54820-810"/>
    <x v="459"/>
    <s v="91460-04823-BX"/>
    <x v="7"/>
    <n v="3"/>
    <x v="556"/>
    <s v="ipikett1d@xinhuanet.com"/>
    <x v="0"/>
    <s v="Ara"/>
    <s v="L"/>
    <x v="0"/>
    <n v="12.95"/>
    <n v="38.849999999999994"/>
    <x v="2"/>
    <x v="1"/>
    <x v="1"/>
    <n v="1"/>
    <n v="38.849999999999994"/>
    <x v="0"/>
    <x v="0"/>
    <x v="0"/>
    <s v="High Price"/>
    <s v="Low Volume"/>
    <x v="0"/>
    <s v="August"/>
    <x v="3"/>
    <x v="6"/>
    <x v="0"/>
  </r>
  <r>
    <s v="PRP-53390-819"/>
    <x v="38"/>
    <s v="84260-39432-ML"/>
    <x v="20"/>
    <n v="6"/>
    <x v="557"/>
    <s v="mwhellans5v@mapquest.com"/>
    <x v="0"/>
    <s v="Exc"/>
    <s v="L"/>
    <x v="1"/>
    <n v="8.91"/>
    <n v="53.46"/>
    <x v="3"/>
    <x v="1"/>
    <x v="1"/>
    <n v="1"/>
    <n v="53.46"/>
    <x v="0"/>
    <x v="0"/>
    <x v="1"/>
    <s v="High Price"/>
    <s v="High Volume"/>
    <x v="1"/>
    <s v="March"/>
    <x v="2"/>
    <x v="10"/>
    <x v="3"/>
  </r>
  <r>
    <s v="PSD-57291-590"/>
    <x v="460"/>
    <s v="37191-12203-MX"/>
    <x v="2"/>
    <n v="1"/>
    <x v="558"/>
    <s v="pstonner8e@moonfruit.com"/>
    <x v="0"/>
    <s v="Ara"/>
    <s v="M"/>
    <x v="1"/>
    <n v="6.75"/>
    <n v="6.75"/>
    <x v="2"/>
    <x v="2"/>
    <x v="1"/>
    <n v="1"/>
    <n v="6.75"/>
    <x v="0"/>
    <x v="0"/>
    <x v="0"/>
    <s v="Low Price"/>
    <s v="Low Volume"/>
    <x v="3"/>
    <s v="October"/>
    <x v="1"/>
    <x v="2"/>
    <x v="1"/>
  </r>
  <r>
    <s v="PSS-22466-862"/>
    <x v="461"/>
    <s v="11550-78378-GE"/>
    <x v="25"/>
    <n v="4"/>
    <x v="559"/>
    <s v="ewesterman69@si.edu"/>
    <x v="1"/>
    <s v="Rob"/>
    <s v="L"/>
    <x v="3"/>
    <n v="3.5849999999999995"/>
    <n v="14.339999999999998"/>
    <x v="0"/>
    <x v="1"/>
    <x v="1"/>
    <n v="1"/>
    <n v="14.339999999999998"/>
    <x v="0"/>
    <x v="0"/>
    <x v="0"/>
    <s v="Low Price"/>
    <s v="Low Volume"/>
    <x v="3"/>
    <s v="May"/>
    <x v="0"/>
    <x v="11"/>
    <x v="3"/>
  </r>
  <r>
    <s v="PSY-45485-542"/>
    <x v="462"/>
    <s v="62246-99443-HF"/>
    <x v="47"/>
    <n v="3"/>
    <x v="560"/>
    <s v="abilbrookcs@booking.com"/>
    <x v="1"/>
    <s v="Rob"/>
    <s v="D"/>
    <x v="1"/>
    <n v="5.3699999999999992"/>
    <n v="16.11"/>
    <x v="0"/>
    <x v="0"/>
    <x v="0"/>
    <n v="1"/>
    <n v="16.11"/>
    <x v="0"/>
    <x v="0"/>
    <x v="0"/>
    <s v="Low Price"/>
    <s v="Low Volume"/>
    <x v="3"/>
    <s v="May"/>
    <x v="0"/>
    <x v="0"/>
    <x v="3"/>
  </r>
  <r>
    <s v="PTY-86420-119"/>
    <x v="463"/>
    <s v="25504-41681-WA"/>
    <x v="18"/>
    <n v="4"/>
    <x v="561"/>
    <s v="otadmanjf@ft.com"/>
    <x v="0"/>
    <s v="Ara"/>
    <s v="D"/>
    <x v="1"/>
    <n v="5.97"/>
    <n v="23.88"/>
    <x v="2"/>
    <x v="0"/>
    <x v="0"/>
    <n v="1"/>
    <n v="23.88"/>
    <x v="0"/>
    <x v="0"/>
    <x v="0"/>
    <s v="Low Price"/>
    <s v="Low Volume"/>
    <x v="3"/>
    <s v="April"/>
    <x v="0"/>
    <x v="7"/>
    <x v="3"/>
  </r>
  <r>
    <s v="PUH-55647-976"/>
    <x v="464"/>
    <s v="06624-54037-BQ"/>
    <x v="11"/>
    <n v="2"/>
    <x v="562"/>
    <s v="wleopoldqw@blogspot.com"/>
    <x v="0"/>
    <s v="Rob"/>
    <s v="M"/>
    <x v="3"/>
    <n v="2.9849999999999999"/>
    <n v="5.97"/>
    <x v="0"/>
    <x v="2"/>
    <x v="1"/>
    <n v="1"/>
    <n v="5.97"/>
    <x v="0"/>
    <x v="0"/>
    <x v="0"/>
    <s v="Low Price"/>
    <s v="Low Volume"/>
    <x v="3"/>
    <s v="March"/>
    <x v="2"/>
    <x v="5"/>
    <x v="3"/>
  </r>
  <r>
    <s v="PUX-47906-110"/>
    <x v="465"/>
    <s v="02002-98725-CH"/>
    <x v="34"/>
    <n v="4"/>
    <x v="563"/>
    <s v="asnowding60@comsenz.com"/>
    <x v="0"/>
    <s v="Lib"/>
    <s v="M"/>
    <x v="0"/>
    <n v="14.55"/>
    <n v="58.2"/>
    <x v="1"/>
    <x v="2"/>
    <x v="0"/>
    <n v="1"/>
    <n v="58.2"/>
    <x v="0"/>
    <x v="0"/>
    <x v="1"/>
    <s v="High Price"/>
    <s v="Low Volume"/>
    <x v="0"/>
    <s v="October"/>
    <x v="1"/>
    <x v="4"/>
    <x v="1"/>
  </r>
  <r>
    <s v="PVI-72795-960"/>
    <x v="441"/>
    <s v="68239-74809-TF"/>
    <x v="39"/>
    <n v="3"/>
    <x v="564"/>
    <s v=""/>
    <x v="1"/>
    <s v="Exc"/>
    <s v="L"/>
    <x v="2"/>
    <n v="34.154999999999994"/>
    <n v="102.46499999999997"/>
    <x v="3"/>
    <x v="1"/>
    <x v="1"/>
    <n v="1"/>
    <n v="102.46499999999997"/>
    <x v="0"/>
    <x v="0"/>
    <x v="3"/>
    <s v="High Price"/>
    <s v="Low Volume"/>
    <x v="0"/>
    <s v="March"/>
    <x v="2"/>
    <x v="10"/>
    <x v="3"/>
  </r>
  <r>
    <s v="PVU-02950-470"/>
    <x v="3"/>
    <s v="01927-46702-YT"/>
    <x v="12"/>
    <n v="1"/>
    <x v="565"/>
    <s v=""/>
    <x v="2"/>
    <s v="Exc"/>
    <s v="D"/>
    <x v="0"/>
    <n v="12.15"/>
    <n v="12.15"/>
    <x v="3"/>
    <x v="0"/>
    <x v="1"/>
    <n v="1"/>
    <n v="12.15"/>
    <x v="0"/>
    <x v="0"/>
    <x v="0"/>
    <s v="Low Price"/>
    <s v="Low Volume"/>
    <x v="3"/>
    <s v="January"/>
    <x v="2"/>
    <x v="8"/>
    <x v="2"/>
  </r>
  <r>
    <s v="QAK-77286-758"/>
    <x v="84"/>
    <s v="34786-30419-XY"/>
    <x v="26"/>
    <n v="5"/>
    <x v="566"/>
    <s v="fhaughianq8@1688.com"/>
    <x v="0"/>
    <s v="Rob"/>
    <s v="L"/>
    <x v="1"/>
    <n v="7.169999999999999"/>
    <n v="35.849999999999994"/>
    <x v="0"/>
    <x v="1"/>
    <x v="1"/>
    <n v="1"/>
    <n v="35.849999999999994"/>
    <x v="0"/>
    <x v="0"/>
    <x v="0"/>
    <s v="High Price"/>
    <s v="High Volume"/>
    <x v="1"/>
    <s v="August"/>
    <x v="3"/>
    <x v="11"/>
    <x v="0"/>
  </r>
  <r>
    <s v="QAW-05889-019"/>
    <x v="466"/>
    <s v="68810-07329-EU"/>
    <x v="37"/>
    <n v="5"/>
    <x v="567"/>
    <s v="vbaumadierap@google.cn"/>
    <x v="0"/>
    <s v="Lib"/>
    <s v="M"/>
    <x v="1"/>
    <n v="8.73"/>
    <n v="43.650000000000006"/>
    <x v="1"/>
    <x v="2"/>
    <x v="0"/>
    <n v="1"/>
    <n v="43.650000000000006"/>
    <x v="0"/>
    <x v="0"/>
    <x v="0"/>
    <s v="High Price"/>
    <s v="High Volume"/>
    <x v="1"/>
    <s v="December"/>
    <x v="1"/>
    <x v="4"/>
    <x v="2"/>
  </r>
  <r>
    <s v="QBB-07903-622"/>
    <x v="467"/>
    <s v="32622-54551-UC"/>
    <x v="31"/>
    <n v="5"/>
    <x v="568"/>
    <s v="mackrillbw@bandcamp.com"/>
    <x v="0"/>
    <s v="Rob"/>
    <s v="L"/>
    <x v="0"/>
    <n v="11.95"/>
    <n v="59.75"/>
    <x v="0"/>
    <x v="1"/>
    <x v="1"/>
    <n v="1"/>
    <n v="59.75"/>
    <x v="0"/>
    <x v="0"/>
    <x v="1"/>
    <s v="High Price"/>
    <s v="High Volume"/>
    <x v="1"/>
    <s v="October"/>
    <x v="1"/>
    <x v="11"/>
    <x v="1"/>
  </r>
  <r>
    <s v="QDO-57268-842"/>
    <x v="32"/>
    <s v="57808-90533-UE"/>
    <x v="4"/>
    <n v="5"/>
    <x v="569"/>
    <s v=""/>
    <x v="0"/>
    <s v="Exc"/>
    <s v="M"/>
    <x v="2"/>
    <n v="31.624999999999996"/>
    <n v="158.12499999999997"/>
    <x v="3"/>
    <x v="2"/>
    <x v="1"/>
    <n v="1"/>
    <n v="158.12499999999997"/>
    <x v="0"/>
    <x v="0"/>
    <x v="2"/>
    <s v="High Price"/>
    <s v="High Volume"/>
    <x v="1"/>
    <s v="November"/>
    <x v="1"/>
    <x v="3"/>
    <x v="1"/>
  </r>
  <r>
    <s v="QDU-45390-361"/>
    <x v="468"/>
    <s v="03677-09134-BC"/>
    <x v="24"/>
    <n v="1"/>
    <x v="570"/>
    <s v="crowthornc3@msn.com"/>
    <x v="0"/>
    <s v="Exc"/>
    <s v="M"/>
    <x v="1"/>
    <n v="8.25"/>
    <n v="8.25"/>
    <x v="3"/>
    <x v="2"/>
    <x v="1"/>
    <n v="1"/>
    <n v="8.25"/>
    <x v="0"/>
    <x v="0"/>
    <x v="0"/>
    <s v="Low Price"/>
    <s v="Low Volume"/>
    <x v="3"/>
    <s v="November"/>
    <x v="1"/>
    <x v="3"/>
    <x v="1"/>
  </r>
  <r>
    <s v="QDV-03406-248"/>
    <x v="469"/>
    <s v="74126-88836-KA"/>
    <x v="37"/>
    <n v="3"/>
    <x v="571"/>
    <s v="swoodham3h@businesswire.com"/>
    <x v="1"/>
    <s v="Lib"/>
    <s v="M"/>
    <x v="1"/>
    <n v="8.73"/>
    <n v="26.19"/>
    <x v="1"/>
    <x v="2"/>
    <x v="0"/>
    <n v="1"/>
    <n v="26.19"/>
    <x v="0"/>
    <x v="0"/>
    <x v="0"/>
    <s v="Low Price"/>
    <s v="Low Volume"/>
    <x v="3"/>
    <s v="May"/>
    <x v="0"/>
    <x v="4"/>
    <x v="3"/>
  </r>
  <r>
    <s v="QEV-37451-860"/>
    <x v="418"/>
    <s v="17670-51384-MA"/>
    <x v="38"/>
    <n v="2"/>
    <x v="572"/>
    <s v="aallner0@lulu.com"/>
    <x v="0"/>
    <s v="Rob"/>
    <s v="M"/>
    <x v="0"/>
    <n v="9.9499999999999993"/>
    <n v="19.899999999999999"/>
    <x v="0"/>
    <x v="2"/>
    <x v="0"/>
    <n v="2"/>
    <n v="30.574999999999999"/>
    <x v="1"/>
    <x v="1"/>
    <x v="0"/>
    <s v="Low Price"/>
    <s v="Low Volume"/>
    <x v="3"/>
    <s v="September"/>
    <x v="3"/>
    <x v="5"/>
    <x v="1"/>
  </r>
  <r>
    <s v="QEV-37451-860"/>
    <x v="418"/>
    <s v="17670-51384-MA"/>
    <x v="24"/>
    <n v="5"/>
    <x v="572"/>
    <s v="aallner0@lulu.com"/>
    <x v="0"/>
    <s v="Exc"/>
    <s v="M"/>
    <x v="1"/>
    <n v="8.25"/>
    <n v="41.25"/>
    <x v="3"/>
    <x v="2"/>
    <x v="0"/>
    <n v="2"/>
    <n v="30.574999999999999"/>
    <x v="1"/>
    <x v="1"/>
    <x v="0"/>
    <s v="High Price"/>
    <s v="High Volume"/>
    <x v="1"/>
    <s v="September"/>
    <x v="3"/>
    <x v="3"/>
    <x v="1"/>
  </r>
  <r>
    <s v="QEW-47945-682"/>
    <x v="455"/>
    <s v="42466-87067-DT"/>
    <x v="10"/>
    <n v="5"/>
    <x v="573"/>
    <s v="aelwincr@privacy.gov.au"/>
    <x v="0"/>
    <s v="Lib"/>
    <s v="L"/>
    <x v="3"/>
    <n v="4.7549999999999999"/>
    <n v="23.774999999999999"/>
    <x v="1"/>
    <x v="1"/>
    <x v="1"/>
    <n v="1"/>
    <n v="23.774999999999999"/>
    <x v="0"/>
    <x v="0"/>
    <x v="0"/>
    <s v="Low Price"/>
    <s v="High Volume"/>
    <x v="2"/>
    <s v="January"/>
    <x v="2"/>
    <x v="1"/>
    <x v="2"/>
  </r>
  <r>
    <s v="QEY-71761-460"/>
    <x v="470"/>
    <s v="35442-75769-PL"/>
    <x v="38"/>
    <n v="2"/>
    <x v="574"/>
    <s v=""/>
    <x v="1"/>
    <s v="Rob"/>
    <s v="M"/>
    <x v="0"/>
    <n v="9.9499999999999993"/>
    <n v="19.899999999999999"/>
    <x v="0"/>
    <x v="2"/>
    <x v="0"/>
    <n v="1"/>
    <n v="19.899999999999999"/>
    <x v="0"/>
    <x v="0"/>
    <x v="0"/>
    <s v="Low Price"/>
    <s v="Low Volume"/>
    <x v="3"/>
    <s v="November"/>
    <x v="1"/>
    <x v="5"/>
    <x v="1"/>
  </r>
  <r>
    <s v="QHL-27188-431"/>
    <x v="471"/>
    <s v="75443-07820-DZ"/>
    <x v="30"/>
    <n v="2"/>
    <x v="575"/>
    <s v="bguddejg@dailymotion.com"/>
    <x v="0"/>
    <s v="Lib"/>
    <s v="L"/>
    <x v="1"/>
    <n v="9.51"/>
    <n v="19.02"/>
    <x v="1"/>
    <x v="1"/>
    <x v="1"/>
    <n v="1"/>
    <n v="19.02"/>
    <x v="0"/>
    <x v="0"/>
    <x v="0"/>
    <s v="Low Price"/>
    <s v="Low Volume"/>
    <x v="3"/>
    <s v="September"/>
    <x v="3"/>
    <x v="1"/>
    <x v="1"/>
  </r>
  <r>
    <s v="QJB-90477-635"/>
    <x v="472"/>
    <s v="89714-19856-WX"/>
    <x v="33"/>
    <n v="4"/>
    <x v="576"/>
    <s v="dbeauchamp3f@usda.gov"/>
    <x v="0"/>
    <s v="Lib"/>
    <s v="L"/>
    <x v="2"/>
    <n v="36.454999999999998"/>
    <n v="145.82"/>
    <x v="1"/>
    <x v="1"/>
    <x v="1"/>
    <n v="1"/>
    <n v="145.82"/>
    <x v="0"/>
    <x v="0"/>
    <x v="3"/>
    <s v="High Price"/>
    <s v="Low Volume"/>
    <x v="0"/>
    <s v="June"/>
    <x v="0"/>
    <x v="1"/>
    <x v="0"/>
  </r>
  <r>
    <s v="QKA-72582-644"/>
    <x v="473"/>
    <s v="64852-04619-XZ"/>
    <x v="24"/>
    <n v="2"/>
    <x v="577"/>
    <s v=""/>
    <x v="1"/>
    <s v="Exc"/>
    <s v="M"/>
    <x v="1"/>
    <n v="8.25"/>
    <n v="16.5"/>
    <x v="3"/>
    <x v="2"/>
    <x v="1"/>
    <n v="1"/>
    <n v="16.5"/>
    <x v="0"/>
    <x v="0"/>
    <x v="0"/>
    <s v="Low Price"/>
    <s v="Low Volume"/>
    <x v="3"/>
    <s v="December"/>
    <x v="1"/>
    <x v="3"/>
    <x v="2"/>
  </r>
  <r>
    <s v="QLC-52637-305"/>
    <x v="474"/>
    <s v="34317-87258-HQ"/>
    <x v="28"/>
    <n v="4"/>
    <x v="578"/>
    <s v=""/>
    <x v="1"/>
    <s v="Lib"/>
    <s v="D"/>
    <x v="2"/>
    <n v="29.784999999999997"/>
    <n v="119.13999999999999"/>
    <x v="1"/>
    <x v="0"/>
    <x v="0"/>
    <n v="1"/>
    <n v="119.13999999999999"/>
    <x v="0"/>
    <x v="0"/>
    <x v="3"/>
    <s v="High Price"/>
    <s v="Low Volume"/>
    <x v="0"/>
    <s v="February"/>
    <x v="2"/>
    <x v="9"/>
    <x v="2"/>
  </r>
  <r>
    <s v="QLM-07145-668"/>
    <x v="475"/>
    <s v="86437-17399-FK"/>
    <x v="40"/>
    <n v="2"/>
    <x v="579"/>
    <s v="celgey25@webs.com"/>
    <x v="0"/>
    <s v="Exc"/>
    <s v="D"/>
    <x v="3"/>
    <n v="3.645"/>
    <n v="7.29"/>
    <x v="3"/>
    <x v="0"/>
    <x v="1"/>
    <n v="1"/>
    <n v="7.29"/>
    <x v="0"/>
    <x v="0"/>
    <x v="0"/>
    <s v="Low Price"/>
    <s v="Low Volume"/>
    <x v="3"/>
    <s v="May"/>
    <x v="0"/>
    <x v="8"/>
    <x v="3"/>
  </r>
  <r>
    <s v="QNA-31113-984"/>
    <x v="102"/>
    <s v="60512-78550-WS"/>
    <x v="5"/>
    <n v="4"/>
    <x v="580"/>
    <s v="oclausenthue41@marriott.com"/>
    <x v="0"/>
    <s v="Lib"/>
    <s v="M"/>
    <x v="3"/>
    <n v="4.3650000000000002"/>
    <n v="17.46"/>
    <x v="1"/>
    <x v="2"/>
    <x v="1"/>
    <n v="1"/>
    <n v="17.46"/>
    <x v="0"/>
    <x v="0"/>
    <x v="0"/>
    <s v="Low Price"/>
    <s v="Low Volume"/>
    <x v="3"/>
    <s v="April"/>
    <x v="0"/>
    <x v="4"/>
    <x v="3"/>
  </r>
  <r>
    <s v="QNP-18893-547"/>
    <x v="476"/>
    <s v="76930-61689-CH"/>
    <x v="31"/>
    <n v="5"/>
    <x v="581"/>
    <s v=""/>
    <x v="0"/>
    <s v="Rob"/>
    <s v="L"/>
    <x v="0"/>
    <n v="11.95"/>
    <n v="59.75"/>
    <x v="0"/>
    <x v="1"/>
    <x v="1"/>
    <n v="1"/>
    <n v="59.75"/>
    <x v="0"/>
    <x v="0"/>
    <x v="1"/>
    <s v="High Price"/>
    <s v="High Volume"/>
    <x v="1"/>
    <s v="October"/>
    <x v="1"/>
    <x v="11"/>
    <x v="1"/>
  </r>
  <r>
    <s v="QOJ-38788-727"/>
    <x v="477"/>
    <s v="16358-63919-CE"/>
    <x v="4"/>
    <n v="5"/>
    <x v="582"/>
    <s v="hrannerp2@omniture.com"/>
    <x v="0"/>
    <s v="Exc"/>
    <s v="M"/>
    <x v="2"/>
    <n v="31.624999999999996"/>
    <n v="158.12499999999997"/>
    <x v="3"/>
    <x v="2"/>
    <x v="1"/>
    <n v="1"/>
    <n v="158.12499999999997"/>
    <x v="0"/>
    <x v="0"/>
    <x v="2"/>
    <s v="High Price"/>
    <s v="High Volume"/>
    <x v="1"/>
    <s v="June"/>
    <x v="0"/>
    <x v="3"/>
    <x v="0"/>
  </r>
  <r>
    <s v="QOO-24615-950"/>
    <x v="296"/>
    <s v="01338-83217-GV"/>
    <x v="9"/>
    <n v="3"/>
    <x v="583"/>
    <s v="mmeriet56@noaa.gov"/>
    <x v="0"/>
    <s v="Rob"/>
    <s v="M"/>
    <x v="2"/>
    <n v="22.884999999999998"/>
    <n v="68.655000000000001"/>
    <x v="0"/>
    <x v="2"/>
    <x v="1"/>
    <n v="1"/>
    <n v="68.655000000000001"/>
    <x v="0"/>
    <x v="0"/>
    <x v="1"/>
    <s v="High Price"/>
    <s v="Low Volume"/>
    <x v="0"/>
    <s v="August"/>
    <x v="3"/>
    <x v="5"/>
    <x v="0"/>
  </r>
  <r>
    <s v="QPM-95832-683"/>
    <x v="478"/>
    <s v="35058-04550-VC"/>
    <x v="1"/>
    <n v="2"/>
    <x v="584"/>
    <s v="mhame5y@newsvine.com"/>
    <x v="1"/>
    <s v="Lib"/>
    <s v="L"/>
    <x v="0"/>
    <n v="15.85"/>
    <n v="31.7"/>
    <x v="1"/>
    <x v="1"/>
    <x v="1"/>
    <n v="1"/>
    <n v="31.7"/>
    <x v="0"/>
    <x v="0"/>
    <x v="0"/>
    <s v="High Price"/>
    <s v="Low Volume"/>
    <x v="0"/>
    <s v="November"/>
    <x v="1"/>
    <x v="1"/>
    <x v="1"/>
  </r>
  <r>
    <s v="QRA-73277-814"/>
    <x v="334"/>
    <s v="80310-92912-JA"/>
    <x v="16"/>
    <n v="4"/>
    <x v="585"/>
    <s v="iblazewicz54@thetimes.co.uk"/>
    <x v="0"/>
    <s v="Ara"/>
    <s v="L"/>
    <x v="1"/>
    <n v="7.77"/>
    <n v="31.08"/>
    <x v="2"/>
    <x v="1"/>
    <x v="1"/>
    <n v="1"/>
    <n v="31.08"/>
    <x v="0"/>
    <x v="0"/>
    <x v="0"/>
    <s v="High Price"/>
    <s v="Low Volume"/>
    <x v="0"/>
    <s v="July"/>
    <x v="3"/>
    <x v="6"/>
    <x v="0"/>
  </r>
  <r>
    <s v="QTC-71005-730"/>
    <x v="479"/>
    <s v="14298-02150-KH"/>
    <x v="23"/>
    <n v="4"/>
    <x v="586"/>
    <s v=""/>
    <x v="0"/>
    <s v="Ara"/>
    <s v="L"/>
    <x v="3"/>
    <n v="3.8849999999999998"/>
    <n v="15.54"/>
    <x v="2"/>
    <x v="1"/>
    <x v="1"/>
    <n v="1"/>
    <n v="15.54"/>
    <x v="0"/>
    <x v="0"/>
    <x v="0"/>
    <s v="Low Price"/>
    <s v="Low Volume"/>
    <x v="3"/>
    <s v="September"/>
    <x v="3"/>
    <x v="6"/>
    <x v="1"/>
  </r>
  <r>
    <s v="QTG-93823-843"/>
    <x v="480"/>
    <s v="46859-14212-FI"/>
    <x v="2"/>
    <n v="1"/>
    <x v="587"/>
    <s v="csorrellph@amazon.com"/>
    <x v="2"/>
    <s v="Ara"/>
    <s v="M"/>
    <x v="1"/>
    <n v="6.75"/>
    <n v="6.75"/>
    <x v="2"/>
    <x v="2"/>
    <x v="1"/>
    <n v="2"/>
    <n v="14.31"/>
    <x v="1"/>
    <x v="1"/>
    <x v="0"/>
    <s v="Low Price"/>
    <s v="Low Volume"/>
    <x v="3"/>
    <s v="January"/>
    <x v="2"/>
    <x v="2"/>
    <x v="2"/>
  </r>
  <r>
    <s v="QTG-93823-843"/>
    <x v="480"/>
    <s v="46859-14212-FI"/>
    <x v="36"/>
    <n v="3"/>
    <x v="587"/>
    <s v="csorrellph@amazon.com"/>
    <x v="2"/>
    <s v="Exc"/>
    <s v="D"/>
    <x v="1"/>
    <n v="7.29"/>
    <n v="21.87"/>
    <x v="3"/>
    <x v="0"/>
    <x v="1"/>
    <n v="2"/>
    <n v="14.31"/>
    <x v="1"/>
    <x v="1"/>
    <x v="0"/>
    <s v="Low Price"/>
    <s v="Low Volume"/>
    <x v="3"/>
    <s v="January"/>
    <x v="2"/>
    <x v="8"/>
    <x v="2"/>
  </r>
  <r>
    <s v="QTR-19001-114"/>
    <x v="329"/>
    <s v="01035-70465-UO"/>
    <x v="8"/>
    <n v="2"/>
    <x v="588"/>
    <s v="aattwater5u@wikia.com"/>
    <x v="0"/>
    <s v="Ara"/>
    <s v="D"/>
    <x v="0"/>
    <n v="9.9499999999999993"/>
    <n v="19.899999999999999"/>
    <x v="2"/>
    <x v="0"/>
    <x v="0"/>
    <n v="1"/>
    <n v="19.899999999999999"/>
    <x v="0"/>
    <x v="0"/>
    <x v="0"/>
    <s v="Low Price"/>
    <s v="Low Volume"/>
    <x v="3"/>
    <s v="November"/>
    <x v="1"/>
    <x v="7"/>
    <x v="1"/>
  </r>
  <r>
    <s v="QUQ-90580-772"/>
    <x v="481"/>
    <s v="77634-13918-GJ"/>
    <x v="5"/>
    <n v="2"/>
    <x v="589"/>
    <s v="zponting10@altervista.org"/>
    <x v="0"/>
    <s v="Lib"/>
    <s v="M"/>
    <x v="3"/>
    <n v="4.3650000000000002"/>
    <n v="8.73"/>
    <x v="1"/>
    <x v="2"/>
    <x v="1"/>
    <n v="1"/>
    <n v="8.73"/>
    <x v="0"/>
    <x v="0"/>
    <x v="0"/>
    <s v="Low Price"/>
    <s v="Low Volume"/>
    <x v="3"/>
    <s v="February"/>
    <x v="2"/>
    <x v="4"/>
    <x v="2"/>
  </r>
  <r>
    <s v="QUU-91729-492"/>
    <x v="147"/>
    <s v="90312-11148-LA"/>
    <x v="43"/>
    <n v="4"/>
    <x v="590"/>
    <s v="lkeenleyside3s@topsy.com"/>
    <x v="0"/>
    <s v="Ara"/>
    <s v="D"/>
    <x v="3"/>
    <n v="2.9849999999999999"/>
    <n v="11.94"/>
    <x v="2"/>
    <x v="0"/>
    <x v="1"/>
    <n v="1"/>
    <n v="11.94"/>
    <x v="0"/>
    <x v="0"/>
    <x v="0"/>
    <s v="Low Price"/>
    <s v="Low Volume"/>
    <x v="3"/>
    <s v="July"/>
    <x v="3"/>
    <x v="7"/>
    <x v="0"/>
  </r>
  <r>
    <s v="QVL-32245-818"/>
    <x v="482"/>
    <s v="46478-42970-EM"/>
    <x v="2"/>
    <n v="5"/>
    <x v="591"/>
    <s v="dskynerj5@hubpages.com"/>
    <x v="0"/>
    <s v="Ara"/>
    <s v="M"/>
    <x v="1"/>
    <n v="6.75"/>
    <n v="33.75"/>
    <x v="2"/>
    <x v="2"/>
    <x v="1"/>
    <n v="1"/>
    <n v="33.75"/>
    <x v="0"/>
    <x v="0"/>
    <x v="0"/>
    <s v="High Price"/>
    <s v="High Volume"/>
    <x v="1"/>
    <s v="May"/>
    <x v="0"/>
    <x v="2"/>
    <x v="3"/>
  </r>
  <r>
    <s v="QWY-99467-368"/>
    <x v="483"/>
    <s v="96434-50068-DZ"/>
    <x v="22"/>
    <n v="1"/>
    <x v="592"/>
    <s v="nbroomern6@examiner.com"/>
    <x v="0"/>
    <s v="Ara"/>
    <s v="D"/>
    <x v="2"/>
    <n v="22.884999999999998"/>
    <n v="22.884999999999998"/>
    <x v="2"/>
    <x v="0"/>
    <x v="1"/>
    <n v="1"/>
    <n v="22.884999999999998"/>
    <x v="0"/>
    <x v="0"/>
    <x v="0"/>
    <s v="Low Price"/>
    <s v="Low Volume"/>
    <x v="3"/>
    <s v="November"/>
    <x v="1"/>
    <x v="7"/>
    <x v="1"/>
  </r>
  <r>
    <s v="QXX-89943-393"/>
    <x v="484"/>
    <s v="15673-18812-IU"/>
    <x v="15"/>
    <n v="4"/>
    <x v="593"/>
    <s v="ckrzysztofiakma@skyrock.com"/>
    <x v="0"/>
    <s v="Rob"/>
    <s v="D"/>
    <x v="3"/>
    <n v="2.6849999999999996"/>
    <n v="10.739999999999998"/>
    <x v="0"/>
    <x v="0"/>
    <x v="1"/>
    <n v="1"/>
    <n v="10.739999999999998"/>
    <x v="0"/>
    <x v="0"/>
    <x v="0"/>
    <s v="Low Price"/>
    <s v="Low Volume"/>
    <x v="3"/>
    <s v="March"/>
    <x v="2"/>
    <x v="0"/>
    <x v="3"/>
  </r>
  <r>
    <s v="QYC-63914-195"/>
    <x v="485"/>
    <s v="39789-43945-IV"/>
    <x v="45"/>
    <n v="3"/>
    <x v="594"/>
    <s v="rkirtleyg4@hatena.ne.jp"/>
    <x v="0"/>
    <s v="Exc"/>
    <s v="L"/>
    <x v="0"/>
    <n v="14.85"/>
    <n v="44.55"/>
    <x v="3"/>
    <x v="1"/>
    <x v="0"/>
    <n v="1"/>
    <n v="44.55"/>
    <x v="0"/>
    <x v="0"/>
    <x v="0"/>
    <s v="High Price"/>
    <s v="Low Volume"/>
    <x v="0"/>
    <s v="May"/>
    <x v="0"/>
    <x v="10"/>
    <x v="3"/>
  </r>
  <r>
    <s v="RAU-17060-674"/>
    <x v="486"/>
    <s v="12747-63766-EU"/>
    <x v="10"/>
    <n v="1"/>
    <x v="595"/>
    <s v="catchesonmr@xinhuanet.com"/>
    <x v="0"/>
    <s v="Lib"/>
    <s v="L"/>
    <x v="3"/>
    <n v="4.7549999999999999"/>
    <n v="4.7549999999999999"/>
    <x v="1"/>
    <x v="1"/>
    <x v="0"/>
    <n v="1"/>
    <n v="4.7549999999999999"/>
    <x v="0"/>
    <x v="0"/>
    <x v="0"/>
    <s v="Low Price"/>
    <s v="Low Volume"/>
    <x v="3"/>
    <s v="June"/>
    <x v="0"/>
    <x v="1"/>
    <x v="0"/>
  </r>
  <r>
    <s v="RCK-04069-371"/>
    <x v="487"/>
    <s v="94573-61802-PH"/>
    <x v="39"/>
    <n v="2"/>
    <x v="596"/>
    <s v="searley4q@youku.com"/>
    <x v="2"/>
    <s v="Exc"/>
    <s v="L"/>
    <x v="2"/>
    <n v="34.154999999999994"/>
    <n v="68.309999999999988"/>
    <x v="3"/>
    <x v="1"/>
    <x v="1"/>
    <n v="1"/>
    <n v="68.309999999999988"/>
    <x v="0"/>
    <x v="0"/>
    <x v="1"/>
    <s v="High Price"/>
    <s v="Low Volume"/>
    <x v="0"/>
    <s v="October"/>
    <x v="1"/>
    <x v="10"/>
    <x v="1"/>
  </r>
  <r>
    <s v="RDM-99811-230"/>
    <x v="488"/>
    <s v="22349-47389-GY"/>
    <x v="5"/>
    <n v="5"/>
    <x v="597"/>
    <s v="bchecci8h@usa.gov"/>
    <x v="2"/>
    <s v="Lib"/>
    <s v="M"/>
    <x v="3"/>
    <n v="4.3650000000000002"/>
    <n v="21.825000000000003"/>
    <x v="1"/>
    <x v="2"/>
    <x v="1"/>
    <n v="1"/>
    <n v="21.825000000000003"/>
    <x v="0"/>
    <x v="0"/>
    <x v="0"/>
    <s v="Low Price"/>
    <s v="High Volume"/>
    <x v="2"/>
    <s v="November"/>
    <x v="1"/>
    <x v="4"/>
    <x v="1"/>
  </r>
  <r>
    <s v="RDW-33155-159"/>
    <x v="489"/>
    <s v="62173-15287-CU"/>
    <x v="7"/>
    <n v="6"/>
    <x v="598"/>
    <s v="rbroxuph@jimdo.com"/>
    <x v="0"/>
    <s v="Ara"/>
    <s v="L"/>
    <x v="0"/>
    <n v="12.95"/>
    <n v="77.699999999999989"/>
    <x v="2"/>
    <x v="1"/>
    <x v="1"/>
    <n v="1"/>
    <n v="77.699999999999989"/>
    <x v="0"/>
    <x v="0"/>
    <x v="1"/>
    <s v="High Price"/>
    <s v="High Volume"/>
    <x v="1"/>
    <s v="October"/>
    <x v="1"/>
    <x v="6"/>
    <x v="1"/>
  </r>
  <r>
    <s v="REH-56504-397"/>
    <x v="490"/>
    <s v="90961-35603-RP"/>
    <x v="3"/>
    <n v="5"/>
    <x v="599"/>
    <s v="ahutchens6a@amazonaws.com"/>
    <x v="0"/>
    <s v="Ara"/>
    <s v="M"/>
    <x v="2"/>
    <n v="25.874999999999996"/>
    <n v="129.37499999999997"/>
    <x v="2"/>
    <x v="2"/>
    <x v="1"/>
    <n v="1"/>
    <n v="129.37499999999997"/>
    <x v="0"/>
    <x v="0"/>
    <x v="3"/>
    <s v="High Price"/>
    <s v="High Volume"/>
    <x v="1"/>
    <s v="February"/>
    <x v="2"/>
    <x v="2"/>
    <x v="2"/>
  </r>
  <r>
    <s v="RFG-28227-288"/>
    <x v="210"/>
    <s v="68605-21835-UF"/>
    <x v="16"/>
    <n v="6"/>
    <x v="600"/>
    <s v="awaterhouseq7@istockphoto.com"/>
    <x v="0"/>
    <s v="Ara"/>
    <s v="L"/>
    <x v="1"/>
    <n v="7.77"/>
    <n v="46.62"/>
    <x v="2"/>
    <x v="1"/>
    <x v="1"/>
    <n v="1"/>
    <n v="46.62"/>
    <x v="0"/>
    <x v="0"/>
    <x v="0"/>
    <s v="High Price"/>
    <s v="High Volume"/>
    <x v="1"/>
    <s v="June"/>
    <x v="0"/>
    <x v="6"/>
    <x v="0"/>
  </r>
  <r>
    <s v="RFH-64349-897"/>
    <x v="491"/>
    <s v="61954-61462-RJ"/>
    <x v="36"/>
    <n v="3"/>
    <x v="601"/>
    <s v="myallop3a@fema.gov"/>
    <x v="0"/>
    <s v="Exc"/>
    <s v="D"/>
    <x v="1"/>
    <n v="7.29"/>
    <n v="21.87"/>
    <x v="3"/>
    <x v="0"/>
    <x v="0"/>
    <n v="1"/>
    <n v="21.87"/>
    <x v="0"/>
    <x v="0"/>
    <x v="0"/>
    <s v="Low Price"/>
    <s v="Low Volume"/>
    <x v="3"/>
    <s v="October"/>
    <x v="1"/>
    <x v="8"/>
    <x v="1"/>
  </r>
  <r>
    <s v="RGJ-12544-083"/>
    <x v="492"/>
    <s v="48873-84433-PN"/>
    <x v="28"/>
    <n v="3"/>
    <x v="602"/>
    <s v="charce6k@cafepress.com"/>
    <x v="1"/>
    <s v="Lib"/>
    <s v="D"/>
    <x v="2"/>
    <n v="29.784999999999997"/>
    <n v="89.35499999999999"/>
    <x v="1"/>
    <x v="0"/>
    <x v="1"/>
    <n v="1"/>
    <n v="89.35499999999999"/>
    <x v="0"/>
    <x v="0"/>
    <x v="1"/>
    <s v="High Price"/>
    <s v="Low Volume"/>
    <x v="0"/>
    <s v="February"/>
    <x v="2"/>
    <x v="9"/>
    <x v="2"/>
  </r>
  <r>
    <s v="RGM-01187-513"/>
    <x v="493"/>
    <s v="28121-11641-UA"/>
    <x v="40"/>
    <n v="6"/>
    <x v="603"/>
    <s v="bpollinskf@shinystat.com"/>
    <x v="0"/>
    <s v="Exc"/>
    <s v="D"/>
    <x v="3"/>
    <n v="3.645"/>
    <n v="21.87"/>
    <x v="3"/>
    <x v="0"/>
    <x v="1"/>
    <n v="1"/>
    <n v="21.87"/>
    <x v="0"/>
    <x v="0"/>
    <x v="0"/>
    <s v="Low Price"/>
    <s v="High Volume"/>
    <x v="2"/>
    <s v="July"/>
    <x v="3"/>
    <x v="8"/>
    <x v="0"/>
  </r>
  <r>
    <s v="RGU-43561-950"/>
    <x v="494"/>
    <s v="44220-00348-MB"/>
    <x v="17"/>
    <n v="5"/>
    <x v="604"/>
    <s v="bmcgilvrabm@so-net.ne.jp"/>
    <x v="0"/>
    <s v="Ara"/>
    <s v="L"/>
    <x v="2"/>
    <n v="29.784999999999997"/>
    <n v="148.92499999999998"/>
    <x v="2"/>
    <x v="1"/>
    <x v="0"/>
    <n v="1"/>
    <n v="148.92499999999998"/>
    <x v="0"/>
    <x v="0"/>
    <x v="3"/>
    <s v="High Price"/>
    <s v="High Volume"/>
    <x v="1"/>
    <s v="November"/>
    <x v="1"/>
    <x v="6"/>
    <x v="1"/>
  </r>
  <r>
    <s v="RIK-61730-794"/>
    <x v="495"/>
    <s v="69761-61146-KD"/>
    <x v="5"/>
    <n v="6"/>
    <x v="605"/>
    <s v="afendtgx@forbes.com"/>
    <x v="0"/>
    <s v="Lib"/>
    <s v="M"/>
    <x v="3"/>
    <n v="4.3650000000000002"/>
    <n v="26.19"/>
    <x v="1"/>
    <x v="2"/>
    <x v="0"/>
    <n v="1"/>
    <n v="26.19"/>
    <x v="0"/>
    <x v="0"/>
    <x v="0"/>
    <s v="Low Price"/>
    <s v="High Volume"/>
    <x v="2"/>
    <s v="November"/>
    <x v="1"/>
    <x v="4"/>
    <x v="1"/>
  </r>
  <r>
    <s v="RIU-02231-623"/>
    <x v="496"/>
    <s v="25544-84179-QC"/>
    <x v="26"/>
    <n v="5"/>
    <x v="606"/>
    <s v="smorrallnq@answers.com"/>
    <x v="0"/>
    <s v="Rob"/>
    <s v="L"/>
    <x v="1"/>
    <n v="7.169999999999999"/>
    <n v="35.849999999999994"/>
    <x v="0"/>
    <x v="1"/>
    <x v="0"/>
    <n v="1"/>
    <n v="35.849999999999994"/>
    <x v="0"/>
    <x v="0"/>
    <x v="0"/>
    <s v="High Price"/>
    <s v="High Volume"/>
    <x v="1"/>
    <s v="November"/>
    <x v="1"/>
    <x v="11"/>
    <x v="1"/>
  </r>
  <r>
    <s v="RJI-71409-490"/>
    <x v="497"/>
    <s v="31613-41626-KX"/>
    <x v="37"/>
    <n v="5"/>
    <x v="607"/>
    <s v="ccrosterlr@gov.uk"/>
    <x v="0"/>
    <s v="Lib"/>
    <s v="M"/>
    <x v="1"/>
    <n v="8.73"/>
    <n v="43.650000000000006"/>
    <x v="1"/>
    <x v="2"/>
    <x v="0"/>
    <n v="1"/>
    <n v="43.650000000000006"/>
    <x v="0"/>
    <x v="0"/>
    <x v="0"/>
    <s v="High Price"/>
    <s v="High Volume"/>
    <x v="1"/>
    <s v="April"/>
    <x v="0"/>
    <x v="4"/>
    <x v="3"/>
  </r>
  <r>
    <s v="RJR-12175-899"/>
    <x v="182"/>
    <s v="37274-08534-FM"/>
    <x v="36"/>
    <n v="3"/>
    <x v="533"/>
    <s v="smcmillian8t@csmonitor.com"/>
    <x v="0"/>
    <s v="Exc"/>
    <s v="D"/>
    <x v="1"/>
    <n v="7.29"/>
    <n v="21.87"/>
    <x v="3"/>
    <x v="0"/>
    <x v="1"/>
    <n v="1"/>
    <n v="21.87"/>
    <x v="0"/>
    <x v="0"/>
    <x v="0"/>
    <s v="Low Price"/>
    <s v="Low Volume"/>
    <x v="3"/>
    <s v="March"/>
    <x v="2"/>
    <x v="8"/>
    <x v="3"/>
  </r>
  <r>
    <s v="RJV-08261-583"/>
    <x v="301"/>
    <s v="48497-29281-FE"/>
    <x v="43"/>
    <n v="5"/>
    <x v="608"/>
    <s v="pbessal@qq.com"/>
    <x v="0"/>
    <s v="Ara"/>
    <s v="D"/>
    <x v="3"/>
    <n v="2.9849999999999999"/>
    <n v="14.924999999999999"/>
    <x v="2"/>
    <x v="0"/>
    <x v="0"/>
    <n v="1"/>
    <n v="14.924999999999999"/>
    <x v="0"/>
    <x v="0"/>
    <x v="0"/>
    <s v="Low Price"/>
    <s v="High Volume"/>
    <x v="2"/>
    <s v="March"/>
    <x v="2"/>
    <x v="7"/>
    <x v="3"/>
  </r>
  <r>
    <s v="RKW-81145-984"/>
    <x v="498"/>
    <s v="98661-69719-VI"/>
    <x v="1"/>
    <n v="3"/>
    <x v="609"/>
    <s v="cbakeupe8@globo.com"/>
    <x v="0"/>
    <s v="Lib"/>
    <s v="L"/>
    <x v="0"/>
    <n v="15.85"/>
    <n v="47.55"/>
    <x v="1"/>
    <x v="1"/>
    <x v="1"/>
    <n v="1"/>
    <n v="47.55"/>
    <x v="0"/>
    <x v="0"/>
    <x v="0"/>
    <s v="High Price"/>
    <s v="Low Volume"/>
    <x v="0"/>
    <s v="March"/>
    <x v="2"/>
    <x v="1"/>
    <x v="3"/>
  </r>
  <r>
    <s v="RLM-96511-467"/>
    <x v="134"/>
    <s v="43014-53743-XK"/>
    <x v="44"/>
    <n v="1"/>
    <x v="610"/>
    <s v="jtewelsonrn@samsung.com"/>
    <x v="0"/>
    <s v="Rob"/>
    <s v="L"/>
    <x v="2"/>
    <n v="27.484999999999996"/>
    <n v="27.484999999999996"/>
    <x v="0"/>
    <x v="1"/>
    <x v="1"/>
    <n v="1"/>
    <n v="27.484999999999996"/>
    <x v="0"/>
    <x v="0"/>
    <x v="0"/>
    <s v="Low Price"/>
    <s v="Low Volume"/>
    <x v="3"/>
    <s v="January"/>
    <x v="2"/>
    <x v="11"/>
    <x v="2"/>
  </r>
  <r>
    <s v="RMA-08327-369"/>
    <x v="169"/>
    <s v="93809-05424-MG"/>
    <x v="2"/>
    <n v="6"/>
    <x v="611"/>
    <s v="oduny5r@constantcontact.com"/>
    <x v="0"/>
    <s v="Ara"/>
    <s v="M"/>
    <x v="1"/>
    <n v="6.75"/>
    <n v="40.5"/>
    <x v="2"/>
    <x v="2"/>
    <x v="0"/>
    <n v="1"/>
    <n v="40.5"/>
    <x v="0"/>
    <x v="0"/>
    <x v="0"/>
    <s v="High Price"/>
    <s v="High Volume"/>
    <x v="1"/>
    <s v="January"/>
    <x v="2"/>
    <x v="2"/>
    <x v="2"/>
  </r>
  <r>
    <s v="RMW-74160-339"/>
    <x v="105"/>
    <s v="38978-59582-JP"/>
    <x v="44"/>
    <n v="4"/>
    <x v="612"/>
    <s v="eheining4x@flickr.com"/>
    <x v="0"/>
    <s v="Rob"/>
    <s v="L"/>
    <x v="2"/>
    <n v="27.484999999999996"/>
    <n v="109.93999999999998"/>
    <x v="0"/>
    <x v="1"/>
    <x v="0"/>
    <n v="1"/>
    <n v="109.93999999999998"/>
    <x v="0"/>
    <x v="0"/>
    <x v="3"/>
    <s v="High Price"/>
    <s v="Low Volume"/>
    <x v="0"/>
    <s v="October"/>
    <x v="1"/>
    <x v="11"/>
    <x v="1"/>
  </r>
  <r>
    <s v="RNH-54912-747"/>
    <x v="349"/>
    <s v="37445-17791-NQ"/>
    <x v="6"/>
    <n v="1"/>
    <x v="613"/>
    <s v="nleethem8o@mac.com"/>
    <x v="0"/>
    <s v="Rob"/>
    <s v="M"/>
    <x v="1"/>
    <n v="5.97"/>
    <n v="5.97"/>
    <x v="0"/>
    <x v="2"/>
    <x v="0"/>
    <n v="1"/>
    <n v="5.97"/>
    <x v="0"/>
    <x v="0"/>
    <x v="0"/>
    <s v="Low Price"/>
    <s v="Low Volume"/>
    <x v="3"/>
    <s v="May"/>
    <x v="0"/>
    <x v="5"/>
    <x v="3"/>
  </r>
  <r>
    <s v="ROV-87448-086"/>
    <x v="499"/>
    <s v="30381-64762-NG"/>
    <x v="3"/>
    <n v="4"/>
    <x v="614"/>
    <s v="agreenhead2j@dailymail.co.uk"/>
    <x v="0"/>
    <s v="Ara"/>
    <s v="M"/>
    <x v="2"/>
    <n v="25.874999999999996"/>
    <n v="103.49999999999999"/>
    <x v="2"/>
    <x v="2"/>
    <x v="1"/>
    <n v="1"/>
    <n v="103.49999999999999"/>
    <x v="0"/>
    <x v="0"/>
    <x v="3"/>
    <s v="High Price"/>
    <s v="Low Volume"/>
    <x v="0"/>
    <s v="November"/>
    <x v="1"/>
    <x v="2"/>
    <x v="1"/>
  </r>
  <r>
    <s v="RPJ-37787-335"/>
    <x v="500"/>
    <s v="76005-95461-CI"/>
    <x v="3"/>
    <n v="3"/>
    <x v="615"/>
    <s v=""/>
    <x v="0"/>
    <s v="Ara"/>
    <s v="M"/>
    <x v="2"/>
    <n v="25.874999999999996"/>
    <n v="77.624999999999986"/>
    <x v="2"/>
    <x v="2"/>
    <x v="1"/>
    <n v="1"/>
    <n v="77.624999999999986"/>
    <x v="0"/>
    <x v="0"/>
    <x v="1"/>
    <s v="High Price"/>
    <s v="Low Volume"/>
    <x v="0"/>
    <s v="October"/>
    <x v="1"/>
    <x v="2"/>
    <x v="1"/>
  </r>
  <r>
    <s v="RPW-36123-215"/>
    <x v="200"/>
    <s v="80640-45811-LB"/>
    <x v="20"/>
    <n v="2"/>
    <x v="616"/>
    <s v="jrangall22@newsvine.com"/>
    <x v="0"/>
    <s v="Exc"/>
    <s v="L"/>
    <x v="1"/>
    <n v="8.91"/>
    <n v="17.82"/>
    <x v="3"/>
    <x v="1"/>
    <x v="0"/>
    <n v="1"/>
    <n v="17.82"/>
    <x v="0"/>
    <x v="0"/>
    <x v="0"/>
    <s v="Low Price"/>
    <s v="Low Volume"/>
    <x v="3"/>
    <s v="July"/>
    <x v="3"/>
    <x v="10"/>
    <x v="0"/>
  </r>
  <r>
    <s v="RRP-51647-420"/>
    <x v="501"/>
    <s v="89292-52335-YZ"/>
    <x v="12"/>
    <n v="3"/>
    <x v="617"/>
    <s v="llathleiffc9@nationalgeographic.com"/>
    <x v="1"/>
    <s v="Exc"/>
    <s v="D"/>
    <x v="0"/>
    <n v="12.15"/>
    <n v="36.450000000000003"/>
    <x v="3"/>
    <x v="0"/>
    <x v="0"/>
    <n v="1"/>
    <n v="36.450000000000003"/>
    <x v="0"/>
    <x v="0"/>
    <x v="0"/>
    <s v="High Price"/>
    <s v="Low Volume"/>
    <x v="0"/>
    <s v="April"/>
    <x v="0"/>
    <x v="8"/>
    <x v="3"/>
  </r>
  <r>
    <s v="RSR-96390-187"/>
    <x v="502"/>
    <s v="67052-76184-CB"/>
    <x v="21"/>
    <n v="6"/>
    <x v="618"/>
    <s v=""/>
    <x v="0"/>
    <s v="Exc"/>
    <s v="M"/>
    <x v="0"/>
    <n v="13.75"/>
    <n v="82.5"/>
    <x v="3"/>
    <x v="2"/>
    <x v="1"/>
    <n v="1"/>
    <n v="82.5"/>
    <x v="0"/>
    <x v="0"/>
    <x v="1"/>
    <s v="High Price"/>
    <s v="High Volume"/>
    <x v="1"/>
    <s v="September"/>
    <x v="3"/>
    <x v="3"/>
    <x v="1"/>
  </r>
  <r>
    <s v="RTL-16205-161"/>
    <x v="223"/>
    <s v="90440-62727-HI"/>
    <x v="2"/>
    <n v="1"/>
    <x v="619"/>
    <s v="ahutchinsond2@imgur.com"/>
    <x v="0"/>
    <s v="Ara"/>
    <s v="M"/>
    <x v="1"/>
    <n v="6.75"/>
    <n v="6.75"/>
    <x v="2"/>
    <x v="2"/>
    <x v="0"/>
    <n v="1"/>
    <n v="6.75"/>
    <x v="0"/>
    <x v="0"/>
    <x v="0"/>
    <s v="Low Price"/>
    <s v="Low Volume"/>
    <x v="3"/>
    <s v="April"/>
    <x v="0"/>
    <x v="2"/>
    <x v="3"/>
  </r>
  <r>
    <s v="RUJ-30649-712"/>
    <x v="503"/>
    <s v="93224-71517-WV"/>
    <x v="10"/>
    <n v="2"/>
    <x v="620"/>
    <s v="orylandc4@deviantart.com"/>
    <x v="0"/>
    <s v="Lib"/>
    <s v="L"/>
    <x v="3"/>
    <n v="4.7549999999999999"/>
    <n v="9.51"/>
    <x v="1"/>
    <x v="1"/>
    <x v="0"/>
    <n v="1"/>
    <n v="9.51"/>
    <x v="0"/>
    <x v="0"/>
    <x v="0"/>
    <s v="Low Price"/>
    <s v="Low Volume"/>
    <x v="3"/>
    <s v="March"/>
    <x v="2"/>
    <x v="1"/>
    <x v="3"/>
  </r>
  <r>
    <s v="RUK-78200-416"/>
    <x v="504"/>
    <s v="36192-07175-XC"/>
    <x v="29"/>
    <n v="2"/>
    <x v="621"/>
    <s v="mattwoolpl@nba.com"/>
    <x v="0"/>
    <s v="Lib"/>
    <s v="D"/>
    <x v="3"/>
    <n v="3.8849999999999998"/>
    <n v="7.77"/>
    <x v="1"/>
    <x v="0"/>
    <x v="1"/>
    <n v="1"/>
    <n v="7.77"/>
    <x v="0"/>
    <x v="0"/>
    <x v="0"/>
    <s v="Low Price"/>
    <s v="Low Volume"/>
    <x v="3"/>
    <s v="November"/>
    <x v="1"/>
    <x v="9"/>
    <x v="1"/>
  </r>
  <r>
    <s v="RUX-37995-892"/>
    <x v="394"/>
    <s v="37762-09530-MP"/>
    <x v="28"/>
    <n v="4"/>
    <x v="622"/>
    <s v="bgaishno@altervista.org"/>
    <x v="0"/>
    <s v="Lib"/>
    <s v="D"/>
    <x v="2"/>
    <n v="29.784999999999997"/>
    <n v="119.13999999999999"/>
    <x v="1"/>
    <x v="0"/>
    <x v="0"/>
    <n v="1"/>
    <n v="119.13999999999999"/>
    <x v="0"/>
    <x v="0"/>
    <x v="3"/>
    <s v="High Price"/>
    <s v="Low Volume"/>
    <x v="0"/>
    <s v="November"/>
    <x v="1"/>
    <x v="9"/>
    <x v="1"/>
  </r>
  <r>
    <s v="RWI-84131-848"/>
    <x v="505"/>
    <s v="16385-11286-NX"/>
    <x v="13"/>
    <n v="2"/>
    <x v="623"/>
    <s v="mspurdencj@exblog.jp"/>
    <x v="0"/>
    <s v="Rob"/>
    <s v="D"/>
    <x v="2"/>
    <n v="20.584999999999997"/>
    <n v="41.169999999999995"/>
    <x v="0"/>
    <x v="0"/>
    <x v="0"/>
    <n v="1"/>
    <n v="41.169999999999995"/>
    <x v="0"/>
    <x v="0"/>
    <x v="0"/>
    <s v="High Price"/>
    <s v="Low Volume"/>
    <x v="0"/>
    <s v="February"/>
    <x v="2"/>
    <x v="0"/>
    <x v="2"/>
  </r>
  <r>
    <s v="RWR-77888-800"/>
    <x v="253"/>
    <s v="69904-02729-YS"/>
    <x v="2"/>
    <n v="1"/>
    <x v="624"/>
    <s v="adykes1r@eventbrite.com"/>
    <x v="0"/>
    <s v="Ara"/>
    <s v="M"/>
    <x v="1"/>
    <n v="6.75"/>
    <n v="6.75"/>
    <x v="2"/>
    <x v="2"/>
    <x v="1"/>
    <n v="1"/>
    <n v="6.75"/>
    <x v="0"/>
    <x v="0"/>
    <x v="0"/>
    <s v="Low Price"/>
    <s v="Low Volume"/>
    <x v="3"/>
    <s v="February"/>
    <x v="2"/>
    <x v="2"/>
    <x v="2"/>
  </r>
  <r>
    <s v="RXF-37618-213"/>
    <x v="506"/>
    <s v="32948-34398-HC"/>
    <x v="26"/>
    <n v="1"/>
    <x v="625"/>
    <s v="bumpleby1u@soundcloud.com"/>
    <x v="0"/>
    <s v="Rob"/>
    <s v="L"/>
    <x v="1"/>
    <n v="7.169999999999999"/>
    <n v="7.169999999999999"/>
    <x v="0"/>
    <x v="1"/>
    <x v="0"/>
    <n v="1"/>
    <n v="7.169999999999999"/>
    <x v="0"/>
    <x v="0"/>
    <x v="0"/>
    <s v="Low Price"/>
    <s v="Low Volume"/>
    <x v="3"/>
    <s v="April"/>
    <x v="0"/>
    <x v="11"/>
    <x v="3"/>
  </r>
  <r>
    <s v="RXI-67978-260"/>
    <x v="507"/>
    <s v="48418-60841-CC"/>
    <x v="12"/>
    <n v="6"/>
    <x v="626"/>
    <s v="kegglestonedj@sphinn.com"/>
    <x v="1"/>
    <s v="Exc"/>
    <s v="D"/>
    <x v="0"/>
    <n v="12.15"/>
    <n v="72.900000000000006"/>
    <x v="3"/>
    <x v="0"/>
    <x v="1"/>
    <n v="1"/>
    <n v="72.900000000000006"/>
    <x v="0"/>
    <x v="0"/>
    <x v="1"/>
    <s v="High Price"/>
    <s v="High Volume"/>
    <x v="1"/>
    <s v="September"/>
    <x v="3"/>
    <x v="8"/>
    <x v="1"/>
  </r>
  <r>
    <s v="RXN-55491-201"/>
    <x v="467"/>
    <s v="86071-79238-CX"/>
    <x v="25"/>
    <n v="6"/>
    <x v="627"/>
    <s v="rpysono0@constantcontact.com"/>
    <x v="1"/>
    <s v="Rob"/>
    <s v="L"/>
    <x v="3"/>
    <n v="3.5849999999999995"/>
    <n v="21.509999999999998"/>
    <x v="0"/>
    <x v="1"/>
    <x v="1"/>
    <n v="1"/>
    <n v="21.509999999999998"/>
    <x v="0"/>
    <x v="0"/>
    <x v="0"/>
    <s v="Low Price"/>
    <s v="High Volume"/>
    <x v="2"/>
    <s v="October"/>
    <x v="1"/>
    <x v="11"/>
    <x v="1"/>
  </r>
  <r>
    <s v="RXW-91413-276"/>
    <x v="508"/>
    <s v="29588-35679-RG"/>
    <x v="6"/>
    <n v="1"/>
    <x v="628"/>
    <s v="ncorpsa0@gmpg.org"/>
    <x v="0"/>
    <s v="Rob"/>
    <s v="M"/>
    <x v="1"/>
    <n v="5.97"/>
    <n v="5.97"/>
    <x v="0"/>
    <x v="2"/>
    <x v="1"/>
    <n v="2"/>
    <n v="23.569999999999997"/>
    <x v="1"/>
    <x v="1"/>
    <x v="0"/>
    <s v="Low Price"/>
    <s v="Low Volume"/>
    <x v="3"/>
    <s v="August"/>
    <x v="3"/>
    <x v="5"/>
    <x v="0"/>
  </r>
  <r>
    <s v="RXW-91413-276"/>
    <x v="508"/>
    <s v="29588-35679-RG"/>
    <x v="13"/>
    <n v="2"/>
    <x v="628"/>
    <s v="ncorpsa0@gmpg.org"/>
    <x v="0"/>
    <s v="Rob"/>
    <s v="D"/>
    <x v="2"/>
    <n v="20.584999999999997"/>
    <n v="41.169999999999995"/>
    <x v="0"/>
    <x v="0"/>
    <x v="1"/>
    <n v="2"/>
    <n v="23.569999999999997"/>
    <x v="1"/>
    <x v="1"/>
    <x v="0"/>
    <s v="High Price"/>
    <s v="Low Volume"/>
    <x v="0"/>
    <s v="August"/>
    <x v="3"/>
    <x v="0"/>
    <x v="0"/>
  </r>
  <r>
    <s v="RYY-38961-093"/>
    <x v="185"/>
    <s v="14756-18321-CL"/>
    <x v="46"/>
    <n v="6"/>
    <x v="629"/>
    <s v="lalawayhh@weather.com"/>
    <x v="0"/>
    <s v="Ara"/>
    <s v="M"/>
    <x v="3"/>
    <n v="3.375"/>
    <n v="20.25"/>
    <x v="2"/>
    <x v="2"/>
    <x v="1"/>
    <n v="1"/>
    <n v="20.25"/>
    <x v="0"/>
    <x v="0"/>
    <x v="0"/>
    <s v="Low Price"/>
    <s v="High Volume"/>
    <x v="2"/>
    <s v="January"/>
    <x v="2"/>
    <x v="2"/>
    <x v="2"/>
  </r>
  <r>
    <s v="RYZ-14633-602"/>
    <x v="181"/>
    <s v="14158-30713-OB"/>
    <x v="8"/>
    <n v="4"/>
    <x v="630"/>
    <s v="mcalcuttt@baidu.com"/>
    <x v="1"/>
    <s v="Ara"/>
    <s v="D"/>
    <x v="0"/>
    <n v="9.9499999999999993"/>
    <n v="39.799999999999997"/>
    <x v="2"/>
    <x v="0"/>
    <x v="0"/>
    <n v="1"/>
    <n v="39.799999999999997"/>
    <x v="0"/>
    <x v="0"/>
    <x v="0"/>
    <s v="High Price"/>
    <s v="Low Volume"/>
    <x v="0"/>
    <s v="February"/>
    <x v="2"/>
    <x v="7"/>
    <x v="2"/>
  </r>
  <r>
    <s v="RZC-75150-413"/>
    <x v="509"/>
    <s v="92204-96636-BS"/>
    <x v="36"/>
    <n v="5"/>
    <x v="631"/>
    <s v="rdeaconsonja@archive.org"/>
    <x v="0"/>
    <s v="Exc"/>
    <s v="D"/>
    <x v="1"/>
    <n v="7.29"/>
    <n v="36.450000000000003"/>
    <x v="3"/>
    <x v="0"/>
    <x v="1"/>
    <n v="1"/>
    <n v="36.450000000000003"/>
    <x v="0"/>
    <x v="0"/>
    <x v="0"/>
    <s v="High Price"/>
    <s v="High Volume"/>
    <x v="1"/>
    <s v="March"/>
    <x v="2"/>
    <x v="8"/>
    <x v="3"/>
  </r>
  <r>
    <s v="RZN-65182-395"/>
    <x v="77"/>
    <s v="59572-41990-XY"/>
    <x v="34"/>
    <n v="6"/>
    <x v="632"/>
    <s v="kloxtona3@opensource.org"/>
    <x v="0"/>
    <s v="Lib"/>
    <s v="M"/>
    <x v="0"/>
    <n v="14.55"/>
    <n v="87.300000000000011"/>
    <x v="1"/>
    <x v="2"/>
    <x v="1"/>
    <n v="1"/>
    <n v="87.300000000000011"/>
    <x v="0"/>
    <x v="0"/>
    <x v="1"/>
    <s v="High Price"/>
    <s v="High Volume"/>
    <x v="1"/>
    <s v="March"/>
    <x v="2"/>
    <x v="4"/>
    <x v="3"/>
  </r>
  <r>
    <s v="SBC-95710-706"/>
    <x v="16"/>
    <s v="85634-61759-ND"/>
    <x v="42"/>
    <n v="2"/>
    <x v="633"/>
    <s v="mbaistowhu@i2i.jp"/>
    <x v="2"/>
    <s v="Exc"/>
    <s v="M"/>
    <x v="3"/>
    <n v="4.125"/>
    <n v="8.25"/>
    <x v="3"/>
    <x v="2"/>
    <x v="0"/>
    <n v="1"/>
    <n v="8.25"/>
    <x v="0"/>
    <x v="0"/>
    <x v="0"/>
    <s v="Low Price"/>
    <s v="Low Volume"/>
    <x v="3"/>
    <s v="February"/>
    <x v="2"/>
    <x v="3"/>
    <x v="2"/>
  </r>
  <r>
    <s v="SBI-60013-494"/>
    <x v="510"/>
    <s v="55232-81621-BX"/>
    <x v="42"/>
    <n v="2"/>
    <x v="634"/>
    <s v="twalas53@google.ca"/>
    <x v="0"/>
    <s v="Exc"/>
    <s v="M"/>
    <x v="3"/>
    <n v="4.125"/>
    <n v="8.25"/>
    <x v="3"/>
    <x v="2"/>
    <x v="1"/>
    <n v="1"/>
    <n v="8.25"/>
    <x v="0"/>
    <x v="0"/>
    <x v="0"/>
    <s v="Low Price"/>
    <s v="Low Volume"/>
    <x v="3"/>
    <s v="November"/>
    <x v="1"/>
    <x v="3"/>
    <x v="1"/>
  </r>
  <r>
    <s v="SBN-16537-046"/>
    <x v="319"/>
    <s v="60255-12579-PZ"/>
    <x v="43"/>
    <n v="1"/>
    <x v="635"/>
    <s v="hmairsn1@so-net.ne.jp"/>
    <x v="0"/>
    <s v="Ara"/>
    <s v="D"/>
    <x v="3"/>
    <n v="2.9849999999999999"/>
    <n v="2.9849999999999999"/>
    <x v="2"/>
    <x v="0"/>
    <x v="1"/>
    <n v="1"/>
    <n v="2.9849999999999999"/>
    <x v="0"/>
    <x v="0"/>
    <x v="0"/>
    <s v="Low Price"/>
    <s v="Low Volume"/>
    <x v="3"/>
    <s v="February"/>
    <x v="2"/>
    <x v="7"/>
    <x v="2"/>
  </r>
  <r>
    <s v="SCL-94540-788"/>
    <x v="511"/>
    <s v="16123-07017-TY"/>
    <x v="39"/>
    <n v="6"/>
    <x v="636"/>
    <s v="tcrowthe7n@europa.eu"/>
    <x v="0"/>
    <s v="Exc"/>
    <s v="L"/>
    <x v="2"/>
    <n v="34.154999999999994"/>
    <n v="204.92999999999995"/>
    <x v="3"/>
    <x v="1"/>
    <x v="1"/>
    <n v="1"/>
    <n v="204.92999999999995"/>
    <x v="0"/>
    <x v="0"/>
    <x v="2"/>
    <s v="High Price"/>
    <s v="High Volume"/>
    <x v="1"/>
    <s v="June"/>
    <x v="0"/>
    <x v="10"/>
    <x v="0"/>
  </r>
  <r>
    <s v="SCN-51395-066"/>
    <x v="512"/>
    <s v="72164-90254-EJ"/>
    <x v="30"/>
    <n v="4"/>
    <x v="637"/>
    <s v="npirronecl@weibo.com"/>
    <x v="0"/>
    <s v="Lib"/>
    <s v="L"/>
    <x v="1"/>
    <n v="9.51"/>
    <n v="38.04"/>
    <x v="1"/>
    <x v="1"/>
    <x v="1"/>
    <n v="1"/>
    <n v="38.04"/>
    <x v="0"/>
    <x v="0"/>
    <x v="0"/>
    <s v="High Price"/>
    <s v="Low Volume"/>
    <x v="0"/>
    <s v="January"/>
    <x v="2"/>
    <x v="1"/>
    <x v="2"/>
  </r>
  <r>
    <s v="SCS-67069-962"/>
    <x v="261"/>
    <s v="21403-49423-PD"/>
    <x v="17"/>
    <n v="5"/>
    <x v="638"/>
    <s v="gtrengrovem2@elpais.com"/>
    <x v="0"/>
    <s v="Ara"/>
    <s v="L"/>
    <x v="2"/>
    <n v="29.784999999999997"/>
    <n v="148.92499999999998"/>
    <x v="2"/>
    <x v="1"/>
    <x v="1"/>
    <n v="1"/>
    <n v="148.92499999999998"/>
    <x v="0"/>
    <x v="0"/>
    <x v="3"/>
    <s v="High Price"/>
    <s v="High Volume"/>
    <x v="1"/>
    <s v="June"/>
    <x v="0"/>
    <x v="6"/>
    <x v="0"/>
  </r>
  <r>
    <s v="SCT-60553-454"/>
    <x v="437"/>
    <s v="39123-12846-YJ"/>
    <x v="10"/>
    <n v="5"/>
    <x v="639"/>
    <s v="ggatheralx@123-reg.co.uk"/>
    <x v="0"/>
    <s v="Lib"/>
    <s v="L"/>
    <x v="3"/>
    <n v="4.7549999999999999"/>
    <n v="23.774999999999999"/>
    <x v="1"/>
    <x v="1"/>
    <x v="1"/>
    <n v="1"/>
    <n v="23.774999999999999"/>
    <x v="0"/>
    <x v="0"/>
    <x v="0"/>
    <s v="Low Price"/>
    <s v="High Volume"/>
    <x v="2"/>
    <s v="July"/>
    <x v="3"/>
    <x v="1"/>
    <x v="0"/>
  </r>
  <r>
    <s v="SDB-77492-188"/>
    <x v="513"/>
    <s v="64815-54078-HH"/>
    <x v="45"/>
    <n v="5"/>
    <x v="640"/>
    <s v="fbabbera2@stanford.edu"/>
    <x v="0"/>
    <s v="Exc"/>
    <s v="L"/>
    <x v="0"/>
    <n v="14.85"/>
    <n v="74.25"/>
    <x v="3"/>
    <x v="1"/>
    <x v="0"/>
    <n v="1"/>
    <n v="74.25"/>
    <x v="0"/>
    <x v="0"/>
    <x v="1"/>
    <s v="High Price"/>
    <s v="High Volume"/>
    <x v="1"/>
    <s v="May"/>
    <x v="0"/>
    <x v="10"/>
    <x v="3"/>
  </r>
  <r>
    <s v="SEC-91807-425"/>
    <x v="93"/>
    <s v="94091-86957-HX"/>
    <x v="35"/>
    <n v="2"/>
    <x v="123"/>
    <s v="jdymokeje@prnewswire.com"/>
    <x v="1"/>
    <s v="Ara"/>
    <s v="M"/>
    <x v="0"/>
    <n v="11.25"/>
    <n v="22.5"/>
    <x v="2"/>
    <x v="2"/>
    <x v="1"/>
    <n v="1"/>
    <n v="22.5"/>
    <x v="0"/>
    <x v="0"/>
    <x v="0"/>
    <s v="Low Price"/>
    <s v="Low Volume"/>
    <x v="3"/>
    <s v="January"/>
    <x v="2"/>
    <x v="2"/>
    <x v="2"/>
  </r>
  <r>
    <s v="SFB-93752-440"/>
    <x v="290"/>
    <s v="48203-23480-UB"/>
    <x v="11"/>
    <n v="3"/>
    <x v="641"/>
    <s v="nleakek1@cmu.edu"/>
    <x v="0"/>
    <s v="Rob"/>
    <s v="M"/>
    <x v="3"/>
    <n v="2.9849999999999999"/>
    <n v="8.9550000000000001"/>
    <x v="0"/>
    <x v="2"/>
    <x v="0"/>
    <n v="1"/>
    <n v="8.9550000000000001"/>
    <x v="0"/>
    <x v="0"/>
    <x v="0"/>
    <s v="Low Price"/>
    <s v="Low Volume"/>
    <x v="3"/>
    <s v="October"/>
    <x v="1"/>
    <x v="5"/>
    <x v="1"/>
  </r>
  <r>
    <s v="SFB-97929-779"/>
    <x v="333"/>
    <s v="85425-33494-HQ"/>
    <x v="36"/>
    <n v="4"/>
    <x v="642"/>
    <s v="chalfhide5s@google.ru"/>
    <x v="1"/>
    <s v="Exc"/>
    <s v="D"/>
    <x v="1"/>
    <n v="7.29"/>
    <n v="29.16"/>
    <x v="3"/>
    <x v="0"/>
    <x v="0"/>
    <n v="1"/>
    <n v="29.16"/>
    <x v="0"/>
    <x v="0"/>
    <x v="0"/>
    <s v="Low Price"/>
    <s v="Low Volume"/>
    <x v="3"/>
    <s v="April"/>
    <x v="0"/>
    <x v="8"/>
    <x v="3"/>
  </r>
  <r>
    <s v="SFC-34054-213"/>
    <x v="514"/>
    <s v="08100-71102-HQ"/>
    <x v="30"/>
    <n v="4"/>
    <x v="643"/>
    <s v="mgundrymo@omniture.com"/>
    <x v="1"/>
    <s v="Lib"/>
    <s v="L"/>
    <x v="1"/>
    <n v="9.51"/>
    <n v="38.04"/>
    <x v="1"/>
    <x v="1"/>
    <x v="1"/>
    <n v="1"/>
    <n v="38.04"/>
    <x v="0"/>
    <x v="0"/>
    <x v="0"/>
    <s v="High Price"/>
    <s v="Low Volume"/>
    <x v="0"/>
    <s v="March"/>
    <x v="2"/>
    <x v="1"/>
    <x v="3"/>
  </r>
  <r>
    <s v="SFD-00372-284"/>
    <x v="515"/>
    <s v="54798-14109-HC"/>
    <x v="5"/>
    <n v="2"/>
    <x v="155"/>
    <s v="oskermen3@hatena.ne.jp"/>
    <x v="0"/>
    <s v="Lib"/>
    <s v="M"/>
    <x v="3"/>
    <n v="4.3650000000000002"/>
    <n v="8.73"/>
    <x v="1"/>
    <x v="2"/>
    <x v="0"/>
    <n v="1"/>
    <n v="8.73"/>
    <x v="0"/>
    <x v="0"/>
    <x v="0"/>
    <s v="Low Price"/>
    <s v="Low Volume"/>
    <x v="3"/>
    <s v="July"/>
    <x v="3"/>
    <x v="4"/>
    <x v="0"/>
  </r>
  <r>
    <s v="SFF-86059-407"/>
    <x v="516"/>
    <s v="30585-48726-BK"/>
    <x v="3"/>
    <n v="1"/>
    <x v="644"/>
    <s v="dhedlestone7m@craigslist.org"/>
    <x v="0"/>
    <s v="Ara"/>
    <s v="M"/>
    <x v="2"/>
    <n v="25.874999999999996"/>
    <n v="25.874999999999996"/>
    <x v="2"/>
    <x v="2"/>
    <x v="1"/>
    <n v="1"/>
    <n v="25.874999999999996"/>
    <x v="0"/>
    <x v="0"/>
    <x v="0"/>
    <s v="Low Price"/>
    <s v="Low Volume"/>
    <x v="3"/>
    <s v="June"/>
    <x v="0"/>
    <x v="2"/>
    <x v="0"/>
  </r>
  <r>
    <s v="SGA-30059-217"/>
    <x v="517"/>
    <s v="84405-83364-DG"/>
    <x v="18"/>
    <n v="5"/>
    <x v="645"/>
    <s v="lkynetonrf@macromedia.com"/>
    <x v="2"/>
    <s v="Ara"/>
    <s v="D"/>
    <x v="1"/>
    <n v="5.97"/>
    <n v="29.849999999999998"/>
    <x v="2"/>
    <x v="0"/>
    <x v="0"/>
    <n v="1"/>
    <n v="29.849999999999998"/>
    <x v="0"/>
    <x v="0"/>
    <x v="0"/>
    <s v="High Price"/>
    <s v="High Volume"/>
    <x v="1"/>
    <s v="February"/>
    <x v="2"/>
    <x v="7"/>
    <x v="2"/>
  </r>
  <r>
    <s v="SGI-48226-857"/>
    <x v="518"/>
    <s v="84033-80762-EQ"/>
    <x v="3"/>
    <n v="6"/>
    <x v="646"/>
    <s v=""/>
    <x v="0"/>
    <s v="Ara"/>
    <s v="M"/>
    <x v="2"/>
    <n v="25.874999999999996"/>
    <n v="155.24999999999997"/>
    <x v="2"/>
    <x v="2"/>
    <x v="0"/>
    <n v="1"/>
    <n v="155.24999999999997"/>
    <x v="0"/>
    <x v="0"/>
    <x v="2"/>
    <s v="High Price"/>
    <s v="High Volume"/>
    <x v="1"/>
    <s v="June"/>
    <x v="0"/>
    <x v="2"/>
    <x v="0"/>
  </r>
  <r>
    <s v="SGS-87525-238"/>
    <x v="519"/>
    <s v="91465-84526-IJ"/>
    <x v="12"/>
    <n v="5"/>
    <x v="647"/>
    <s v="rdonetg6@oakley.com"/>
    <x v="0"/>
    <s v="Exc"/>
    <s v="D"/>
    <x v="0"/>
    <n v="12.15"/>
    <n v="60.75"/>
    <x v="3"/>
    <x v="0"/>
    <x v="1"/>
    <n v="1"/>
    <n v="60.75"/>
    <x v="0"/>
    <x v="0"/>
    <x v="1"/>
    <s v="High Price"/>
    <s v="High Volume"/>
    <x v="1"/>
    <s v="July"/>
    <x v="3"/>
    <x v="8"/>
    <x v="0"/>
  </r>
  <r>
    <s v="SHP-17012-870"/>
    <x v="357"/>
    <s v="69529-07533-CV"/>
    <x v="9"/>
    <n v="1"/>
    <x v="648"/>
    <s v="cdrewett97@wikipedia.org"/>
    <x v="0"/>
    <s v="Rob"/>
    <s v="M"/>
    <x v="2"/>
    <n v="22.884999999999998"/>
    <n v="22.884999999999998"/>
    <x v="0"/>
    <x v="2"/>
    <x v="0"/>
    <n v="1"/>
    <n v="22.884999999999998"/>
    <x v="0"/>
    <x v="0"/>
    <x v="0"/>
    <s v="Low Price"/>
    <s v="Low Volume"/>
    <x v="3"/>
    <s v="June"/>
    <x v="0"/>
    <x v="5"/>
    <x v="0"/>
  </r>
  <r>
    <s v="SHP-55648-472"/>
    <x v="520"/>
    <s v="46818-20198-GB"/>
    <x v="35"/>
    <n v="6"/>
    <x v="649"/>
    <s v="cwassif@prweb.com"/>
    <x v="0"/>
    <s v="Ara"/>
    <s v="M"/>
    <x v="0"/>
    <n v="11.25"/>
    <n v="67.5"/>
    <x v="2"/>
    <x v="2"/>
    <x v="1"/>
    <n v="1"/>
    <n v="67.5"/>
    <x v="0"/>
    <x v="0"/>
    <x v="1"/>
    <s v="High Price"/>
    <s v="High Volume"/>
    <x v="1"/>
    <s v="March"/>
    <x v="2"/>
    <x v="2"/>
    <x v="3"/>
  </r>
  <r>
    <s v="SHT-04865-419"/>
    <x v="521"/>
    <s v="69215-90789-DL"/>
    <x v="25"/>
    <n v="4"/>
    <x v="650"/>
    <s v=""/>
    <x v="0"/>
    <s v="Rob"/>
    <s v="L"/>
    <x v="3"/>
    <n v="3.5849999999999995"/>
    <n v="14.339999999999998"/>
    <x v="0"/>
    <x v="1"/>
    <x v="0"/>
    <n v="1"/>
    <n v="14.339999999999998"/>
    <x v="0"/>
    <x v="0"/>
    <x v="0"/>
    <s v="Low Price"/>
    <s v="Low Volume"/>
    <x v="3"/>
    <s v="May"/>
    <x v="0"/>
    <x v="11"/>
    <x v="3"/>
  </r>
  <r>
    <s v="SIB-83254-136"/>
    <x v="522"/>
    <s v="45315-50206-DK"/>
    <x v="6"/>
    <n v="6"/>
    <x v="651"/>
    <s v="dvizor88@furl.net"/>
    <x v="0"/>
    <s v="Rob"/>
    <s v="M"/>
    <x v="1"/>
    <n v="5.97"/>
    <n v="35.82"/>
    <x v="0"/>
    <x v="2"/>
    <x v="0"/>
    <n v="1"/>
    <n v="35.82"/>
    <x v="0"/>
    <x v="0"/>
    <x v="0"/>
    <s v="High Price"/>
    <s v="High Volume"/>
    <x v="1"/>
    <s v="May"/>
    <x v="0"/>
    <x v="5"/>
    <x v="3"/>
  </r>
  <r>
    <s v="SKA-73676-005"/>
    <x v="523"/>
    <s v="36572-91896-PP"/>
    <x v="34"/>
    <n v="4"/>
    <x v="652"/>
    <s v="rlidgeykm@vimeo.com"/>
    <x v="0"/>
    <s v="Lib"/>
    <s v="M"/>
    <x v="0"/>
    <n v="14.55"/>
    <n v="58.2"/>
    <x v="1"/>
    <x v="2"/>
    <x v="1"/>
    <n v="1"/>
    <n v="58.2"/>
    <x v="0"/>
    <x v="0"/>
    <x v="1"/>
    <s v="High Price"/>
    <s v="Low Volume"/>
    <x v="0"/>
    <s v="October"/>
    <x v="1"/>
    <x v="4"/>
    <x v="1"/>
  </r>
  <r>
    <s v="SKO-45740-621"/>
    <x v="524"/>
    <s v="04666-71569-RI"/>
    <x v="37"/>
    <n v="2"/>
    <x v="653"/>
    <s v="zkiffe74@cyberchimps.com"/>
    <x v="0"/>
    <s v="Lib"/>
    <s v="M"/>
    <x v="1"/>
    <n v="8.73"/>
    <n v="17.46"/>
    <x v="1"/>
    <x v="2"/>
    <x v="0"/>
    <n v="1"/>
    <n v="17.46"/>
    <x v="0"/>
    <x v="0"/>
    <x v="0"/>
    <s v="Low Price"/>
    <s v="Low Volume"/>
    <x v="3"/>
    <s v="January"/>
    <x v="2"/>
    <x v="4"/>
    <x v="2"/>
  </r>
  <r>
    <s v="SLD-63003-334"/>
    <x v="525"/>
    <s v="55515-37571-RS"/>
    <x v="5"/>
    <n v="6"/>
    <x v="654"/>
    <s v="wstearleye1@census.gov"/>
    <x v="0"/>
    <s v="Lib"/>
    <s v="M"/>
    <x v="3"/>
    <n v="4.3650000000000002"/>
    <n v="26.19"/>
    <x v="1"/>
    <x v="2"/>
    <x v="1"/>
    <n v="1"/>
    <n v="26.19"/>
    <x v="0"/>
    <x v="0"/>
    <x v="0"/>
    <s v="Low Price"/>
    <s v="High Volume"/>
    <x v="2"/>
    <s v="February"/>
    <x v="2"/>
    <x v="4"/>
    <x v="2"/>
  </r>
  <r>
    <s v="SNF-57032-096"/>
    <x v="526"/>
    <s v="93832-04799-ID"/>
    <x v="36"/>
    <n v="6"/>
    <x v="655"/>
    <s v=""/>
    <x v="0"/>
    <s v="Exc"/>
    <s v="D"/>
    <x v="1"/>
    <n v="7.29"/>
    <n v="43.74"/>
    <x v="3"/>
    <x v="0"/>
    <x v="1"/>
    <n v="1"/>
    <n v="43.74"/>
    <x v="0"/>
    <x v="0"/>
    <x v="0"/>
    <s v="High Price"/>
    <s v="High Volume"/>
    <x v="1"/>
    <s v="February"/>
    <x v="2"/>
    <x v="8"/>
    <x v="2"/>
  </r>
  <r>
    <s v="SNL-83703-516"/>
    <x v="527"/>
    <s v="57976-33535-WK"/>
    <x v="41"/>
    <n v="3"/>
    <x v="656"/>
    <s v="gclemonkd@networksolutions.com"/>
    <x v="0"/>
    <s v="Lib"/>
    <s v="M"/>
    <x v="2"/>
    <n v="33.464999999999996"/>
    <n v="100.39499999999998"/>
    <x v="1"/>
    <x v="2"/>
    <x v="0"/>
    <n v="1"/>
    <n v="100.39499999999998"/>
    <x v="0"/>
    <x v="0"/>
    <x v="3"/>
    <s v="High Price"/>
    <s v="Low Volume"/>
    <x v="0"/>
    <s v="January"/>
    <x v="2"/>
    <x v="4"/>
    <x v="2"/>
  </r>
  <r>
    <s v="SNZ-44595-152"/>
    <x v="528"/>
    <s v="06136-65250-PG"/>
    <x v="31"/>
    <n v="2"/>
    <x v="657"/>
    <s v="kkemeryra@t.co"/>
    <x v="0"/>
    <s v="Rob"/>
    <s v="L"/>
    <x v="0"/>
    <n v="11.95"/>
    <n v="23.9"/>
    <x v="0"/>
    <x v="1"/>
    <x v="0"/>
    <n v="1"/>
    <n v="23.9"/>
    <x v="0"/>
    <x v="0"/>
    <x v="0"/>
    <s v="Low Price"/>
    <s v="Low Volume"/>
    <x v="3"/>
    <s v="August"/>
    <x v="3"/>
    <x v="11"/>
    <x v="0"/>
  </r>
  <r>
    <s v="SNZ-65340-705"/>
    <x v="529"/>
    <s v="21134-81676-FR"/>
    <x v="10"/>
    <n v="1"/>
    <x v="658"/>
    <s v=""/>
    <x v="1"/>
    <s v="Lib"/>
    <s v="L"/>
    <x v="3"/>
    <n v="4.7549999999999999"/>
    <n v="4.7549999999999999"/>
    <x v="1"/>
    <x v="1"/>
    <x v="0"/>
    <n v="1"/>
    <n v="4.7549999999999999"/>
    <x v="0"/>
    <x v="0"/>
    <x v="0"/>
    <s v="Low Price"/>
    <s v="Low Volume"/>
    <x v="3"/>
    <s v="May"/>
    <x v="0"/>
    <x v="1"/>
    <x v="3"/>
  </r>
  <r>
    <s v="SOK-43535-680"/>
    <x v="530"/>
    <s v="58443-95866-YO"/>
    <x v="24"/>
    <n v="3"/>
    <x v="659"/>
    <s v="scountjq@nba.com"/>
    <x v="0"/>
    <s v="Exc"/>
    <s v="M"/>
    <x v="1"/>
    <n v="8.25"/>
    <n v="24.75"/>
    <x v="3"/>
    <x v="2"/>
    <x v="1"/>
    <n v="1"/>
    <n v="24.75"/>
    <x v="0"/>
    <x v="0"/>
    <x v="0"/>
    <s v="Low Price"/>
    <s v="Low Volume"/>
    <x v="3"/>
    <s v="April"/>
    <x v="0"/>
    <x v="3"/>
    <x v="3"/>
  </r>
  <r>
    <s v="SPA-79365-334"/>
    <x v="21"/>
    <s v="79857-78167-KO"/>
    <x v="19"/>
    <n v="3"/>
    <x v="660"/>
    <s v="dheafordjy@twitpic.com"/>
    <x v="0"/>
    <s v="Lib"/>
    <s v="D"/>
    <x v="0"/>
    <n v="12.95"/>
    <n v="38.849999999999994"/>
    <x v="1"/>
    <x v="0"/>
    <x v="1"/>
    <n v="1"/>
    <n v="38.849999999999994"/>
    <x v="0"/>
    <x v="0"/>
    <x v="0"/>
    <s v="High Price"/>
    <s v="Low Volume"/>
    <x v="0"/>
    <s v="June"/>
    <x v="0"/>
    <x v="9"/>
    <x v="0"/>
  </r>
  <r>
    <s v="SPF-31673-217"/>
    <x v="531"/>
    <s v="19485-98072-PS"/>
    <x v="21"/>
    <n v="6"/>
    <x v="274"/>
    <s v="dflintiffg1@e-recht24.de"/>
    <x v="2"/>
    <s v="Exc"/>
    <s v="M"/>
    <x v="0"/>
    <n v="13.75"/>
    <n v="82.5"/>
    <x v="3"/>
    <x v="2"/>
    <x v="1"/>
    <n v="1"/>
    <n v="82.5"/>
    <x v="0"/>
    <x v="0"/>
    <x v="1"/>
    <s v="High Price"/>
    <s v="High Volume"/>
    <x v="1"/>
    <s v="June"/>
    <x v="0"/>
    <x v="3"/>
    <x v="0"/>
  </r>
  <r>
    <s v="SQT-07286-736"/>
    <x v="532"/>
    <s v="87726-16941-QW"/>
    <x v="35"/>
    <n v="6"/>
    <x v="661"/>
    <s v=""/>
    <x v="0"/>
    <s v="Ara"/>
    <s v="M"/>
    <x v="0"/>
    <n v="11.25"/>
    <n v="67.5"/>
    <x v="2"/>
    <x v="2"/>
    <x v="1"/>
    <n v="1"/>
    <n v="67.5"/>
    <x v="0"/>
    <x v="0"/>
    <x v="1"/>
    <s v="High Price"/>
    <s v="High Volume"/>
    <x v="1"/>
    <s v="December"/>
    <x v="1"/>
    <x v="2"/>
    <x v="2"/>
  </r>
  <r>
    <s v="SRG-76791-614"/>
    <x v="162"/>
    <s v="11729-74102-XB"/>
    <x v="20"/>
    <n v="1"/>
    <x v="662"/>
    <s v="kthoumassonn7@bloglovin.com"/>
    <x v="0"/>
    <s v="Exc"/>
    <s v="L"/>
    <x v="1"/>
    <n v="8.91"/>
    <n v="8.91"/>
    <x v="3"/>
    <x v="1"/>
    <x v="0"/>
    <n v="1"/>
    <n v="8.91"/>
    <x v="0"/>
    <x v="0"/>
    <x v="0"/>
    <s v="Low Price"/>
    <s v="Low Volume"/>
    <x v="3"/>
    <s v="March"/>
    <x v="2"/>
    <x v="10"/>
    <x v="3"/>
  </r>
  <r>
    <s v="SRJ-79353-838"/>
    <x v="267"/>
    <s v="77869-81373-AY"/>
    <x v="7"/>
    <n v="6"/>
    <x v="663"/>
    <s v=""/>
    <x v="0"/>
    <s v="Ara"/>
    <s v="L"/>
    <x v="0"/>
    <n v="12.95"/>
    <n v="77.699999999999989"/>
    <x v="2"/>
    <x v="1"/>
    <x v="1"/>
    <n v="1"/>
    <n v="77.699999999999989"/>
    <x v="0"/>
    <x v="0"/>
    <x v="1"/>
    <s v="High Price"/>
    <s v="High Volume"/>
    <x v="1"/>
    <s v="December"/>
    <x v="1"/>
    <x v="6"/>
    <x v="2"/>
  </r>
  <r>
    <s v="SUB-13006-125"/>
    <x v="533"/>
    <s v="26103-41504-IB"/>
    <x v="16"/>
    <n v="5"/>
    <x v="664"/>
    <s v="aarnow28@arizona.edu"/>
    <x v="0"/>
    <s v="Ara"/>
    <s v="L"/>
    <x v="1"/>
    <n v="7.77"/>
    <n v="38.849999999999994"/>
    <x v="2"/>
    <x v="1"/>
    <x v="0"/>
    <n v="1"/>
    <n v="38.849999999999994"/>
    <x v="0"/>
    <x v="0"/>
    <x v="0"/>
    <s v="High Price"/>
    <s v="High Volume"/>
    <x v="1"/>
    <s v="April"/>
    <x v="0"/>
    <x v="6"/>
    <x v="3"/>
  </r>
  <r>
    <s v="SUZ-83036-175"/>
    <x v="534"/>
    <s v="55915-19477-MK"/>
    <x v="15"/>
    <n v="5"/>
    <x v="665"/>
    <s v=""/>
    <x v="0"/>
    <s v="Rob"/>
    <s v="D"/>
    <x v="3"/>
    <n v="2.6849999999999996"/>
    <n v="13.424999999999997"/>
    <x v="0"/>
    <x v="0"/>
    <x v="1"/>
    <n v="1"/>
    <n v="13.424999999999997"/>
    <x v="0"/>
    <x v="0"/>
    <x v="0"/>
    <s v="Low Price"/>
    <s v="High Volume"/>
    <x v="2"/>
    <s v="August"/>
    <x v="3"/>
    <x v="0"/>
    <x v="0"/>
  </r>
  <r>
    <s v="SVD-75407-177"/>
    <x v="535"/>
    <s v="16106-36039-QS"/>
    <x v="20"/>
    <n v="3"/>
    <x v="666"/>
    <s v="ydombrellbs@dedecms.com"/>
    <x v="0"/>
    <s v="Exc"/>
    <s v="L"/>
    <x v="1"/>
    <n v="8.91"/>
    <n v="26.73"/>
    <x v="3"/>
    <x v="1"/>
    <x v="0"/>
    <n v="1"/>
    <n v="26.73"/>
    <x v="0"/>
    <x v="0"/>
    <x v="0"/>
    <s v="Low Price"/>
    <s v="Low Volume"/>
    <x v="3"/>
    <s v="August"/>
    <x v="3"/>
    <x v="10"/>
    <x v="0"/>
  </r>
  <r>
    <s v="SVU-27222-213"/>
    <x v="169"/>
    <s v="60748-46813-DZ"/>
    <x v="10"/>
    <n v="5"/>
    <x v="667"/>
    <s v="spamphilonci@mlb.com"/>
    <x v="1"/>
    <s v="Lib"/>
    <s v="L"/>
    <x v="3"/>
    <n v="4.7549999999999999"/>
    <n v="23.774999999999999"/>
    <x v="1"/>
    <x v="1"/>
    <x v="1"/>
    <n v="1"/>
    <n v="23.774999999999999"/>
    <x v="0"/>
    <x v="0"/>
    <x v="0"/>
    <s v="Low Price"/>
    <s v="High Volume"/>
    <x v="2"/>
    <s v="January"/>
    <x v="2"/>
    <x v="1"/>
    <x v="2"/>
  </r>
  <r>
    <s v="SWP-88281-918"/>
    <x v="536"/>
    <s v="77657-61366-FY"/>
    <x v="33"/>
    <n v="4"/>
    <x v="668"/>
    <s v=""/>
    <x v="0"/>
    <s v="Lib"/>
    <s v="L"/>
    <x v="2"/>
    <n v="36.454999999999998"/>
    <n v="145.82"/>
    <x v="1"/>
    <x v="1"/>
    <x v="1"/>
    <n v="1"/>
    <n v="145.82"/>
    <x v="0"/>
    <x v="0"/>
    <x v="3"/>
    <s v="High Price"/>
    <s v="Low Volume"/>
    <x v="0"/>
    <s v="January"/>
    <x v="2"/>
    <x v="1"/>
    <x v="2"/>
  </r>
  <r>
    <s v="SXC-62166-515"/>
    <x v="60"/>
    <s v="69171-65646-UC"/>
    <x v="44"/>
    <n v="5"/>
    <x v="669"/>
    <s v="jreddochnt@sun.com"/>
    <x v="0"/>
    <s v="Rob"/>
    <s v="L"/>
    <x v="2"/>
    <n v="27.484999999999996"/>
    <n v="137.42499999999998"/>
    <x v="0"/>
    <x v="1"/>
    <x v="1"/>
    <n v="1"/>
    <n v="137.42499999999998"/>
    <x v="0"/>
    <x v="0"/>
    <x v="3"/>
    <s v="High Price"/>
    <s v="High Volume"/>
    <x v="1"/>
    <s v="February"/>
    <x v="2"/>
    <x v="11"/>
    <x v="2"/>
  </r>
  <r>
    <s v="SXW-34014-556"/>
    <x v="537"/>
    <s v="99144-98314-GN"/>
    <x v="25"/>
    <n v="1"/>
    <x v="670"/>
    <s v="djevonp1@ibm.com"/>
    <x v="0"/>
    <s v="Rob"/>
    <s v="L"/>
    <x v="3"/>
    <n v="3.5849999999999995"/>
    <n v="3.5849999999999995"/>
    <x v="0"/>
    <x v="1"/>
    <x v="0"/>
    <n v="1"/>
    <n v="3.5849999999999995"/>
    <x v="0"/>
    <x v="0"/>
    <x v="0"/>
    <s v="Low Price"/>
    <s v="Low Volume"/>
    <x v="3"/>
    <s v="January"/>
    <x v="2"/>
    <x v="11"/>
    <x v="2"/>
  </r>
  <r>
    <s v="SYX-48878-182"/>
    <x v="58"/>
    <s v="47725-34771-FJ"/>
    <x v="0"/>
    <n v="5"/>
    <x v="671"/>
    <s v=""/>
    <x v="0"/>
    <s v="Rob"/>
    <s v="D"/>
    <x v="0"/>
    <n v="8.9499999999999993"/>
    <n v="44.75"/>
    <x v="0"/>
    <x v="0"/>
    <x v="1"/>
    <n v="1"/>
    <n v="44.75"/>
    <x v="0"/>
    <x v="0"/>
    <x v="0"/>
    <s v="High Price"/>
    <s v="High Volume"/>
    <x v="1"/>
    <s v="August"/>
    <x v="3"/>
    <x v="0"/>
    <x v="0"/>
  </r>
  <r>
    <s v="SZR-35951-530"/>
    <x v="116"/>
    <s v="14121-20527-OJ"/>
    <x v="32"/>
    <n v="3"/>
    <x v="672"/>
    <s v="wransonbz@ted.com"/>
    <x v="1"/>
    <s v="Exc"/>
    <s v="D"/>
    <x v="2"/>
    <n v="27.945"/>
    <n v="83.835000000000008"/>
    <x v="3"/>
    <x v="0"/>
    <x v="0"/>
    <n v="1"/>
    <n v="83.835000000000008"/>
    <x v="0"/>
    <x v="0"/>
    <x v="1"/>
    <s v="High Price"/>
    <s v="Low Volume"/>
    <x v="0"/>
    <s v="April"/>
    <x v="0"/>
    <x v="8"/>
    <x v="3"/>
  </r>
  <r>
    <s v="SZW-48378-399"/>
    <x v="538"/>
    <s v="34136-36674-OM"/>
    <x v="38"/>
    <n v="5"/>
    <x v="673"/>
    <s v="rscholarc@nyu.edu"/>
    <x v="0"/>
    <s v="Rob"/>
    <s v="M"/>
    <x v="0"/>
    <n v="9.9499999999999993"/>
    <n v="49.75"/>
    <x v="0"/>
    <x v="2"/>
    <x v="1"/>
    <n v="1"/>
    <n v="49.75"/>
    <x v="0"/>
    <x v="0"/>
    <x v="0"/>
    <s v="High Price"/>
    <s v="High Volume"/>
    <x v="1"/>
    <s v="July"/>
    <x v="3"/>
    <x v="5"/>
    <x v="0"/>
  </r>
  <r>
    <s v="SZY-63017-318"/>
    <x v="539"/>
    <s v="91809-58808-TV"/>
    <x v="23"/>
    <n v="2"/>
    <x v="674"/>
    <s v="bkellowayoo@omniture.com"/>
    <x v="0"/>
    <s v="Ara"/>
    <s v="L"/>
    <x v="3"/>
    <n v="3.8849999999999998"/>
    <n v="7.77"/>
    <x v="2"/>
    <x v="1"/>
    <x v="0"/>
    <n v="1"/>
    <n v="7.77"/>
    <x v="0"/>
    <x v="0"/>
    <x v="0"/>
    <s v="Low Price"/>
    <s v="Low Volume"/>
    <x v="3"/>
    <s v="April"/>
    <x v="0"/>
    <x v="6"/>
    <x v="3"/>
  </r>
  <r>
    <s v="TBB-29780-459"/>
    <x v="540"/>
    <s v="61437-83623-PZ"/>
    <x v="16"/>
    <n v="1"/>
    <x v="675"/>
    <s v="vdunningji@independent.co.uk"/>
    <x v="0"/>
    <s v="Ara"/>
    <s v="L"/>
    <x v="1"/>
    <n v="7.77"/>
    <n v="7.77"/>
    <x v="2"/>
    <x v="1"/>
    <x v="0"/>
    <n v="1"/>
    <n v="7.77"/>
    <x v="0"/>
    <x v="0"/>
    <x v="0"/>
    <s v="Low Price"/>
    <s v="Low Volume"/>
    <x v="3"/>
    <s v="July"/>
    <x v="3"/>
    <x v="6"/>
    <x v="0"/>
  </r>
  <r>
    <s v="TBU-64277-625"/>
    <x v="367"/>
    <s v="98918-34330-GY"/>
    <x v="21"/>
    <n v="6"/>
    <x v="676"/>
    <s v=""/>
    <x v="0"/>
    <s v="Exc"/>
    <s v="M"/>
    <x v="0"/>
    <n v="13.75"/>
    <n v="82.5"/>
    <x v="3"/>
    <x v="2"/>
    <x v="0"/>
    <n v="1"/>
    <n v="82.5"/>
    <x v="0"/>
    <x v="0"/>
    <x v="1"/>
    <s v="High Price"/>
    <s v="High Volume"/>
    <x v="1"/>
    <s v="April"/>
    <x v="0"/>
    <x v="3"/>
    <x v="3"/>
  </r>
  <r>
    <s v="TBU-65158-068"/>
    <x v="167"/>
    <s v="60357-65386-RD"/>
    <x v="12"/>
    <n v="2"/>
    <x v="677"/>
    <s v=""/>
    <x v="0"/>
    <s v="Exc"/>
    <s v="D"/>
    <x v="0"/>
    <n v="12.15"/>
    <n v="24.3"/>
    <x v="3"/>
    <x v="0"/>
    <x v="1"/>
    <n v="1"/>
    <n v="24.3"/>
    <x v="0"/>
    <x v="0"/>
    <x v="0"/>
    <s v="Low Price"/>
    <s v="Low Volume"/>
    <x v="3"/>
    <s v="February"/>
    <x v="2"/>
    <x v="8"/>
    <x v="2"/>
  </r>
  <r>
    <s v="TCC-89722-031"/>
    <x v="541"/>
    <s v="41611-34336-WT"/>
    <x v="14"/>
    <n v="1"/>
    <x v="678"/>
    <s v="plauritzengo@photobucket.com"/>
    <x v="0"/>
    <s v="Lib"/>
    <s v="D"/>
    <x v="1"/>
    <n v="7.77"/>
    <n v="7.77"/>
    <x v="1"/>
    <x v="0"/>
    <x v="1"/>
    <n v="1"/>
    <n v="7.77"/>
    <x v="0"/>
    <x v="0"/>
    <x v="0"/>
    <s v="Low Price"/>
    <s v="Low Volume"/>
    <x v="3"/>
    <s v="October"/>
    <x v="1"/>
    <x v="9"/>
    <x v="1"/>
  </r>
  <r>
    <s v="TCR-01064-030"/>
    <x v="408"/>
    <s v="13181-04387-LI"/>
    <x v="21"/>
    <n v="6"/>
    <x v="679"/>
    <s v="sbuschff@so-net.ne.jp"/>
    <x v="1"/>
    <s v="Exc"/>
    <s v="M"/>
    <x v="0"/>
    <n v="13.75"/>
    <n v="82.5"/>
    <x v="3"/>
    <x v="2"/>
    <x v="1"/>
    <n v="1"/>
    <n v="82.5"/>
    <x v="0"/>
    <x v="0"/>
    <x v="1"/>
    <s v="High Price"/>
    <s v="High Volume"/>
    <x v="1"/>
    <s v="March"/>
    <x v="2"/>
    <x v="3"/>
    <x v="3"/>
  </r>
  <r>
    <s v="TCX-76953-071"/>
    <x v="542"/>
    <s v="94091-86957-HX"/>
    <x v="40"/>
    <n v="5"/>
    <x v="123"/>
    <s v="jdymokeje@prnewswire.com"/>
    <x v="1"/>
    <s v="Exc"/>
    <s v="D"/>
    <x v="3"/>
    <n v="3.645"/>
    <n v="18.225000000000001"/>
    <x v="3"/>
    <x v="0"/>
    <x v="1"/>
    <n v="1"/>
    <n v="18.225000000000001"/>
    <x v="0"/>
    <x v="0"/>
    <x v="0"/>
    <s v="Low Price"/>
    <s v="High Volume"/>
    <x v="2"/>
    <s v="August"/>
    <x v="3"/>
    <x v="8"/>
    <x v="0"/>
  </r>
  <r>
    <s v="TDJ-20844-787"/>
    <x v="543"/>
    <s v="77876-28498-HI"/>
    <x v="16"/>
    <n v="5"/>
    <x v="680"/>
    <s v="xgibbonsb0@artisteer.com"/>
    <x v="0"/>
    <s v="Ara"/>
    <s v="L"/>
    <x v="1"/>
    <n v="7.77"/>
    <n v="38.849999999999994"/>
    <x v="2"/>
    <x v="1"/>
    <x v="1"/>
    <n v="1"/>
    <n v="38.849999999999994"/>
    <x v="0"/>
    <x v="0"/>
    <x v="0"/>
    <s v="High Price"/>
    <s v="High Volume"/>
    <x v="1"/>
    <s v="November"/>
    <x v="1"/>
    <x v="6"/>
    <x v="1"/>
  </r>
  <r>
    <s v="TDZ-59011-211"/>
    <x v="447"/>
    <s v="57611-05522-ST"/>
    <x v="13"/>
    <n v="4"/>
    <x v="681"/>
    <s v="predfordi@ow.ly"/>
    <x v="1"/>
    <s v="Rob"/>
    <s v="D"/>
    <x v="2"/>
    <n v="20.584999999999997"/>
    <n v="82.339999999999989"/>
    <x v="0"/>
    <x v="0"/>
    <x v="0"/>
    <n v="1"/>
    <n v="82.339999999999989"/>
    <x v="0"/>
    <x v="0"/>
    <x v="1"/>
    <s v="High Price"/>
    <s v="Low Volume"/>
    <x v="0"/>
    <s v="June"/>
    <x v="0"/>
    <x v="0"/>
    <x v="0"/>
  </r>
  <r>
    <s v="TED-81959-419"/>
    <x v="544"/>
    <s v="27702-50024-XC"/>
    <x v="17"/>
    <n v="5"/>
    <x v="682"/>
    <s v="nfurberqz@jugem.jp"/>
    <x v="0"/>
    <s v="Ara"/>
    <s v="L"/>
    <x v="2"/>
    <n v="29.784999999999997"/>
    <n v="148.92499999999998"/>
    <x v="2"/>
    <x v="1"/>
    <x v="1"/>
    <n v="1"/>
    <n v="148.92499999999998"/>
    <x v="0"/>
    <x v="0"/>
    <x v="3"/>
    <s v="High Price"/>
    <s v="High Volume"/>
    <x v="1"/>
    <s v="August"/>
    <x v="3"/>
    <x v="6"/>
    <x v="0"/>
  </r>
  <r>
    <s v="TEH-08414-216"/>
    <x v="465"/>
    <s v="35099-13971-JI"/>
    <x v="4"/>
    <n v="2"/>
    <x v="683"/>
    <s v="geilhersenk3@networksolutions.com"/>
    <x v="0"/>
    <s v="Exc"/>
    <s v="M"/>
    <x v="2"/>
    <n v="31.624999999999996"/>
    <n v="63.249999999999993"/>
    <x v="3"/>
    <x v="2"/>
    <x v="1"/>
    <n v="1"/>
    <n v="63.249999999999993"/>
    <x v="0"/>
    <x v="0"/>
    <x v="1"/>
    <s v="High Price"/>
    <s v="Low Volume"/>
    <x v="0"/>
    <s v="October"/>
    <x v="1"/>
    <x v="3"/>
    <x v="1"/>
  </r>
  <r>
    <s v="TFY-52090-386"/>
    <x v="545"/>
    <s v="08613-17327-XT"/>
    <x v="20"/>
    <n v="2"/>
    <x v="684"/>
    <s v="lscargle9h@myspace.com"/>
    <x v="0"/>
    <s v="Exc"/>
    <s v="L"/>
    <x v="1"/>
    <n v="8.91"/>
    <n v="17.82"/>
    <x v="3"/>
    <x v="1"/>
    <x v="1"/>
    <n v="2"/>
    <n v="28.334999999999997"/>
    <x v="1"/>
    <x v="1"/>
    <x v="0"/>
    <s v="Low Price"/>
    <s v="Low Volume"/>
    <x v="3"/>
    <s v="October"/>
    <x v="1"/>
    <x v="10"/>
    <x v="1"/>
  </r>
  <r>
    <s v="TFY-52090-386"/>
    <x v="545"/>
    <s v="08613-17327-XT"/>
    <x v="14"/>
    <n v="5"/>
    <x v="684"/>
    <s v="lscargle9h@myspace.com"/>
    <x v="0"/>
    <s v="Lib"/>
    <s v="D"/>
    <x v="1"/>
    <n v="7.77"/>
    <n v="38.849999999999994"/>
    <x v="1"/>
    <x v="0"/>
    <x v="1"/>
    <n v="2"/>
    <n v="28.334999999999997"/>
    <x v="1"/>
    <x v="1"/>
    <x v="0"/>
    <s v="High Price"/>
    <s v="High Volume"/>
    <x v="1"/>
    <s v="October"/>
    <x v="1"/>
    <x v="9"/>
    <x v="1"/>
  </r>
  <r>
    <s v="TGF-38649-658"/>
    <x v="546"/>
    <s v="67743-54817-UT"/>
    <x v="37"/>
    <n v="2"/>
    <x v="685"/>
    <s v="bimriep3@addtoany.com"/>
    <x v="0"/>
    <s v="Lib"/>
    <s v="M"/>
    <x v="1"/>
    <n v="8.73"/>
    <n v="17.46"/>
    <x v="1"/>
    <x v="2"/>
    <x v="1"/>
    <n v="1"/>
    <n v="17.46"/>
    <x v="0"/>
    <x v="0"/>
    <x v="0"/>
    <s v="Low Price"/>
    <s v="Low Volume"/>
    <x v="3"/>
    <s v="March"/>
    <x v="2"/>
    <x v="4"/>
    <x v="3"/>
  </r>
  <r>
    <s v="THA-60599-417"/>
    <x v="273"/>
    <s v="59971-35626-YJ"/>
    <x v="3"/>
    <n v="3"/>
    <x v="686"/>
    <s v="fkeinrat4c@dailymail.co.uk"/>
    <x v="0"/>
    <s v="Ara"/>
    <s v="M"/>
    <x v="2"/>
    <n v="25.874999999999996"/>
    <n v="77.624999999999986"/>
    <x v="2"/>
    <x v="2"/>
    <x v="0"/>
    <n v="1"/>
    <n v="77.624999999999986"/>
    <x v="0"/>
    <x v="0"/>
    <x v="1"/>
    <s v="High Price"/>
    <s v="Low Volume"/>
    <x v="0"/>
    <s v="October"/>
    <x v="1"/>
    <x v="2"/>
    <x v="1"/>
  </r>
  <r>
    <s v="THE-61147-027"/>
    <x v="419"/>
    <s v="94091-86957-HX"/>
    <x v="19"/>
    <n v="2"/>
    <x v="123"/>
    <s v="jdymokeje@prnewswire.com"/>
    <x v="1"/>
    <s v="Lib"/>
    <s v="D"/>
    <x v="0"/>
    <n v="12.95"/>
    <n v="25.9"/>
    <x v="1"/>
    <x v="0"/>
    <x v="1"/>
    <n v="1"/>
    <n v="25.9"/>
    <x v="0"/>
    <x v="0"/>
    <x v="0"/>
    <s v="Low Price"/>
    <s v="Low Volume"/>
    <x v="3"/>
    <s v="December"/>
    <x v="1"/>
    <x v="9"/>
    <x v="2"/>
  </r>
  <r>
    <s v="TID-21626-411"/>
    <x v="283"/>
    <s v="19383-33606-PW"/>
    <x v="26"/>
    <n v="3"/>
    <x v="687"/>
    <s v="sbollamlf@list-manage.com"/>
    <x v="0"/>
    <s v="Rob"/>
    <s v="L"/>
    <x v="1"/>
    <n v="7.169999999999999"/>
    <n v="21.509999999999998"/>
    <x v="0"/>
    <x v="1"/>
    <x v="1"/>
    <n v="1"/>
    <n v="21.509999999999998"/>
    <x v="0"/>
    <x v="0"/>
    <x v="0"/>
    <s v="Low Price"/>
    <s v="Low Volume"/>
    <x v="3"/>
    <s v="January"/>
    <x v="2"/>
    <x v="11"/>
    <x v="2"/>
  </r>
  <r>
    <s v="TIR-71396-998"/>
    <x v="547"/>
    <s v="14204-14186-LA"/>
    <x v="13"/>
    <n v="4"/>
    <x v="688"/>
    <s v="acockrem1t@engadget.com"/>
    <x v="0"/>
    <s v="Rob"/>
    <s v="D"/>
    <x v="2"/>
    <n v="20.584999999999997"/>
    <n v="82.339999999999989"/>
    <x v="0"/>
    <x v="0"/>
    <x v="0"/>
    <n v="1"/>
    <n v="82.339999999999989"/>
    <x v="0"/>
    <x v="0"/>
    <x v="1"/>
    <s v="High Price"/>
    <s v="Low Volume"/>
    <x v="0"/>
    <s v="March"/>
    <x v="2"/>
    <x v="0"/>
    <x v="3"/>
  </r>
  <r>
    <s v="TJE-91516-344"/>
    <x v="548"/>
    <s v="49894-06550-OQ"/>
    <x v="21"/>
    <n v="2"/>
    <x v="689"/>
    <s v="atrehernecv@state.tx.us"/>
    <x v="1"/>
    <s v="Exc"/>
    <s v="M"/>
    <x v="0"/>
    <n v="13.75"/>
    <n v="27.5"/>
    <x v="3"/>
    <x v="2"/>
    <x v="1"/>
    <n v="1"/>
    <n v="27.5"/>
    <x v="0"/>
    <x v="0"/>
    <x v="0"/>
    <s v="Low Price"/>
    <s v="Low Volume"/>
    <x v="3"/>
    <s v="September"/>
    <x v="3"/>
    <x v="3"/>
    <x v="1"/>
  </r>
  <r>
    <s v="TJG-73587-353"/>
    <x v="204"/>
    <s v="24766-58139-GT"/>
    <x v="15"/>
    <n v="3"/>
    <x v="690"/>
    <s v=""/>
    <x v="0"/>
    <s v="Rob"/>
    <s v="D"/>
    <x v="3"/>
    <n v="2.6849999999999996"/>
    <n v="8.0549999999999997"/>
    <x v="0"/>
    <x v="0"/>
    <x v="0"/>
    <n v="1"/>
    <n v="8.0549999999999997"/>
    <x v="0"/>
    <x v="0"/>
    <x v="0"/>
    <s v="Low Price"/>
    <s v="Low Volume"/>
    <x v="3"/>
    <s v="February"/>
    <x v="2"/>
    <x v="0"/>
    <x v="2"/>
  </r>
  <r>
    <s v="TKH-62197-239"/>
    <x v="549"/>
    <s v="25181-97933-UX"/>
    <x v="18"/>
    <n v="3"/>
    <x v="691"/>
    <s v="tcastagnekn@wikia.com"/>
    <x v="0"/>
    <s v="Ara"/>
    <s v="D"/>
    <x v="1"/>
    <n v="5.97"/>
    <n v="17.91"/>
    <x v="2"/>
    <x v="0"/>
    <x v="1"/>
    <n v="1"/>
    <n v="17.91"/>
    <x v="0"/>
    <x v="0"/>
    <x v="0"/>
    <s v="Low Price"/>
    <s v="Low Volume"/>
    <x v="3"/>
    <s v="July"/>
    <x v="3"/>
    <x v="7"/>
    <x v="0"/>
  </r>
  <r>
    <s v="TKL-20738-660"/>
    <x v="550"/>
    <s v="47939-53158-LS"/>
    <x v="23"/>
    <n v="1"/>
    <x v="692"/>
    <s v="cswitsur3b@chronoengine.com"/>
    <x v="0"/>
    <s v="Ara"/>
    <s v="L"/>
    <x v="3"/>
    <n v="3.8849999999999998"/>
    <n v="3.8849999999999998"/>
    <x v="2"/>
    <x v="1"/>
    <x v="1"/>
    <n v="3"/>
    <n v="25.58666666666667"/>
    <x v="1"/>
    <x v="1"/>
    <x v="0"/>
    <s v="Low Price"/>
    <s v="Low Volume"/>
    <x v="3"/>
    <s v="October"/>
    <x v="1"/>
    <x v="6"/>
    <x v="1"/>
  </r>
  <r>
    <s v="TKL-20738-660"/>
    <x v="550"/>
    <s v="47939-53158-LS"/>
    <x v="42"/>
    <n v="1"/>
    <x v="692"/>
    <s v="cswitsur3b@chronoengine.com"/>
    <x v="0"/>
    <s v="Exc"/>
    <s v="M"/>
    <x v="3"/>
    <n v="4.125"/>
    <n v="4.125"/>
    <x v="3"/>
    <x v="2"/>
    <x v="1"/>
    <n v="3"/>
    <n v="25.58666666666667"/>
    <x v="1"/>
    <x v="1"/>
    <x v="0"/>
    <s v="Low Price"/>
    <s v="Low Volume"/>
    <x v="3"/>
    <s v="October"/>
    <x v="1"/>
    <x v="3"/>
    <x v="1"/>
  </r>
  <r>
    <s v="TKL-20738-660"/>
    <x v="550"/>
    <s v="47939-53158-LS"/>
    <x v="21"/>
    <n v="5"/>
    <x v="692"/>
    <s v="cswitsur3b@chronoengine.com"/>
    <x v="0"/>
    <s v="Exc"/>
    <s v="M"/>
    <x v="0"/>
    <n v="13.75"/>
    <n v="68.75"/>
    <x v="3"/>
    <x v="2"/>
    <x v="1"/>
    <n v="3"/>
    <n v="25.58666666666667"/>
    <x v="1"/>
    <x v="1"/>
    <x v="1"/>
    <s v="High Price"/>
    <s v="High Volume"/>
    <x v="1"/>
    <s v="October"/>
    <x v="1"/>
    <x v="3"/>
    <x v="1"/>
  </r>
  <r>
    <s v="TKN-58485-031"/>
    <x v="356"/>
    <s v="38890-22576-UI"/>
    <x v="0"/>
    <n v="2"/>
    <x v="693"/>
    <s v="fdauney4p@sphinn.com"/>
    <x v="1"/>
    <s v="Rob"/>
    <s v="D"/>
    <x v="0"/>
    <n v="8.9499999999999993"/>
    <n v="17.899999999999999"/>
    <x v="0"/>
    <x v="0"/>
    <x v="1"/>
    <n v="1"/>
    <n v="17.899999999999999"/>
    <x v="0"/>
    <x v="0"/>
    <x v="0"/>
    <s v="Low Price"/>
    <s v="Low Volume"/>
    <x v="3"/>
    <s v="March"/>
    <x v="2"/>
    <x v="0"/>
    <x v="3"/>
  </r>
  <r>
    <s v="TKY-71558-096"/>
    <x v="551"/>
    <s v="24010-66714-HW"/>
    <x v="35"/>
    <n v="1"/>
    <x v="694"/>
    <s v="cblofeldo@amazon.co.uk"/>
    <x v="0"/>
    <s v="Ara"/>
    <s v="M"/>
    <x v="0"/>
    <n v="11.25"/>
    <n v="11.25"/>
    <x v="2"/>
    <x v="2"/>
    <x v="1"/>
    <n v="1"/>
    <n v="11.25"/>
    <x v="0"/>
    <x v="0"/>
    <x v="0"/>
    <s v="Low Price"/>
    <s v="Low Volume"/>
    <x v="3"/>
    <s v="September"/>
    <x v="3"/>
    <x v="2"/>
    <x v="1"/>
  </r>
  <r>
    <s v="TME-59627-221"/>
    <x v="552"/>
    <s v="72282-40594-RX"/>
    <x v="33"/>
    <n v="6"/>
    <x v="695"/>
    <s v=""/>
    <x v="0"/>
    <s v="Lib"/>
    <s v="L"/>
    <x v="2"/>
    <n v="36.454999999999998"/>
    <n v="218.73"/>
    <x v="1"/>
    <x v="1"/>
    <x v="1"/>
    <n v="1"/>
    <n v="218.73"/>
    <x v="0"/>
    <x v="0"/>
    <x v="2"/>
    <s v="High Price"/>
    <s v="High Volume"/>
    <x v="1"/>
    <s v="April"/>
    <x v="0"/>
    <x v="1"/>
    <x v="3"/>
  </r>
  <r>
    <s v="TMO-22785-872"/>
    <x v="553"/>
    <s v="01811-60350-CU"/>
    <x v="21"/>
    <n v="6"/>
    <x v="696"/>
    <s v=""/>
    <x v="0"/>
    <s v="Exc"/>
    <s v="M"/>
    <x v="0"/>
    <n v="13.75"/>
    <n v="82.5"/>
    <x v="3"/>
    <x v="2"/>
    <x v="1"/>
    <n v="1"/>
    <n v="82.5"/>
    <x v="0"/>
    <x v="0"/>
    <x v="1"/>
    <s v="High Price"/>
    <s v="High Volume"/>
    <x v="1"/>
    <s v="July"/>
    <x v="3"/>
    <x v="3"/>
    <x v="0"/>
  </r>
  <r>
    <s v="TNI-91067-006"/>
    <x v="554"/>
    <s v="80444-58185-FX"/>
    <x v="45"/>
    <n v="4"/>
    <x v="697"/>
    <s v=""/>
    <x v="0"/>
    <s v="Exc"/>
    <s v="L"/>
    <x v="0"/>
    <n v="14.85"/>
    <n v="59.4"/>
    <x v="3"/>
    <x v="1"/>
    <x v="0"/>
    <n v="1"/>
    <n v="59.4"/>
    <x v="0"/>
    <x v="0"/>
    <x v="1"/>
    <s v="High Price"/>
    <s v="Low Volume"/>
    <x v="0"/>
    <s v="October"/>
    <x v="1"/>
    <x v="10"/>
    <x v="1"/>
  </r>
  <r>
    <s v="TNR-84447-052"/>
    <x v="555"/>
    <s v="34419-18068-AG"/>
    <x v="32"/>
    <n v="4"/>
    <x v="698"/>
    <s v="dduffiepr@time.com"/>
    <x v="0"/>
    <s v="Exc"/>
    <s v="D"/>
    <x v="2"/>
    <n v="27.945"/>
    <n v="111.78"/>
    <x v="3"/>
    <x v="0"/>
    <x v="1"/>
    <n v="1"/>
    <n v="111.78"/>
    <x v="0"/>
    <x v="0"/>
    <x v="3"/>
    <s v="High Price"/>
    <s v="Low Volume"/>
    <x v="0"/>
    <s v="January"/>
    <x v="2"/>
    <x v="8"/>
    <x v="2"/>
  </r>
  <r>
    <s v="TNW-41601-420"/>
    <x v="556"/>
    <s v="66458-91190-YC"/>
    <x v="38"/>
    <n v="5"/>
    <x v="92"/>
    <s v="murione5@alexa.com"/>
    <x v="1"/>
    <s v="Rob"/>
    <s v="M"/>
    <x v="0"/>
    <n v="9.9499999999999993"/>
    <n v="49.75"/>
    <x v="0"/>
    <x v="2"/>
    <x v="0"/>
    <n v="1"/>
    <n v="49.75"/>
    <x v="0"/>
    <x v="0"/>
    <x v="0"/>
    <s v="High Price"/>
    <s v="High Volume"/>
    <x v="1"/>
    <s v="November"/>
    <x v="1"/>
    <x v="5"/>
    <x v="1"/>
  </r>
  <r>
    <s v="TNX-09857-717"/>
    <x v="247"/>
    <s v="48675-07824-HJ"/>
    <x v="34"/>
    <n v="6"/>
    <x v="699"/>
    <s v=""/>
    <x v="0"/>
    <s v="Lib"/>
    <s v="M"/>
    <x v="0"/>
    <n v="14.55"/>
    <n v="87.300000000000011"/>
    <x v="1"/>
    <x v="2"/>
    <x v="0"/>
    <n v="1"/>
    <n v="87.300000000000011"/>
    <x v="0"/>
    <x v="0"/>
    <x v="1"/>
    <s v="High Price"/>
    <s v="High Volume"/>
    <x v="1"/>
    <s v="November"/>
    <x v="1"/>
    <x v="4"/>
    <x v="1"/>
  </r>
  <r>
    <s v="TPA-93614-840"/>
    <x v="557"/>
    <s v="28932-49296-TM"/>
    <x v="36"/>
    <n v="2"/>
    <x v="700"/>
    <s v="sdivinyau@ask.com"/>
    <x v="0"/>
    <s v="Exc"/>
    <s v="D"/>
    <x v="1"/>
    <n v="7.29"/>
    <n v="14.58"/>
    <x v="3"/>
    <x v="0"/>
    <x v="0"/>
    <n v="1"/>
    <n v="14.58"/>
    <x v="0"/>
    <x v="0"/>
    <x v="0"/>
    <s v="Low Price"/>
    <s v="Low Volume"/>
    <x v="3"/>
    <s v="February"/>
    <x v="2"/>
    <x v="8"/>
    <x v="2"/>
  </r>
  <r>
    <s v="TRA-79507-007"/>
    <x v="558"/>
    <s v="70089-27418-UJ"/>
    <x v="44"/>
    <n v="4"/>
    <x v="701"/>
    <s v="aburgwingp@redcross.org"/>
    <x v="0"/>
    <s v="Rob"/>
    <s v="L"/>
    <x v="2"/>
    <n v="27.484999999999996"/>
    <n v="109.93999999999998"/>
    <x v="0"/>
    <x v="1"/>
    <x v="0"/>
    <n v="1"/>
    <n v="109.93999999999998"/>
    <x v="0"/>
    <x v="0"/>
    <x v="3"/>
    <s v="High Price"/>
    <s v="Low Volume"/>
    <x v="0"/>
    <s v="December"/>
    <x v="1"/>
    <x v="11"/>
    <x v="2"/>
  </r>
  <r>
    <s v="TRZ-94735-865"/>
    <x v="243"/>
    <s v="54462-58311-YF"/>
    <x v="37"/>
    <n v="4"/>
    <x v="702"/>
    <s v="tquadrikr@opensource.org"/>
    <x v="1"/>
    <s v="Lib"/>
    <s v="M"/>
    <x v="1"/>
    <n v="8.73"/>
    <n v="34.92"/>
    <x v="1"/>
    <x v="2"/>
    <x v="0"/>
    <n v="1"/>
    <n v="34.92"/>
    <x v="0"/>
    <x v="0"/>
    <x v="0"/>
    <s v="High Price"/>
    <s v="Low Volume"/>
    <x v="0"/>
    <s v="February"/>
    <x v="2"/>
    <x v="4"/>
    <x v="2"/>
  </r>
  <r>
    <s v="TVF-57766-608"/>
    <x v="81"/>
    <s v="88420-46464-XE"/>
    <x v="14"/>
    <n v="1"/>
    <x v="703"/>
    <s v="peberznn@woothemes.com"/>
    <x v="0"/>
    <s v="Lib"/>
    <s v="D"/>
    <x v="1"/>
    <n v="7.77"/>
    <n v="7.77"/>
    <x v="1"/>
    <x v="0"/>
    <x v="0"/>
    <n v="1"/>
    <n v="7.77"/>
    <x v="0"/>
    <x v="0"/>
    <x v="0"/>
    <s v="Low Price"/>
    <s v="Low Volume"/>
    <x v="3"/>
    <s v="March"/>
    <x v="2"/>
    <x v="9"/>
    <x v="3"/>
  </r>
  <r>
    <s v="TVV-42245-088"/>
    <x v="559"/>
    <s v="14398-43114-RV"/>
    <x v="46"/>
    <n v="4"/>
    <x v="704"/>
    <s v=""/>
    <x v="1"/>
    <s v="Ara"/>
    <s v="M"/>
    <x v="3"/>
    <n v="3.375"/>
    <n v="13.5"/>
    <x v="2"/>
    <x v="2"/>
    <x v="1"/>
    <n v="1"/>
    <n v="13.5"/>
    <x v="0"/>
    <x v="0"/>
    <x v="0"/>
    <s v="Low Price"/>
    <s v="Low Volume"/>
    <x v="3"/>
    <s v="March"/>
    <x v="2"/>
    <x v="2"/>
    <x v="3"/>
  </r>
  <r>
    <s v="TWD-70988-853"/>
    <x v="50"/>
    <s v="87519-68847-ZG"/>
    <x v="19"/>
    <n v="6"/>
    <x v="705"/>
    <s v="nchisholmnx@example.com"/>
    <x v="0"/>
    <s v="Lib"/>
    <s v="D"/>
    <x v="0"/>
    <n v="12.95"/>
    <n v="77.699999999999989"/>
    <x v="1"/>
    <x v="0"/>
    <x v="0"/>
    <n v="1"/>
    <n v="77.699999999999989"/>
    <x v="0"/>
    <x v="0"/>
    <x v="1"/>
    <s v="High Price"/>
    <s v="High Volume"/>
    <x v="1"/>
    <s v="December"/>
    <x v="1"/>
    <x v="9"/>
    <x v="2"/>
  </r>
  <r>
    <s v="TXB-80533-417"/>
    <x v="560"/>
    <s v="54597-57004-QM"/>
    <x v="1"/>
    <n v="2"/>
    <x v="706"/>
    <s v="fjecockdq@unicef.org"/>
    <x v="0"/>
    <s v="Lib"/>
    <s v="L"/>
    <x v="0"/>
    <n v="15.85"/>
    <n v="31.7"/>
    <x v="1"/>
    <x v="1"/>
    <x v="1"/>
    <n v="1"/>
    <n v="31.7"/>
    <x v="0"/>
    <x v="0"/>
    <x v="0"/>
    <s v="High Price"/>
    <s v="Low Volume"/>
    <x v="0"/>
    <s v="October"/>
    <x v="1"/>
    <x v="1"/>
    <x v="1"/>
  </r>
  <r>
    <s v="TXF-79780-017"/>
    <x v="225"/>
    <s v="92048-47813-QB"/>
    <x v="31"/>
    <n v="5"/>
    <x v="707"/>
    <s v="mblakemorer5@nsw.gov.au"/>
    <x v="0"/>
    <s v="Rob"/>
    <s v="L"/>
    <x v="0"/>
    <n v="11.95"/>
    <n v="59.75"/>
    <x v="0"/>
    <x v="1"/>
    <x v="1"/>
    <n v="1"/>
    <n v="59.75"/>
    <x v="0"/>
    <x v="0"/>
    <x v="1"/>
    <s v="High Price"/>
    <s v="High Volume"/>
    <x v="1"/>
    <s v="July"/>
    <x v="3"/>
    <x v="11"/>
    <x v="0"/>
  </r>
  <r>
    <s v="TXH-78646-919"/>
    <x v="561"/>
    <s v="98430-37820-UV"/>
    <x v="15"/>
    <n v="3"/>
    <x v="708"/>
    <s v="dshortallj2@wikipedia.org"/>
    <x v="0"/>
    <s v="Rob"/>
    <s v="D"/>
    <x v="3"/>
    <n v="2.6849999999999996"/>
    <n v="8.0549999999999997"/>
    <x v="0"/>
    <x v="0"/>
    <x v="0"/>
    <n v="1"/>
    <n v="8.0549999999999997"/>
    <x v="0"/>
    <x v="0"/>
    <x v="0"/>
    <s v="Low Price"/>
    <s v="Low Volume"/>
    <x v="3"/>
    <s v="May"/>
    <x v="0"/>
    <x v="0"/>
    <x v="3"/>
  </r>
  <r>
    <s v="TYH-81940-054"/>
    <x v="562"/>
    <s v="69374-08133-RI"/>
    <x v="27"/>
    <n v="5"/>
    <x v="709"/>
    <s v="cgoodrumqs@goodreads.com"/>
    <x v="0"/>
    <s v="Exc"/>
    <s v="L"/>
    <x v="3"/>
    <n v="4.4550000000000001"/>
    <n v="22.274999999999999"/>
    <x v="3"/>
    <x v="1"/>
    <x v="1"/>
    <n v="1"/>
    <n v="22.274999999999999"/>
    <x v="0"/>
    <x v="0"/>
    <x v="0"/>
    <s v="Low Price"/>
    <s v="High Volume"/>
    <x v="2"/>
    <s v="February"/>
    <x v="2"/>
    <x v="10"/>
    <x v="2"/>
  </r>
  <r>
    <s v="TYP-85767-944"/>
    <x v="563"/>
    <s v="51497-50894-WU"/>
    <x v="9"/>
    <n v="2"/>
    <x v="710"/>
    <s v="knottramlw@odnoklassniki.ru"/>
    <x v="1"/>
    <s v="Rob"/>
    <s v="M"/>
    <x v="2"/>
    <n v="22.884999999999998"/>
    <n v="45.769999999999996"/>
    <x v="0"/>
    <x v="2"/>
    <x v="0"/>
    <n v="1"/>
    <n v="45.769999999999996"/>
    <x v="0"/>
    <x v="0"/>
    <x v="0"/>
    <s v="High Price"/>
    <s v="Low Volume"/>
    <x v="0"/>
    <s v="July"/>
    <x v="3"/>
    <x v="5"/>
    <x v="0"/>
  </r>
  <r>
    <s v="TZD-67261-174"/>
    <x v="564"/>
    <s v="01841-48191-NL"/>
    <x v="32"/>
    <n v="1"/>
    <x v="215"/>
    <s v="cjewsterlu@moonfruit.com"/>
    <x v="0"/>
    <s v="Exc"/>
    <s v="D"/>
    <x v="2"/>
    <n v="27.945"/>
    <n v="27.945"/>
    <x v="3"/>
    <x v="0"/>
    <x v="0"/>
    <n v="1"/>
    <n v="27.945"/>
    <x v="0"/>
    <x v="0"/>
    <x v="0"/>
    <s v="Low Price"/>
    <s v="Low Volume"/>
    <x v="3"/>
    <s v="February"/>
    <x v="2"/>
    <x v="8"/>
    <x v="2"/>
  </r>
  <r>
    <s v="TZU-64255-831"/>
    <x v="565"/>
    <s v="34666-76738-SQ"/>
    <x v="13"/>
    <n v="2"/>
    <x v="711"/>
    <s v=""/>
    <x v="0"/>
    <s v="Rob"/>
    <s v="D"/>
    <x v="2"/>
    <n v="20.584999999999997"/>
    <n v="41.169999999999995"/>
    <x v="0"/>
    <x v="0"/>
    <x v="1"/>
    <n v="1"/>
    <n v="41.169999999999995"/>
    <x v="0"/>
    <x v="0"/>
    <x v="0"/>
    <s v="High Price"/>
    <s v="Low Volume"/>
    <x v="0"/>
    <s v="May"/>
    <x v="0"/>
    <x v="0"/>
    <x v="3"/>
  </r>
  <r>
    <s v="UBA-43678-174"/>
    <x v="566"/>
    <s v="44530-75983-OD"/>
    <x v="32"/>
    <n v="6"/>
    <x v="712"/>
    <s v="ihotchkinb3@mit.edu"/>
    <x v="2"/>
    <s v="Exc"/>
    <s v="D"/>
    <x v="2"/>
    <n v="27.945"/>
    <n v="167.67000000000002"/>
    <x v="3"/>
    <x v="0"/>
    <x v="1"/>
    <n v="1"/>
    <n v="167.67000000000002"/>
    <x v="0"/>
    <x v="0"/>
    <x v="2"/>
    <s v="High Price"/>
    <s v="High Volume"/>
    <x v="1"/>
    <s v="March"/>
    <x v="2"/>
    <x v="8"/>
    <x v="3"/>
  </r>
  <r>
    <s v="UBI-59229-277"/>
    <x v="567"/>
    <s v="00886-35803-FG"/>
    <x v="14"/>
    <n v="3"/>
    <x v="713"/>
    <s v=""/>
    <x v="0"/>
    <s v="Lib"/>
    <s v="D"/>
    <x v="1"/>
    <n v="7.77"/>
    <n v="23.31"/>
    <x v="1"/>
    <x v="0"/>
    <x v="1"/>
    <n v="1"/>
    <n v="23.31"/>
    <x v="0"/>
    <x v="0"/>
    <x v="0"/>
    <s v="Low Price"/>
    <s v="Low Volume"/>
    <x v="3"/>
    <s v="September"/>
    <x v="3"/>
    <x v="9"/>
    <x v="1"/>
  </r>
  <r>
    <s v="UBI-83843-396"/>
    <x v="568"/>
    <s v="58816-74064-TF"/>
    <x v="31"/>
    <n v="2"/>
    <x v="714"/>
    <s v="nizhakovdd@aol.com"/>
    <x v="2"/>
    <s v="Rob"/>
    <s v="L"/>
    <x v="0"/>
    <n v="11.95"/>
    <n v="23.9"/>
    <x v="0"/>
    <x v="1"/>
    <x v="1"/>
    <n v="1"/>
    <n v="23.9"/>
    <x v="0"/>
    <x v="0"/>
    <x v="0"/>
    <s v="Low Price"/>
    <s v="Low Volume"/>
    <x v="3"/>
    <s v="October"/>
    <x v="1"/>
    <x v="11"/>
    <x v="1"/>
  </r>
  <r>
    <s v="UBW-50312-037"/>
    <x v="569"/>
    <s v="69503-12127-YD"/>
    <x v="17"/>
    <n v="4"/>
    <x v="715"/>
    <s v=""/>
    <x v="0"/>
    <s v="Ara"/>
    <s v="L"/>
    <x v="2"/>
    <n v="29.784999999999997"/>
    <n v="119.13999999999999"/>
    <x v="2"/>
    <x v="1"/>
    <x v="1"/>
    <n v="1"/>
    <n v="119.13999999999999"/>
    <x v="0"/>
    <x v="0"/>
    <x v="3"/>
    <s v="High Price"/>
    <s v="Low Volume"/>
    <x v="0"/>
    <s v="February"/>
    <x v="2"/>
    <x v="6"/>
    <x v="2"/>
  </r>
  <r>
    <s v="UCT-03935-589"/>
    <x v="276"/>
    <s v="85851-78384-DM"/>
    <x v="47"/>
    <n v="6"/>
    <x v="716"/>
    <s v="amundford52@nbcnews.com"/>
    <x v="0"/>
    <s v="Rob"/>
    <s v="D"/>
    <x v="1"/>
    <n v="5.3699999999999992"/>
    <n v="32.22"/>
    <x v="0"/>
    <x v="0"/>
    <x v="1"/>
    <n v="1"/>
    <n v="32.22"/>
    <x v="0"/>
    <x v="0"/>
    <x v="0"/>
    <s v="High Price"/>
    <s v="High Volume"/>
    <x v="1"/>
    <s v="March"/>
    <x v="2"/>
    <x v="0"/>
    <x v="3"/>
  </r>
  <r>
    <s v="UCZ-59708-525"/>
    <x v="570"/>
    <s v="05501-86351-NX"/>
    <x v="28"/>
    <n v="3"/>
    <x v="717"/>
    <s v=""/>
    <x v="0"/>
    <s v="Lib"/>
    <s v="D"/>
    <x v="2"/>
    <n v="29.784999999999997"/>
    <n v="89.35499999999999"/>
    <x v="1"/>
    <x v="0"/>
    <x v="0"/>
    <n v="1"/>
    <n v="89.35499999999999"/>
    <x v="0"/>
    <x v="0"/>
    <x v="1"/>
    <s v="High Price"/>
    <s v="Low Volume"/>
    <x v="0"/>
    <s v="March"/>
    <x v="2"/>
    <x v="9"/>
    <x v="3"/>
  </r>
  <r>
    <s v="UDB-09651-780"/>
    <x v="571"/>
    <s v="90767-92589-LV"/>
    <x v="36"/>
    <n v="2"/>
    <x v="718"/>
    <s v="feshmadeks@umn.edu"/>
    <x v="0"/>
    <s v="Exc"/>
    <s v="D"/>
    <x v="1"/>
    <n v="7.29"/>
    <n v="14.58"/>
    <x v="3"/>
    <x v="0"/>
    <x v="1"/>
    <n v="1"/>
    <n v="14.58"/>
    <x v="0"/>
    <x v="0"/>
    <x v="0"/>
    <s v="Low Price"/>
    <s v="Low Volume"/>
    <x v="3"/>
    <s v="August"/>
    <x v="3"/>
    <x v="8"/>
    <x v="0"/>
  </r>
  <r>
    <s v="UDG-65353-824"/>
    <x v="572"/>
    <s v="17514-94165-RJ"/>
    <x v="24"/>
    <n v="4"/>
    <x v="719"/>
    <s v="kswede4g@addthis.com"/>
    <x v="0"/>
    <s v="Exc"/>
    <s v="M"/>
    <x v="1"/>
    <n v="8.25"/>
    <n v="33"/>
    <x v="3"/>
    <x v="2"/>
    <x v="1"/>
    <n v="1"/>
    <n v="33"/>
    <x v="0"/>
    <x v="0"/>
    <x v="0"/>
    <s v="High Price"/>
    <s v="Low Volume"/>
    <x v="0"/>
    <s v="January"/>
    <x v="2"/>
    <x v="3"/>
    <x v="2"/>
  </r>
  <r>
    <s v="UDH-24280-432"/>
    <x v="371"/>
    <s v="44865-58249-RY"/>
    <x v="1"/>
    <n v="4"/>
    <x v="720"/>
    <s v="nbroadberrieb4@gnu.org"/>
    <x v="0"/>
    <s v="Lib"/>
    <s v="L"/>
    <x v="0"/>
    <n v="15.85"/>
    <n v="63.4"/>
    <x v="1"/>
    <x v="1"/>
    <x v="1"/>
    <n v="1"/>
    <n v="63.4"/>
    <x v="0"/>
    <x v="0"/>
    <x v="1"/>
    <s v="High Price"/>
    <s v="Low Volume"/>
    <x v="0"/>
    <s v="May"/>
    <x v="0"/>
    <x v="1"/>
    <x v="3"/>
  </r>
  <r>
    <s v="UDN-88321-005"/>
    <x v="14"/>
    <s v="14640-87215-BK"/>
    <x v="26"/>
    <n v="5"/>
    <x v="721"/>
    <s v="hradbonehd@newsvine.com"/>
    <x v="0"/>
    <s v="Rob"/>
    <s v="L"/>
    <x v="1"/>
    <n v="7.169999999999999"/>
    <n v="35.849999999999994"/>
    <x v="0"/>
    <x v="1"/>
    <x v="1"/>
    <n v="1"/>
    <n v="35.849999999999994"/>
    <x v="0"/>
    <x v="0"/>
    <x v="0"/>
    <s v="High Price"/>
    <s v="High Volume"/>
    <x v="1"/>
    <s v="July"/>
    <x v="3"/>
    <x v="11"/>
    <x v="0"/>
  </r>
  <r>
    <s v="UDS-04807-593"/>
    <x v="573"/>
    <s v="84074-28110-OV"/>
    <x v="14"/>
    <n v="2"/>
    <x v="722"/>
    <s v="bwellanmp@cafepress.com"/>
    <x v="0"/>
    <s v="Lib"/>
    <s v="D"/>
    <x v="1"/>
    <n v="7.77"/>
    <n v="15.54"/>
    <x v="1"/>
    <x v="0"/>
    <x v="1"/>
    <n v="1"/>
    <n v="15.54"/>
    <x v="0"/>
    <x v="0"/>
    <x v="0"/>
    <s v="Low Price"/>
    <s v="Low Volume"/>
    <x v="3"/>
    <s v="November"/>
    <x v="1"/>
    <x v="9"/>
    <x v="1"/>
  </r>
  <r>
    <s v="UEA-72681-629"/>
    <x v="412"/>
    <s v="24972-55878-KX"/>
    <x v="17"/>
    <n v="3"/>
    <x v="104"/>
    <s v="fconstancekz@ifeng.com"/>
    <x v="0"/>
    <s v="Ara"/>
    <s v="L"/>
    <x v="2"/>
    <n v="29.784999999999997"/>
    <n v="89.35499999999999"/>
    <x v="2"/>
    <x v="1"/>
    <x v="1"/>
    <n v="1"/>
    <n v="89.35499999999999"/>
    <x v="0"/>
    <x v="0"/>
    <x v="1"/>
    <s v="High Price"/>
    <s v="Low Volume"/>
    <x v="0"/>
    <s v="March"/>
    <x v="2"/>
    <x v="6"/>
    <x v="3"/>
  </r>
  <r>
    <s v="UEB-09112-118"/>
    <x v="574"/>
    <s v="82718-93677-XO"/>
    <x v="2"/>
    <n v="4"/>
    <x v="723"/>
    <s v=""/>
    <x v="0"/>
    <s v="Ara"/>
    <s v="M"/>
    <x v="1"/>
    <n v="6.75"/>
    <n v="27"/>
    <x v="2"/>
    <x v="2"/>
    <x v="0"/>
    <n v="1"/>
    <n v="27"/>
    <x v="0"/>
    <x v="0"/>
    <x v="0"/>
    <s v="Low Price"/>
    <s v="Low Volume"/>
    <x v="3"/>
    <s v="January"/>
    <x v="2"/>
    <x v="2"/>
    <x v="2"/>
  </r>
  <r>
    <s v="UFZ-24348-219"/>
    <x v="575"/>
    <s v="27930-59250-JT"/>
    <x v="41"/>
    <n v="3"/>
    <x v="223"/>
    <s v=""/>
    <x v="0"/>
    <s v="Lib"/>
    <s v="M"/>
    <x v="2"/>
    <n v="33.464999999999996"/>
    <n v="100.39499999999998"/>
    <x v="1"/>
    <x v="2"/>
    <x v="1"/>
    <n v="1"/>
    <n v="100.39499999999998"/>
    <x v="0"/>
    <x v="0"/>
    <x v="3"/>
    <s v="High Price"/>
    <s v="Low Volume"/>
    <x v="0"/>
    <s v="September"/>
    <x v="3"/>
    <x v="4"/>
    <x v="1"/>
  </r>
  <r>
    <s v="UGK-07613-982"/>
    <x v="576"/>
    <s v="57808-90533-UE"/>
    <x v="2"/>
    <n v="3"/>
    <x v="569"/>
    <s v=""/>
    <x v="0"/>
    <s v="Ara"/>
    <s v="M"/>
    <x v="1"/>
    <n v="6.75"/>
    <n v="20.25"/>
    <x v="2"/>
    <x v="2"/>
    <x v="1"/>
    <n v="1"/>
    <n v="20.25"/>
    <x v="0"/>
    <x v="0"/>
    <x v="0"/>
    <s v="Low Price"/>
    <s v="Low Volume"/>
    <x v="3"/>
    <s v="July"/>
    <x v="3"/>
    <x v="2"/>
    <x v="0"/>
  </r>
  <r>
    <s v="UHK-63283-868"/>
    <x v="577"/>
    <s v="16809-16936-WF"/>
    <x v="2"/>
    <n v="1"/>
    <x v="65"/>
    <s v="mmacconnechieo9@reuters.com"/>
    <x v="0"/>
    <s v="Ara"/>
    <s v="M"/>
    <x v="1"/>
    <n v="6.75"/>
    <n v="6.75"/>
    <x v="2"/>
    <x v="2"/>
    <x v="0"/>
    <n v="1"/>
    <n v="6.75"/>
    <x v="0"/>
    <x v="0"/>
    <x v="0"/>
    <s v="Low Price"/>
    <s v="Low Volume"/>
    <x v="3"/>
    <s v="April"/>
    <x v="0"/>
    <x v="2"/>
    <x v="3"/>
  </r>
  <r>
    <s v="UHP-24614-199"/>
    <x v="386"/>
    <s v="67953-79896-AC"/>
    <x v="35"/>
    <n v="4"/>
    <x v="724"/>
    <s v="alewrype@whitehouse.gov"/>
    <x v="0"/>
    <s v="Ara"/>
    <s v="M"/>
    <x v="0"/>
    <n v="11.25"/>
    <n v="45"/>
    <x v="2"/>
    <x v="2"/>
    <x v="1"/>
    <n v="1"/>
    <n v="45"/>
    <x v="0"/>
    <x v="0"/>
    <x v="0"/>
    <s v="High Price"/>
    <s v="Low Volume"/>
    <x v="0"/>
    <s v="March"/>
    <x v="2"/>
    <x v="2"/>
    <x v="3"/>
  </r>
  <r>
    <s v="UHW-74617-126"/>
    <x v="578"/>
    <s v="90816-65619-LM"/>
    <x v="32"/>
    <n v="2"/>
    <x v="725"/>
    <s v=""/>
    <x v="0"/>
    <s v="Exc"/>
    <s v="D"/>
    <x v="2"/>
    <n v="27.945"/>
    <n v="55.89"/>
    <x v="3"/>
    <x v="0"/>
    <x v="1"/>
    <n v="1"/>
    <n v="55.89"/>
    <x v="0"/>
    <x v="0"/>
    <x v="1"/>
    <s v="High Price"/>
    <s v="Low Volume"/>
    <x v="0"/>
    <s v="February"/>
    <x v="2"/>
    <x v="8"/>
    <x v="2"/>
  </r>
  <r>
    <s v="UJG-34731-295"/>
    <x v="579"/>
    <s v="15764-22559-ZT"/>
    <x v="3"/>
    <n v="1"/>
    <x v="726"/>
    <s v=""/>
    <x v="0"/>
    <s v="Ara"/>
    <s v="M"/>
    <x v="2"/>
    <n v="25.874999999999996"/>
    <n v="25.874999999999996"/>
    <x v="2"/>
    <x v="2"/>
    <x v="1"/>
    <n v="1"/>
    <n v="25.874999999999996"/>
    <x v="0"/>
    <x v="0"/>
    <x v="0"/>
    <s v="Low Price"/>
    <s v="Low Volume"/>
    <x v="3"/>
    <s v="May"/>
    <x v="0"/>
    <x v="2"/>
    <x v="3"/>
  </r>
  <r>
    <s v="UJQ-54441-340"/>
    <x v="580"/>
    <s v="26822-19510-SD"/>
    <x v="42"/>
    <n v="2"/>
    <x v="727"/>
    <s v="gtweed8v@yolasite.com"/>
    <x v="0"/>
    <s v="Exc"/>
    <s v="M"/>
    <x v="3"/>
    <n v="4.125"/>
    <n v="8.25"/>
    <x v="3"/>
    <x v="2"/>
    <x v="0"/>
    <n v="2"/>
    <n v="13.837499999999999"/>
    <x v="1"/>
    <x v="1"/>
    <x v="0"/>
    <s v="Low Price"/>
    <s v="Low Volume"/>
    <x v="3"/>
    <s v="July"/>
    <x v="3"/>
    <x v="3"/>
    <x v="0"/>
  </r>
  <r>
    <s v="UJQ-54441-340"/>
    <x v="580"/>
    <s v="26822-19510-SD"/>
    <x v="23"/>
    <n v="5"/>
    <x v="727"/>
    <s v="gtweed8v@yolasite.com"/>
    <x v="0"/>
    <s v="Ara"/>
    <s v="L"/>
    <x v="3"/>
    <n v="3.8849999999999998"/>
    <n v="19.424999999999997"/>
    <x v="2"/>
    <x v="1"/>
    <x v="0"/>
    <n v="2"/>
    <n v="13.837499999999999"/>
    <x v="1"/>
    <x v="1"/>
    <x v="0"/>
    <s v="Low Price"/>
    <s v="High Volume"/>
    <x v="2"/>
    <s v="July"/>
    <x v="3"/>
    <x v="6"/>
    <x v="0"/>
  </r>
  <r>
    <s v="UJV-32333-364"/>
    <x v="581"/>
    <s v="86110-83695-YS"/>
    <x v="30"/>
    <n v="1"/>
    <x v="728"/>
    <s v=""/>
    <x v="0"/>
    <s v="Lib"/>
    <s v="L"/>
    <x v="1"/>
    <n v="9.51"/>
    <n v="9.51"/>
    <x v="1"/>
    <x v="1"/>
    <x v="1"/>
    <n v="1"/>
    <n v="9.51"/>
    <x v="0"/>
    <x v="0"/>
    <x v="0"/>
    <s v="Low Price"/>
    <s v="Low Volume"/>
    <x v="3"/>
    <s v="December"/>
    <x v="1"/>
    <x v="1"/>
    <x v="2"/>
  </r>
  <r>
    <s v="UKS-93055-397"/>
    <x v="582"/>
    <s v="13082-41034-PD"/>
    <x v="22"/>
    <n v="5"/>
    <x v="729"/>
    <s v="ravrashinna@tamu.edu"/>
    <x v="0"/>
    <s v="Ara"/>
    <s v="D"/>
    <x v="2"/>
    <n v="22.884999999999998"/>
    <n v="114.42499999999998"/>
    <x v="2"/>
    <x v="0"/>
    <x v="1"/>
    <n v="1"/>
    <n v="114.42499999999998"/>
    <x v="0"/>
    <x v="0"/>
    <x v="3"/>
    <s v="High Price"/>
    <s v="High Volume"/>
    <x v="1"/>
    <s v="July"/>
    <x v="3"/>
    <x v="7"/>
    <x v="0"/>
  </r>
  <r>
    <s v="ULA-24644-321"/>
    <x v="583"/>
    <s v="67010-92988-CT"/>
    <x v="13"/>
    <n v="4"/>
    <x v="730"/>
    <s v="rcawleycm@yellowbook.com"/>
    <x v="1"/>
    <s v="Rob"/>
    <s v="D"/>
    <x v="2"/>
    <n v="20.584999999999997"/>
    <n v="82.339999999999989"/>
    <x v="0"/>
    <x v="0"/>
    <x v="0"/>
    <n v="1"/>
    <n v="82.339999999999989"/>
    <x v="0"/>
    <x v="0"/>
    <x v="1"/>
    <s v="High Price"/>
    <s v="Low Volume"/>
    <x v="0"/>
    <s v="August"/>
    <x v="3"/>
    <x v="0"/>
    <x v="0"/>
  </r>
  <r>
    <s v="ULM-49433-003"/>
    <x v="126"/>
    <s v="99421-80253-UI"/>
    <x v="21"/>
    <n v="2"/>
    <x v="731"/>
    <s v=""/>
    <x v="0"/>
    <s v="Exc"/>
    <s v="M"/>
    <x v="0"/>
    <n v="13.75"/>
    <n v="27.5"/>
    <x v="3"/>
    <x v="2"/>
    <x v="1"/>
    <n v="1"/>
    <n v="27.5"/>
    <x v="0"/>
    <x v="0"/>
    <x v="0"/>
    <s v="Low Price"/>
    <s v="Low Volume"/>
    <x v="3"/>
    <s v="August"/>
    <x v="3"/>
    <x v="3"/>
    <x v="0"/>
  </r>
  <r>
    <s v="ULR-52653-960"/>
    <x v="404"/>
    <s v="04152-34436-IE"/>
    <x v="33"/>
    <n v="2"/>
    <x v="732"/>
    <s v=""/>
    <x v="0"/>
    <s v="Lib"/>
    <s v="L"/>
    <x v="2"/>
    <n v="36.454999999999998"/>
    <n v="72.91"/>
    <x v="1"/>
    <x v="1"/>
    <x v="1"/>
    <n v="1"/>
    <n v="72.91"/>
    <x v="0"/>
    <x v="0"/>
    <x v="1"/>
    <s v="High Price"/>
    <s v="Low Volume"/>
    <x v="0"/>
    <s v="October"/>
    <x v="1"/>
    <x v="1"/>
    <x v="1"/>
  </r>
  <r>
    <s v="ULU-07744-724"/>
    <x v="584"/>
    <s v="94058-95794-IJ"/>
    <x v="37"/>
    <n v="5"/>
    <x v="733"/>
    <s v="limasonio@discuz.net"/>
    <x v="0"/>
    <s v="Lib"/>
    <s v="M"/>
    <x v="1"/>
    <n v="8.73"/>
    <n v="43.650000000000006"/>
    <x v="1"/>
    <x v="2"/>
    <x v="0"/>
    <n v="1"/>
    <n v="43.650000000000006"/>
    <x v="0"/>
    <x v="0"/>
    <x v="0"/>
    <s v="High Price"/>
    <s v="High Volume"/>
    <x v="1"/>
    <s v="March"/>
    <x v="2"/>
    <x v="4"/>
    <x v="3"/>
  </r>
  <r>
    <s v="UMB-11223-710"/>
    <x v="585"/>
    <s v="49012-12987-QT"/>
    <x v="15"/>
    <n v="6"/>
    <x v="734"/>
    <s v="mfrightm8@harvard.edu"/>
    <x v="1"/>
    <s v="Rob"/>
    <s v="D"/>
    <x v="3"/>
    <n v="2.6849999999999996"/>
    <n v="16.11"/>
    <x v="0"/>
    <x v="0"/>
    <x v="1"/>
    <n v="1"/>
    <n v="16.11"/>
    <x v="0"/>
    <x v="0"/>
    <x v="0"/>
    <s v="Low Price"/>
    <s v="High Volume"/>
    <x v="2"/>
    <s v="February"/>
    <x v="2"/>
    <x v="0"/>
    <x v="2"/>
  </r>
  <r>
    <s v="UME-75640-698"/>
    <x v="586"/>
    <s v="62494-09113-RP"/>
    <x v="2"/>
    <n v="4"/>
    <x v="7"/>
    <s v=""/>
    <x v="0"/>
    <s v="Ara"/>
    <s v="M"/>
    <x v="1"/>
    <n v="6.75"/>
    <n v="27"/>
    <x v="2"/>
    <x v="2"/>
    <x v="1"/>
    <n v="1"/>
    <n v="27"/>
    <x v="0"/>
    <x v="0"/>
    <x v="0"/>
    <s v="Low Price"/>
    <s v="Low Volume"/>
    <x v="3"/>
    <s v="October"/>
    <x v="1"/>
    <x v="2"/>
    <x v="1"/>
  </r>
  <r>
    <s v="UMM-28497-689"/>
    <x v="587"/>
    <s v="05325-97750-WP"/>
    <x v="33"/>
    <n v="3"/>
    <x v="185"/>
    <s v="cverissimogh@theglobeandmail.com"/>
    <x v="2"/>
    <s v="Lib"/>
    <s v="L"/>
    <x v="2"/>
    <n v="36.454999999999998"/>
    <n v="109.36499999999999"/>
    <x v="1"/>
    <x v="1"/>
    <x v="0"/>
    <n v="1"/>
    <n v="109.36499999999999"/>
    <x v="0"/>
    <x v="0"/>
    <x v="3"/>
    <s v="High Price"/>
    <s v="Low Volume"/>
    <x v="0"/>
    <s v="November"/>
    <x v="1"/>
    <x v="1"/>
    <x v="1"/>
  </r>
  <r>
    <s v="UMT-26130-151"/>
    <x v="588"/>
    <s v="55864-37682-GQ"/>
    <x v="5"/>
    <n v="3"/>
    <x v="735"/>
    <s v="cweatherallim@toplist.cz"/>
    <x v="0"/>
    <s v="Lib"/>
    <s v="M"/>
    <x v="3"/>
    <n v="4.3650000000000002"/>
    <n v="13.095000000000001"/>
    <x v="1"/>
    <x v="2"/>
    <x v="0"/>
    <n v="1"/>
    <n v="13.095000000000001"/>
    <x v="0"/>
    <x v="0"/>
    <x v="0"/>
    <s v="Low Price"/>
    <s v="Low Volume"/>
    <x v="3"/>
    <s v="May"/>
    <x v="0"/>
    <x v="4"/>
    <x v="3"/>
  </r>
  <r>
    <s v="UOA-23786-489"/>
    <x v="396"/>
    <s v="90305-50099-SV"/>
    <x v="2"/>
    <n v="6"/>
    <x v="736"/>
    <s v="qveel2x@jugem.jp"/>
    <x v="0"/>
    <s v="Ara"/>
    <s v="M"/>
    <x v="1"/>
    <n v="6.75"/>
    <n v="40.5"/>
    <x v="2"/>
    <x v="2"/>
    <x v="0"/>
    <n v="1"/>
    <n v="40.5"/>
    <x v="0"/>
    <x v="0"/>
    <x v="0"/>
    <s v="High Price"/>
    <s v="High Volume"/>
    <x v="1"/>
    <s v="May"/>
    <x v="0"/>
    <x v="2"/>
    <x v="3"/>
  </r>
  <r>
    <s v="UOG-94188-104"/>
    <x v="217"/>
    <s v="92753-50029-SD"/>
    <x v="2"/>
    <n v="5"/>
    <x v="737"/>
    <s v="kscholardgk@sbwire.com"/>
    <x v="0"/>
    <s v="Ara"/>
    <s v="M"/>
    <x v="1"/>
    <n v="6.75"/>
    <n v="33.75"/>
    <x v="2"/>
    <x v="2"/>
    <x v="1"/>
    <n v="1"/>
    <n v="33.75"/>
    <x v="0"/>
    <x v="0"/>
    <x v="0"/>
    <s v="High Price"/>
    <s v="High Volume"/>
    <x v="1"/>
    <s v="November"/>
    <x v="1"/>
    <x v="2"/>
    <x v="1"/>
  </r>
  <r>
    <s v="UOJ-28238-299"/>
    <x v="589"/>
    <s v="30844-91890-ZA"/>
    <x v="25"/>
    <n v="6"/>
    <x v="738"/>
    <s v="rreadieg8@guardian.co.uk"/>
    <x v="0"/>
    <s v="Rob"/>
    <s v="L"/>
    <x v="3"/>
    <n v="3.5849999999999995"/>
    <n v="21.509999999999998"/>
    <x v="0"/>
    <x v="1"/>
    <x v="1"/>
    <n v="1"/>
    <n v="21.509999999999998"/>
    <x v="0"/>
    <x v="0"/>
    <x v="0"/>
    <s v="Low Price"/>
    <s v="High Volume"/>
    <x v="2"/>
    <s v="March"/>
    <x v="2"/>
    <x v="11"/>
    <x v="3"/>
  </r>
  <r>
    <s v="UOM-71431-481"/>
    <x v="301"/>
    <s v="65732-22589-OW"/>
    <x v="13"/>
    <n v="1"/>
    <x v="250"/>
    <s v="kmarrisonoq@dropbox.com"/>
    <x v="0"/>
    <s v="Rob"/>
    <s v="D"/>
    <x v="2"/>
    <n v="20.584999999999997"/>
    <n v="20.584999999999997"/>
    <x v="0"/>
    <x v="0"/>
    <x v="0"/>
    <n v="1"/>
    <n v="20.584999999999997"/>
    <x v="0"/>
    <x v="0"/>
    <x v="0"/>
    <s v="Low Price"/>
    <s v="Low Volume"/>
    <x v="3"/>
    <s v="March"/>
    <x v="2"/>
    <x v="0"/>
    <x v="3"/>
  </r>
  <r>
    <s v="UPF-60123-025"/>
    <x v="590"/>
    <s v="88992-49081-AT"/>
    <x v="44"/>
    <n v="3"/>
    <x v="739"/>
    <s v=""/>
    <x v="0"/>
    <s v="Rob"/>
    <s v="L"/>
    <x v="2"/>
    <n v="27.484999999999996"/>
    <n v="82.454999999999984"/>
    <x v="0"/>
    <x v="1"/>
    <x v="1"/>
    <n v="1"/>
    <n v="82.454999999999984"/>
    <x v="0"/>
    <x v="0"/>
    <x v="1"/>
    <s v="High Price"/>
    <s v="Low Volume"/>
    <x v="0"/>
    <s v="February"/>
    <x v="2"/>
    <x v="11"/>
    <x v="2"/>
  </r>
  <r>
    <s v="UPX-54529-618"/>
    <x v="234"/>
    <s v="40535-56770-UM"/>
    <x v="19"/>
    <n v="3"/>
    <x v="740"/>
    <s v="tmenaryp7@phoca.cz"/>
    <x v="0"/>
    <s v="Lib"/>
    <s v="D"/>
    <x v="0"/>
    <n v="12.95"/>
    <n v="38.849999999999994"/>
    <x v="1"/>
    <x v="0"/>
    <x v="1"/>
    <n v="1"/>
    <n v="38.849999999999994"/>
    <x v="0"/>
    <x v="0"/>
    <x v="0"/>
    <s v="High Price"/>
    <s v="Low Volume"/>
    <x v="0"/>
    <s v="September"/>
    <x v="3"/>
    <x v="9"/>
    <x v="1"/>
  </r>
  <r>
    <s v="UQI-28177-865"/>
    <x v="9"/>
    <s v="04317-46176-TB"/>
    <x v="25"/>
    <n v="6"/>
    <x v="741"/>
    <s v="ieberleinqf@hc360.com"/>
    <x v="0"/>
    <s v="Rob"/>
    <s v="L"/>
    <x v="3"/>
    <n v="3.5849999999999995"/>
    <n v="21.509999999999998"/>
    <x v="0"/>
    <x v="1"/>
    <x v="1"/>
    <n v="1"/>
    <n v="21.509999999999998"/>
    <x v="0"/>
    <x v="0"/>
    <x v="0"/>
    <s v="Low Price"/>
    <s v="High Volume"/>
    <x v="2"/>
    <s v="September"/>
    <x v="3"/>
    <x v="11"/>
    <x v="1"/>
  </r>
  <r>
    <s v="UQU-65630-479"/>
    <x v="591"/>
    <s v="37651-47492-NC"/>
    <x v="9"/>
    <n v="4"/>
    <x v="742"/>
    <s v="aantukm@kickstarter.com"/>
    <x v="0"/>
    <s v="Rob"/>
    <s v="M"/>
    <x v="2"/>
    <n v="22.884999999999998"/>
    <n v="91.539999999999992"/>
    <x v="0"/>
    <x v="2"/>
    <x v="0"/>
    <n v="1"/>
    <n v="91.539999999999992"/>
    <x v="0"/>
    <x v="0"/>
    <x v="1"/>
    <s v="High Price"/>
    <s v="Low Volume"/>
    <x v="0"/>
    <s v="January"/>
    <x v="2"/>
    <x v="5"/>
    <x v="2"/>
  </r>
  <r>
    <s v="USA-42811-560"/>
    <x v="497"/>
    <s v="49671-11547-WG"/>
    <x v="27"/>
    <n v="2"/>
    <x v="743"/>
    <s v="jmahakc@cyberchimps.com"/>
    <x v="0"/>
    <s v="Exc"/>
    <s v="L"/>
    <x v="3"/>
    <n v="4.4550000000000001"/>
    <n v="8.91"/>
    <x v="3"/>
    <x v="1"/>
    <x v="1"/>
    <n v="1"/>
    <n v="8.91"/>
    <x v="0"/>
    <x v="0"/>
    <x v="0"/>
    <s v="Low Price"/>
    <s v="Low Volume"/>
    <x v="3"/>
    <s v="April"/>
    <x v="0"/>
    <x v="10"/>
    <x v="3"/>
  </r>
  <r>
    <s v="USN-44968-231"/>
    <x v="385"/>
    <s v="71749-05400-CN"/>
    <x v="31"/>
    <n v="4"/>
    <x v="744"/>
    <s v=""/>
    <x v="0"/>
    <s v="Rob"/>
    <s v="L"/>
    <x v="0"/>
    <n v="11.95"/>
    <n v="47.8"/>
    <x v="0"/>
    <x v="1"/>
    <x v="1"/>
    <n v="1"/>
    <n v="47.8"/>
    <x v="0"/>
    <x v="0"/>
    <x v="0"/>
    <s v="High Price"/>
    <s v="Low Volume"/>
    <x v="0"/>
    <s v="September"/>
    <x v="3"/>
    <x v="11"/>
    <x v="1"/>
  </r>
  <r>
    <s v="USN-68115-161"/>
    <x v="592"/>
    <s v="08120-16183-AW"/>
    <x v="42"/>
    <n v="6"/>
    <x v="745"/>
    <s v="rjacquemardcc@acquirethisname.com"/>
    <x v="1"/>
    <s v="Exc"/>
    <s v="M"/>
    <x v="3"/>
    <n v="4.125"/>
    <n v="24.75"/>
    <x v="3"/>
    <x v="2"/>
    <x v="1"/>
    <n v="1"/>
    <n v="24.75"/>
    <x v="0"/>
    <x v="0"/>
    <x v="0"/>
    <s v="Low Price"/>
    <s v="High Volume"/>
    <x v="2"/>
    <s v="August"/>
    <x v="3"/>
    <x v="3"/>
    <x v="0"/>
  </r>
  <r>
    <s v="UVF-59322-459"/>
    <x v="593"/>
    <s v="53971-49906-PZ"/>
    <x v="39"/>
    <n v="6"/>
    <x v="746"/>
    <s v="dheinonengd@printfriendly.com"/>
    <x v="0"/>
    <s v="Exc"/>
    <s v="L"/>
    <x v="2"/>
    <n v="34.154999999999994"/>
    <n v="204.92999999999995"/>
    <x v="3"/>
    <x v="1"/>
    <x v="1"/>
    <n v="1"/>
    <n v="204.92999999999995"/>
    <x v="0"/>
    <x v="0"/>
    <x v="2"/>
    <s v="High Price"/>
    <s v="High Volume"/>
    <x v="1"/>
    <s v="July"/>
    <x v="3"/>
    <x v="10"/>
    <x v="0"/>
  </r>
  <r>
    <s v="UZL-46108-213"/>
    <x v="69"/>
    <s v="75961-20170-RD"/>
    <x v="1"/>
    <n v="2"/>
    <x v="747"/>
    <s v="gwhiteheadls@hp.com"/>
    <x v="0"/>
    <s v="Lib"/>
    <s v="L"/>
    <x v="0"/>
    <n v="15.85"/>
    <n v="31.7"/>
    <x v="1"/>
    <x v="1"/>
    <x v="1"/>
    <n v="1"/>
    <n v="31.7"/>
    <x v="0"/>
    <x v="0"/>
    <x v="0"/>
    <s v="High Price"/>
    <s v="Low Volume"/>
    <x v="0"/>
    <s v="November"/>
    <x v="1"/>
    <x v="1"/>
    <x v="1"/>
  </r>
  <r>
    <s v="VAJ-44572-469"/>
    <x v="500"/>
    <s v="79216-73157-TE"/>
    <x v="25"/>
    <n v="6"/>
    <x v="748"/>
    <s v=""/>
    <x v="1"/>
    <s v="Rob"/>
    <s v="L"/>
    <x v="3"/>
    <n v="3.5849999999999995"/>
    <n v="21.509999999999998"/>
    <x v="0"/>
    <x v="1"/>
    <x v="0"/>
    <n v="1"/>
    <n v="21.509999999999998"/>
    <x v="0"/>
    <x v="0"/>
    <x v="0"/>
    <s v="Low Price"/>
    <s v="High Volume"/>
    <x v="2"/>
    <s v="October"/>
    <x v="1"/>
    <x v="11"/>
    <x v="1"/>
  </r>
  <r>
    <s v="VAU-44387-624"/>
    <x v="88"/>
    <s v="99643-51048-IQ"/>
    <x v="46"/>
    <n v="6"/>
    <x v="749"/>
    <s v="malabasterg@hexun.com"/>
    <x v="0"/>
    <s v="Ara"/>
    <s v="M"/>
    <x v="3"/>
    <n v="3.375"/>
    <n v="20.25"/>
    <x v="2"/>
    <x v="2"/>
    <x v="1"/>
    <n v="1"/>
    <n v="20.25"/>
    <x v="0"/>
    <x v="0"/>
    <x v="0"/>
    <s v="Low Price"/>
    <s v="High Volume"/>
    <x v="2"/>
    <s v="March"/>
    <x v="2"/>
    <x v="2"/>
    <x v="3"/>
  </r>
  <r>
    <s v="VCE-56531-986"/>
    <x v="594"/>
    <s v="57192-13428-PL"/>
    <x v="6"/>
    <n v="5"/>
    <x v="750"/>
    <s v="rtomkowiczk7@bravesites.com"/>
    <x v="1"/>
    <s v="Rob"/>
    <s v="M"/>
    <x v="1"/>
    <n v="5.97"/>
    <n v="29.849999999999998"/>
    <x v="0"/>
    <x v="2"/>
    <x v="0"/>
    <n v="1"/>
    <n v="29.849999999999998"/>
    <x v="0"/>
    <x v="0"/>
    <x v="0"/>
    <s v="High Price"/>
    <s v="High Volume"/>
    <x v="1"/>
    <s v="March"/>
    <x v="2"/>
    <x v="5"/>
    <x v="3"/>
  </r>
  <r>
    <s v="VDZ-76673-968"/>
    <x v="595"/>
    <s v="82246-82543-DW"/>
    <x v="36"/>
    <n v="2"/>
    <x v="751"/>
    <s v="bhindsberg3n@blogs.com"/>
    <x v="0"/>
    <s v="Exc"/>
    <s v="D"/>
    <x v="1"/>
    <n v="7.29"/>
    <n v="14.58"/>
    <x v="3"/>
    <x v="0"/>
    <x v="0"/>
    <n v="1"/>
    <n v="14.58"/>
    <x v="0"/>
    <x v="0"/>
    <x v="0"/>
    <s v="Low Price"/>
    <s v="Low Volume"/>
    <x v="3"/>
    <s v="December"/>
    <x v="1"/>
    <x v="8"/>
    <x v="2"/>
  </r>
  <r>
    <s v="VEA-31961-977"/>
    <x v="596"/>
    <s v="51432-27169-KN"/>
    <x v="36"/>
    <n v="3"/>
    <x v="752"/>
    <s v="bflaherty4s@moonfruit.com"/>
    <x v="1"/>
    <s v="Exc"/>
    <s v="D"/>
    <x v="1"/>
    <n v="7.29"/>
    <n v="21.87"/>
    <x v="3"/>
    <x v="0"/>
    <x v="1"/>
    <n v="1"/>
    <n v="21.87"/>
    <x v="0"/>
    <x v="0"/>
    <x v="0"/>
    <s v="Low Price"/>
    <s v="Low Volume"/>
    <x v="3"/>
    <s v="December"/>
    <x v="1"/>
    <x v="8"/>
    <x v="2"/>
  </r>
  <r>
    <s v="VEM-79839-466"/>
    <x v="597"/>
    <s v="32743-78448-KT"/>
    <x v="44"/>
    <n v="5"/>
    <x v="753"/>
    <s v="jmillettik@addtoany.com"/>
    <x v="0"/>
    <s v="Rob"/>
    <s v="L"/>
    <x v="2"/>
    <n v="27.484999999999996"/>
    <n v="137.42499999999998"/>
    <x v="0"/>
    <x v="1"/>
    <x v="0"/>
    <n v="1"/>
    <n v="137.42499999999998"/>
    <x v="0"/>
    <x v="0"/>
    <x v="3"/>
    <s v="High Price"/>
    <s v="High Volume"/>
    <x v="1"/>
    <s v="March"/>
    <x v="2"/>
    <x v="11"/>
    <x v="3"/>
  </r>
  <r>
    <s v="VET-41158-896"/>
    <x v="298"/>
    <s v="10728-17633-ST"/>
    <x v="4"/>
    <n v="2"/>
    <x v="754"/>
    <s v="jshentonge@google.com.hk"/>
    <x v="0"/>
    <s v="Exc"/>
    <s v="M"/>
    <x v="2"/>
    <n v="31.624999999999996"/>
    <n v="63.249999999999993"/>
    <x v="3"/>
    <x v="2"/>
    <x v="0"/>
    <n v="1"/>
    <n v="63.249999999999993"/>
    <x v="0"/>
    <x v="0"/>
    <x v="1"/>
    <s v="High Price"/>
    <s v="Low Volume"/>
    <x v="0"/>
    <s v="April"/>
    <x v="0"/>
    <x v="3"/>
    <x v="3"/>
  </r>
  <r>
    <s v="VFZ-91673-181"/>
    <x v="392"/>
    <s v="10225-91535-AI"/>
    <x v="7"/>
    <n v="6"/>
    <x v="755"/>
    <s v="lrushmer65@europa.eu"/>
    <x v="0"/>
    <s v="Ara"/>
    <s v="L"/>
    <x v="0"/>
    <n v="12.95"/>
    <n v="77.699999999999989"/>
    <x v="2"/>
    <x v="1"/>
    <x v="0"/>
    <n v="1"/>
    <n v="77.699999999999989"/>
    <x v="0"/>
    <x v="0"/>
    <x v="1"/>
    <s v="High Price"/>
    <s v="High Volume"/>
    <x v="1"/>
    <s v="November"/>
    <x v="1"/>
    <x v="6"/>
    <x v="1"/>
  </r>
  <r>
    <s v="VGI-33205-360"/>
    <x v="598"/>
    <s v="96762-10814-DA"/>
    <x v="37"/>
    <n v="6"/>
    <x v="756"/>
    <s v="jgippesm0@cloudflare.com"/>
    <x v="2"/>
    <s v="Lib"/>
    <s v="M"/>
    <x v="1"/>
    <n v="8.73"/>
    <n v="52.38"/>
    <x v="1"/>
    <x v="2"/>
    <x v="0"/>
    <n v="1"/>
    <n v="52.38"/>
    <x v="0"/>
    <x v="0"/>
    <x v="1"/>
    <s v="High Price"/>
    <s v="High Volume"/>
    <x v="1"/>
    <s v="March"/>
    <x v="2"/>
    <x v="4"/>
    <x v="3"/>
  </r>
  <r>
    <s v="VGM-24161-361"/>
    <x v="221"/>
    <s v="71034-49694-CS"/>
    <x v="4"/>
    <n v="2"/>
    <x v="757"/>
    <s v="bacarsonhf@cnn.com"/>
    <x v="0"/>
    <s v="Exc"/>
    <s v="M"/>
    <x v="2"/>
    <n v="31.624999999999996"/>
    <n v="63.249999999999993"/>
    <x v="3"/>
    <x v="2"/>
    <x v="0"/>
    <n v="1"/>
    <n v="63.249999999999993"/>
    <x v="0"/>
    <x v="0"/>
    <x v="1"/>
    <s v="High Price"/>
    <s v="Low Volume"/>
    <x v="0"/>
    <s v="May"/>
    <x v="0"/>
    <x v="3"/>
    <x v="3"/>
  </r>
  <r>
    <s v="VID-40587-569"/>
    <x v="517"/>
    <s v="09818-59895-EH"/>
    <x v="32"/>
    <n v="5"/>
    <x v="758"/>
    <s v="skeetsde@answers.com"/>
    <x v="0"/>
    <s v="Exc"/>
    <s v="D"/>
    <x v="2"/>
    <n v="27.945"/>
    <n v="139.72499999999999"/>
    <x v="3"/>
    <x v="0"/>
    <x v="0"/>
    <n v="1"/>
    <n v="139.72499999999999"/>
    <x v="0"/>
    <x v="0"/>
    <x v="3"/>
    <s v="High Price"/>
    <s v="High Volume"/>
    <x v="1"/>
    <s v="February"/>
    <x v="2"/>
    <x v="8"/>
    <x v="2"/>
  </r>
  <r>
    <s v="VIO-27668-766"/>
    <x v="599"/>
    <s v="10074-20104-NN"/>
    <x v="13"/>
    <n v="1"/>
    <x v="759"/>
    <s v="ddrinkallcx@psu.edu"/>
    <x v="0"/>
    <s v="Rob"/>
    <s v="D"/>
    <x v="2"/>
    <n v="20.584999999999997"/>
    <n v="20.584999999999997"/>
    <x v="0"/>
    <x v="0"/>
    <x v="0"/>
    <n v="1"/>
    <n v="20.584999999999997"/>
    <x v="0"/>
    <x v="0"/>
    <x v="0"/>
    <s v="Low Price"/>
    <s v="Low Volume"/>
    <x v="3"/>
    <s v="December"/>
    <x v="1"/>
    <x v="0"/>
    <x v="2"/>
  </r>
  <r>
    <s v="VJF-46305-323"/>
    <x v="172"/>
    <s v="68555-89840-GZ"/>
    <x v="14"/>
    <n v="2"/>
    <x v="259"/>
    <s v="msesonck@census.gov"/>
    <x v="0"/>
    <s v="Lib"/>
    <s v="D"/>
    <x v="1"/>
    <n v="7.77"/>
    <n v="15.54"/>
    <x v="1"/>
    <x v="0"/>
    <x v="1"/>
    <n v="1"/>
    <n v="15.54"/>
    <x v="0"/>
    <x v="0"/>
    <x v="0"/>
    <s v="Low Price"/>
    <s v="Low Volume"/>
    <x v="3"/>
    <s v="January"/>
    <x v="2"/>
    <x v="9"/>
    <x v="2"/>
  </r>
  <r>
    <s v="VKA-82720-513"/>
    <x v="477"/>
    <s v="12299-30914-NG"/>
    <x v="3"/>
    <n v="6"/>
    <x v="760"/>
    <s v="gholborn4b@ow.ly"/>
    <x v="0"/>
    <s v="Ara"/>
    <s v="M"/>
    <x v="2"/>
    <n v="25.874999999999996"/>
    <n v="155.24999999999997"/>
    <x v="2"/>
    <x v="2"/>
    <x v="0"/>
    <n v="1"/>
    <n v="155.24999999999997"/>
    <x v="0"/>
    <x v="0"/>
    <x v="2"/>
    <s v="High Price"/>
    <s v="High Volume"/>
    <x v="1"/>
    <s v="June"/>
    <x v="0"/>
    <x v="2"/>
    <x v="0"/>
  </r>
  <r>
    <s v="VKQ-39009-292"/>
    <x v="217"/>
    <s v="57808-90533-UE"/>
    <x v="34"/>
    <n v="5"/>
    <x v="569"/>
    <s v=""/>
    <x v="0"/>
    <s v="Lib"/>
    <s v="M"/>
    <x v="0"/>
    <n v="14.55"/>
    <n v="72.75"/>
    <x v="1"/>
    <x v="2"/>
    <x v="1"/>
    <n v="1"/>
    <n v="72.75"/>
    <x v="0"/>
    <x v="0"/>
    <x v="1"/>
    <s v="High Price"/>
    <s v="High Volume"/>
    <x v="1"/>
    <s v="November"/>
    <x v="1"/>
    <x v="4"/>
    <x v="1"/>
  </r>
  <r>
    <s v="VMT-10030-889"/>
    <x v="596"/>
    <s v="87602-55754-VN"/>
    <x v="7"/>
    <n v="6"/>
    <x v="761"/>
    <s v="tgottelier2h@vistaprint.com"/>
    <x v="0"/>
    <s v="Ara"/>
    <s v="L"/>
    <x v="0"/>
    <n v="12.95"/>
    <n v="77.699999999999989"/>
    <x v="2"/>
    <x v="1"/>
    <x v="1"/>
    <n v="1"/>
    <n v="77.699999999999989"/>
    <x v="0"/>
    <x v="0"/>
    <x v="1"/>
    <s v="High Price"/>
    <s v="High Volume"/>
    <x v="1"/>
    <s v="December"/>
    <x v="1"/>
    <x v="6"/>
    <x v="2"/>
  </r>
  <r>
    <s v="VMW-26889-781"/>
    <x v="600"/>
    <s v="36078-91009-WU"/>
    <x v="23"/>
    <n v="2"/>
    <x v="762"/>
    <s v="acurley1b@hao123.com"/>
    <x v="0"/>
    <s v="Ara"/>
    <s v="L"/>
    <x v="3"/>
    <n v="3.8849999999999998"/>
    <n v="7.77"/>
    <x v="2"/>
    <x v="1"/>
    <x v="0"/>
    <n v="1"/>
    <n v="7.77"/>
    <x v="0"/>
    <x v="0"/>
    <x v="0"/>
    <s v="Low Price"/>
    <s v="Low Volume"/>
    <x v="3"/>
    <s v="June"/>
    <x v="0"/>
    <x v="6"/>
    <x v="0"/>
  </r>
  <r>
    <s v="VNC-93921-469"/>
    <x v="601"/>
    <s v="04666-71569-RI"/>
    <x v="1"/>
    <n v="1"/>
    <x v="653"/>
    <s v="zkiffe74@cyberchimps.com"/>
    <x v="0"/>
    <s v="Lib"/>
    <s v="L"/>
    <x v="0"/>
    <n v="15.85"/>
    <n v="15.85"/>
    <x v="1"/>
    <x v="1"/>
    <x v="0"/>
    <n v="1"/>
    <n v="15.85"/>
    <x v="0"/>
    <x v="0"/>
    <x v="0"/>
    <s v="Low Price"/>
    <s v="Low Volume"/>
    <x v="3"/>
    <s v="January"/>
    <x v="2"/>
    <x v="1"/>
    <x v="2"/>
  </r>
  <r>
    <s v="VPX-08817-517"/>
    <x v="602"/>
    <s v="46963-10322-ZA"/>
    <x v="1"/>
    <n v="5"/>
    <x v="763"/>
    <s v="gfanthamjz@hexun.com"/>
    <x v="0"/>
    <s v="Lib"/>
    <s v="L"/>
    <x v="0"/>
    <n v="15.85"/>
    <n v="79.25"/>
    <x v="1"/>
    <x v="1"/>
    <x v="0"/>
    <n v="1"/>
    <n v="79.25"/>
    <x v="0"/>
    <x v="0"/>
    <x v="1"/>
    <s v="High Price"/>
    <s v="High Volume"/>
    <x v="1"/>
    <s v="November"/>
    <x v="1"/>
    <x v="1"/>
    <x v="1"/>
  </r>
  <r>
    <s v="VPX-44956-367"/>
    <x v="603"/>
    <s v="39582-35773-ZJ"/>
    <x v="6"/>
    <n v="5"/>
    <x v="764"/>
    <s v="vupstoneei@google.pl"/>
    <x v="0"/>
    <s v="Rob"/>
    <s v="M"/>
    <x v="1"/>
    <n v="5.97"/>
    <n v="29.849999999999998"/>
    <x v="0"/>
    <x v="2"/>
    <x v="1"/>
    <n v="1"/>
    <n v="29.849999999999998"/>
    <x v="0"/>
    <x v="0"/>
    <x v="0"/>
    <s v="High Price"/>
    <s v="High Volume"/>
    <x v="1"/>
    <s v="June"/>
    <x v="0"/>
    <x v="5"/>
    <x v="0"/>
  </r>
  <r>
    <s v="VQR-01002-970"/>
    <x v="560"/>
    <s v="49315-21985-BB"/>
    <x v="39"/>
    <n v="5"/>
    <x v="765"/>
    <s v="dphizackerlyb@utexas.edu"/>
    <x v="0"/>
    <s v="Exc"/>
    <s v="L"/>
    <x v="2"/>
    <n v="34.154999999999994"/>
    <n v="170.77499999999998"/>
    <x v="3"/>
    <x v="1"/>
    <x v="0"/>
    <n v="1"/>
    <n v="170.77499999999998"/>
    <x v="0"/>
    <x v="0"/>
    <x v="2"/>
    <s v="High Price"/>
    <s v="High Volume"/>
    <x v="1"/>
    <s v="October"/>
    <x v="1"/>
    <x v="10"/>
    <x v="1"/>
  </r>
  <r>
    <s v="VQV-59984-866"/>
    <x v="604"/>
    <s v="48854-01899-FN"/>
    <x v="15"/>
    <n v="3"/>
    <x v="766"/>
    <s v="vskulletah@tinyurl.com"/>
    <x v="1"/>
    <s v="Rob"/>
    <s v="D"/>
    <x v="3"/>
    <n v="2.6849999999999996"/>
    <n v="8.0549999999999997"/>
    <x v="0"/>
    <x v="0"/>
    <x v="1"/>
    <n v="1"/>
    <n v="8.0549999999999997"/>
    <x v="0"/>
    <x v="0"/>
    <x v="0"/>
    <s v="Low Price"/>
    <s v="Low Volume"/>
    <x v="3"/>
    <s v="March"/>
    <x v="2"/>
    <x v="0"/>
    <x v="3"/>
  </r>
  <r>
    <s v="VQW-91903-926"/>
    <x v="605"/>
    <s v="05325-97750-WP"/>
    <x v="32"/>
    <n v="1"/>
    <x v="185"/>
    <s v="cverissimogh@theglobeandmail.com"/>
    <x v="2"/>
    <s v="Exc"/>
    <s v="D"/>
    <x v="2"/>
    <n v="27.945"/>
    <n v="27.945"/>
    <x v="3"/>
    <x v="0"/>
    <x v="0"/>
    <n v="1"/>
    <n v="27.945"/>
    <x v="0"/>
    <x v="0"/>
    <x v="0"/>
    <s v="Low Price"/>
    <s v="Low Volume"/>
    <x v="3"/>
    <s v="March"/>
    <x v="2"/>
    <x v="8"/>
    <x v="3"/>
  </r>
  <r>
    <s v="VRM-93594-914"/>
    <x v="606"/>
    <s v="66806-41795-MX"/>
    <x v="36"/>
    <n v="5"/>
    <x v="767"/>
    <s v="elaird5e@bing.com"/>
    <x v="0"/>
    <s v="Exc"/>
    <s v="D"/>
    <x v="1"/>
    <n v="7.29"/>
    <n v="36.450000000000003"/>
    <x v="3"/>
    <x v="0"/>
    <x v="1"/>
    <n v="1"/>
    <n v="36.450000000000003"/>
    <x v="0"/>
    <x v="0"/>
    <x v="0"/>
    <s v="High Price"/>
    <s v="High Volume"/>
    <x v="1"/>
    <s v="July"/>
    <x v="3"/>
    <x v="8"/>
    <x v="0"/>
  </r>
  <r>
    <s v="VRT-39834-265"/>
    <x v="607"/>
    <s v="86686-37462-CK"/>
    <x v="1"/>
    <n v="3"/>
    <x v="768"/>
    <s v=""/>
    <x v="1"/>
    <s v="Lib"/>
    <s v="L"/>
    <x v="0"/>
    <n v="15.85"/>
    <n v="47.55"/>
    <x v="1"/>
    <x v="1"/>
    <x v="0"/>
    <n v="1"/>
    <n v="47.55"/>
    <x v="0"/>
    <x v="0"/>
    <x v="0"/>
    <s v="High Price"/>
    <s v="Low Volume"/>
    <x v="0"/>
    <s v="January"/>
    <x v="2"/>
    <x v="1"/>
    <x v="2"/>
  </r>
  <r>
    <s v="VSN-94485-621"/>
    <x v="54"/>
    <s v="88116-12604-TE"/>
    <x v="43"/>
    <n v="4"/>
    <x v="769"/>
    <s v="fhabberghamn8@discovery.com"/>
    <x v="0"/>
    <s v="Ara"/>
    <s v="D"/>
    <x v="3"/>
    <n v="2.9849999999999999"/>
    <n v="11.94"/>
    <x v="2"/>
    <x v="0"/>
    <x v="1"/>
    <n v="1"/>
    <n v="11.94"/>
    <x v="0"/>
    <x v="0"/>
    <x v="0"/>
    <s v="Low Price"/>
    <s v="Low Volume"/>
    <x v="3"/>
    <s v="October"/>
    <x v="1"/>
    <x v="7"/>
    <x v="1"/>
  </r>
  <r>
    <s v="VSQ-07182-513"/>
    <x v="608"/>
    <s v="18366-65239-WF"/>
    <x v="10"/>
    <n v="6"/>
    <x v="770"/>
    <s v="bgrecefm@naver.com"/>
    <x v="2"/>
    <s v="Lib"/>
    <s v="L"/>
    <x v="3"/>
    <n v="4.7549999999999999"/>
    <n v="28.53"/>
    <x v="1"/>
    <x v="1"/>
    <x v="1"/>
    <n v="1"/>
    <n v="28.53"/>
    <x v="0"/>
    <x v="0"/>
    <x v="0"/>
    <s v="Low Price"/>
    <s v="High Volume"/>
    <x v="2"/>
    <s v="July"/>
    <x v="3"/>
    <x v="1"/>
    <x v="0"/>
  </r>
  <r>
    <s v="VSS-56247-688"/>
    <x v="609"/>
    <s v="08360-19442-GB"/>
    <x v="41"/>
    <n v="4"/>
    <x v="771"/>
    <s v="eyurkov6s@hud.gov"/>
    <x v="0"/>
    <s v="Lib"/>
    <s v="M"/>
    <x v="2"/>
    <n v="33.464999999999996"/>
    <n v="133.85999999999999"/>
    <x v="1"/>
    <x v="2"/>
    <x v="1"/>
    <n v="1"/>
    <n v="133.85999999999999"/>
    <x v="0"/>
    <x v="0"/>
    <x v="3"/>
    <s v="High Price"/>
    <s v="Low Volume"/>
    <x v="0"/>
    <s v="May"/>
    <x v="0"/>
    <x v="4"/>
    <x v="3"/>
  </r>
  <r>
    <s v="VTB-46451-959"/>
    <x v="610"/>
    <s v="66240-46962-IO"/>
    <x v="28"/>
    <n v="1"/>
    <x v="772"/>
    <s v="bbeelbyej@rediff.com"/>
    <x v="1"/>
    <s v="Lib"/>
    <s v="D"/>
    <x v="2"/>
    <n v="29.784999999999997"/>
    <n v="29.784999999999997"/>
    <x v="1"/>
    <x v="0"/>
    <x v="1"/>
    <n v="1"/>
    <n v="29.784999999999997"/>
    <x v="0"/>
    <x v="0"/>
    <x v="0"/>
    <s v="Low Price"/>
    <s v="Low Volume"/>
    <x v="3"/>
    <s v="October"/>
    <x v="1"/>
    <x v="9"/>
    <x v="1"/>
  </r>
  <r>
    <s v="VTV-03546-175"/>
    <x v="30"/>
    <s v="03384-62101-IY"/>
    <x v="17"/>
    <n v="5"/>
    <x v="773"/>
    <s v="orobins3o@salon.com"/>
    <x v="0"/>
    <s v="Ara"/>
    <s v="L"/>
    <x v="2"/>
    <n v="29.784999999999997"/>
    <n v="148.92499999999998"/>
    <x v="2"/>
    <x v="1"/>
    <x v="0"/>
    <n v="1"/>
    <n v="148.92499999999998"/>
    <x v="0"/>
    <x v="0"/>
    <x v="3"/>
    <s v="High Price"/>
    <s v="High Volume"/>
    <x v="1"/>
    <s v="July"/>
    <x v="3"/>
    <x v="6"/>
    <x v="0"/>
  </r>
  <r>
    <s v="VUC-72395-865"/>
    <x v="487"/>
    <s v="13321-57602-GK"/>
    <x v="18"/>
    <n v="6"/>
    <x v="774"/>
    <s v="agladhillng@stanford.edu"/>
    <x v="0"/>
    <s v="Ara"/>
    <s v="D"/>
    <x v="1"/>
    <n v="5.97"/>
    <n v="35.82"/>
    <x v="2"/>
    <x v="0"/>
    <x v="0"/>
    <n v="1"/>
    <n v="35.82"/>
    <x v="0"/>
    <x v="0"/>
    <x v="0"/>
    <s v="High Price"/>
    <s v="High Volume"/>
    <x v="1"/>
    <s v="October"/>
    <x v="1"/>
    <x v="7"/>
    <x v="1"/>
  </r>
  <r>
    <s v="VUT-20974-364"/>
    <x v="212"/>
    <s v="90285-56295-PO"/>
    <x v="6"/>
    <n v="6"/>
    <x v="775"/>
    <s v="lhaggerstonemn@independent.co.uk"/>
    <x v="0"/>
    <s v="Rob"/>
    <s v="M"/>
    <x v="1"/>
    <n v="5.97"/>
    <n v="35.82"/>
    <x v="0"/>
    <x v="2"/>
    <x v="1"/>
    <n v="1"/>
    <n v="35.82"/>
    <x v="0"/>
    <x v="0"/>
    <x v="0"/>
    <s v="High Price"/>
    <s v="High Volume"/>
    <x v="1"/>
    <s v="January"/>
    <x v="2"/>
    <x v="5"/>
    <x v="2"/>
  </r>
  <r>
    <s v="VVL-95291-039"/>
    <x v="501"/>
    <s v="96516-97464-MF"/>
    <x v="27"/>
    <n v="2"/>
    <x v="776"/>
    <s v="senefermm@blog.com"/>
    <x v="0"/>
    <s v="Exc"/>
    <s v="L"/>
    <x v="3"/>
    <n v="4.4550000000000001"/>
    <n v="8.91"/>
    <x v="3"/>
    <x v="1"/>
    <x v="1"/>
    <n v="1"/>
    <n v="8.91"/>
    <x v="0"/>
    <x v="0"/>
    <x v="0"/>
    <s v="Low Price"/>
    <s v="Low Volume"/>
    <x v="3"/>
    <s v="April"/>
    <x v="0"/>
    <x v="10"/>
    <x v="3"/>
  </r>
  <r>
    <s v="VYD-28555-589"/>
    <x v="611"/>
    <s v="29814-01459-RC"/>
    <x v="26"/>
    <n v="6"/>
    <x v="777"/>
    <s v="atomaszewskiaj@answers.com"/>
    <x v="2"/>
    <s v="Rob"/>
    <s v="L"/>
    <x v="1"/>
    <n v="7.169999999999999"/>
    <n v="43.019999999999996"/>
    <x v="0"/>
    <x v="1"/>
    <x v="0"/>
    <n v="1"/>
    <n v="43.019999999999996"/>
    <x v="0"/>
    <x v="0"/>
    <x v="0"/>
    <s v="High Price"/>
    <s v="High Volume"/>
    <x v="1"/>
    <s v="August"/>
    <x v="3"/>
    <x v="11"/>
    <x v="0"/>
  </r>
  <r>
    <s v="VYP-89830-878"/>
    <x v="429"/>
    <s v="12715-05198-QU"/>
    <x v="3"/>
    <n v="2"/>
    <x v="778"/>
    <s v=""/>
    <x v="0"/>
    <s v="Ara"/>
    <s v="M"/>
    <x v="2"/>
    <n v="25.874999999999996"/>
    <n v="51.749999999999993"/>
    <x v="2"/>
    <x v="2"/>
    <x v="0"/>
    <n v="1"/>
    <n v="51.749999999999993"/>
    <x v="0"/>
    <x v="0"/>
    <x v="1"/>
    <s v="High Price"/>
    <s v="Low Volume"/>
    <x v="0"/>
    <s v="October"/>
    <x v="1"/>
    <x v="2"/>
    <x v="1"/>
  </r>
  <r>
    <s v="VZH-86274-142"/>
    <x v="612"/>
    <s v="53120-45532-KL"/>
    <x v="31"/>
    <n v="5"/>
    <x v="779"/>
    <s v=""/>
    <x v="1"/>
    <s v="Rob"/>
    <s v="L"/>
    <x v="0"/>
    <n v="11.95"/>
    <n v="59.75"/>
    <x v="0"/>
    <x v="1"/>
    <x v="0"/>
    <n v="1"/>
    <n v="59.75"/>
    <x v="0"/>
    <x v="0"/>
    <x v="1"/>
    <s v="High Price"/>
    <s v="High Volume"/>
    <x v="1"/>
    <s v="May"/>
    <x v="0"/>
    <x v="11"/>
    <x v="3"/>
  </r>
  <r>
    <s v="VZO-97265-841"/>
    <x v="613"/>
    <s v="87049-37901-FU"/>
    <x v="11"/>
    <n v="4"/>
    <x v="780"/>
    <s v="brevel2v@fastcompany.com"/>
    <x v="0"/>
    <s v="Rob"/>
    <s v="M"/>
    <x v="3"/>
    <n v="2.9849999999999999"/>
    <n v="11.94"/>
    <x v="0"/>
    <x v="2"/>
    <x v="1"/>
    <n v="1"/>
    <n v="11.94"/>
    <x v="0"/>
    <x v="0"/>
    <x v="0"/>
    <s v="Low Price"/>
    <s v="Low Volume"/>
    <x v="3"/>
    <s v="July"/>
    <x v="3"/>
    <x v="5"/>
    <x v="0"/>
  </r>
  <r>
    <s v="WAG-26945-689"/>
    <x v="199"/>
    <s v="50124-88608-EO"/>
    <x v="46"/>
    <n v="5"/>
    <x v="781"/>
    <s v="vdanneilr@mtv.com"/>
    <x v="1"/>
    <s v="Ara"/>
    <s v="M"/>
    <x v="3"/>
    <n v="3.375"/>
    <n v="16.875"/>
    <x v="2"/>
    <x v="2"/>
    <x v="1"/>
    <n v="1"/>
    <n v="16.875"/>
    <x v="0"/>
    <x v="0"/>
    <x v="0"/>
    <s v="Low Price"/>
    <s v="High Volume"/>
    <x v="2"/>
    <s v="October"/>
    <x v="1"/>
    <x v="2"/>
    <x v="1"/>
  </r>
  <r>
    <s v="WAI-89905-069"/>
    <x v="614"/>
    <s v="47011-57815-HJ"/>
    <x v="16"/>
    <n v="3"/>
    <x v="782"/>
    <s v="smcshealy@photobucket.com"/>
    <x v="0"/>
    <s v="Ara"/>
    <s v="L"/>
    <x v="1"/>
    <n v="7.77"/>
    <n v="23.31"/>
    <x v="2"/>
    <x v="1"/>
    <x v="1"/>
    <n v="1"/>
    <n v="23.31"/>
    <x v="0"/>
    <x v="0"/>
    <x v="0"/>
    <s v="Low Price"/>
    <s v="Low Volume"/>
    <x v="3"/>
    <s v="February"/>
    <x v="2"/>
    <x v="6"/>
    <x v="2"/>
  </r>
  <r>
    <s v="WAV-38301-984"/>
    <x v="615"/>
    <s v="62863-81239-DT"/>
    <x v="18"/>
    <n v="5"/>
    <x v="783"/>
    <s v="cpinkerton85@upenn.edu"/>
    <x v="0"/>
    <s v="Ara"/>
    <s v="D"/>
    <x v="1"/>
    <n v="5.97"/>
    <n v="29.849999999999998"/>
    <x v="2"/>
    <x v="0"/>
    <x v="1"/>
    <n v="1"/>
    <n v="29.849999999999998"/>
    <x v="0"/>
    <x v="0"/>
    <x v="0"/>
    <s v="High Price"/>
    <s v="High Volume"/>
    <x v="1"/>
    <s v="March"/>
    <x v="2"/>
    <x v="7"/>
    <x v="3"/>
  </r>
  <r>
    <s v="WBA-85905-175"/>
    <x v="582"/>
    <s v="41252-45992-VS"/>
    <x v="5"/>
    <n v="1"/>
    <x v="784"/>
    <s v="ttewelsonnd@cdbaby.com"/>
    <x v="0"/>
    <s v="Lib"/>
    <s v="M"/>
    <x v="3"/>
    <n v="4.3650000000000002"/>
    <n v="4.3650000000000002"/>
    <x v="1"/>
    <x v="2"/>
    <x v="1"/>
    <n v="1"/>
    <n v="4.3650000000000002"/>
    <x v="0"/>
    <x v="0"/>
    <x v="0"/>
    <s v="Low Price"/>
    <s v="Low Volume"/>
    <x v="3"/>
    <s v="July"/>
    <x v="3"/>
    <x v="4"/>
    <x v="0"/>
  </r>
  <r>
    <s v="WBK-62297-910"/>
    <x v="616"/>
    <s v="25514-23938-IQ"/>
    <x v="43"/>
    <n v="2"/>
    <x v="785"/>
    <s v="mfearon7h@reverbnation.com"/>
    <x v="0"/>
    <s v="Ara"/>
    <s v="D"/>
    <x v="3"/>
    <n v="2.9849999999999999"/>
    <n v="5.97"/>
    <x v="2"/>
    <x v="0"/>
    <x v="1"/>
    <n v="1"/>
    <n v="5.97"/>
    <x v="0"/>
    <x v="0"/>
    <x v="0"/>
    <s v="Low Price"/>
    <s v="Low Volume"/>
    <x v="3"/>
    <s v="May"/>
    <x v="0"/>
    <x v="7"/>
    <x v="3"/>
  </r>
  <r>
    <s v="WCT-07869-499"/>
    <x v="74"/>
    <s v="32031-49093-KE"/>
    <x v="47"/>
    <n v="5"/>
    <x v="786"/>
    <s v="bdomangeez@yahoo.co.jp"/>
    <x v="0"/>
    <s v="Rob"/>
    <s v="D"/>
    <x v="1"/>
    <n v="5.3699999999999992"/>
    <n v="26.849999999999994"/>
    <x v="0"/>
    <x v="0"/>
    <x v="1"/>
    <n v="1"/>
    <n v="26.849999999999994"/>
    <x v="0"/>
    <x v="0"/>
    <x v="0"/>
    <s v="Low Price"/>
    <s v="High Volume"/>
    <x v="2"/>
    <s v="October"/>
    <x v="1"/>
    <x v="0"/>
    <x v="1"/>
  </r>
  <r>
    <s v="WDM-77521-710"/>
    <x v="523"/>
    <s v="86144-10144-CB"/>
    <x v="2"/>
    <n v="2"/>
    <x v="787"/>
    <s v="inorquoyav@businessweek.com"/>
    <x v="0"/>
    <s v="Ara"/>
    <s v="M"/>
    <x v="1"/>
    <n v="6.75"/>
    <n v="13.5"/>
    <x v="2"/>
    <x v="2"/>
    <x v="1"/>
    <n v="1"/>
    <n v="13.5"/>
    <x v="0"/>
    <x v="0"/>
    <x v="0"/>
    <s v="Low Price"/>
    <s v="Low Volume"/>
    <x v="3"/>
    <s v="October"/>
    <x v="1"/>
    <x v="2"/>
    <x v="1"/>
  </r>
  <r>
    <s v="WDR-06028-345"/>
    <x v="235"/>
    <s v="66508-21373-OQ"/>
    <x v="1"/>
    <n v="1"/>
    <x v="788"/>
    <s v="imulliner37@pinterest.com"/>
    <x v="2"/>
    <s v="Lib"/>
    <s v="L"/>
    <x v="0"/>
    <n v="15.85"/>
    <n v="15.85"/>
    <x v="1"/>
    <x v="1"/>
    <x v="1"/>
    <n v="1"/>
    <n v="15.85"/>
    <x v="0"/>
    <x v="0"/>
    <x v="0"/>
    <s v="Low Price"/>
    <s v="Low Volume"/>
    <x v="3"/>
    <s v="August"/>
    <x v="3"/>
    <x v="1"/>
    <x v="0"/>
  </r>
  <r>
    <s v="WDV-73864-037"/>
    <x v="617"/>
    <s v="66044-25298-TA"/>
    <x v="37"/>
    <n v="5"/>
    <x v="789"/>
    <s v="lpratt57@netvibes.com"/>
    <x v="0"/>
    <s v="Lib"/>
    <s v="M"/>
    <x v="1"/>
    <n v="8.73"/>
    <n v="43.650000000000006"/>
    <x v="1"/>
    <x v="2"/>
    <x v="0"/>
    <n v="1"/>
    <n v="43.650000000000006"/>
    <x v="0"/>
    <x v="0"/>
    <x v="0"/>
    <s v="High Price"/>
    <s v="High Volume"/>
    <x v="1"/>
    <s v="March"/>
    <x v="2"/>
    <x v="4"/>
    <x v="3"/>
  </r>
  <r>
    <s v="WFH-21507-708"/>
    <x v="618"/>
    <s v="07237-32539-NB"/>
    <x v="47"/>
    <n v="1"/>
    <x v="790"/>
    <s v="dkiddyok@fda.gov"/>
    <x v="0"/>
    <s v="Rob"/>
    <s v="D"/>
    <x v="1"/>
    <n v="5.3699999999999992"/>
    <n v="5.3699999999999992"/>
    <x v="0"/>
    <x v="0"/>
    <x v="0"/>
    <n v="1"/>
    <n v="5.3699999999999992"/>
    <x v="0"/>
    <x v="0"/>
    <x v="0"/>
    <s v="Low Price"/>
    <s v="Low Volume"/>
    <x v="3"/>
    <s v="April"/>
    <x v="0"/>
    <x v="0"/>
    <x v="3"/>
  </r>
  <r>
    <s v="WFK-99317-827"/>
    <x v="619"/>
    <s v="32058-76765-ZL"/>
    <x v="28"/>
    <n v="3"/>
    <x v="791"/>
    <s v="dcrownshawnr@photobucket.com"/>
    <x v="0"/>
    <s v="Lib"/>
    <s v="D"/>
    <x v="2"/>
    <n v="29.784999999999997"/>
    <n v="89.35499999999999"/>
    <x v="1"/>
    <x v="0"/>
    <x v="1"/>
    <n v="1"/>
    <n v="89.35499999999999"/>
    <x v="0"/>
    <x v="0"/>
    <x v="1"/>
    <s v="High Price"/>
    <s v="Low Volume"/>
    <x v="0"/>
    <s v="June"/>
    <x v="0"/>
    <x v="9"/>
    <x v="0"/>
  </r>
  <r>
    <s v="WFT-16178-396"/>
    <x v="473"/>
    <s v="33555-01585-RP"/>
    <x v="15"/>
    <n v="5"/>
    <x v="792"/>
    <s v="qheavysidepj@unc.edu"/>
    <x v="0"/>
    <s v="Rob"/>
    <s v="D"/>
    <x v="3"/>
    <n v="2.6849999999999996"/>
    <n v="13.424999999999997"/>
    <x v="0"/>
    <x v="0"/>
    <x v="0"/>
    <n v="1"/>
    <n v="13.424999999999997"/>
    <x v="0"/>
    <x v="0"/>
    <x v="0"/>
    <s v="Low Price"/>
    <s v="High Volume"/>
    <x v="2"/>
    <s v="December"/>
    <x v="1"/>
    <x v="0"/>
    <x v="2"/>
  </r>
  <r>
    <s v="WFV-88138-247"/>
    <x v="620"/>
    <s v="63411-51758-QC"/>
    <x v="31"/>
    <n v="3"/>
    <x v="793"/>
    <s v="vpawseyq6@tiny.cc"/>
    <x v="0"/>
    <s v="Rob"/>
    <s v="L"/>
    <x v="0"/>
    <n v="11.95"/>
    <n v="35.849999999999994"/>
    <x v="0"/>
    <x v="1"/>
    <x v="1"/>
    <n v="1"/>
    <n v="35.849999999999994"/>
    <x v="0"/>
    <x v="0"/>
    <x v="0"/>
    <s v="High Price"/>
    <s v="Low Volume"/>
    <x v="0"/>
    <s v="September"/>
    <x v="3"/>
    <x v="11"/>
    <x v="1"/>
  </r>
  <r>
    <s v="WHQ-25197-475"/>
    <x v="621"/>
    <s v="27536-28463-NJ"/>
    <x v="10"/>
    <n v="4"/>
    <x v="794"/>
    <s v="cmottramfs@harvard.edu"/>
    <x v="0"/>
    <s v="Lib"/>
    <s v="L"/>
    <x v="3"/>
    <n v="4.7549999999999999"/>
    <n v="19.02"/>
    <x v="1"/>
    <x v="1"/>
    <x v="0"/>
    <n v="1"/>
    <n v="19.02"/>
    <x v="0"/>
    <x v="0"/>
    <x v="0"/>
    <s v="Low Price"/>
    <s v="Low Volume"/>
    <x v="3"/>
    <s v="November"/>
    <x v="1"/>
    <x v="1"/>
    <x v="1"/>
  </r>
  <r>
    <s v="WIT-40912-783"/>
    <x v="622"/>
    <s v="86768-91598-FA"/>
    <x v="29"/>
    <n v="4"/>
    <x v="795"/>
    <s v="tjedrachowicz8d@acquirethisname.com"/>
    <x v="0"/>
    <s v="Lib"/>
    <s v="D"/>
    <x v="3"/>
    <n v="3.8849999999999998"/>
    <n v="15.54"/>
    <x v="1"/>
    <x v="0"/>
    <x v="0"/>
    <n v="1"/>
    <n v="15.54"/>
    <x v="0"/>
    <x v="0"/>
    <x v="0"/>
    <s v="Low Price"/>
    <s v="Low Volume"/>
    <x v="3"/>
    <s v="September"/>
    <x v="3"/>
    <x v="9"/>
    <x v="1"/>
  </r>
  <r>
    <s v="WJJ-37489-898"/>
    <x v="203"/>
    <s v="31599-82152-AD"/>
    <x v="35"/>
    <n v="1"/>
    <x v="796"/>
    <s v="rfaltinqb@topsy.com"/>
    <x v="1"/>
    <s v="Ara"/>
    <s v="M"/>
    <x v="0"/>
    <n v="11.25"/>
    <n v="11.25"/>
    <x v="2"/>
    <x v="2"/>
    <x v="1"/>
    <n v="1"/>
    <n v="11.25"/>
    <x v="0"/>
    <x v="0"/>
    <x v="0"/>
    <s v="Low Price"/>
    <s v="Low Volume"/>
    <x v="3"/>
    <s v="April"/>
    <x v="0"/>
    <x v="2"/>
    <x v="3"/>
  </r>
  <r>
    <s v="WJR-51493-682"/>
    <x v="186"/>
    <s v="87858-83734-RK"/>
    <x v="28"/>
    <n v="5"/>
    <x v="797"/>
    <s v="smosebyie@stanford.edu"/>
    <x v="0"/>
    <s v="Lib"/>
    <s v="D"/>
    <x v="2"/>
    <n v="29.784999999999997"/>
    <n v="148.92499999999998"/>
    <x v="1"/>
    <x v="0"/>
    <x v="1"/>
    <n v="1"/>
    <n v="148.92499999999998"/>
    <x v="0"/>
    <x v="0"/>
    <x v="3"/>
    <s v="High Price"/>
    <s v="High Volume"/>
    <x v="1"/>
    <s v="June"/>
    <x v="0"/>
    <x v="9"/>
    <x v="0"/>
  </r>
  <r>
    <s v="WKB-21680-566"/>
    <x v="358"/>
    <s v="96612-41722-VJ"/>
    <x v="2"/>
    <n v="3"/>
    <x v="798"/>
    <s v=""/>
    <x v="1"/>
    <s v="Ara"/>
    <s v="M"/>
    <x v="1"/>
    <n v="6.75"/>
    <n v="20.25"/>
    <x v="2"/>
    <x v="2"/>
    <x v="1"/>
    <n v="1"/>
    <n v="20.25"/>
    <x v="0"/>
    <x v="0"/>
    <x v="0"/>
    <s v="Low Price"/>
    <s v="Low Volume"/>
    <x v="3"/>
    <s v="December"/>
    <x v="1"/>
    <x v="2"/>
    <x v="2"/>
  </r>
  <r>
    <s v="WKD-81956-870"/>
    <x v="188"/>
    <s v="48090-06534-HI"/>
    <x v="14"/>
    <n v="3"/>
    <x v="799"/>
    <s v="wedinborough66@github.io"/>
    <x v="0"/>
    <s v="Lib"/>
    <s v="D"/>
    <x v="1"/>
    <n v="7.77"/>
    <n v="23.31"/>
    <x v="1"/>
    <x v="0"/>
    <x v="1"/>
    <n v="1"/>
    <n v="23.31"/>
    <x v="0"/>
    <x v="0"/>
    <x v="0"/>
    <s v="Low Price"/>
    <s v="Low Volume"/>
    <x v="3"/>
    <s v="September"/>
    <x v="3"/>
    <x v="9"/>
    <x v="1"/>
  </r>
  <r>
    <s v="WKL-27981-758"/>
    <x v="333"/>
    <s v="73699-93557-FZ"/>
    <x v="3"/>
    <n v="2"/>
    <x v="800"/>
    <s v="fmiellbc@spiegel.de"/>
    <x v="0"/>
    <s v="Ara"/>
    <s v="M"/>
    <x v="2"/>
    <n v="25.874999999999996"/>
    <n v="51.749999999999993"/>
    <x v="2"/>
    <x v="2"/>
    <x v="0"/>
    <n v="1"/>
    <n v="51.749999999999993"/>
    <x v="0"/>
    <x v="0"/>
    <x v="1"/>
    <s v="High Price"/>
    <s v="Low Volume"/>
    <x v="0"/>
    <s v="April"/>
    <x v="0"/>
    <x v="2"/>
    <x v="3"/>
  </r>
  <r>
    <s v="WLL-59044-117"/>
    <x v="623"/>
    <s v="28476-04082-GR"/>
    <x v="0"/>
    <n v="6"/>
    <x v="801"/>
    <s v="kboorn23@ezinearticles.com"/>
    <x v="1"/>
    <s v="Rob"/>
    <s v="D"/>
    <x v="0"/>
    <n v="8.9499999999999993"/>
    <n v="53.699999999999996"/>
    <x v="0"/>
    <x v="0"/>
    <x v="0"/>
    <n v="1"/>
    <n v="53.699999999999996"/>
    <x v="0"/>
    <x v="0"/>
    <x v="1"/>
    <s v="High Price"/>
    <s v="High Volume"/>
    <x v="1"/>
    <s v="July"/>
    <x v="3"/>
    <x v="0"/>
    <x v="0"/>
  </r>
  <r>
    <s v="WMA-34232-850"/>
    <x v="47"/>
    <s v="53386-94266-LJ"/>
    <x v="28"/>
    <n v="4"/>
    <x v="802"/>
    <s v=""/>
    <x v="0"/>
    <s v="Lib"/>
    <s v="D"/>
    <x v="2"/>
    <n v="29.784999999999997"/>
    <n v="119.13999999999999"/>
    <x v="1"/>
    <x v="0"/>
    <x v="0"/>
    <n v="1"/>
    <n v="119.13999999999999"/>
    <x v="0"/>
    <x v="0"/>
    <x v="3"/>
    <s v="High Price"/>
    <s v="Low Volume"/>
    <x v="0"/>
    <s v="March"/>
    <x v="2"/>
    <x v="9"/>
    <x v="3"/>
  </r>
  <r>
    <s v="WMP-68847-770"/>
    <x v="578"/>
    <s v="37490-01572-JW"/>
    <x v="10"/>
    <n v="1"/>
    <x v="803"/>
    <s v="vle5n@disqus.com"/>
    <x v="0"/>
    <s v="Lib"/>
    <s v="L"/>
    <x v="3"/>
    <n v="4.7549999999999999"/>
    <n v="4.7549999999999999"/>
    <x v="1"/>
    <x v="1"/>
    <x v="1"/>
    <n v="1"/>
    <n v="4.7549999999999999"/>
    <x v="0"/>
    <x v="0"/>
    <x v="0"/>
    <s v="Low Price"/>
    <s v="Low Volume"/>
    <x v="3"/>
    <s v="February"/>
    <x v="2"/>
    <x v="1"/>
    <x v="2"/>
  </r>
  <r>
    <s v="WMU-87639-108"/>
    <x v="624"/>
    <s v="71891-51101-VQ"/>
    <x v="47"/>
    <n v="1"/>
    <x v="804"/>
    <s v="cstebbingsi2@drupal.org"/>
    <x v="0"/>
    <s v="Rob"/>
    <s v="D"/>
    <x v="1"/>
    <n v="5.3699999999999992"/>
    <n v="5.3699999999999992"/>
    <x v="0"/>
    <x v="0"/>
    <x v="0"/>
    <n v="1"/>
    <n v="5.3699999999999992"/>
    <x v="0"/>
    <x v="0"/>
    <x v="0"/>
    <s v="Low Price"/>
    <s v="Low Volume"/>
    <x v="3"/>
    <s v="February"/>
    <x v="2"/>
    <x v="0"/>
    <x v="2"/>
  </r>
  <r>
    <s v="WNE-73911-475"/>
    <x v="618"/>
    <s v="61323-91967-GG"/>
    <x v="14"/>
    <n v="6"/>
    <x v="805"/>
    <s v="tjacobovitziz@cbc.ca"/>
    <x v="0"/>
    <s v="Lib"/>
    <s v="D"/>
    <x v="1"/>
    <n v="7.77"/>
    <n v="46.62"/>
    <x v="1"/>
    <x v="0"/>
    <x v="1"/>
    <n v="1"/>
    <n v="46.62"/>
    <x v="0"/>
    <x v="0"/>
    <x v="0"/>
    <s v="High Price"/>
    <s v="High Volume"/>
    <x v="1"/>
    <s v="April"/>
    <x v="0"/>
    <x v="9"/>
    <x v="3"/>
  </r>
  <r>
    <s v="WNR-71736-993"/>
    <x v="625"/>
    <s v="16880-78077-FB"/>
    <x v="14"/>
    <n v="4"/>
    <x v="349"/>
    <s v="tfarraac@behance.net"/>
    <x v="0"/>
    <s v="Lib"/>
    <s v="D"/>
    <x v="1"/>
    <n v="7.77"/>
    <n v="31.08"/>
    <x v="1"/>
    <x v="0"/>
    <x v="1"/>
    <n v="2"/>
    <n v="84.194999999999993"/>
    <x v="1"/>
    <x v="1"/>
    <x v="0"/>
    <s v="High Price"/>
    <s v="Low Volume"/>
    <x v="0"/>
    <s v="February"/>
    <x v="2"/>
    <x v="9"/>
    <x v="2"/>
  </r>
  <r>
    <s v="WNR-71736-993"/>
    <x v="625"/>
    <s v="16880-78077-FB"/>
    <x v="22"/>
    <n v="6"/>
    <x v="349"/>
    <s v="tfarraac@behance.net"/>
    <x v="0"/>
    <s v="Ara"/>
    <s v="D"/>
    <x v="2"/>
    <n v="22.884999999999998"/>
    <n v="137.31"/>
    <x v="2"/>
    <x v="0"/>
    <x v="1"/>
    <n v="2"/>
    <n v="84.194999999999993"/>
    <x v="1"/>
    <x v="1"/>
    <x v="3"/>
    <s v="High Price"/>
    <s v="High Volume"/>
    <x v="1"/>
    <s v="February"/>
    <x v="2"/>
    <x v="7"/>
    <x v="2"/>
  </r>
  <r>
    <s v="WOQ-36015-429"/>
    <x v="620"/>
    <s v="51427-89175-QJ"/>
    <x v="5"/>
    <n v="5"/>
    <x v="806"/>
    <s v=""/>
    <x v="0"/>
    <s v="Lib"/>
    <s v="M"/>
    <x v="3"/>
    <n v="4.3650000000000002"/>
    <n v="21.825000000000003"/>
    <x v="1"/>
    <x v="2"/>
    <x v="1"/>
    <n v="3"/>
    <n v="36.675000000000004"/>
    <x v="1"/>
    <x v="1"/>
    <x v="0"/>
    <s v="Low Price"/>
    <s v="High Volume"/>
    <x v="2"/>
    <s v="September"/>
    <x v="3"/>
    <x v="4"/>
    <x v="1"/>
  </r>
  <r>
    <s v="WOQ-36015-429"/>
    <x v="620"/>
    <s v="51427-89175-QJ"/>
    <x v="18"/>
    <n v="6"/>
    <x v="806"/>
    <s v=""/>
    <x v="0"/>
    <s v="Ara"/>
    <s v="D"/>
    <x v="1"/>
    <n v="5.97"/>
    <n v="35.82"/>
    <x v="2"/>
    <x v="0"/>
    <x v="1"/>
    <n v="3"/>
    <n v="36.675000000000004"/>
    <x v="1"/>
    <x v="1"/>
    <x v="0"/>
    <s v="High Price"/>
    <s v="High Volume"/>
    <x v="1"/>
    <s v="September"/>
    <x v="3"/>
    <x v="7"/>
    <x v="1"/>
  </r>
  <r>
    <s v="WOQ-36015-429"/>
    <x v="620"/>
    <s v="51427-89175-QJ"/>
    <x v="37"/>
    <n v="6"/>
    <x v="806"/>
    <s v=""/>
    <x v="0"/>
    <s v="Lib"/>
    <s v="M"/>
    <x v="1"/>
    <n v="8.73"/>
    <n v="52.38"/>
    <x v="1"/>
    <x v="2"/>
    <x v="1"/>
    <n v="3"/>
    <n v="36.675000000000004"/>
    <x v="1"/>
    <x v="1"/>
    <x v="1"/>
    <s v="High Price"/>
    <s v="High Volume"/>
    <x v="1"/>
    <s v="September"/>
    <x v="3"/>
    <x v="4"/>
    <x v="1"/>
  </r>
  <r>
    <s v="WOR-52762-511"/>
    <x v="67"/>
    <s v="04739-85772-QT"/>
    <x v="39"/>
    <n v="6"/>
    <x v="807"/>
    <s v=""/>
    <x v="0"/>
    <s v="Exc"/>
    <s v="L"/>
    <x v="2"/>
    <n v="34.154999999999994"/>
    <n v="204.92999999999995"/>
    <x v="3"/>
    <x v="1"/>
    <x v="0"/>
    <n v="1"/>
    <n v="204.92999999999995"/>
    <x v="0"/>
    <x v="0"/>
    <x v="2"/>
    <s v="High Price"/>
    <s v="High Volume"/>
    <x v="1"/>
    <s v="December"/>
    <x v="1"/>
    <x v="10"/>
    <x v="2"/>
  </r>
  <r>
    <s v="WQK-10857-119"/>
    <x v="626"/>
    <s v="96849-52854-CR"/>
    <x v="36"/>
    <n v="1"/>
    <x v="808"/>
    <s v="fantcliffeo6@amazon.co.jp"/>
    <x v="1"/>
    <s v="Exc"/>
    <s v="D"/>
    <x v="1"/>
    <n v="7.29"/>
    <n v="7.29"/>
    <x v="3"/>
    <x v="0"/>
    <x v="0"/>
    <n v="1"/>
    <n v="7.29"/>
    <x v="0"/>
    <x v="0"/>
    <x v="0"/>
    <s v="Low Price"/>
    <s v="Low Volume"/>
    <x v="3"/>
    <s v="September"/>
    <x v="3"/>
    <x v="8"/>
    <x v="1"/>
  </r>
  <r>
    <s v="WRN-55114-031"/>
    <x v="216"/>
    <s v="40180-22940-QB"/>
    <x v="39"/>
    <n v="3"/>
    <x v="809"/>
    <s v="cpallanthv@typepad.com"/>
    <x v="0"/>
    <s v="Exc"/>
    <s v="L"/>
    <x v="2"/>
    <n v="34.154999999999994"/>
    <n v="102.46499999999997"/>
    <x v="3"/>
    <x v="1"/>
    <x v="0"/>
    <n v="1"/>
    <n v="102.46499999999997"/>
    <x v="0"/>
    <x v="0"/>
    <x v="3"/>
    <s v="High Price"/>
    <s v="Low Volume"/>
    <x v="0"/>
    <s v="June"/>
    <x v="0"/>
    <x v="10"/>
    <x v="0"/>
  </r>
  <r>
    <s v="WRP-39846-614"/>
    <x v="570"/>
    <s v="47493-68564-YM"/>
    <x v="17"/>
    <n v="5"/>
    <x v="810"/>
    <s v=""/>
    <x v="1"/>
    <s v="Ara"/>
    <s v="L"/>
    <x v="2"/>
    <n v="29.784999999999997"/>
    <n v="148.92499999999998"/>
    <x v="2"/>
    <x v="1"/>
    <x v="0"/>
    <n v="1"/>
    <n v="148.92499999999998"/>
    <x v="0"/>
    <x v="0"/>
    <x v="3"/>
    <s v="High Price"/>
    <s v="High Volume"/>
    <x v="1"/>
    <s v="March"/>
    <x v="2"/>
    <x v="6"/>
    <x v="3"/>
  </r>
  <r>
    <s v="WRT-40778-247"/>
    <x v="617"/>
    <s v="54810-81899-HL"/>
    <x v="31"/>
    <n v="4"/>
    <x v="811"/>
    <s v="cgiacomazzo27@jigsy.com"/>
    <x v="0"/>
    <s v="Rob"/>
    <s v="L"/>
    <x v="0"/>
    <n v="11.95"/>
    <n v="47.8"/>
    <x v="0"/>
    <x v="1"/>
    <x v="1"/>
    <n v="1"/>
    <n v="47.8"/>
    <x v="0"/>
    <x v="0"/>
    <x v="0"/>
    <s v="High Price"/>
    <s v="Low Volume"/>
    <x v="0"/>
    <s v="March"/>
    <x v="2"/>
    <x v="11"/>
    <x v="3"/>
  </r>
  <r>
    <s v="WSV-49732-075"/>
    <x v="627"/>
    <s v="76263-95145-GJ"/>
    <x v="28"/>
    <n v="1"/>
    <x v="812"/>
    <s v=""/>
    <x v="0"/>
    <s v="Lib"/>
    <s v="D"/>
    <x v="2"/>
    <n v="29.784999999999997"/>
    <n v="29.784999999999997"/>
    <x v="1"/>
    <x v="0"/>
    <x v="1"/>
    <n v="1"/>
    <n v="29.784999999999997"/>
    <x v="0"/>
    <x v="0"/>
    <x v="0"/>
    <s v="Low Price"/>
    <s v="Low Volume"/>
    <x v="3"/>
    <s v="January"/>
    <x v="2"/>
    <x v="9"/>
    <x v="2"/>
  </r>
  <r>
    <s v="WTT-91832-645"/>
    <x v="628"/>
    <s v="24344-88599-PP"/>
    <x v="35"/>
    <n v="3"/>
    <x v="813"/>
    <s v="holliffkq@sciencedirect.com"/>
    <x v="1"/>
    <s v="Ara"/>
    <s v="M"/>
    <x v="0"/>
    <n v="11.25"/>
    <n v="33.75"/>
    <x v="2"/>
    <x v="2"/>
    <x v="1"/>
    <n v="1"/>
    <n v="33.75"/>
    <x v="0"/>
    <x v="0"/>
    <x v="0"/>
    <s v="High Price"/>
    <s v="Low Volume"/>
    <x v="0"/>
    <s v="October"/>
    <x v="1"/>
    <x v="2"/>
    <x v="1"/>
  </r>
  <r>
    <s v="WTV-24996-658"/>
    <x v="629"/>
    <s v="57837-15577-YK"/>
    <x v="32"/>
    <n v="3"/>
    <x v="814"/>
    <s v=""/>
    <x v="1"/>
    <s v="Exc"/>
    <s v="D"/>
    <x v="2"/>
    <n v="27.945"/>
    <n v="83.835000000000008"/>
    <x v="3"/>
    <x v="0"/>
    <x v="1"/>
    <n v="1"/>
    <n v="83.835000000000008"/>
    <x v="0"/>
    <x v="0"/>
    <x v="1"/>
    <s v="High Price"/>
    <s v="Low Volume"/>
    <x v="0"/>
    <s v="October"/>
    <x v="1"/>
    <x v="8"/>
    <x v="1"/>
  </r>
  <r>
    <s v="WUG-76466-650"/>
    <x v="630"/>
    <s v="43439-94003-DW"/>
    <x v="14"/>
    <n v="3"/>
    <x v="132"/>
    <s v=""/>
    <x v="0"/>
    <s v="Lib"/>
    <s v="D"/>
    <x v="1"/>
    <n v="7.77"/>
    <n v="23.31"/>
    <x v="1"/>
    <x v="0"/>
    <x v="1"/>
    <n v="1"/>
    <n v="23.31"/>
    <x v="0"/>
    <x v="0"/>
    <x v="0"/>
    <s v="Low Price"/>
    <s v="Low Volume"/>
    <x v="3"/>
    <s v="February"/>
    <x v="2"/>
    <x v="9"/>
    <x v="2"/>
  </r>
  <r>
    <s v="WVS-57822-366"/>
    <x v="213"/>
    <s v="52151-75971-YY"/>
    <x v="4"/>
    <n v="4"/>
    <x v="815"/>
    <s v="dpenquetmb@diigo.com"/>
    <x v="0"/>
    <s v="Exc"/>
    <s v="M"/>
    <x v="2"/>
    <n v="31.624999999999996"/>
    <n v="126.49999999999999"/>
    <x v="3"/>
    <x v="2"/>
    <x v="1"/>
    <n v="1"/>
    <n v="126.49999999999999"/>
    <x v="0"/>
    <x v="0"/>
    <x v="3"/>
    <s v="High Price"/>
    <s v="Low Volume"/>
    <x v="0"/>
    <s v="May"/>
    <x v="0"/>
    <x v="3"/>
    <x v="3"/>
  </r>
  <r>
    <s v="WVT-88135-549"/>
    <x v="631"/>
    <s v="66458-91190-YC"/>
    <x v="8"/>
    <n v="3"/>
    <x v="92"/>
    <s v="murione5@alexa.com"/>
    <x v="1"/>
    <s v="Ara"/>
    <s v="D"/>
    <x v="0"/>
    <n v="9.9499999999999993"/>
    <n v="29.849999999999998"/>
    <x v="2"/>
    <x v="0"/>
    <x v="0"/>
    <n v="1"/>
    <n v="29.849999999999998"/>
    <x v="0"/>
    <x v="0"/>
    <x v="0"/>
    <s v="High Price"/>
    <s v="Low Volume"/>
    <x v="0"/>
    <s v="November"/>
    <x v="1"/>
    <x v="7"/>
    <x v="1"/>
  </r>
  <r>
    <s v="WVV-79948-067"/>
    <x v="632"/>
    <s v="66070-30559-WI"/>
    <x v="4"/>
    <n v="1"/>
    <x v="816"/>
    <s v="rcheakrc@tripadvisor.com"/>
    <x v="1"/>
    <s v="Exc"/>
    <s v="M"/>
    <x v="2"/>
    <n v="31.624999999999996"/>
    <n v="31.624999999999996"/>
    <x v="3"/>
    <x v="2"/>
    <x v="0"/>
    <n v="1"/>
    <n v="31.624999999999996"/>
    <x v="0"/>
    <x v="0"/>
    <x v="0"/>
    <s v="High Price"/>
    <s v="Low Volume"/>
    <x v="0"/>
    <s v="January"/>
    <x v="2"/>
    <x v="3"/>
    <x v="2"/>
  </r>
  <r>
    <s v="WWH-92259-198"/>
    <x v="503"/>
    <s v="35256-12529-FT"/>
    <x v="19"/>
    <n v="4"/>
    <x v="817"/>
    <s v="wromao9w@chronoengine.com"/>
    <x v="0"/>
    <s v="Lib"/>
    <s v="D"/>
    <x v="0"/>
    <n v="12.95"/>
    <n v="51.8"/>
    <x v="1"/>
    <x v="0"/>
    <x v="0"/>
    <n v="1"/>
    <n v="51.8"/>
    <x v="0"/>
    <x v="0"/>
    <x v="1"/>
    <s v="High Price"/>
    <s v="Low Volume"/>
    <x v="0"/>
    <s v="March"/>
    <x v="2"/>
    <x v="9"/>
    <x v="3"/>
  </r>
  <r>
    <s v="WXG-25759-236"/>
    <x v="138"/>
    <s v="39919-06540-ZI"/>
    <x v="39"/>
    <n v="2"/>
    <x v="818"/>
    <s v="wkeyse40@apple.com"/>
    <x v="0"/>
    <s v="Exc"/>
    <s v="L"/>
    <x v="2"/>
    <n v="34.154999999999994"/>
    <n v="68.309999999999988"/>
    <x v="3"/>
    <x v="1"/>
    <x v="0"/>
    <n v="1"/>
    <n v="68.309999999999988"/>
    <x v="0"/>
    <x v="0"/>
    <x v="1"/>
    <s v="High Price"/>
    <s v="Low Volume"/>
    <x v="0"/>
    <s v="March"/>
    <x v="2"/>
    <x v="10"/>
    <x v="3"/>
  </r>
  <r>
    <s v="WXT-85291-143"/>
    <x v="633"/>
    <s v="81414-81273-DK"/>
    <x v="6"/>
    <n v="4"/>
    <x v="819"/>
    <s v="vceely99@auda.org.au"/>
    <x v="0"/>
    <s v="Rob"/>
    <s v="M"/>
    <x v="1"/>
    <n v="5.97"/>
    <n v="23.88"/>
    <x v="0"/>
    <x v="2"/>
    <x v="0"/>
    <n v="1"/>
    <n v="23.88"/>
    <x v="0"/>
    <x v="0"/>
    <x v="0"/>
    <s v="Low Price"/>
    <s v="Low Volume"/>
    <x v="3"/>
    <s v="September"/>
    <x v="3"/>
    <x v="5"/>
    <x v="1"/>
  </r>
  <r>
    <s v="WYL-29300-070"/>
    <x v="634"/>
    <s v="42770-36274-QA"/>
    <x v="11"/>
    <n v="1"/>
    <x v="820"/>
    <s v="hgoulter1w@abc.net.au"/>
    <x v="0"/>
    <s v="Rob"/>
    <s v="M"/>
    <x v="3"/>
    <n v="2.9849999999999999"/>
    <n v="2.9849999999999999"/>
    <x v="0"/>
    <x v="2"/>
    <x v="1"/>
    <n v="1"/>
    <n v="2.9849999999999999"/>
    <x v="0"/>
    <x v="0"/>
    <x v="0"/>
    <s v="Low Price"/>
    <s v="Low Volume"/>
    <x v="3"/>
    <s v="October"/>
    <x v="1"/>
    <x v="5"/>
    <x v="1"/>
  </r>
  <r>
    <s v="WYM-17686-694"/>
    <x v="635"/>
    <s v="58689-55264-VK"/>
    <x v="22"/>
    <n v="5"/>
    <x v="821"/>
    <s v="ccottingham1o@wikipedia.org"/>
    <x v="0"/>
    <s v="Ara"/>
    <s v="D"/>
    <x v="2"/>
    <n v="22.884999999999998"/>
    <n v="114.42499999999998"/>
    <x v="2"/>
    <x v="0"/>
    <x v="1"/>
    <n v="1"/>
    <n v="114.42499999999998"/>
    <x v="0"/>
    <x v="0"/>
    <x v="3"/>
    <s v="High Price"/>
    <s v="High Volume"/>
    <x v="1"/>
    <s v="February"/>
    <x v="2"/>
    <x v="7"/>
    <x v="2"/>
  </r>
  <r>
    <s v="XAH-93337-609"/>
    <x v="304"/>
    <s v="66976-43829-YG"/>
    <x v="8"/>
    <n v="5"/>
    <x v="822"/>
    <s v="dduke82@vkontakte.ru"/>
    <x v="0"/>
    <s v="Ara"/>
    <s v="D"/>
    <x v="0"/>
    <n v="9.9499999999999993"/>
    <n v="49.75"/>
    <x v="2"/>
    <x v="0"/>
    <x v="1"/>
    <n v="1"/>
    <n v="49.75"/>
    <x v="0"/>
    <x v="0"/>
    <x v="0"/>
    <s v="High Price"/>
    <s v="High Volume"/>
    <x v="1"/>
    <s v="October"/>
    <x v="1"/>
    <x v="7"/>
    <x v="1"/>
  </r>
  <r>
    <s v="XBV-40336-071"/>
    <x v="636"/>
    <s v="38536-98293-JZ"/>
    <x v="43"/>
    <n v="3"/>
    <x v="823"/>
    <s v=""/>
    <x v="1"/>
    <s v="Ara"/>
    <s v="D"/>
    <x v="3"/>
    <n v="2.9849999999999999"/>
    <n v="8.9550000000000001"/>
    <x v="2"/>
    <x v="0"/>
    <x v="1"/>
    <n v="1"/>
    <n v="8.9550000000000001"/>
    <x v="0"/>
    <x v="0"/>
    <x v="0"/>
    <s v="Low Price"/>
    <s v="Low Volume"/>
    <x v="3"/>
    <s v="February"/>
    <x v="2"/>
    <x v="7"/>
    <x v="2"/>
  </r>
  <r>
    <s v="XCG-07109-195"/>
    <x v="637"/>
    <s v="92976-19453-DT"/>
    <x v="29"/>
    <n v="6"/>
    <x v="824"/>
    <s v="nbrakespearfa@rediff.com"/>
    <x v="0"/>
    <s v="Lib"/>
    <s v="D"/>
    <x v="3"/>
    <n v="3.8849999999999998"/>
    <n v="23.31"/>
    <x v="1"/>
    <x v="0"/>
    <x v="0"/>
    <n v="1"/>
    <n v="23.31"/>
    <x v="0"/>
    <x v="0"/>
    <x v="0"/>
    <s v="Low Price"/>
    <s v="High Volume"/>
    <x v="2"/>
    <s v="December"/>
    <x v="1"/>
    <x v="9"/>
    <x v="2"/>
  </r>
  <r>
    <s v="XDU-05471-219"/>
    <x v="140"/>
    <s v="60308-06944-GS"/>
    <x v="26"/>
    <n v="1"/>
    <x v="825"/>
    <s v="pdurbancg@symantec.com"/>
    <x v="1"/>
    <s v="Rob"/>
    <s v="L"/>
    <x v="1"/>
    <n v="7.169999999999999"/>
    <n v="7.169999999999999"/>
    <x v="0"/>
    <x v="1"/>
    <x v="1"/>
    <n v="1"/>
    <n v="7.169999999999999"/>
    <x v="0"/>
    <x v="0"/>
    <x v="0"/>
    <s v="Low Price"/>
    <s v="Low Volume"/>
    <x v="3"/>
    <s v="June"/>
    <x v="0"/>
    <x v="11"/>
    <x v="0"/>
  </r>
  <r>
    <s v="XED-90333-402"/>
    <x v="638"/>
    <s v="28300-14355-GF"/>
    <x v="42"/>
    <n v="5"/>
    <x v="826"/>
    <s v="pvasilenkoos@addtoany.com"/>
    <x v="2"/>
    <s v="Exc"/>
    <s v="M"/>
    <x v="3"/>
    <n v="4.125"/>
    <n v="20.625"/>
    <x v="3"/>
    <x v="2"/>
    <x v="1"/>
    <n v="1"/>
    <n v="20.625"/>
    <x v="0"/>
    <x v="0"/>
    <x v="0"/>
    <s v="Low Price"/>
    <s v="High Volume"/>
    <x v="2"/>
    <s v="June"/>
    <x v="0"/>
    <x v="3"/>
    <x v="0"/>
  </r>
  <r>
    <s v="XEE-37895-169"/>
    <x v="181"/>
    <s v="14888-85625-TM"/>
    <x v="17"/>
    <n v="3"/>
    <x v="827"/>
    <s v="plyfielde3@baidu.com"/>
    <x v="0"/>
    <s v="Ara"/>
    <s v="L"/>
    <x v="2"/>
    <n v="29.784999999999997"/>
    <n v="89.35499999999999"/>
    <x v="2"/>
    <x v="1"/>
    <x v="0"/>
    <n v="1"/>
    <n v="89.35499999999999"/>
    <x v="0"/>
    <x v="0"/>
    <x v="1"/>
    <s v="High Price"/>
    <s v="Low Volume"/>
    <x v="0"/>
    <s v="February"/>
    <x v="2"/>
    <x v="6"/>
    <x v="2"/>
  </r>
  <r>
    <s v="XEY-48929-474"/>
    <x v="165"/>
    <s v="21889-94615-WT"/>
    <x v="41"/>
    <n v="6"/>
    <x v="828"/>
    <s v="lrignoldc1@miibeian.gov.cn"/>
    <x v="0"/>
    <s v="Lib"/>
    <s v="M"/>
    <x v="2"/>
    <n v="33.464999999999996"/>
    <n v="200.78999999999996"/>
    <x v="1"/>
    <x v="2"/>
    <x v="0"/>
    <n v="1"/>
    <n v="200.78999999999996"/>
    <x v="0"/>
    <x v="0"/>
    <x v="2"/>
    <s v="High Price"/>
    <s v="High Volume"/>
    <x v="1"/>
    <s v="January"/>
    <x v="2"/>
    <x v="4"/>
    <x v="2"/>
  </r>
  <r>
    <s v="XHI-30227-581"/>
    <x v="639"/>
    <s v="54619-08558-ZU"/>
    <x v="28"/>
    <n v="6"/>
    <x v="829"/>
    <s v="pkingsbury19@comcast.net"/>
    <x v="0"/>
    <s v="Lib"/>
    <s v="D"/>
    <x v="2"/>
    <n v="29.784999999999997"/>
    <n v="178.70999999999998"/>
    <x v="1"/>
    <x v="0"/>
    <x v="1"/>
    <n v="1"/>
    <n v="178.70999999999998"/>
    <x v="0"/>
    <x v="0"/>
    <x v="2"/>
    <s v="High Price"/>
    <s v="High Volume"/>
    <x v="1"/>
    <s v="January"/>
    <x v="2"/>
    <x v="9"/>
    <x v="2"/>
  </r>
  <r>
    <s v="XIR-88982-743"/>
    <x v="640"/>
    <s v="00852-54571-WP"/>
    <x v="42"/>
    <n v="2"/>
    <x v="830"/>
    <s v="ddrewittnf@mapquest.com"/>
    <x v="0"/>
    <s v="Exc"/>
    <s v="M"/>
    <x v="3"/>
    <n v="4.125"/>
    <n v="8.25"/>
    <x v="3"/>
    <x v="2"/>
    <x v="0"/>
    <n v="1"/>
    <n v="8.25"/>
    <x v="0"/>
    <x v="0"/>
    <x v="0"/>
    <s v="Low Price"/>
    <s v="Low Volume"/>
    <x v="3"/>
    <s v="July"/>
    <x v="3"/>
    <x v="3"/>
    <x v="0"/>
  </r>
  <r>
    <s v="XIY-43041-882"/>
    <x v="641"/>
    <s v="07250-63194-JO"/>
    <x v="35"/>
    <n v="1"/>
    <x v="831"/>
    <s v="scritchlow34@un.org"/>
    <x v="0"/>
    <s v="Ara"/>
    <s v="M"/>
    <x v="0"/>
    <n v="11.25"/>
    <n v="11.25"/>
    <x v="2"/>
    <x v="2"/>
    <x v="1"/>
    <n v="1"/>
    <n v="11.25"/>
    <x v="0"/>
    <x v="0"/>
    <x v="0"/>
    <s v="Low Price"/>
    <s v="Low Volume"/>
    <x v="3"/>
    <s v="October"/>
    <x v="1"/>
    <x v="2"/>
    <x v="1"/>
  </r>
  <r>
    <s v="XKB-41924-202"/>
    <x v="250"/>
    <s v="45089-52817-WN"/>
    <x v="14"/>
    <n v="2"/>
    <x v="832"/>
    <s v="ibouldon1e@gizmodo.com"/>
    <x v="0"/>
    <s v="Lib"/>
    <s v="D"/>
    <x v="1"/>
    <n v="7.77"/>
    <n v="15.54"/>
    <x v="1"/>
    <x v="0"/>
    <x v="1"/>
    <n v="1"/>
    <n v="15.54"/>
    <x v="0"/>
    <x v="0"/>
    <x v="0"/>
    <s v="Low Price"/>
    <s v="Low Volume"/>
    <x v="3"/>
    <s v="August"/>
    <x v="3"/>
    <x v="9"/>
    <x v="0"/>
  </r>
  <r>
    <s v="XKK-06692-189"/>
    <x v="451"/>
    <s v="86579-92122-OC"/>
    <x v="0"/>
    <n v="3"/>
    <x v="268"/>
    <s v=""/>
    <x v="0"/>
    <s v="Rob"/>
    <s v="D"/>
    <x v="0"/>
    <n v="8.9499999999999993"/>
    <n v="26.849999999999998"/>
    <x v="0"/>
    <x v="0"/>
    <x v="0"/>
    <n v="1"/>
    <n v="26.849999999999998"/>
    <x v="0"/>
    <x v="0"/>
    <x v="0"/>
    <s v="Low Price"/>
    <s v="Low Volume"/>
    <x v="3"/>
    <s v="December"/>
    <x v="1"/>
    <x v="0"/>
    <x v="2"/>
  </r>
  <r>
    <s v="XKO-54097-932"/>
    <x v="642"/>
    <s v="32743-78448-KT"/>
    <x v="24"/>
    <n v="3"/>
    <x v="753"/>
    <s v="jmillettik@addtoany.com"/>
    <x v="0"/>
    <s v="Exc"/>
    <s v="M"/>
    <x v="1"/>
    <n v="8.25"/>
    <n v="24.75"/>
    <x v="3"/>
    <x v="2"/>
    <x v="0"/>
    <n v="1"/>
    <n v="24.75"/>
    <x v="0"/>
    <x v="0"/>
    <x v="0"/>
    <s v="Low Price"/>
    <s v="Low Volume"/>
    <x v="3"/>
    <s v="March"/>
    <x v="2"/>
    <x v="3"/>
    <x v="3"/>
  </r>
  <r>
    <s v="XLD-12920-505"/>
    <x v="643"/>
    <s v="21907-75962-VB"/>
    <x v="20"/>
    <n v="6"/>
    <x v="833"/>
    <s v=""/>
    <x v="0"/>
    <s v="Exc"/>
    <s v="L"/>
    <x v="1"/>
    <n v="8.91"/>
    <n v="53.46"/>
    <x v="3"/>
    <x v="1"/>
    <x v="0"/>
    <n v="1"/>
    <n v="53.46"/>
    <x v="0"/>
    <x v="0"/>
    <x v="1"/>
    <s v="High Price"/>
    <s v="High Volume"/>
    <x v="1"/>
    <s v="May"/>
    <x v="0"/>
    <x v="10"/>
    <x v="3"/>
  </r>
  <r>
    <s v="XMC-20620-809"/>
    <x v="561"/>
    <s v="83543-79246-ON"/>
    <x v="24"/>
    <n v="2"/>
    <x v="834"/>
    <s v="nnasebyes@umich.edu"/>
    <x v="0"/>
    <s v="Exc"/>
    <s v="M"/>
    <x v="1"/>
    <n v="8.25"/>
    <n v="16.5"/>
    <x v="3"/>
    <x v="2"/>
    <x v="0"/>
    <n v="1"/>
    <n v="16.5"/>
    <x v="0"/>
    <x v="0"/>
    <x v="0"/>
    <s v="Low Price"/>
    <s v="Low Volume"/>
    <x v="3"/>
    <s v="May"/>
    <x v="0"/>
    <x v="3"/>
    <x v="3"/>
  </r>
  <r>
    <s v="XNM-14163-951"/>
    <x v="286"/>
    <s v="78224-60622-KH"/>
    <x v="39"/>
    <n v="6"/>
    <x v="835"/>
    <s v="skeynd9o@narod.ru"/>
    <x v="0"/>
    <s v="Exc"/>
    <s v="L"/>
    <x v="2"/>
    <n v="34.154999999999994"/>
    <n v="204.92999999999995"/>
    <x v="3"/>
    <x v="1"/>
    <x v="1"/>
    <n v="1"/>
    <n v="204.92999999999995"/>
    <x v="0"/>
    <x v="0"/>
    <x v="2"/>
    <s v="High Price"/>
    <s v="High Volume"/>
    <x v="1"/>
    <s v="December"/>
    <x v="1"/>
    <x v="10"/>
    <x v="2"/>
  </r>
  <r>
    <s v="XNU-83276-288"/>
    <x v="644"/>
    <s v="98185-92775-KT"/>
    <x v="6"/>
    <n v="1"/>
    <x v="836"/>
    <s v=""/>
    <x v="0"/>
    <s v="Rob"/>
    <s v="M"/>
    <x v="1"/>
    <n v="5.97"/>
    <n v="5.97"/>
    <x v="0"/>
    <x v="2"/>
    <x v="1"/>
    <n v="1"/>
    <n v="5.97"/>
    <x v="0"/>
    <x v="0"/>
    <x v="0"/>
    <s v="Low Price"/>
    <s v="Low Volume"/>
    <x v="3"/>
    <s v="June"/>
    <x v="0"/>
    <x v="5"/>
    <x v="0"/>
  </r>
  <r>
    <s v="XOQ-12405-419"/>
    <x v="645"/>
    <s v="91513-75657-PH"/>
    <x v="13"/>
    <n v="4"/>
    <x v="837"/>
    <s v=""/>
    <x v="0"/>
    <s v="Rob"/>
    <s v="D"/>
    <x v="2"/>
    <n v="20.584999999999997"/>
    <n v="82.339999999999989"/>
    <x v="0"/>
    <x v="0"/>
    <x v="0"/>
    <n v="1"/>
    <n v="82.339999999999989"/>
    <x v="0"/>
    <x v="0"/>
    <x v="1"/>
    <s v="High Price"/>
    <s v="Low Volume"/>
    <x v="0"/>
    <s v="April"/>
    <x v="0"/>
    <x v="0"/>
    <x v="3"/>
  </r>
  <r>
    <s v="XPG-66112-335"/>
    <x v="515"/>
    <s v="58118-22461-GC"/>
    <x v="13"/>
    <n v="4"/>
    <x v="838"/>
    <s v="jchuggfp@about.me"/>
    <x v="0"/>
    <s v="Rob"/>
    <s v="D"/>
    <x v="2"/>
    <n v="20.584999999999997"/>
    <n v="82.339999999999989"/>
    <x v="0"/>
    <x v="0"/>
    <x v="1"/>
    <n v="1"/>
    <n v="82.339999999999989"/>
    <x v="0"/>
    <x v="0"/>
    <x v="1"/>
    <s v="High Price"/>
    <s v="Low Volume"/>
    <x v="0"/>
    <s v="July"/>
    <x v="3"/>
    <x v="0"/>
    <x v="0"/>
  </r>
  <r>
    <s v="XQJ-86887-506"/>
    <x v="646"/>
    <s v="66458-91190-YC"/>
    <x v="45"/>
    <n v="4"/>
    <x v="92"/>
    <s v="murione5@alexa.com"/>
    <x v="1"/>
    <s v="Exc"/>
    <s v="L"/>
    <x v="0"/>
    <n v="14.85"/>
    <n v="59.4"/>
    <x v="3"/>
    <x v="1"/>
    <x v="0"/>
    <n v="1"/>
    <n v="59.4"/>
    <x v="0"/>
    <x v="0"/>
    <x v="1"/>
    <s v="High Price"/>
    <s v="Low Volume"/>
    <x v="0"/>
    <s v="November"/>
    <x v="1"/>
    <x v="10"/>
    <x v="1"/>
  </r>
  <r>
    <s v="XRR-28376-277"/>
    <x v="647"/>
    <s v="64481-42546-II"/>
    <x v="44"/>
    <n v="6"/>
    <x v="839"/>
    <s v=""/>
    <x v="1"/>
    <s v="Rob"/>
    <s v="L"/>
    <x v="2"/>
    <n v="27.484999999999996"/>
    <n v="164.90999999999997"/>
    <x v="0"/>
    <x v="1"/>
    <x v="1"/>
    <n v="1"/>
    <n v="164.90999999999997"/>
    <x v="0"/>
    <x v="0"/>
    <x v="2"/>
    <s v="High Price"/>
    <s v="High Volume"/>
    <x v="1"/>
    <s v="May"/>
    <x v="0"/>
    <x v="11"/>
    <x v="3"/>
  </r>
  <r>
    <s v="XSN-26809-910"/>
    <x v="312"/>
    <s v="80467-17137-TO"/>
    <x v="4"/>
    <n v="2"/>
    <x v="840"/>
    <s v="dchardinhc@nhs.uk"/>
    <x v="1"/>
    <s v="Exc"/>
    <s v="M"/>
    <x v="2"/>
    <n v="31.624999999999996"/>
    <n v="63.249999999999993"/>
    <x v="3"/>
    <x v="2"/>
    <x v="0"/>
    <n v="1"/>
    <n v="63.249999999999993"/>
    <x v="0"/>
    <x v="0"/>
    <x v="1"/>
    <s v="High Price"/>
    <s v="Low Volume"/>
    <x v="0"/>
    <s v="June"/>
    <x v="0"/>
    <x v="3"/>
    <x v="0"/>
  </r>
  <r>
    <s v="XSZ-84273-421"/>
    <x v="648"/>
    <s v="15405-60469-TM"/>
    <x v="6"/>
    <n v="3"/>
    <x v="841"/>
    <s v="pwye2z@dagondesign.com"/>
    <x v="0"/>
    <s v="Rob"/>
    <s v="M"/>
    <x v="1"/>
    <n v="5.97"/>
    <n v="17.91"/>
    <x v="0"/>
    <x v="2"/>
    <x v="0"/>
    <n v="1"/>
    <n v="17.91"/>
    <x v="0"/>
    <x v="0"/>
    <x v="0"/>
    <s v="Low Price"/>
    <s v="Low Volume"/>
    <x v="3"/>
    <s v="April"/>
    <x v="0"/>
    <x v="5"/>
    <x v="3"/>
  </r>
  <r>
    <s v="XTH-67276-442"/>
    <x v="649"/>
    <s v="73799-04749-BM"/>
    <x v="41"/>
    <n v="4"/>
    <x v="842"/>
    <s v="bbyrdha@4shared.com"/>
    <x v="0"/>
    <s v="Lib"/>
    <s v="M"/>
    <x v="2"/>
    <n v="33.464999999999996"/>
    <n v="133.85999999999999"/>
    <x v="1"/>
    <x v="2"/>
    <x v="1"/>
    <n v="1"/>
    <n v="133.85999999999999"/>
    <x v="0"/>
    <x v="0"/>
    <x v="3"/>
    <s v="High Price"/>
    <s v="Low Volume"/>
    <x v="0"/>
    <s v="March"/>
    <x v="2"/>
    <x v="4"/>
    <x v="3"/>
  </r>
  <r>
    <s v="XTL-68000-371"/>
    <x v="324"/>
    <s v="70140-82812-KD"/>
    <x v="2"/>
    <n v="4"/>
    <x v="843"/>
    <s v="dsangwinfu@weebly.com"/>
    <x v="0"/>
    <s v="Ara"/>
    <s v="M"/>
    <x v="1"/>
    <n v="6.75"/>
    <n v="27"/>
    <x v="2"/>
    <x v="2"/>
    <x v="1"/>
    <n v="1"/>
    <n v="27"/>
    <x v="0"/>
    <x v="0"/>
    <x v="0"/>
    <s v="Low Price"/>
    <s v="Low Volume"/>
    <x v="3"/>
    <s v="April"/>
    <x v="0"/>
    <x v="2"/>
    <x v="3"/>
  </r>
  <r>
    <s v="XUE-87260-201"/>
    <x v="650"/>
    <s v="89646-21249-OH"/>
    <x v="11"/>
    <n v="6"/>
    <x v="844"/>
    <s v="sraglesjr@blogtalkradio.com"/>
    <x v="0"/>
    <s v="Rob"/>
    <s v="M"/>
    <x v="3"/>
    <n v="2.9849999999999999"/>
    <n v="17.91"/>
    <x v="0"/>
    <x v="2"/>
    <x v="1"/>
    <n v="1"/>
    <n v="17.91"/>
    <x v="0"/>
    <x v="0"/>
    <x v="0"/>
    <s v="Low Price"/>
    <s v="High Volume"/>
    <x v="2"/>
    <s v="February"/>
    <x v="2"/>
    <x v="5"/>
    <x v="2"/>
  </r>
  <r>
    <s v="XUR-14132-391"/>
    <x v="651"/>
    <s v="96836-09258-RI"/>
    <x v="47"/>
    <n v="4"/>
    <x v="845"/>
    <s v="lgoodger95@guardian.co.uk"/>
    <x v="0"/>
    <s v="Rob"/>
    <s v="D"/>
    <x v="1"/>
    <n v="5.3699999999999992"/>
    <n v="21.479999999999997"/>
    <x v="0"/>
    <x v="0"/>
    <x v="0"/>
    <n v="1"/>
    <n v="21.479999999999997"/>
    <x v="0"/>
    <x v="0"/>
    <x v="0"/>
    <s v="Low Price"/>
    <s v="Low Volume"/>
    <x v="3"/>
    <s v="August"/>
    <x v="3"/>
    <x v="0"/>
    <x v="0"/>
  </r>
  <r>
    <s v="XUS-73326-418"/>
    <x v="104"/>
    <s v="37078-56703-AF"/>
    <x v="45"/>
    <n v="6"/>
    <x v="846"/>
    <s v="gbroadbear7p@omniture.com"/>
    <x v="0"/>
    <s v="Exc"/>
    <s v="L"/>
    <x v="0"/>
    <n v="14.85"/>
    <n v="89.1"/>
    <x v="3"/>
    <x v="1"/>
    <x v="1"/>
    <n v="1"/>
    <n v="89.1"/>
    <x v="0"/>
    <x v="0"/>
    <x v="1"/>
    <s v="High Price"/>
    <s v="High Volume"/>
    <x v="1"/>
    <s v="December"/>
    <x v="1"/>
    <x v="10"/>
    <x v="2"/>
  </r>
  <r>
    <s v="XWC-20610-167"/>
    <x v="652"/>
    <s v="08350-81623-TF"/>
    <x v="40"/>
    <n v="2"/>
    <x v="847"/>
    <s v="lyeoland15@pbs.org"/>
    <x v="0"/>
    <s v="Exc"/>
    <s v="D"/>
    <x v="3"/>
    <n v="3.645"/>
    <n v="7.29"/>
    <x v="3"/>
    <x v="0"/>
    <x v="0"/>
    <n v="1"/>
    <n v="7.29"/>
    <x v="0"/>
    <x v="0"/>
    <x v="0"/>
    <s v="Low Price"/>
    <s v="Low Volume"/>
    <x v="3"/>
    <s v="July"/>
    <x v="3"/>
    <x v="8"/>
    <x v="0"/>
  </r>
  <r>
    <s v="XWD-18933-006"/>
    <x v="653"/>
    <s v="79420-11075-MY"/>
    <x v="23"/>
    <n v="2"/>
    <x v="848"/>
    <s v="epalfrey7q@devhub.com"/>
    <x v="0"/>
    <s v="Ara"/>
    <s v="L"/>
    <x v="3"/>
    <n v="3.8849999999999998"/>
    <n v="7.77"/>
    <x v="2"/>
    <x v="1"/>
    <x v="0"/>
    <n v="1"/>
    <n v="7.77"/>
    <x v="0"/>
    <x v="0"/>
    <x v="0"/>
    <s v="Low Price"/>
    <s v="Low Volume"/>
    <x v="3"/>
    <s v="August"/>
    <x v="3"/>
    <x v="6"/>
    <x v="0"/>
  </r>
  <r>
    <s v="XXJ-47000-307"/>
    <x v="257"/>
    <s v="31582-23562-FM"/>
    <x v="43"/>
    <n v="4"/>
    <x v="849"/>
    <s v="jdufaire2d@fc2.com"/>
    <x v="0"/>
    <s v="Ara"/>
    <s v="D"/>
    <x v="3"/>
    <n v="2.9849999999999999"/>
    <n v="11.94"/>
    <x v="2"/>
    <x v="0"/>
    <x v="1"/>
    <n v="2"/>
    <n v="50.647499999999994"/>
    <x v="1"/>
    <x v="1"/>
    <x v="0"/>
    <s v="Low Price"/>
    <s v="Low Volume"/>
    <x v="3"/>
    <s v="July"/>
    <x v="3"/>
    <x v="7"/>
    <x v="0"/>
  </r>
  <r>
    <s v="XXJ-47000-307"/>
    <x v="257"/>
    <s v="31582-23562-FM"/>
    <x v="17"/>
    <n v="3"/>
    <x v="849"/>
    <s v="jdufaire2d@fc2.com"/>
    <x v="0"/>
    <s v="Ara"/>
    <s v="L"/>
    <x v="2"/>
    <n v="29.784999999999997"/>
    <n v="89.35499999999999"/>
    <x v="2"/>
    <x v="1"/>
    <x v="1"/>
    <n v="2"/>
    <n v="50.647499999999994"/>
    <x v="1"/>
    <x v="1"/>
    <x v="1"/>
    <s v="High Price"/>
    <s v="Low Volume"/>
    <x v="0"/>
    <s v="July"/>
    <x v="3"/>
    <x v="6"/>
    <x v="0"/>
  </r>
  <r>
    <s v="XYL-52196-459"/>
    <x v="654"/>
    <s v="13549-65017-VE"/>
    <x v="15"/>
    <n v="3"/>
    <x v="850"/>
    <s v="jwilkissongf@nba.com"/>
    <x v="0"/>
    <s v="Rob"/>
    <s v="D"/>
    <x v="3"/>
    <n v="2.6849999999999996"/>
    <n v="8.0549999999999997"/>
    <x v="0"/>
    <x v="0"/>
    <x v="0"/>
    <n v="1"/>
    <n v="8.0549999999999997"/>
    <x v="0"/>
    <x v="0"/>
    <x v="0"/>
    <s v="Low Price"/>
    <s v="Low Volume"/>
    <x v="3"/>
    <s v="May"/>
    <x v="0"/>
    <x v="0"/>
    <x v="3"/>
  </r>
  <r>
    <s v="XZD-44484-632"/>
    <x v="655"/>
    <s v="80541-38332-BP"/>
    <x v="43"/>
    <n v="2"/>
    <x v="851"/>
    <s v="hrainforthn2@blog.com"/>
    <x v="0"/>
    <s v="Ara"/>
    <s v="D"/>
    <x v="3"/>
    <n v="2.9849999999999999"/>
    <n v="5.97"/>
    <x v="2"/>
    <x v="0"/>
    <x v="1"/>
    <n v="2"/>
    <n v="16.734999999999999"/>
    <x v="1"/>
    <x v="1"/>
    <x v="0"/>
    <s v="Low Price"/>
    <s v="Low Volume"/>
    <x v="3"/>
    <s v="August"/>
    <x v="3"/>
    <x v="7"/>
    <x v="0"/>
  </r>
  <r>
    <s v="XZD-44484-632"/>
    <x v="655"/>
    <s v="80541-38332-BP"/>
    <x v="21"/>
    <n v="2"/>
    <x v="851"/>
    <s v="hrainforthn2@blog.com"/>
    <x v="0"/>
    <s v="Exc"/>
    <s v="M"/>
    <x v="0"/>
    <n v="13.75"/>
    <n v="27.5"/>
    <x v="3"/>
    <x v="2"/>
    <x v="1"/>
    <n v="2"/>
    <n v="16.734999999999999"/>
    <x v="1"/>
    <x v="1"/>
    <x v="0"/>
    <s v="Low Price"/>
    <s v="Low Volume"/>
    <x v="3"/>
    <s v="August"/>
    <x v="3"/>
    <x v="3"/>
    <x v="0"/>
  </r>
  <r>
    <s v="XZG-51938-658"/>
    <x v="656"/>
    <s v="18275-73980-KL"/>
    <x v="20"/>
    <n v="6"/>
    <x v="852"/>
    <s v="lpennaccieo@statcounter.com"/>
    <x v="0"/>
    <s v="Exc"/>
    <s v="L"/>
    <x v="1"/>
    <n v="8.91"/>
    <n v="53.46"/>
    <x v="3"/>
    <x v="1"/>
    <x v="1"/>
    <n v="1"/>
    <n v="53.46"/>
    <x v="0"/>
    <x v="0"/>
    <x v="1"/>
    <s v="High Price"/>
    <s v="High Volume"/>
    <x v="1"/>
    <s v="April"/>
    <x v="0"/>
    <x v="10"/>
    <x v="3"/>
  </r>
  <r>
    <s v="YAC-50329-982"/>
    <x v="657"/>
    <s v="75419-92838-TI"/>
    <x v="4"/>
    <n v="1"/>
    <x v="853"/>
    <s v="cbrydeml@tuttocitta.it"/>
    <x v="0"/>
    <s v="Exc"/>
    <s v="M"/>
    <x v="2"/>
    <n v="31.624999999999996"/>
    <n v="31.624999999999996"/>
    <x v="3"/>
    <x v="2"/>
    <x v="0"/>
    <n v="1"/>
    <n v="31.624999999999996"/>
    <x v="0"/>
    <x v="0"/>
    <x v="0"/>
    <s v="High Price"/>
    <s v="Low Volume"/>
    <x v="0"/>
    <s v="December"/>
    <x v="1"/>
    <x v="3"/>
    <x v="2"/>
  </r>
  <r>
    <s v="YAU-98893-150"/>
    <x v="658"/>
    <s v="77043-48851-HG"/>
    <x v="34"/>
    <n v="3"/>
    <x v="854"/>
    <s v="ldanes9n@umn.edu"/>
    <x v="0"/>
    <s v="Lib"/>
    <s v="M"/>
    <x v="0"/>
    <n v="14.55"/>
    <n v="43.650000000000006"/>
    <x v="1"/>
    <x v="2"/>
    <x v="1"/>
    <n v="1"/>
    <n v="43.650000000000006"/>
    <x v="0"/>
    <x v="0"/>
    <x v="0"/>
    <s v="High Price"/>
    <s v="Low Volume"/>
    <x v="0"/>
    <s v="January"/>
    <x v="2"/>
    <x v="4"/>
    <x v="2"/>
  </r>
  <r>
    <s v="YDS-02797-307"/>
    <x v="659"/>
    <s v="06058-48844-PI"/>
    <x v="4"/>
    <n v="4"/>
    <x v="855"/>
    <s v="wspeechlyem@amazon.com"/>
    <x v="0"/>
    <s v="Exc"/>
    <s v="M"/>
    <x v="2"/>
    <n v="31.624999999999996"/>
    <n v="126.49999999999999"/>
    <x v="3"/>
    <x v="2"/>
    <x v="0"/>
    <n v="1"/>
    <n v="126.49999999999999"/>
    <x v="0"/>
    <x v="0"/>
    <x v="3"/>
    <s v="High Price"/>
    <s v="Low Volume"/>
    <x v="0"/>
    <s v="June"/>
    <x v="0"/>
    <x v="3"/>
    <x v="0"/>
  </r>
  <r>
    <s v="YES-51109-625"/>
    <x v="639"/>
    <s v="91895-55605-LS"/>
    <x v="20"/>
    <n v="4"/>
    <x v="856"/>
    <s v="eaizikowitzfv@virginia.edu"/>
    <x v="2"/>
    <s v="Exc"/>
    <s v="L"/>
    <x v="1"/>
    <n v="8.91"/>
    <n v="35.64"/>
    <x v="3"/>
    <x v="1"/>
    <x v="1"/>
    <n v="1"/>
    <n v="35.64"/>
    <x v="0"/>
    <x v="0"/>
    <x v="0"/>
    <s v="High Price"/>
    <s v="Low Volume"/>
    <x v="0"/>
    <s v="January"/>
    <x v="2"/>
    <x v="10"/>
    <x v="2"/>
  </r>
  <r>
    <s v="YET-17732-678"/>
    <x v="311"/>
    <s v="57235-92842-DK"/>
    <x v="15"/>
    <n v="1"/>
    <x v="857"/>
    <s v=""/>
    <x v="0"/>
    <s v="Rob"/>
    <s v="D"/>
    <x v="3"/>
    <n v="2.6849999999999996"/>
    <n v="2.6849999999999996"/>
    <x v="0"/>
    <x v="0"/>
    <x v="1"/>
    <n v="1"/>
    <n v="2.6849999999999996"/>
    <x v="0"/>
    <x v="0"/>
    <x v="0"/>
    <s v="Low Price"/>
    <s v="Low Volume"/>
    <x v="3"/>
    <s v="June"/>
    <x v="0"/>
    <x v="0"/>
    <x v="0"/>
  </r>
  <r>
    <s v="YFH-87456-208"/>
    <x v="660"/>
    <s v="23600-98432-ME"/>
    <x v="5"/>
    <n v="2"/>
    <x v="858"/>
    <s v=""/>
    <x v="0"/>
    <s v="Lib"/>
    <s v="M"/>
    <x v="3"/>
    <n v="4.3650000000000002"/>
    <n v="8.73"/>
    <x v="1"/>
    <x v="2"/>
    <x v="0"/>
    <n v="1"/>
    <n v="8.73"/>
    <x v="0"/>
    <x v="0"/>
    <x v="0"/>
    <s v="Low Price"/>
    <s v="Low Volume"/>
    <x v="3"/>
    <s v="June"/>
    <x v="0"/>
    <x v="4"/>
    <x v="0"/>
  </r>
  <r>
    <s v="YFX-64795-136"/>
    <x v="661"/>
    <s v="83163-65741-IH"/>
    <x v="41"/>
    <n v="1"/>
    <x v="859"/>
    <s v="mprinn5a@usa.gov"/>
    <x v="0"/>
    <s v="Lib"/>
    <s v="M"/>
    <x v="2"/>
    <n v="33.464999999999996"/>
    <n v="33.464999999999996"/>
    <x v="1"/>
    <x v="2"/>
    <x v="0"/>
    <n v="1"/>
    <n v="33.464999999999996"/>
    <x v="0"/>
    <x v="0"/>
    <x v="0"/>
    <s v="High Price"/>
    <s v="Low Volume"/>
    <x v="0"/>
    <s v="January"/>
    <x v="2"/>
    <x v="4"/>
    <x v="2"/>
  </r>
  <r>
    <s v="YGY-98425-969"/>
    <x v="320"/>
    <s v="63787-96257-TQ"/>
    <x v="34"/>
    <n v="1"/>
    <x v="860"/>
    <s v="msteptow35@earthlink.net"/>
    <x v="1"/>
    <s v="Lib"/>
    <s v="M"/>
    <x v="0"/>
    <n v="14.55"/>
    <n v="14.55"/>
    <x v="1"/>
    <x v="2"/>
    <x v="1"/>
    <n v="1"/>
    <n v="14.55"/>
    <x v="0"/>
    <x v="0"/>
    <x v="0"/>
    <s v="Low Price"/>
    <s v="Low Volume"/>
    <x v="3"/>
    <s v="April"/>
    <x v="0"/>
    <x v="4"/>
    <x v="3"/>
  </r>
  <r>
    <s v="YHV-68700-050"/>
    <x v="567"/>
    <s v="26333-67911-OL"/>
    <x v="6"/>
    <n v="5"/>
    <x v="861"/>
    <s v="hmattioli1g@webmd.com"/>
    <x v="2"/>
    <s v="Rob"/>
    <s v="M"/>
    <x v="1"/>
    <n v="5.97"/>
    <n v="29.849999999999998"/>
    <x v="0"/>
    <x v="2"/>
    <x v="1"/>
    <n v="2"/>
    <n v="51.379999999999995"/>
    <x v="1"/>
    <x v="1"/>
    <x v="0"/>
    <s v="High Price"/>
    <s v="High Volume"/>
    <x v="1"/>
    <s v="September"/>
    <x v="3"/>
    <x v="5"/>
    <x v="1"/>
  </r>
  <r>
    <s v="YHV-68700-050"/>
    <x v="567"/>
    <s v="26333-67911-OL"/>
    <x v="33"/>
    <n v="2"/>
    <x v="861"/>
    <s v="hmattioli1g@webmd.com"/>
    <x v="2"/>
    <s v="Lib"/>
    <s v="L"/>
    <x v="2"/>
    <n v="36.454999999999998"/>
    <n v="72.91"/>
    <x v="1"/>
    <x v="1"/>
    <x v="1"/>
    <n v="2"/>
    <n v="51.379999999999995"/>
    <x v="1"/>
    <x v="1"/>
    <x v="1"/>
    <s v="High Price"/>
    <s v="Low Volume"/>
    <x v="0"/>
    <s v="September"/>
    <x v="3"/>
    <x v="1"/>
    <x v="1"/>
  </r>
  <r>
    <s v="YIE-87008-621"/>
    <x v="662"/>
    <s v="22503-52799-MI"/>
    <x v="37"/>
    <n v="4"/>
    <x v="862"/>
    <s v="stitleynu@whitehouse.gov"/>
    <x v="0"/>
    <s v="Lib"/>
    <s v="M"/>
    <x v="1"/>
    <n v="8.73"/>
    <n v="34.92"/>
    <x v="1"/>
    <x v="2"/>
    <x v="1"/>
    <n v="1"/>
    <n v="34.92"/>
    <x v="0"/>
    <x v="0"/>
    <x v="0"/>
    <s v="High Price"/>
    <s v="Low Volume"/>
    <x v="0"/>
    <s v="June"/>
    <x v="0"/>
    <x v="4"/>
    <x v="0"/>
  </r>
  <r>
    <s v="YIS-96268-844"/>
    <x v="335"/>
    <s v="60221-67036-TD"/>
    <x v="27"/>
    <n v="6"/>
    <x v="863"/>
    <s v="klestrange8a@lulu.com"/>
    <x v="0"/>
    <s v="Exc"/>
    <s v="L"/>
    <x v="3"/>
    <n v="4.4550000000000001"/>
    <n v="26.73"/>
    <x v="3"/>
    <x v="1"/>
    <x v="0"/>
    <n v="1"/>
    <n v="26.73"/>
    <x v="0"/>
    <x v="0"/>
    <x v="0"/>
    <s v="Low Price"/>
    <s v="High Volume"/>
    <x v="2"/>
    <s v="February"/>
    <x v="2"/>
    <x v="10"/>
    <x v="2"/>
  </r>
  <r>
    <s v="YIT-15877-117"/>
    <x v="663"/>
    <s v="24155-79322-EQ"/>
    <x v="0"/>
    <n v="1"/>
    <x v="864"/>
    <s v="mrocksqq@exblog.jp"/>
    <x v="1"/>
    <s v="Rob"/>
    <s v="D"/>
    <x v="0"/>
    <n v="8.9499999999999993"/>
    <n v="8.9499999999999993"/>
    <x v="0"/>
    <x v="0"/>
    <x v="0"/>
    <n v="1"/>
    <n v="8.9499999999999993"/>
    <x v="0"/>
    <x v="0"/>
    <x v="0"/>
    <s v="Low Price"/>
    <s v="Low Volume"/>
    <x v="3"/>
    <s v="April"/>
    <x v="0"/>
    <x v="0"/>
    <x v="3"/>
  </r>
  <r>
    <s v="YJU-84377-606"/>
    <x v="664"/>
    <s v="20259-47723-AC"/>
    <x v="8"/>
    <n v="1"/>
    <x v="865"/>
    <s v="lentwistle6w@omniture.com"/>
    <x v="0"/>
    <s v="Ara"/>
    <s v="D"/>
    <x v="0"/>
    <n v="9.9499999999999993"/>
    <n v="9.9499999999999993"/>
    <x v="2"/>
    <x v="0"/>
    <x v="0"/>
    <n v="1"/>
    <n v="9.9499999999999993"/>
    <x v="0"/>
    <x v="0"/>
    <x v="0"/>
    <s v="Low Price"/>
    <s v="Low Volume"/>
    <x v="3"/>
    <s v="July"/>
    <x v="3"/>
    <x v="7"/>
    <x v="0"/>
  </r>
  <r>
    <s v="YKX-23510-272"/>
    <x v="665"/>
    <s v="56991-05510-PR"/>
    <x v="17"/>
    <n v="2"/>
    <x v="866"/>
    <s v="jedenll@e-recht24.de"/>
    <x v="0"/>
    <s v="Ara"/>
    <s v="L"/>
    <x v="2"/>
    <n v="29.784999999999997"/>
    <n v="59.569999999999993"/>
    <x v="2"/>
    <x v="1"/>
    <x v="1"/>
    <n v="1"/>
    <n v="59.569999999999993"/>
    <x v="0"/>
    <x v="0"/>
    <x v="1"/>
    <s v="High Price"/>
    <s v="Low Volume"/>
    <x v="0"/>
    <s v="March"/>
    <x v="2"/>
    <x v="6"/>
    <x v="3"/>
  </r>
  <r>
    <s v="YLE-18247-749"/>
    <x v="666"/>
    <s v="92227-49331-QR"/>
    <x v="16"/>
    <n v="3"/>
    <x v="867"/>
    <s v=""/>
    <x v="0"/>
    <s v="Ara"/>
    <s v="L"/>
    <x v="1"/>
    <n v="7.77"/>
    <n v="23.31"/>
    <x v="2"/>
    <x v="1"/>
    <x v="0"/>
    <n v="1"/>
    <n v="23.31"/>
    <x v="0"/>
    <x v="0"/>
    <x v="0"/>
    <s v="Low Price"/>
    <s v="Low Volume"/>
    <x v="3"/>
    <s v="March"/>
    <x v="2"/>
    <x v="6"/>
    <x v="3"/>
  </r>
  <r>
    <s v="YLK-78851-470"/>
    <x v="667"/>
    <s v="58559-08254-UY"/>
    <x v="9"/>
    <n v="6"/>
    <x v="868"/>
    <s v=""/>
    <x v="0"/>
    <s v="Rob"/>
    <s v="M"/>
    <x v="2"/>
    <n v="22.884999999999998"/>
    <n v="137.31"/>
    <x v="0"/>
    <x v="2"/>
    <x v="0"/>
    <n v="1"/>
    <n v="137.31"/>
    <x v="0"/>
    <x v="0"/>
    <x v="3"/>
    <s v="High Price"/>
    <s v="High Volume"/>
    <x v="1"/>
    <s v="September"/>
    <x v="3"/>
    <x v="5"/>
    <x v="1"/>
  </r>
  <r>
    <s v="YLY-35287-172"/>
    <x v="668"/>
    <s v="69410-04668-MA"/>
    <x v="18"/>
    <n v="5"/>
    <x v="869"/>
    <s v="scaponkx@craigslist.org"/>
    <x v="0"/>
    <s v="Ara"/>
    <s v="D"/>
    <x v="1"/>
    <n v="5.97"/>
    <n v="29.849999999999998"/>
    <x v="2"/>
    <x v="0"/>
    <x v="1"/>
    <n v="1"/>
    <n v="29.849999999999998"/>
    <x v="0"/>
    <x v="0"/>
    <x v="0"/>
    <s v="High Price"/>
    <s v="High Volume"/>
    <x v="1"/>
    <s v="May"/>
    <x v="0"/>
    <x v="7"/>
    <x v="3"/>
  </r>
  <r>
    <s v="YOG-94666-679"/>
    <x v="669"/>
    <s v="86991-53901-AT"/>
    <x v="29"/>
    <n v="2"/>
    <x v="870"/>
    <s v=""/>
    <x v="2"/>
    <s v="Lib"/>
    <s v="D"/>
    <x v="3"/>
    <n v="3.8849999999999998"/>
    <n v="7.77"/>
    <x v="1"/>
    <x v="0"/>
    <x v="0"/>
    <n v="1"/>
    <n v="7.77"/>
    <x v="0"/>
    <x v="0"/>
    <x v="0"/>
    <s v="Low Price"/>
    <s v="Low Volume"/>
    <x v="3"/>
    <s v="February"/>
    <x v="2"/>
    <x v="9"/>
    <x v="2"/>
  </r>
  <r>
    <s v="YOK-93322-608"/>
    <x v="247"/>
    <s v="69411-48470-ID"/>
    <x v="45"/>
    <n v="6"/>
    <x v="871"/>
    <s v="gcornierjv@techcrunch.com"/>
    <x v="0"/>
    <s v="Exc"/>
    <s v="L"/>
    <x v="0"/>
    <n v="14.85"/>
    <n v="89.1"/>
    <x v="3"/>
    <x v="1"/>
    <x v="1"/>
    <n v="1"/>
    <n v="89.1"/>
    <x v="0"/>
    <x v="0"/>
    <x v="1"/>
    <s v="High Price"/>
    <s v="High Volume"/>
    <x v="1"/>
    <s v="November"/>
    <x v="1"/>
    <x v="10"/>
    <x v="1"/>
  </r>
  <r>
    <s v="YPP-27450-525"/>
    <x v="670"/>
    <s v="01932-87052-KO"/>
    <x v="24"/>
    <n v="3"/>
    <x v="872"/>
    <s v="lcullrfordb9@xing.com"/>
    <x v="0"/>
    <s v="Exc"/>
    <s v="M"/>
    <x v="1"/>
    <n v="8.25"/>
    <n v="24.75"/>
    <x v="3"/>
    <x v="2"/>
    <x v="0"/>
    <n v="1"/>
    <n v="24.75"/>
    <x v="0"/>
    <x v="0"/>
    <x v="0"/>
    <s v="Low Price"/>
    <s v="Low Volume"/>
    <x v="3"/>
    <s v="December"/>
    <x v="1"/>
    <x v="3"/>
    <x v="2"/>
  </r>
  <r>
    <s v="YPT-95383-088"/>
    <x v="671"/>
    <s v="43439-94003-DW"/>
    <x v="32"/>
    <n v="2"/>
    <x v="132"/>
    <s v=""/>
    <x v="0"/>
    <s v="Exc"/>
    <s v="D"/>
    <x v="2"/>
    <n v="27.945"/>
    <n v="55.89"/>
    <x v="3"/>
    <x v="0"/>
    <x v="1"/>
    <n v="1"/>
    <n v="55.89"/>
    <x v="0"/>
    <x v="0"/>
    <x v="1"/>
    <s v="High Price"/>
    <s v="Low Volume"/>
    <x v="0"/>
    <s v="October"/>
    <x v="1"/>
    <x v="8"/>
    <x v="1"/>
  </r>
  <r>
    <s v="YQL-63755-365"/>
    <x v="30"/>
    <s v="78570-76770-LB"/>
    <x v="46"/>
    <n v="4"/>
    <x v="873"/>
    <s v="cbeinee7@xinhuanet.com"/>
    <x v="0"/>
    <s v="Ara"/>
    <s v="M"/>
    <x v="3"/>
    <n v="3.375"/>
    <n v="13.5"/>
    <x v="2"/>
    <x v="2"/>
    <x v="0"/>
    <n v="1"/>
    <n v="13.5"/>
    <x v="0"/>
    <x v="0"/>
    <x v="0"/>
    <s v="Low Price"/>
    <s v="Low Volume"/>
    <x v="3"/>
    <s v="July"/>
    <x v="3"/>
    <x v="2"/>
    <x v="0"/>
  </r>
  <r>
    <s v="YQU-65147-580"/>
    <x v="301"/>
    <s v="80247-70000-HT"/>
    <x v="13"/>
    <n v="1"/>
    <x v="874"/>
    <s v="egalgey5x@wufoo.com"/>
    <x v="0"/>
    <s v="Rob"/>
    <s v="D"/>
    <x v="2"/>
    <n v="20.584999999999997"/>
    <n v="20.584999999999997"/>
    <x v="0"/>
    <x v="0"/>
    <x v="1"/>
    <n v="1"/>
    <n v="20.584999999999997"/>
    <x v="0"/>
    <x v="0"/>
    <x v="0"/>
    <s v="Low Price"/>
    <s v="Low Volume"/>
    <x v="3"/>
    <s v="March"/>
    <x v="2"/>
    <x v="0"/>
    <x v="3"/>
  </r>
  <r>
    <s v="YTW-40242-005"/>
    <x v="672"/>
    <s v="01035-70465-UO"/>
    <x v="19"/>
    <n v="4"/>
    <x v="588"/>
    <s v="aattwater5u@wikia.com"/>
    <x v="0"/>
    <s v="Lib"/>
    <s v="D"/>
    <x v="0"/>
    <n v="12.95"/>
    <n v="51.8"/>
    <x v="1"/>
    <x v="0"/>
    <x v="0"/>
    <n v="1"/>
    <n v="51.8"/>
    <x v="0"/>
    <x v="0"/>
    <x v="1"/>
    <s v="High Price"/>
    <s v="Low Volume"/>
    <x v="0"/>
    <s v="October"/>
    <x v="1"/>
    <x v="9"/>
    <x v="1"/>
  </r>
  <r>
    <s v="YUL-42750-776"/>
    <x v="217"/>
    <s v="24845-36117-TI"/>
    <x v="5"/>
    <n v="2"/>
    <x v="875"/>
    <s v="craisbeckfg@webnode.com"/>
    <x v="0"/>
    <s v="Lib"/>
    <s v="M"/>
    <x v="3"/>
    <n v="4.3650000000000002"/>
    <n v="8.73"/>
    <x v="1"/>
    <x v="2"/>
    <x v="0"/>
    <n v="1"/>
    <n v="8.73"/>
    <x v="0"/>
    <x v="0"/>
    <x v="0"/>
    <s v="Low Price"/>
    <s v="Low Volume"/>
    <x v="3"/>
    <s v="November"/>
    <x v="1"/>
    <x v="4"/>
    <x v="1"/>
  </r>
  <r>
    <s v="YUO-76652-814"/>
    <x v="673"/>
    <s v="26248-84194-FI"/>
    <x v="43"/>
    <n v="6"/>
    <x v="876"/>
    <s v="pormerodg0@redcross.org"/>
    <x v="0"/>
    <s v="Ara"/>
    <s v="D"/>
    <x v="3"/>
    <n v="2.9849999999999999"/>
    <n v="17.91"/>
    <x v="2"/>
    <x v="0"/>
    <x v="1"/>
    <n v="1"/>
    <n v="17.91"/>
    <x v="0"/>
    <x v="0"/>
    <x v="0"/>
    <s v="Low Price"/>
    <s v="High Volume"/>
    <x v="2"/>
    <s v="April"/>
    <x v="0"/>
    <x v="7"/>
    <x v="3"/>
  </r>
  <r>
    <s v="YVH-19865-819"/>
    <x v="674"/>
    <s v="08946-56610-IH"/>
    <x v="33"/>
    <n v="4"/>
    <x v="877"/>
    <s v="lburtenshawlp@shinystat.com"/>
    <x v="0"/>
    <s v="Lib"/>
    <s v="L"/>
    <x v="2"/>
    <n v="36.454999999999998"/>
    <n v="145.82"/>
    <x v="1"/>
    <x v="1"/>
    <x v="1"/>
    <n v="1"/>
    <n v="145.82"/>
    <x v="0"/>
    <x v="0"/>
    <x v="3"/>
    <s v="High Price"/>
    <s v="Low Volume"/>
    <x v="0"/>
    <s v="November"/>
    <x v="1"/>
    <x v="1"/>
    <x v="1"/>
  </r>
  <r>
    <s v="YVK-82679-655"/>
    <x v="607"/>
    <s v="95342-88311-SF"/>
    <x v="6"/>
    <n v="4"/>
    <x v="878"/>
    <s v="yburrellsqr@vinaora.com"/>
    <x v="0"/>
    <s v="Rob"/>
    <s v="M"/>
    <x v="1"/>
    <n v="5.97"/>
    <n v="23.88"/>
    <x v="0"/>
    <x v="2"/>
    <x v="0"/>
    <n v="1"/>
    <n v="23.88"/>
    <x v="0"/>
    <x v="0"/>
    <x v="0"/>
    <s v="Low Price"/>
    <s v="Low Volume"/>
    <x v="3"/>
    <s v="January"/>
    <x v="2"/>
    <x v="5"/>
    <x v="2"/>
  </r>
  <r>
    <s v="YWH-50638-556"/>
    <x v="233"/>
    <s v="89442-35633-HJ"/>
    <x v="20"/>
    <n v="4"/>
    <x v="879"/>
    <s v="elangcaster2l@spotify.com"/>
    <x v="2"/>
    <s v="Exc"/>
    <s v="L"/>
    <x v="1"/>
    <n v="8.91"/>
    <n v="35.64"/>
    <x v="3"/>
    <x v="1"/>
    <x v="0"/>
    <n v="1"/>
    <n v="35.64"/>
    <x v="0"/>
    <x v="0"/>
    <x v="0"/>
    <s v="High Price"/>
    <s v="Low Volume"/>
    <x v="0"/>
    <s v="March"/>
    <x v="2"/>
    <x v="10"/>
    <x v="3"/>
  </r>
  <r>
    <s v="YWM-07310-594"/>
    <x v="182"/>
    <s v="66028-99867-WJ"/>
    <x v="24"/>
    <n v="5"/>
    <x v="880"/>
    <s v="mpalleskeo4@nyu.edu"/>
    <x v="0"/>
    <s v="Exc"/>
    <s v="M"/>
    <x v="1"/>
    <n v="8.25"/>
    <n v="41.25"/>
    <x v="3"/>
    <x v="2"/>
    <x v="0"/>
    <n v="1"/>
    <n v="41.25"/>
    <x v="0"/>
    <x v="0"/>
    <x v="0"/>
    <s v="High Price"/>
    <s v="High Volume"/>
    <x v="1"/>
    <s v="March"/>
    <x v="2"/>
    <x v="3"/>
    <x v="3"/>
  </r>
  <r>
    <s v="YXF-57218-272"/>
    <x v="566"/>
    <s v="55374-03175-IA"/>
    <x v="11"/>
    <n v="6"/>
    <x v="881"/>
    <s v=""/>
    <x v="0"/>
    <s v="Rob"/>
    <s v="M"/>
    <x v="3"/>
    <n v="2.9849999999999999"/>
    <n v="17.91"/>
    <x v="0"/>
    <x v="2"/>
    <x v="0"/>
    <n v="1"/>
    <n v="17.91"/>
    <x v="0"/>
    <x v="0"/>
    <x v="0"/>
    <s v="Low Price"/>
    <s v="High Volume"/>
    <x v="2"/>
    <s v="March"/>
    <x v="2"/>
    <x v="5"/>
    <x v="3"/>
  </r>
  <r>
    <s v="YXO-79631-417"/>
    <x v="620"/>
    <s v="31587-92570-HL"/>
    <x v="14"/>
    <n v="1"/>
    <x v="882"/>
    <s v="cgwinnetta5@behance.net"/>
    <x v="0"/>
    <s v="Lib"/>
    <s v="D"/>
    <x v="1"/>
    <n v="7.77"/>
    <n v="7.77"/>
    <x v="1"/>
    <x v="0"/>
    <x v="1"/>
    <n v="1"/>
    <n v="7.77"/>
    <x v="0"/>
    <x v="0"/>
    <x v="0"/>
    <s v="Low Price"/>
    <s v="Low Volume"/>
    <x v="3"/>
    <s v="September"/>
    <x v="3"/>
    <x v="9"/>
    <x v="1"/>
  </r>
  <r>
    <s v="YXP-20078-116"/>
    <x v="675"/>
    <s v="37238-52421-JJ"/>
    <x v="6"/>
    <n v="1"/>
    <x v="883"/>
    <s v="jdeag@xrea.com"/>
    <x v="0"/>
    <s v="Rob"/>
    <s v="M"/>
    <x v="1"/>
    <n v="5.97"/>
    <n v="5.97"/>
    <x v="0"/>
    <x v="2"/>
    <x v="0"/>
    <n v="1"/>
    <n v="5.97"/>
    <x v="0"/>
    <x v="0"/>
    <x v="0"/>
    <s v="Low Price"/>
    <s v="Low Volume"/>
    <x v="3"/>
    <s v="September"/>
    <x v="3"/>
    <x v="5"/>
    <x v="1"/>
  </r>
  <r>
    <s v="YZA-25234-630"/>
    <x v="565"/>
    <s v="89757-51438-HX"/>
    <x v="40"/>
    <n v="2"/>
    <x v="884"/>
    <s v="mglawsopfb@reverbnation.com"/>
    <x v="0"/>
    <s v="Exc"/>
    <s v="D"/>
    <x v="3"/>
    <n v="3.645"/>
    <n v="7.29"/>
    <x v="3"/>
    <x v="0"/>
    <x v="1"/>
    <n v="1"/>
    <n v="7.29"/>
    <x v="0"/>
    <x v="0"/>
    <x v="0"/>
    <s v="Low Price"/>
    <s v="Low Volume"/>
    <x v="3"/>
    <s v="May"/>
    <x v="0"/>
    <x v="8"/>
    <x v="3"/>
  </r>
  <r>
    <s v="YZG-20575-451"/>
    <x v="676"/>
    <s v="64845-00270-NO"/>
    <x v="1"/>
    <n v="4"/>
    <x v="885"/>
    <s v="rzywickii4@ifeng.com"/>
    <x v="1"/>
    <s v="Lib"/>
    <s v="L"/>
    <x v="0"/>
    <n v="15.85"/>
    <n v="63.4"/>
    <x v="1"/>
    <x v="1"/>
    <x v="1"/>
    <n v="1"/>
    <n v="63.4"/>
    <x v="0"/>
    <x v="0"/>
    <x v="1"/>
    <s v="High Price"/>
    <s v="Low Volume"/>
    <x v="0"/>
    <s v="March"/>
    <x v="2"/>
    <x v="1"/>
    <x v="3"/>
  </r>
  <r>
    <s v="ZAY-43009-775"/>
    <x v="677"/>
    <s v="73431-39823-UP"/>
    <x v="29"/>
    <n v="6"/>
    <x v="886"/>
    <s v=""/>
    <x v="0"/>
    <s v="Lib"/>
    <s v="D"/>
    <x v="3"/>
    <n v="3.8849999999999998"/>
    <n v="23.31"/>
    <x v="1"/>
    <x v="0"/>
    <x v="1"/>
    <n v="1"/>
    <n v="23.31"/>
    <x v="0"/>
    <x v="0"/>
    <x v="0"/>
    <s v="Low Price"/>
    <s v="High Volume"/>
    <x v="2"/>
    <s v="September"/>
    <x v="3"/>
    <x v="9"/>
    <x v="1"/>
  </r>
  <r>
    <s v="ZCR-15721-658"/>
    <x v="579"/>
    <s v="28327-84469-ND"/>
    <x v="35"/>
    <n v="4"/>
    <x v="887"/>
    <s v="rwillowaycq@admin.ch"/>
    <x v="0"/>
    <s v="Ara"/>
    <s v="M"/>
    <x v="0"/>
    <n v="11.25"/>
    <n v="45"/>
    <x v="2"/>
    <x v="2"/>
    <x v="1"/>
    <n v="1"/>
    <n v="45"/>
    <x v="0"/>
    <x v="0"/>
    <x v="0"/>
    <s v="High Price"/>
    <s v="Low Volume"/>
    <x v="0"/>
    <s v="May"/>
    <x v="0"/>
    <x v="2"/>
    <x v="3"/>
  </r>
  <r>
    <s v="ZDC-64769-740"/>
    <x v="678"/>
    <s v="79463-01597-FQ"/>
    <x v="24"/>
    <n v="1"/>
    <x v="888"/>
    <s v=""/>
    <x v="0"/>
    <s v="Exc"/>
    <s v="M"/>
    <x v="1"/>
    <n v="8.25"/>
    <n v="8.25"/>
    <x v="3"/>
    <x v="2"/>
    <x v="1"/>
    <n v="1"/>
    <n v="8.25"/>
    <x v="0"/>
    <x v="0"/>
    <x v="0"/>
    <s v="Low Price"/>
    <s v="Low Volume"/>
    <x v="3"/>
    <s v="September"/>
    <x v="3"/>
    <x v="3"/>
    <x v="1"/>
  </r>
  <r>
    <s v="ZDK-82166-357"/>
    <x v="83"/>
    <s v="81431-12577-VD"/>
    <x v="35"/>
    <n v="3"/>
    <x v="889"/>
    <s v="bkeaveney2f@netlog.com"/>
    <x v="0"/>
    <s v="Ara"/>
    <s v="M"/>
    <x v="0"/>
    <n v="11.25"/>
    <n v="33.75"/>
    <x v="2"/>
    <x v="2"/>
    <x v="1"/>
    <n v="1"/>
    <n v="33.75"/>
    <x v="0"/>
    <x v="0"/>
    <x v="0"/>
    <s v="High Price"/>
    <s v="Low Volume"/>
    <x v="0"/>
    <s v="April"/>
    <x v="0"/>
    <x v="2"/>
    <x v="3"/>
  </r>
  <r>
    <s v="ZDK-84567-102"/>
    <x v="470"/>
    <s v="58690-31815-VY"/>
    <x v="18"/>
    <n v="3"/>
    <x v="890"/>
    <s v="ihussey84@mapy.cz"/>
    <x v="0"/>
    <s v="Ara"/>
    <s v="D"/>
    <x v="1"/>
    <n v="5.97"/>
    <n v="17.91"/>
    <x v="2"/>
    <x v="0"/>
    <x v="1"/>
    <n v="1"/>
    <n v="17.91"/>
    <x v="0"/>
    <x v="0"/>
    <x v="0"/>
    <s v="Low Price"/>
    <s v="Low Volume"/>
    <x v="3"/>
    <s v="November"/>
    <x v="1"/>
    <x v="7"/>
    <x v="1"/>
  </r>
  <r>
    <s v="ZFR-79447-696"/>
    <x v="679"/>
    <s v="77828-66867-KH"/>
    <x v="6"/>
    <n v="1"/>
    <x v="891"/>
    <s v=""/>
    <x v="0"/>
    <s v="Rob"/>
    <s v="M"/>
    <x v="1"/>
    <n v="5.97"/>
    <n v="5.97"/>
    <x v="0"/>
    <x v="2"/>
    <x v="0"/>
    <n v="1"/>
    <n v="5.97"/>
    <x v="0"/>
    <x v="0"/>
    <x v="0"/>
    <s v="Low Price"/>
    <s v="Low Volume"/>
    <x v="3"/>
    <s v="March"/>
    <x v="2"/>
    <x v="5"/>
    <x v="3"/>
  </r>
  <r>
    <s v="ZFS-30776-804"/>
    <x v="445"/>
    <s v="58638-01029-CB"/>
    <x v="16"/>
    <n v="5"/>
    <x v="892"/>
    <s v="bmcamish2e@tripadvisor.com"/>
    <x v="0"/>
    <s v="Ara"/>
    <s v="L"/>
    <x v="1"/>
    <n v="7.77"/>
    <n v="38.849999999999994"/>
    <x v="2"/>
    <x v="1"/>
    <x v="0"/>
    <n v="1"/>
    <n v="38.849999999999994"/>
    <x v="0"/>
    <x v="0"/>
    <x v="0"/>
    <s v="High Price"/>
    <s v="High Volume"/>
    <x v="1"/>
    <s v="February"/>
    <x v="2"/>
    <x v="6"/>
    <x v="2"/>
  </r>
  <r>
    <s v="ZGD-94763-868"/>
    <x v="680"/>
    <s v="53086-67334-KT"/>
    <x v="39"/>
    <n v="1"/>
    <x v="893"/>
    <s v="mbrockway8r@ibm.com"/>
    <x v="0"/>
    <s v="Exc"/>
    <s v="L"/>
    <x v="2"/>
    <n v="34.154999999999994"/>
    <n v="34.154999999999994"/>
    <x v="3"/>
    <x v="1"/>
    <x v="0"/>
    <n v="1"/>
    <n v="34.154999999999994"/>
    <x v="0"/>
    <x v="0"/>
    <x v="0"/>
    <s v="High Price"/>
    <s v="Low Volume"/>
    <x v="0"/>
    <s v="December"/>
    <x v="1"/>
    <x v="10"/>
    <x v="2"/>
  </r>
  <r>
    <s v="ZGK-97262-313"/>
    <x v="681"/>
    <s v="02536-18494-AQ"/>
    <x v="4"/>
    <n v="3"/>
    <x v="894"/>
    <s v=""/>
    <x v="0"/>
    <s v="Exc"/>
    <s v="M"/>
    <x v="2"/>
    <n v="31.624999999999996"/>
    <n v="94.874999999999986"/>
    <x v="3"/>
    <x v="2"/>
    <x v="0"/>
    <n v="1"/>
    <n v="94.874999999999986"/>
    <x v="0"/>
    <x v="0"/>
    <x v="1"/>
    <s v="High Price"/>
    <s v="Low Volume"/>
    <x v="0"/>
    <s v="July"/>
    <x v="3"/>
    <x v="3"/>
    <x v="0"/>
  </r>
  <r>
    <s v="ZGM-83108-823"/>
    <x v="682"/>
    <s v="84132-22322-QT"/>
    <x v="45"/>
    <n v="1"/>
    <x v="895"/>
    <s v="pbrydell8m@bloglovin.com"/>
    <x v="1"/>
    <s v="Exc"/>
    <s v="L"/>
    <x v="0"/>
    <n v="14.85"/>
    <n v="14.85"/>
    <x v="3"/>
    <x v="1"/>
    <x v="1"/>
    <n v="1"/>
    <n v="14.85"/>
    <x v="0"/>
    <x v="0"/>
    <x v="0"/>
    <s v="Low Price"/>
    <s v="Low Volume"/>
    <x v="3"/>
    <s v="January"/>
    <x v="2"/>
    <x v="10"/>
    <x v="2"/>
  </r>
  <r>
    <s v="ZHQ-30471-635"/>
    <x v="194"/>
    <s v="40600-58915-WZ"/>
    <x v="37"/>
    <n v="5"/>
    <x v="896"/>
    <s v="sdanilchikl6@mit.edu"/>
    <x v="2"/>
    <s v="Lib"/>
    <s v="M"/>
    <x v="1"/>
    <n v="8.73"/>
    <n v="43.650000000000006"/>
    <x v="1"/>
    <x v="2"/>
    <x v="1"/>
    <n v="1"/>
    <n v="43.650000000000006"/>
    <x v="0"/>
    <x v="0"/>
    <x v="0"/>
    <s v="High Price"/>
    <s v="High Volume"/>
    <x v="1"/>
    <s v="April"/>
    <x v="0"/>
    <x v="4"/>
    <x v="3"/>
  </r>
  <r>
    <s v="ZIL-34948-499"/>
    <x v="225"/>
    <s v="66458-91190-YC"/>
    <x v="18"/>
    <n v="2"/>
    <x v="92"/>
    <s v="murione5@alexa.com"/>
    <x v="1"/>
    <s v="Ara"/>
    <s v="D"/>
    <x v="1"/>
    <n v="5.97"/>
    <n v="11.94"/>
    <x v="2"/>
    <x v="0"/>
    <x v="0"/>
    <n v="1"/>
    <n v="11.94"/>
    <x v="0"/>
    <x v="0"/>
    <x v="0"/>
    <s v="Low Price"/>
    <s v="Low Volume"/>
    <x v="3"/>
    <s v="July"/>
    <x v="3"/>
    <x v="7"/>
    <x v="0"/>
  </r>
  <r>
    <s v="ZJE-89333-489"/>
    <x v="565"/>
    <s v="08694-57330-XR"/>
    <x v="28"/>
    <n v="1"/>
    <x v="897"/>
    <s v="vkundt3w@bigcartel.com"/>
    <x v="1"/>
    <s v="Lib"/>
    <s v="D"/>
    <x v="2"/>
    <n v="29.784999999999997"/>
    <n v="29.784999999999997"/>
    <x v="1"/>
    <x v="0"/>
    <x v="0"/>
    <n v="1"/>
    <n v="29.784999999999997"/>
    <x v="0"/>
    <x v="0"/>
    <x v="0"/>
    <s v="Low Price"/>
    <s v="Low Volume"/>
    <x v="3"/>
    <s v="May"/>
    <x v="0"/>
    <x v="9"/>
    <x v="3"/>
  </r>
  <r>
    <s v="ZKI-78561-066"/>
    <x v="626"/>
    <s v="60121-12432-VU"/>
    <x v="43"/>
    <n v="3"/>
    <x v="898"/>
    <s v="mvannj@wikipedia.org"/>
    <x v="0"/>
    <s v="Ara"/>
    <s v="D"/>
    <x v="3"/>
    <n v="2.9849999999999999"/>
    <n v="8.9550000000000001"/>
    <x v="2"/>
    <x v="0"/>
    <x v="0"/>
    <n v="1"/>
    <n v="8.9550000000000001"/>
    <x v="0"/>
    <x v="0"/>
    <x v="0"/>
    <s v="Low Price"/>
    <s v="Low Volume"/>
    <x v="3"/>
    <s v="September"/>
    <x v="3"/>
    <x v="7"/>
    <x v="1"/>
  </r>
  <r>
    <s v="ZMC-00336-619"/>
    <x v="424"/>
    <s v="19849-12926-QF"/>
    <x v="2"/>
    <n v="4"/>
    <x v="899"/>
    <s v="lledgleyp6@de.vu"/>
    <x v="0"/>
    <s v="Ara"/>
    <s v="M"/>
    <x v="1"/>
    <n v="6.75"/>
    <n v="27"/>
    <x v="2"/>
    <x v="2"/>
    <x v="0"/>
    <n v="1"/>
    <n v="27"/>
    <x v="0"/>
    <x v="0"/>
    <x v="0"/>
    <s v="Low Price"/>
    <s v="Low Volume"/>
    <x v="3"/>
    <s v="January"/>
    <x v="2"/>
    <x v="2"/>
    <x v="2"/>
  </r>
  <r>
    <s v="ZMU-63715-204"/>
    <x v="450"/>
    <s v="29060-75856-UI"/>
    <x v="12"/>
    <n v="6"/>
    <x v="900"/>
    <s v="irenhardh6@i2i.jp"/>
    <x v="0"/>
    <s v="Exc"/>
    <s v="D"/>
    <x v="0"/>
    <n v="12.15"/>
    <n v="72.900000000000006"/>
    <x v="3"/>
    <x v="0"/>
    <x v="0"/>
    <n v="1"/>
    <n v="72.900000000000006"/>
    <x v="0"/>
    <x v="0"/>
    <x v="1"/>
    <s v="High Price"/>
    <s v="High Volume"/>
    <x v="1"/>
    <s v="September"/>
    <x v="3"/>
    <x v="8"/>
    <x v="1"/>
  </r>
  <r>
    <s v="ZPW-31329-741"/>
    <x v="683"/>
    <s v="27132-68907-RC"/>
    <x v="42"/>
    <n v="1"/>
    <x v="164"/>
    <s v="abrashda@plala.or.jp"/>
    <x v="0"/>
    <s v="Exc"/>
    <s v="M"/>
    <x v="3"/>
    <n v="4.125"/>
    <n v="4.125"/>
    <x v="3"/>
    <x v="2"/>
    <x v="0"/>
    <n v="3"/>
    <n v="61.441666666666663"/>
    <x v="1"/>
    <x v="1"/>
    <x v="0"/>
    <s v="Low Price"/>
    <s v="Low Volume"/>
    <x v="3"/>
    <s v="June"/>
    <x v="0"/>
    <x v="3"/>
    <x v="0"/>
  </r>
  <r>
    <s v="ZPW-31329-741"/>
    <x v="683"/>
    <s v="27132-68907-RC"/>
    <x v="0"/>
    <n v="6"/>
    <x v="164"/>
    <s v="abrashda@plala.or.jp"/>
    <x v="0"/>
    <s v="Rob"/>
    <s v="D"/>
    <x v="0"/>
    <n v="8.9499999999999993"/>
    <n v="53.699999999999996"/>
    <x v="0"/>
    <x v="0"/>
    <x v="0"/>
    <n v="3"/>
    <n v="61.441666666666663"/>
    <x v="1"/>
    <x v="1"/>
    <x v="1"/>
    <s v="High Price"/>
    <s v="High Volume"/>
    <x v="1"/>
    <s v="June"/>
    <x v="0"/>
    <x v="0"/>
    <x v="0"/>
  </r>
  <r>
    <s v="ZPW-31329-741"/>
    <x v="683"/>
    <s v="27132-68907-RC"/>
    <x v="4"/>
    <n v="4"/>
    <x v="164"/>
    <s v="abrashda@plala.or.jp"/>
    <x v="0"/>
    <s v="Exc"/>
    <s v="M"/>
    <x v="2"/>
    <n v="31.624999999999996"/>
    <n v="126.49999999999999"/>
    <x v="3"/>
    <x v="2"/>
    <x v="0"/>
    <n v="3"/>
    <n v="61.441666666666663"/>
    <x v="1"/>
    <x v="1"/>
    <x v="3"/>
    <s v="High Price"/>
    <s v="Low Volume"/>
    <x v="0"/>
    <s v="June"/>
    <x v="0"/>
    <x v="3"/>
    <x v="0"/>
  </r>
  <r>
    <s v="ZQI-47236-301"/>
    <x v="593"/>
    <s v="23446-47798-ID"/>
    <x v="30"/>
    <n v="5"/>
    <x v="901"/>
    <s v="cthowescp@craigslist.org"/>
    <x v="0"/>
    <s v="Lib"/>
    <s v="L"/>
    <x v="1"/>
    <n v="9.51"/>
    <n v="47.55"/>
    <x v="1"/>
    <x v="1"/>
    <x v="1"/>
    <n v="1"/>
    <n v="47.55"/>
    <x v="0"/>
    <x v="0"/>
    <x v="0"/>
    <s v="High Price"/>
    <s v="High Volume"/>
    <x v="1"/>
    <s v="July"/>
    <x v="3"/>
    <x v="1"/>
    <x v="0"/>
  </r>
  <r>
    <s v="ZSL-66684-103"/>
    <x v="684"/>
    <s v="39193-51770-FM"/>
    <x v="42"/>
    <n v="2"/>
    <x v="902"/>
    <s v="lbenediktovichiy@wunderground.com"/>
    <x v="0"/>
    <s v="Exc"/>
    <s v="M"/>
    <x v="3"/>
    <n v="4.125"/>
    <n v="8.25"/>
    <x v="3"/>
    <x v="2"/>
    <x v="0"/>
    <n v="1"/>
    <n v="8.25"/>
    <x v="0"/>
    <x v="0"/>
    <x v="0"/>
    <s v="Low Price"/>
    <s v="Low Volume"/>
    <x v="3"/>
    <s v="December"/>
    <x v="1"/>
    <x v="3"/>
    <x v="2"/>
  </r>
  <r>
    <s v="ZSO-58292-191"/>
    <x v="472"/>
    <s v="66794-66795-VW"/>
    <x v="47"/>
    <n v="4"/>
    <x v="903"/>
    <s v=""/>
    <x v="0"/>
    <s v="Rob"/>
    <s v="D"/>
    <x v="1"/>
    <n v="5.3699999999999992"/>
    <n v="21.479999999999997"/>
    <x v="0"/>
    <x v="0"/>
    <x v="1"/>
    <n v="1"/>
    <n v="21.479999999999997"/>
    <x v="0"/>
    <x v="0"/>
    <x v="0"/>
    <s v="Low Price"/>
    <s v="Low Volume"/>
    <x v="3"/>
    <s v="June"/>
    <x v="0"/>
    <x v="0"/>
    <x v="0"/>
  </r>
  <r>
    <s v="ZTX-80764-911"/>
    <x v="406"/>
    <s v="92793-68332-NR"/>
    <x v="14"/>
    <n v="6"/>
    <x v="904"/>
    <s v="hperrise4@studiopress.com"/>
    <x v="1"/>
    <s v="Lib"/>
    <s v="D"/>
    <x v="1"/>
    <n v="7.77"/>
    <n v="46.62"/>
    <x v="1"/>
    <x v="0"/>
    <x v="1"/>
    <n v="1"/>
    <n v="46.62"/>
    <x v="0"/>
    <x v="0"/>
    <x v="0"/>
    <s v="High Price"/>
    <s v="High Volume"/>
    <x v="1"/>
    <s v="January"/>
    <x v="2"/>
    <x v="9"/>
    <x v="2"/>
  </r>
  <r>
    <s v="ZUR-55774-294"/>
    <x v="516"/>
    <s v="33269-10023-CO"/>
    <x v="19"/>
    <n v="6"/>
    <x v="905"/>
    <s v="usoutherdenln@hao123.com"/>
    <x v="0"/>
    <s v="Lib"/>
    <s v="D"/>
    <x v="0"/>
    <n v="12.95"/>
    <n v="77.699999999999989"/>
    <x v="1"/>
    <x v="0"/>
    <x v="0"/>
    <n v="1"/>
    <n v="77.699999999999989"/>
    <x v="0"/>
    <x v="0"/>
    <x v="1"/>
    <s v="High Price"/>
    <s v="High Volume"/>
    <x v="1"/>
    <s v="June"/>
    <x v="0"/>
    <x v="9"/>
    <x v="0"/>
  </r>
  <r>
    <s v="ZVG-20473-043"/>
    <x v="179"/>
    <s v="71769-10219-IM"/>
    <x v="43"/>
    <n v="3"/>
    <x v="906"/>
    <s v="dkornelcy@cyberchimps.com"/>
    <x v="0"/>
    <s v="Ara"/>
    <s v="D"/>
    <x v="3"/>
    <n v="2.9849999999999999"/>
    <n v="8.9550000000000001"/>
    <x v="2"/>
    <x v="0"/>
    <x v="0"/>
    <n v="1"/>
    <n v="8.9550000000000001"/>
    <x v="0"/>
    <x v="0"/>
    <x v="0"/>
    <s v="Low Price"/>
    <s v="Low Volume"/>
    <x v="3"/>
    <s v="December"/>
    <x v="1"/>
    <x v="7"/>
    <x v="2"/>
  </r>
  <r>
    <s v="ZVQ-26122-859"/>
    <x v="685"/>
    <s v="77154-45038-IH"/>
    <x v="17"/>
    <n v="6"/>
    <x v="907"/>
    <s v="bfolomkinl8@yolasite.com"/>
    <x v="0"/>
    <s v="Ara"/>
    <s v="L"/>
    <x v="2"/>
    <n v="29.784999999999997"/>
    <n v="178.70999999999998"/>
    <x v="2"/>
    <x v="1"/>
    <x v="0"/>
    <n v="1"/>
    <n v="178.70999999999998"/>
    <x v="0"/>
    <x v="0"/>
    <x v="2"/>
    <s v="High Price"/>
    <s v="High Volume"/>
    <x v="1"/>
    <s v="November"/>
    <x v="1"/>
    <x v="6"/>
    <x v="1"/>
  </r>
  <r>
    <s v="ZWI-52029-159"/>
    <x v="686"/>
    <s v="40172-12000-AU"/>
    <x v="21"/>
    <n v="2"/>
    <x v="908"/>
    <s v="lfrancisco42@fema.gov"/>
    <x v="0"/>
    <s v="Exc"/>
    <s v="M"/>
    <x v="0"/>
    <n v="13.75"/>
    <n v="27.5"/>
    <x v="3"/>
    <x v="2"/>
    <x v="1"/>
    <n v="2"/>
    <n v="35.575000000000003"/>
    <x v="1"/>
    <x v="1"/>
    <x v="0"/>
    <s v="Low Price"/>
    <s v="Low Volume"/>
    <x v="3"/>
    <s v="July"/>
    <x v="3"/>
    <x v="3"/>
    <x v="0"/>
  </r>
  <r>
    <s v="ZWI-52029-159"/>
    <x v="686"/>
    <s v="40172-12000-AU"/>
    <x v="34"/>
    <n v="3"/>
    <x v="908"/>
    <s v="lfrancisco42@fema.gov"/>
    <x v="0"/>
    <s v="Lib"/>
    <s v="M"/>
    <x v="0"/>
    <n v="14.55"/>
    <n v="43.650000000000006"/>
    <x v="1"/>
    <x v="2"/>
    <x v="1"/>
    <n v="2"/>
    <n v="35.575000000000003"/>
    <x v="1"/>
    <x v="1"/>
    <x v="0"/>
    <s v="High Price"/>
    <s v="Low Volume"/>
    <x v="0"/>
    <s v="July"/>
    <x v="3"/>
    <x v="4"/>
    <x v="0"/>
  </r>
  <r>
    <s v="ZWK-03995-815"/>
    <x v="687"/>
    <s v="28279-78469-YW"/>
    <x v="4"/>
    <n v="2"/>
    <x v="909"/>
    <s v="ehobbing4v@nsw.gov.au"/>
    <x v="0"/>
    <s v="Exc"/>
    <s v="M"/>
    <x v="2"/>
    <n v="31.624999999999996"/>
    <n v="63.249999999999993"/>
    <x v="3"/>
    <x v="2"/>
    <x v="0"/>
    <n v="1"/>
    <n v="63.249999999999993"/>
    <x v="0"/>
    <x v="0"/>
    <x v="1"/>
    <s v="High Price"/>
    <s v="Low Volume"/>
    <x v="0"/>
    <s v="April"/>
    <x v="0"/>
    <x v="3"/>
    <x v="3"/>
  </r>
  <r>
    <s v="ZYQ-15797-695"/>
    <x v="254"/>
    <s v="79436-73011-MM"/>
    <x v="47"/>
    <n v="5"/>
    <x v="910"/>
    <s v=""/>
    <x v="2"/>
    <s v="Rob"/>
    <s v="D"/>
    <x v="1"/>
    <n v="5.3699999999999992"/>
    <n v="26.849999999999994"/>
    <x v="0"/>
    <x v="0"/>
    <x v="0"/>
    <n v="1"/>
    <n v="26.849999999999994"/>
    <x v="0"/>
    <x v="0"/>
    <x v="0"/>
    <s v="Low Price"/>
    <s v="High Volume"/>
    <x v="2"/>
    <s v="February"/>
    <x v="2"/>
    <x v="0"/>
    <x v="2"/>
  </r>
  <r>
    <s v="ZYU-11345-774"/>
    <x v="688"/>
    <s v="18293-78136-MN"/>
    <x v="37"/>
    <n v="5"/>
    <x v="911"/>
    <s v="cpenwardenit@mlb.com"/>
    <x v="1"/>
    <s v="Lib"/>
    <s v="M"/>
    <x v="1"/>
    <n v="8.73"/>
    <n v="43.650000000000006"/>
    <x v="1"/>
    <x v="2"/>
    <x v="1"/>
    <n v="1"/>
    <n v="43.650000000000006"/>
    <x v="0"/>
    <x v="0"/>
    <x v="0"/>
    <s v="High Price"/>
    <s v="High Volume"/>
    <x v="1"/>
    <s v="January"/>
    <x v="2"/>
    <x v="4"/>
    <x v="2"/>
  </r>
  <r>
    <s v="ZZL-76364-387"/>
    <x v="161"/>
    <s v="11263-86515-VU"/>
    <x v="44"/>
    <n v="4"/>
    <x v="912"/>
    <s v="rlongfielday@bluehost.com"/>
    <x v="0"/>
    <s v="Rob"/>
    <s v="L"/>
    <x v="2"/>
    <n v="27.484999999999996"/>
    <n v="109.93999999999998"/>
    <x v="0"/>
    <x v="1"/>
    <x v="1"/>
    <n v="1"/>
    <n v="109.93999999999998"/>
    <x v="0"/>
    <x v="0"/>
    <x v="3"/>
    <s v="High Price"/>
    <s v="Low Volume"/>
    <x v="0"/>
    <s v="September"/>
    <x v="3"/>
    <x v="11"/>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05E1673-23F0-4F3C-9D1F-E6EC03763C57}" name="SalesVSQuantit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9">
  <location ref="A11:D23" firstHeaderRow="0" firstDataRow="1" firstDataCol="1"/>
  <pivotFields count="34">
    <pivotField showAll="0"/>
    <pivotField numFmtId="165" showAll="0">
      <items count="690">
        <item x="94"/>
        <item x="283"/>
        <item x="107"/>
        <item x="555"/>
        <item x="327"/>
        <item x="209"/>
        <item x="172"/>
        <item x="2"/>
        <item x="238"/>
        <item x="39"/>
        <item x="230"/>
        <item x="433"/>
        <item x="243"/>
        <item x="129"/>
        <item x="154"/>
        <item x="474"/>
        <item x="624"/>
        <item x="110"/>
        <item x="321"/>
        <item x="25"/>
        <item x="435"/>
        <item x="151"/>
        <item x="181"/>
        <item x="56"/>
        <item x="505"/>
        <item x="363"/>
        <item x="254"/>
        <item x="108"/>
        <item x="182"/>
        <item x="649"/>
        <item x="79"/>
        <item x="604"/>
        <item x="514"/>
        <item x="498"/>
        <item x="375"/>
        <item x="233"/>
        <item x="566"/>
        <item x="43"/>
        <item x="665"/>
        <item x="88"/>
        <item x="598"/>
        <item x="421"/>
        <item x="520"/>
        <item x="320"/>
        <item x="279"/>
        <item x="102"/>
        <item x="194"/>
        <item x="456"/>
        <item x="118"/>
        <item x="648"/>
        <item x="64"/>
        <item x="533"/>
        <item x="501"/>
        <item x="422"/>
        <item x="8"/>
        <item x="353"/>
        <item x="103"/>
        <item x="195"/>
        <item x="339"/>
        <item x="643"/>
        <item x="654"/>
        <item x="271"/>
        <item x="389"/>
        <item x="475"/>
        <item x="522"/>
        <item x="20"/>
        <item x="144"/>
        <item x="462"/>
        <item x="397"/>
        <item x="588"/>
        <item x="229"/>
        <item x="469"/>
        <item x="400"/>
        <item x="391"/>
        <item x="683"/>
        <item x="603"/>
        <item x="660"/>
        <item x="447"/>
        <item x="207"/>
        <item x="619"/>
        <item x="351"/>
        <item x="638"/>
        <item x="662"/>
        <item x="390"/>
        <item x="477"/>
        <item x="112"/>
        <item x="226"/>
        <item x="364"/>
        <item x="600"/>
        <item x="109"/>
        <item x="231"/>
        <item x="241"/>
        <item x="92"/>
        <item x="106"/>
        <item x="362"/>
        <item x="430"/>
        <item x="37"/>
        <item x="540"/>
        <item x="257"/>
        <item x="438"/>
        <item x="384"/>
        <item x="608"/>
        <item x="593"/>
        <item x="316"/>
        <item x="580"/>
        <item x="350"/>
        <item x="383"/>
        <item x="258"/>
        <item x="296"/>
        <item x="457"/>
        <item x="191"/>
        <item x="611"/>
        <item x="423"/>
        <item x="235"/>
        <item x="388"/>
        <item x="534"/>
        <item x="544"/>
        <item x="145"/>
        <item x="653"/>
        <item x="374"/>
        <item x="633"/>
        <item x="418"/>
        <item x="294"/>
        <item x="575"/>
        <item x="255"/>
        <item x="567"/>
        <item x="66"/>
        <item x="346"/>
        <item x="259"/>
        <item x="63"/>
        <item x="667"/>
        <item x="174"/>
        <item x="678"/>
        <item x="548"/>
        <item x="471"/>
        <item x="411"/>
        <item x="431"/>
        <item x="628"/>
        <item x="476"/>
        <item x="270"/>
        <item x="199"/>
        <item x="568"/>
        <item x="586"/>
        <item x="40"/>
        <item x="545"/>
        <item x="634"/>
        <item x="155"/>
        <item x="489"/>
        <item x="467"/>
        <item x="491"/>
        <item x="149"/>
        <item x="460"/>
        <item x="91"/>
        <item x="273"/>
        <item x="672"/>
        <item x="120"/>
        <item x="478"/>
        <item x="130"/>
        <item x="674"/>
        <item x="227"/>
        <item x="440"/>
        <item x="266"/>
        <item x="299"/>
        <item x="631"/>
        <item x="329"/>
        <item x="307"/>
        <item x="488"/>
        <item x="685"/>
        <item x="573"/>
        <item x="50"/>
        <item x="286"/>
        <item x="48"/>
        <item x="532"/>
        <item x="281"/>
        <item x="15"/>
        <item x="61"/>
        <item x="67"/>
        <item x="599"/>
        <item x="558"/>
        <item x="75"/>
        <item x="55"/>
        <item x="680"/>
        <item x="684"/>
        <item x="344"/>
        <item x="52"/>
        <item x="419"/>
        <item x="232"/>
        <item x="134"/>
        <item x="572"/>
        <item x="455"/>
        <item x="171"/>
        <item x="661"/>
        <item x="524"/>
        <item x="416"/>
        <item x="219"/>
        <item x="196"/>
        <item x="36"/>
        <item x="420"/>
        <item x="100"/>
        <item x="574"/>
        <item x="601"/>
        <item x="6"/>
        <item x="562"/>
        <item x="625"/>
        <item x="590"/>
        <item x="253"/>
        <item x="148"/>
        <item x="569"/>
        <item x="335"/>
        <item x="492"/>
        <item x="526"/>
        <item x="439"/>
        <item x="252"/>
        <item x="16"/>
        <item x="166"/>
        <item x="204"/>
        <item x="425"/>
        <item x="137"/>
        <item x="490"/>
        <item x="564"/>
        <item x="60"/>
        <item x="319"/>
        <item x="256"/>
        <item x="676"/>
        <item x="559"/>
        <item x="222"/>
        <item x="81"/>
        <item x="666"/>
        <item x="484"/>
        <item x="605"/>
        <item x="546"/>
        <item x="453"/>
        <item x="170"/>
        <item x="164"/>
        <item x="17"/>
        <item x="509"/>
        <item x="584"/>
        <item x="291"/>
        <item x="282"/>
        <item x="262"/>
        <item x="236"/>
        <item x="656"/>
        <item x="324"/>
        <item x="35"/>
        <item x="645"/>
        <item x="343"/>
        <item x="618"/>
        <item x="434"/>
        <item x="245"/>
        <item x="298"/>
        <item x="264"/>
        <item x="359"/>
        <item x="213"/>
        <item x="13"/>
        <item x="12"/>
        <item x="34"/>
        <item x="485"/>
        <item x="360"/>
        <item x="177"/>
        <item x="293"/>
        <item x="368"/>
        <item x="396"/>
        <item x="132"/>
        <item x="516"/>
        <item x="261"/>
        <item x="357"/>
        <item x="531"/>
        <item x="263"/>
        <item x="518"/>
        <item x="444"/>
        <item x="45"/>
        <item x="19"/>
        <item x="97"/>
        <item x="486"/>
        <item x="312"/>
        <item x="216"/>
        <item x="330"/>
        <item x="292"/>
        <item x="18"/>
        <item x="328"/>
        <item x="14"/>
        <item x="664"/>
        <item x="96"/>
        <item x="686"/>
        <item x="308"/>
        <item x="225"/>
        <item x="553"/>
        <item x="366"/>
        <item x="73"/>
        <item x="515"/>
        <item x="42"/>
        <item x="125"/>
        <item x="295"/>
        <item x="415"/>
        <item x="549"/>
        <item x="30"/>
        <item x="381"/>
        <item x="146"/>
        <item x="22"/>
        <item x="84"/>
        <item x="126"/>
        <item x="508"/>
        <item x="127"/>
        <item x="571"/>
        <item x="373"/>
        <item x="11"/>
        <item x="10"/>
        <item x="161"/>
        <item x="385"/>
        <item x="115"/>
        <item x="345"/>
        <item x="188"/>
        <item x="9"/>
        <item x="507"/>
        <item x="675"/>
        <item x="677"/>
        <item x="622"/>
        <item x="31"/>
        <item x="322"/>
        <item x="429"/>
        <item x="554"/>
        <item x="29"/>
        <item x="401"/>
        <item x="173"/>
        <item x="409"/>
        <item x="288"/>
        <item x="105"/>
        <item x="65"/>
        <item x="53"/>
        <item x="51"/>
        <item x="629"/>
        <item x="443"/>
        <item x="610"/>
        <item x="135"/>
        <item x="500"/>
        <item x="560"/>
        <item x="523"/>
        <item x="1"/>
        <item x="499"/>
        <item x="587"/>
        <item x="114"/>
        <item x="543"/>
        <item x="483"/>
        <item x="494"/>
        <item x="407"/>
        <item x="495"/>
        <item x="449"/>
        <item x="602"/>
        <item x="369"/>
        <item x="206"/>
        <item x="122"/>
        <item x="313"/>
        <item x="556"/>
        <item x="426"/>
        <item x="670"/>
        <item x="361"/>
        <item x="272"/>
        <item x="442"/>
        <item x="179"/>
        <item x="46"/>
        <item x="657"/>
        <item x="86"/>
        <item x="637"/>
        <item x="473"/>
        <item x="72"/>
        <item x="104"/>
        <item x="70"/>
        <item x="300"/>
        <item x="432"/>
        <item x="302"/>
        <item x="595"/>
        <item x="212"/>
        <item x="607"/>
        <item x="688"/>
        <item x="169"/>
        <item x="160"/>
        <item x="406"/>
        <item x="436"/>
        <item x="627"/>
        <item x="632"/>
        <item x="446"/>
        <item x="185"/>
        <item x="591"/>
        <item x="152"/>
        <item x="537"/>
        <item x="3"/>
        <item x="95"/>
        <item x="93"/>
        <item x="306"/>
        <item x="5"/>
        <item x="445"/>
        <item x="481"/>
        <item x="159"/>
        <item x="244"/>
        <item x="458"/>
        <item x="87"/>
        <item x="585"/>
        <item x="669"/>
        <item x="636"/>
        <item x="557"/>
        <item x="143"/>
        <item x="517"/>
        <item x="630"/>
        <item x="211"/>
        <item x="635"/>
        <item x="395"/>
        <item x="136"/>
        <item x="142"/>
        <item x="408"/>
        <item x="33"/>
        <item x="589"/>
        <item x="47"/>
        <item x="594"/>
        <item x="138"/>
        <item x="412"/>
        <item x="224"/>
        <item x="162"/>
        <item x="341"/>
        <item x="192"/>
        <item x="615"/>
        <item x="340"/>
        <item x="679"/>
        <item x="323"/>
        <item x="372"/>
        <item x="89"/>
        <item x="77"/>
        <item x="38"/>
        <item x="276"/>
        <item x="427"/>
        <item x="83"/>
        <item x="673"/>
        <item x="116"/>
        <item x="539"/>
        <item x="203"/>
        <item x="141"/>
        <item x="687"/>
        <item x="463"/>
        <item x="184"/>
        <item x="338"/>
        <item x="367"/>
        <item x="497"/>
        <item x="552"/>
        <item x="349"/>
        <item x="647"/>
        <item x="354"/>
        <item x="352"/>
        <item x="277"/>
        <item x="561"/>
        <item x="275"/>
        <item x="371"/>
        <item x="616"/>
        <item x="378"/>
        <item x="403"/>
        <item x="461"/>
        <item x="410"/>
        <item x="218"/>
        <item x="284"/>
        <item x="482"/>
        <item x="278"/>
        <item x="21"/>
        <item x="242"/>
        <item x="157"/>
        <item x="131"/>
        <item x="297"/>
        <item x="59"/>
        <item x="27"/>
        <item x="186"/>
        <item x="311"/>
        <item x="85"/>
        <item x="379"/>
        <item x="158"/>
        <item x="183"/>
        <item x="305"/>
        <item x="428"/>
        <item x="519"/>
        <item x="399"/>
        <item x="640"/>
        <item x="326"/>
        <item x="124"/>
        <item x="437"/>
        <item x="200"/>
        <item x="334"/>
        <item x="606"/>
        <item x="303"/>
        <item x="623"/>
        <item x="4"/>
        <item x="147"/>
        <item x="71"/>
        <item x="325"/>
        <item x="190"/>
        <item x="99"/>
        <item x="382"/>
        <item x="655"/>
        <item x="156"/>
        <item x="592"/>
        <item x="583"/>
        <item x="417"/>
        <item x="535"/>
        <item x="542"/>
        <item x="249"/>
        <item x="90"/>
        <item x="58"/>
        <item x="180"/>
        <item x="274"/>
        <item x="479"/>
        <item x="163"/>
        <item x="318"/>
        <item x="337"/>
        <item x="68"/>
        <item x="234"/>
        <item x="113"/>
        <item x="551"/>
        <item x="128"/>
        <item x="336"/>
        <item x="414"/>
        <item x="626"/>
        <item x="150"/>
        <item x="620"/>
        <item x="220"/>
        <item x="502"/>
        <item x="450"/>
        <item x="465"/>
        <item x="550"/>
        <item x="671"/>
        <item x="404"/>
        <item x="487"/>
        <item x="290"/>
        <item x="641"/>
        <item x="119"/>
        <item x="215"/>
        <item x="54"/>
        <item x="74"/>
        <item x="541"/>
        <item x="251"/>
        <item x="309"/>
        <item x="57"/>
        <item x="304"/>
        <item x="82"/>
        <item x="247"/>
        <item x="178"/>
        <item x="646"/>
        <item x="504"/>
        <item x="314"/>
        <item x="69"/>
        <item x="510"/>
        <item x="392"/>
        <item x="76"/>
        <item x="496"/>
        <item x="168"/>
        <item x="24"/>
        <item x="32"/>
        <item x="217"/>
        <item x="240"/>
        <item x="621"/>
        <item x="394"/>
        <item x="468"/>
        <item x="470"/>
        <item x="139"/>
        <item x="581"/>
        <item x="331"/>
        <item x="260"/>
        <item x="289"/>
        <item x="28"/>
        <item x="393"/>
        <item x="332"/>
        <item x="596"/>
        <item x="358"/>
        <item x="267"/>
        <item x="121"/>
        <item x="214"/>
        <item x="451"/>
        <item x="466"/>
        <item x="355"/>
        <item x="98"/>
        <item x="165"/>
        <item x="527"/>
        <item x="536"/>
        <item x="480"/>
        <item x="248"/>
        <item x="658"/>
        <item x="23"/>
        <item x="512"/>
        <item x="287"/>
        <item x="448"/>
        <item x="198"/>
        <item x="682"/>
        <item x="365"/>
        <item x="424"/>
        <item x="44"/>
        <item x="639"/>
        <item x="348"/>
        <item x="239"/>
        <item x="650"/>
        <item x="347"/>
        <item x="193"/>
        <item x="402"/>
        <item x="578"/>
        <item x="525"/>
        <item x="370"/>
        <item x="614"/>
        <item x="167"/>
        <item x="570"/>
        <item x="547"/>
        <item x="398"/>
        <item x="642"/>
        <item x="503"/>
        <item x="617"/>
        <item x="78"/>
        <item x="380"/>
        <item x="597"/>
        <item x="441"/>
        <item x="386"/>
        <item x="464"/>
        <item x="356"/>
        <item x="237"/>
        <item x="413"/>
        <item x="301"/>
        <item x="280"/>
        <item x="530"/>
        <item x="223"/>
        <item x="333"/>
        <item x="202"/>
        <item x="663"/>
        <item x="506"/>
        <item x="269"/>
        <item x="342"/>
        <item x="111"/>
        <item x="577"/>
        <item x="201"/>
        <item x="123"/>
        <item x="452"/>
        <item x="377"/>
        <item x="221"/>
        <item x="612"/>
        <item x="7"/>
        <item x="513"/>
        <item x="376"/>
        <item x="228"/>
        <item x="265"/>
        <item x="565"/>
        <item x="187"/>
        <item x="454"/>
        <item x="529"/>
        <item x="609"/>
        <item x="521"/>
        <item x="668"/>
        <item x="176"/>
        <item x="579"/>
        <item x="175"/>
        <item x="133"/>
        <item x="644"/>
        <item x="0"/>
        <item x="101"/>
        <item x="659"/>
        <item x="140"/>
        <item x="210"/>
        <item x="41"/>
        <item x="246"/>
        <item x="26"/>
        <item x="472"/>
        <item x="511"/>
        <item x="117"/>
        <item x="62"/>
        <item x="387"/>
        <item x="317"/>
        <item x="205"/>
        <item x="315"/>
        <item x="538"/>
        <item x="310"/>
        <item x="652"/>
        <item x="613"/>
        <item x="197"/>
        <item x="189"/>
        <item x="582"/>
        <item x="268"/>
        <item x="493"/>
        <item x="681"/>
        <item x="153"/>
        <item x="208"/>
        <item x="405"/>
        <item x="576"/>
        <item x="563"/>
        <item x="80"/>
        <item x="49"/>
        <item x="285"/>
        <item x="651"/>
        <item x="528"/>
        <item x="459"/>
        <item x="250"/>
        <item t="default"/>
      </items>
    </pivotField>
    <pivotField showAll="0"/>
    <pivotField axis="axisRow" showAll="0" measureFilter="1" sortType="descending">
      <items count="49">
        <item x="9"/>
        <item x="38"/>
        <item x="6"/>
        <item x="11"/>
        <item x="44"/>
        <item x="31"/>
        <item x="26"/>
        <item x="25"/>
        <item x="13"/>
        <item x="0"/>
        <item x="47"/>
        <item x="15"/>
        <item x="41"/>
        <item x="34"/>
        <item x="37"/>
        <item x="5"/>
        <item x="33"/>
        <item x="1"/>
        <item x="30"/>
        <item x="10"/>
        <item x="28"/>
        <item x="19"/>
        <item x="14"/>
        <item x="29"/>
        <item x="4"/>
        <item x="21"/>
        <item x="24"/>
        <item x="42"/>
        <item x="39"/>
        <item x="45"/>
        <item x="20"/>
        <item x="27"/>
        <item x="32"/>
        <item x="12"/>
        <item x="36"/>
        <item x="40"/>
        <item x="3"/>
        <item x="35"/>
        <item x="2"/>
        <item x="46"/>
        <item x="17"/>
        <item x="7"/>
        <item x="16"/>
        <item x="23"/>
        <item x="22"/>
        <item x="8"/>
        <item x="18"/>
        <item x="43"/>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items count="4">
        <item x="1"/>
        <item x="2"/>
        <item x="0"/>
        <item t="default"/>
      </items>
    </pivotField>
    <pivotField showAll="0"/>
    <pivotField showAll="0"/>
    <pivotField numFmtId="166" showAll="0"/>
    <pivotField numFmtId="167" showAll="0"/>
    <pivotField numFmtId="167" showAll="0"/>
    <pivotField showAll="0">
      <items count="5">
        <item x="2"/>
        <item x="3"/>
        <item x="1"/>
        <item x="0"/>
        <item t="default"/>
      </items>
    </pivotField>
    <pivotField showAll="0"/>
    <pivotField showAll="0"/>
    <pivotField showAll="0"/>
    <pivotField numFmtId="2"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6">
        <item x="0"/>
        <item x="1"/>
        <item x="2"/>
        <item x="3"/>
        <item x="4"/>
        <item x="5"/>
      </items>
    </pivotField>
    <pivotField dataField="1" dragToRow="0" dragToCol="0" dragToPage="0" showAll="0" defaultSubtotal="0"/>
    <pivotField dataField="1" dragToRow="0" dragToCol="0" dragToPage="0" showAll="0" defaultSubtotal="0"/>
    <pivotField dragToRow="0" dragToCol="0" dragToPage="0" showAll="0" defaultSubtotal="0"/>
    <pivotField dragToRow="0" dragToCol="0" dragToPage="0" showAll="0" defaultSubtotal="0"/>
  </pivotFields>
  <rowFields count="1">
    <field x="3"/>
  </rowFields>
  <rowItems count="12">
    <i>
      <x v="7"/>
    </i>
    <i>
      <x v="38"/>
    </i>
    <i>
      <x v="36"/>
    </i>
    <i>
      <x v="37"/>
    </i>
    <i>
      <x v="47"/>
    </i>
    <i>
      <x v="5"/>
    </i>
    <i>
      <x v="11"/>
    </i>
    <i>
      <x v="19"/>
    </i>
    <i>
      <x v="30"/>
    </i>
    <i>
      <x v="25"/>
    </i>
    <i>
      <x v="46"/>
    </i>
    <i t="grand">
      <x/>
    </i>
  </rowItems>
  <colFields count="1">
    <field x="-2"/>
  </colFields>
  <colItems count="3">
    <i>
      <x/>
    </i>
    <i i="1">
      <x v="1"/>
    </i>
    <i i="2">
      <x v="2"/>
    </i>
  </colItems>
  <dataFields count="3">
    <dataField name="Units Sold" fld="4" baseField="0" baseItem="0"/>
    <dataField name="Average" fld="30" baseField="3" baseItem="7" numFmtId="2"/>
    <dataField name="Global Average" fld="31" baseField="3" baseItem="7"/>
  </dataFields>
  <chartFormats count="9">
    <chartFormat chart="5"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1"/>
          </reference>
        </references>
      </pivotArea>
    </chartFormat>
    <chartFormat chart="10" format="0"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1"/>
          </reference>
        </references>
      </pivotArea>
    </chartFormat>
    <chartFormat chart="13"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1"/>
          </reference>
        </references>
      </pivotArea>
    </chartFormat>
    <chartFormat chart="30" format="6" series="1">
      <pivotArea type="data" outline="0" fieldPosition="0">
        <references count="1">
          <reference field="4294967294" count="1" selected="0">
            <x v="0"/>
          </reference>
        </references>
      </pivotArea>
    </chartFormat>
    <chartFormat chart="30" format="7" series="1">
      <pivotArea type="data" outline="0" fieldPosition="0">
        <references count="1">
          <reference field="4294967294" count="1" selected="0">
            <x v="1"/>
          </reference>
        </references>
      </pivotArea>
    </chartFormat>
    <chartFormat chart="30" format="8" series="1">
      <pivotArea type="data" outline="0" fieldPosition="0">
        <references count="1">
          <reference field="4294967294" count="1" selected="0">
            <x v="2"/>
          </reference>
        </references>
      </pivotArea>
    </chartFormat>
  </chartFormats>
  <pivotTableStyleInfo name="PivotStyleMedium9"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E25B50A-1748-4AA3-AE88-475BB682F492}" name="AverageOrderSizeVSFrequency"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47">
  <location ref="A29:C48" firstHeaderRow="0" firstDataRow="1" firstDataCol="1"/>
  <pivotFields count="34">
    <pivotField compact="0" outline="0" showAll="0"/>
    <pivotField compact="0" numFmtId="165" outline="0" showAll="0">
      <items count="690">
        <item x="94"/>
        <item x="283"/>
        <item x="107"/>
        <item x="555"/>
        <item x="327"/>
        <item x="209"/>
        <item x="172"/>
        <item x="2"/>
        <item x="238"/>
        <item x="39"/>
        <item x="230"/>
        <item x="433"/>
        <item x="243"/>
        <item x="129"/>
        <item x="154"/>
        <item x="474"/>
        <item x="624"/>
        <item x="110"/>
        <item x="321"/>
        <item x="25"/>
        <item x="435"/>
        <item x="151"/>
        <item x="181"/>
        <item x="56"/>
        <item x="505"/>
        <item x="363"/>
        <item x="254"/>
        <item x="108"/>
        <item x="182"/>
        <item x="649"/>
        <item x="79"/>
        <item x="604"/>
        <item x="514"/>
        <item x="498"/>
        <item x="375"/>
        <item x="233"/>
        <item x="566"/>
        <item x="43"/>
        <item x="665"/>
        <item x="88"/>
        <item x="598"/>
        <item x="421"/>
        <item x="520"/>
        <item x="320"/>
        <item x="279"/>
        <item x="102"/>
        <item x="194"/>
        <item x="456"/>
        <item x="118"/>
        <item x="648"/>
        <item x="64"/>
        <item x="533"/>
        <item x="501"/>
        <item x="422"/>
        <item x="8"/>
        <item x="353"/>
        <item x="103"/>
        <item x="195"/>
        <item x="339"/>
        <item x="643"/>
        <item x="654"/>
        <item x="271"/>
        <item x="389"/>
        <item x="475"/>
        <item x="522"/>
        <item x="20"/>
        <item x="144"/>
        <item x="462"/>
        <item x="397"/>
        <item x="588"/>
        <item x="229"/>
        <item x="469"/>
        <item x="400"/>
        <item x="391"/>
        <item x="683"/>
        <item x="603"/>
        <item x="660"/>
        <item x="447"/>
        <item x="207"/>
        <item x="619"/>
        <item x="351"/>
        <item x="638"/>
        <item x="662"/>
        <item x="390"/>
        <item x="477"/>
        <item x="112"/>
        <item x="226"/>
        <item x="364"/>
        <item x="600"/>
        <item x="109"/>
        <item x="231"/>
        <item x="241"/>
        <item x="92"/>
        <item x="106"/>
        <item x="362"/>
        <item x="430"/>
        <item x="37"/>
        <item x="540"/>
        <item x="257"/>
        <item x="438"/>
        <item x="384"/>
        <item x="608"/>
        <item x="593"/>
        <item x="316"/>
        <item x="580"/>
        <item x="350"/>
        <item x="383"/>
        <item x="258"/>
        <item x="296"/>
        <item x="457"/>
        <item x="191"/>
        <item x="611"/>
        <item x="423"/>
        <item x="235"/>
        <item x="388"/>
        <item x="534"/>
        <item x="544"/>
        <item x="145"/>
        <item x="653"/>
        <item x="374"/>
        <item x="633"/>
        <item x="418"/>
        <item x="294"/>
        <item x="575"/>
        <item x="255"/>
        <item x="567"/>
        <item x="66"/>
        <item x="346"/>
        <item x="259"/>
        <item x="63"/>
        <item x="667"/>
        <item x="174"/>
        <item x="678"/>
        <item x="548"/>
        <item x="471"/>
        <item x="411"/>
        <item x="431"/>
        <item x="628"/>
        <item x="476"/>
        <item x="270"/>
        <item x="199"/>
        <item x="568"/>
        <item x="586"/>
        <item x="40"/>
        <item x="545"/>
        <item x="634"/>
        <item x="155"/>
        <item x="489"/>
        <item x="467"/>
        <item x="491"/>
        <item x="149"/>
        <item x="460"/>
        <item x="91"/>
        <item x="273"/>
        <item x="672"/>
        <item x="120"/>
        <item x="478"/>
        <item x="130"/>
        <item x="674"/>
        <item x="227"/>
        <item x="440"/>
        <item x="266"/>
        <item x="299"/>
        <item x="631"/>
        <item x="329"/>
        <item x="307"/>
        <item x="488"/>
        <item x="685"/>
        <item x="573"/>
        <item x="50"/>
        <item x="286"/>
        <item x="48"/>
        <item x="532"/>
        <item x="281"/>
        <item x="15"/>
        <item x="61"/>
        <item x="67"/>
        <item x="599"/>
        <item x="558"/>
        <item x="75"/>
        <item x="55"/>
        <item x="680"/>
        <item x="684"/>
        <item x="344"/>
        <item x="52"/>
        <item x="419"/>
        <item x="232"/>
        <item x="134"/>
        <item x="572"/>
        <item x="455"/>
        <item x="171"/>
        <item x="661"/>
        <item x="524"/>
        <item x="416"/>
        <item x="219"/>
        <item x="196"/>
        <item x="36"/>
        <item x="420"/>
        <item x="100"/>
        <item x="574"/>
        <item x="601"/>
        <item x="6"/>
        <item x="562"/>
        <item x="625"/>
        <item x="590"/>
        <item x="253"/>
        <item x="148"/>
        <item x="569"/>
        <item x="335"/>
        <item x="492"/>
        <item x="526"/>
        <item x="439"/>
        <item x="252"/>
        <item x="16"/>
        <item x="166"/>
        <item x="204"/>
        <item x="425"/>
        <item x="137"/>
        <item x="490"/>
        <item x="564"/>
        <item x="60"/>
        <item x="319"/>
        <item x="256"/>
        <item x="676"/>
        <item x="559"/>
        <item x="222"/>
        <item x="81"/>
        <item x="666"/>
        <item x="484"/>
        <item x="605"/>
        <item x="546"/>
        <item x="453"/>
        <item x="170"/>
        <item x="164"/>
        <item x="17"/>
        <item x="509"/>
        <item x="584"/>
        <item x="291"/>
        <item x="282"/>
        <item x="262"/>
        <item x="236"/>
        <item x="656"/>
        <item x="324"/>
        <item x="35"/>
        <item x="645"/>
        <item x="343"/>
        <item x="618"/>
        <item x="434"/>
        <item x="245"/>
        <item x="298"/>
        <item x="264"/>
        <item x="359"/>
        <item x="213"/>
        <item x="13"/>
        <item x="12"/>
        <item x="34"/>
        <item x="485"/>
        <item x="360"/>
        <item x="177"/>
        <item x="293"/>
        <item x="368"/>
        <item x="396"/>
        <item x="132"/>
        <item x="516"/>
        <item x="261"/>
        <item x="357"/>
        <item x="531"/>
        <item x="263"/>
        <item x="518"/>
        <item x="444"/>
        <item x="45"/>
        <item x="19"/>
        <item x="97"/>
        <item x="486"/>
        <item x="312"/>
        <item x="216"/>
        <item x="330"/>
        <item x="292"/>
        <item x="18"/>
        <item x="328"/>
        <item x="14"/>
        <item x="664"/>
        <item x="96"/>
        <item x="686"/>
        <item x="308"/>
        <item x="225"/>
        <item x="553"/>
        <item x="366"/>
        <item x="73"/>
        <item x="515"/>
        <item x="42"/>
        <item x="125"/>
        <item x="295"/>
        <item x="415"/>
        <item x="549"/>
        <item x="30"/>
        <item x="381"/>
        <item x="146"/>
        <item x="22"/>
        <item x="84"/>
        <item x="126"/>
        <item x="508"/>
        <item x="127"/>
        <item x="571"/>
        <item x="373"/>
        <item x="11"/>
        <item x="10"/>
        <item x="161"/>
        <item x="385"/>
        <item x="115"/>
        <item x="345"/>
        <item x="188"/>
        <item x="9"/>
        <item x="507"/>
        <item x="675"/>
        <item x="677"/>
        <item x="622"/>
        <item x="31"/>
        <item x="322"/>
        <item x="429"/>
        <item x="554"/>
        <item x="29"/>
        <item x="401"/>
        <item x="173"/>
        <item x="409"/>
        <item x="288"/>
        <item x="105"/>
        <item x="65"/>
        <item x="53"/>
        <item x="51"/>
        <item x="629"/>
        <item x="443"/>
        <item x="610"/>
        <item x="135"/>
        <item x="500"/>
        <item x="560"/>
        <item x="523"/>
        <item x="1"/>
        <item x="499"/>
        <item x="587"/>
        <item x="114"/>
        <item x="543"/>
        <item x="483"/>
        <item x="494"/>
        <item x="407"/>
        <item x="495"/>
        <item x="449"/>
        <item x="602"/>
        <item x="369"/>
        <item x="206"/>
        <item x="122"/>
        <item x="313"/>
        <item x="556"/>
        <item x="426"/>
        <item x="670"/>
        <item x="361"/>
        <item x="272"/>
        <item x="442"/>
        <item x="179"/>
        <item x="46"/>
        <item x="657"/>
        <item x="86"/>
        <item x="637"/>
        <item x="473"/>
        <item x="72"/>
        <item x="104"/>
        <item x="70"/>
        <item x="300"/>
        <item x="432"/>
        <item x="302"/>
        <item x="595"/>
        <item x="212"/>
        <item x="607"/>
        <item x="688"/>
        <item x="169"/>
        <item x="160"/>
        <item x="406"/>
        <item x="436"/>
        <item x="627"/>
        <item x="632"/>
        <item x="446"/>
        <item x="185"/>
        <item x="591"/>
        <item x="152"/>
        <item x="537"/>
        <item x="3"/>
        <item x="95"/>
        <item x="93"/>
        <item x="306"/>
        <item x="5"/>
        <item x="445"/>
        <item x="481"/>
        <item x="159"/>
        <item x="244"/>
        <item x="458"/>
        <item x="87"/>
        <item x="585"/>
        <item x="669"/>
        <item x="636"/>
        <item x="557"/>
        <item x="143"/>
        <item x="517"/>
        <item x="630"/>
        <item x="211"/>
        <item x="635"/>
        <item x="395"/>
        <item x="136"/>
        <item x="142"/>
        <item x="408"/>
        <item x="33"/>
        <item x="589"/>
        <item x="47"/>
        <item x="594"/>
        <item x="138"/>
        <item x="412"/>
        <item x="224"/>
        <item x="162"/>
        <item x="341"/>
        <item x="192"/>
        <item x="615"/>
        <item x="340"/>
        <item x="679"/>
        <item x="323"/>
        <item x="372"/>
        <item x="89"/>
        <item x="77"/>
        <item x="38"/>
        <item x="276"/>
        <item x="427"/>
        <item x="83"/>
        <item x="673"/>
        <item x="116"/>
        <item x="539"/>
        <item x="203"/>
        <item x="141"/>
        <item x="687"/>
        <item x="463"/>
        <item x="184"/>
        <item x="338"/>
        <item x="367"/>
        <item x="497"/>
        <item x="552"/>
        <item x="349"/>
        <item x="647"/>
        <item x="354"/>
        <item x="352"/>
        <item x="277"/>
        <item x="561"/>
        <item x="275"/>
        <item x="371"/>
        <item x="616"/>
        <item x="378"/>
        <item x="403"/>
        <item x="461"/>
        <item x="410"/>
        <item x="218"/>
        <item x="284"/>
        <item x="482"/>
        <item x="278"/>
        <item x="21"/>
        <item x="242"/>
        <item x="157"/>
        <item x="131"/>
        <item x="297"/>
        <item x="59"/>
        <item x="27"/>
        <item x="186"/>
        <item x="311"/>
        <item x="85"/>
        <item x="379"/>
        <item x="158"/>
        <item x="183"/>
        <item x="305"/>
        <item x="428"/>
        <item x="519"/>
        <item x="399"/>
        <item x="640"/>
        <item x="326"/>
        <item x="124"/>
        <item x="437"/>
        <item x="200"/>
        <item x="334"/>
        <item x="606"/>
        <item x="303"/>
        <item x="623"/>
        <item x="4"/>
        <item x="147"/>
        <item x="71"/>
        <item x="325"/>
        <item x="190"/>
        <item x="99"/>
        <item x="382"/>
        <item x="655"/>
        <item x="156"/>
        <item x="592"/>
        <item x="583"/>
        <item x="417"/>
        <item x="535"/>
        <item x="542"/>
        <item x="249"/>
        <item x="90"/>
        <item x="58"/>
        <item x="180"/>
        <item x="274"/>
        <item x="479"/>
        <item x="163"/>
        <item x="318"/>
        <item x="337"/>
        <item x="68"/>
        <item x="234"/>
        <item x="113"/>
        <item x="551"/>
        <item x="128"/>
        <item x="336"/>
        <item x="414"/>
        <item x="626"/>
        <item x="150"/>
        <item x="620"/>
        <item x="220"/>
        <item x="502"/>
        <item x="450"/>
        <item x="465"/>
        <item x="550"/>
        <item x="671"/>
        <item x="404"/>
        <item x="487"/>
        <item x="290"/>
        <item x="641"/>
        <item x="119"/>
        <item x="215"/>
        <item x="54"/>
        <item x="74"/>
        <item x="541"/>
        <item x="251"/>
        <item x="309"/>
        <item x="57"/>
        <item x="304"/>
        <item x="82"/>
        <item x="247"/>
        <item x="178"/>
        <item x="646"/>
        <item x="504"/>
        <item x="314"/>
        <item x="69"/>
        <item x="510"/>
        <item x="392"/>
        <item x="76"/>
        <item x="496"/>
        <item x="168"/>
        <item x="24"/>
        <item x="32"/>
        <item x="217"/>
        <item x="240"/>
        <item x="621"/>
        <item x="394"/>
        <item x="468"/>
        <item x="470"/>
        <item x="139"/>
        <item x="581"/>
        <item x="331"/>
        <item x="260"/>
        <item x="289"/>
        <item x="28"/>
        <item x="393"/>
        <item x="332"/>
        <item x="596"/>
        <item x="358"/>
        <item x="267"/>
        <item x="121"/>
        <item x="214"/>
        <item x="451"/>
        <item x="466"/>
        <item x="355"/>
        <item x="98"/>
        <item x="165"/>
        <item x="527"/>
        <item x="536"/>
        <item x="480"/>
        <item x="248"/>
        <item x="658"/>
        <item x="23"/>
        <item x="512"/>
        <item x="287"/>
        <item x="448"/>
        <item x="198"/>
        <item x="682"/>
        <item x="365"/>
        <item x="424"/>
        <item x="44"/>
        <item x="639"/>
        <item x="348"/>
        <item x="239"/>
        <item x="650"/>
        <item x="347"/>
        <item x="193"/>
        <item x="402"/>
        <item x="578"/>
        <item x="525"/>
        <item x="370"/>
        <item x="614"/>
        <item x="167"/>
        <item x="570"/>
        <item x="547"/>
        <item x="398"/>
        <item x="642"/>
        <item x="503"/>
        <item x="617"/>
        <item x="78"/>
        <item x="380"/>
        <item x="597"/>
        <item x="441"/>
        <item x="386"/>
        <item x="464"/>
        <item x="356"/>
        <item x="237"/>
        <item x="413"/>
        <item x="301"/>
        <item x="280"/>
        <item x="530"/>
        <item x="223"/>
        <item x="333"/>
        <item x="202"/>
        <item x="663"/>
        <item x="506"/>
        <item x="269"/>
        <item x="342"/>
        <item x="111"/>
        <item x="577"/>
        <item x="201"/>
        <item x="123"/>
        <item x="452"/>
        <item x="377"/>
        <item x="221"/>
        <item x="612"/>
        <item x="7"/>
        <item x="513"/>
        <item x="376"/>
        <item x="228"/>
        <item x="265"/>
        <item x="565"/>
        <item x="187"/>
        <item x="454"/>
        <item x="529"/>
        <item x="609"/>
        <item x="521"/>
        <item x="668"/>
        <item x="176"/>
        <item x="579"/>
        <item x="175"/>
        <item x="133"/>
        <item x="644"/>
        <item x="0"/>
        <item x="101"/>
        <item x="659"/>
        <item x="140"/>
        <item x="210"/>
        <item x="41"/>
        <item x="246"/>
        <item x="26"/>
        <item x="472"/>
        <item x="511"/>
        <item x="117"/>
        <item x="62"/>
        <item x="387"/>
        <item x="317"/>
        <item x="205"/>
        <item x="315"/>
        <item x="538"/>
        <item x="310"/>
        <item x="652"/>
        <item x="613"/>
        <item x="197"/>
        <item x="189"/>
        <item x="582"/>
        <item x="268"/>
        <item x="493"/>
        <item x="681"/>
        <item x="153"/>
        <item x="208"/>
        <item x="405"/>
        <item x="576"/>
        <item x="563"/>
        <item x="80"/>
        <item x="49"/>
        <item x="285"/>
        <item x="651"/>
        <item x="528"/>
        <item x="459"/>
        <item x="250"/>
        <item t="default"/>
      </items>
    </pivotField>
    <pivotField compact="0" outline="0" showAll="0"/>
    <pivotField compact="0" outline="0" showAll="0"/>
    <pivotField compact="0" outline="0" showAll="0"/>
    <pivotField axis="axisRow" compact="0" outline="0" showAll="0" measureFilter="1" sortType="descending">
      <items count="914">
        <item x="589"/>
        <item x="739"/>
        <item x="148"/>
        <item x="438"/>
        <item x="493"/>
        <item x="653"/>
        <item x="95"/>
        <item x="292"/>
        <item x="878"/>
        <item x="203"/>
        <item x="666"/>
        <item x="70"/>
        <item x="680"/>
        <item x="538"/>
        <item x="43"/>
        <item x="364"/>
        <item x="672"/>
        <item x="238"/>
        <item x="818"/>
        <item x="473"/>
        <item x="113"/>
        <item x="343"/>
        <item x="817"/>
        <item x="97"/>
        <item x="812"/>
        <item x="717"/>
        <item x="562"/>
        <item x="143"/>
        <item x="82"/>
        <item x="855"/>
        <item x="219"/>
        <item x="296"/>
        <item x="437"/>
        <item x="425"/>
        <item x="799"/>
        <item x="189"/>
        <item x="654"/>
        <item x="78"/>
        <item x="675"/>
        <item x="819"/>
        <item x="781"/>
        <item x="567"/>
        <item x="379"/>
        <item x="577"/>
        <item x="496"/>
        <item x="318"/>
        <item x="186"/>
        <item x="793"/>
        <item x="218"/>
        <item x="441"/>
        <item x="764"/>
        <item x="766"/>
        <item x="803"/>
        <item x="897"/>
        <item x="442"/>
        <item x="449"/>
        <item x="173"/>
        <item x="231"/>
        <item x="905"/>
        <item x="51"/>
        <item x="412"/>
        <item x="784"/>
        <item x="294"/>
        <item x="795"/>
        <item x="634"/>
        <item x="761"/>
        <item x="20"/>
        <item x="397"/>
        <item x="208"/>
        <item x="517"/>
        <item x="387"/>
        <item x="499"/>
        <item x="83"/>
        <item x="805"/>
        <item x="226"/>
        <item x="106"/>
        <item x="171"/>
        <item x="1"/>
        <item x="691"/>
        <item x="15"/>
        <item x="802"/>
        <item x="349"/>
        <item x="271"/>
        <item x="323"/>
        <item x="514"/>
        <item x="702"/>
        <item x="636"/>
        <item x="740"/>
        <item x="214"/>
        <item x="128"/>
        <item x="216"/>
        <item x="265"/>
        <item x="56"/>
        <item x="468"/>
        <item x="687"/>
        <item x="571"/>
        <item x="659"/>
        <item x="368"/>
        <item x="758"/>
        <item x="2"/>
        <item x="285"/>
        <item x="464"/>
        <item x="177"/>
        <item x="671"/>
        <item x="311"/>
        <item x="700"/>
        <item x="240"/>
        <item x="197"/>
        <item x="606"/>
        <item x="541"/>
        <item x="858"/>
        <item x="869"/>
        <item x="667"/>
        <item x="406"/>
        <item x="130"/>
        <item x="776"/>
        <item x="304"/>
        <item x="782"/>
        <item x="115"/>
        <item x="679"/>
        <item x="252"/>
        <item x="321"/>
        <item x="227"/>
        <item x="134"/>
        <item x="797"/>
        <item x="168"/>
        <item x="96"/>
        <item x="835"/>
        <item x="49"/>
        <item x="862"/>
        <item x="29"/>
        <item x="316"/>
        <item x="331"/>
        <item x="831"/>
        <item x="896"/>
        <item x="888"/>
        <item x="369"/>
        <item x="395"/>
        <item x="596"/>
        <item x="533"/>
        <item x="81"/>
        <item x="844"/>
        <item x="188"/>
        <item x="419"/>
        <item x="402"/>
        <item x="335"/>
        <item x="696"/>
        <item x="655"/>
        <item x="424"/>
        <item x="881"/>
        <item x="66"/>
        <item x="418"/>
        <item x="554"/>
        <item x="12"/>
        <item x="35"/>
        <item x="526"/>
        <item x="298"/>
        <item x="647"/>
        <item x="111"/>
        <item x="322"/>
        <item x="206"/>
        <item x="159"/>
        <item x="153"/>
        <item x="631"/>
        <item x="423"/>
        <item x="673"/>
        <item x="627"/>
        <item x="729"/>
        <item x="887"/>
        <item x="498"/>
        <item x="308"/>
        <item x="221"/>
        <item x="360"/>
        <item x="750"/>
        <item x="796"/>
        <item x="738"/>
        <item x="375"/>
        <item x="258"/>
        <item x="598"/>
        <item x="885"/>
        <item x="211"/>
        <item x="539"/>
        <item x="730"/>
        <item x="399"/>
        <item x="594"/>
        <item x="867"/>
        <item x="91"/>
        <item x="652"/>
        <item x="278"/>
        <item x="312"/>
        <item x="295"/>
        <item x="73"/>
        <item x="903"/>
        <item x="121"/>
        <item x="745"/>
        <item x="307"/>
        <item x="42"/>
        <item x="912"/>
        <item x="44"/>
        <item x="816"/>
        <item x="352"/>
        <item x="448"/>
        <item x="543"/>
        <item x="365"/>
        <item x="474"/>
        <item x="792"/>
        <item x="200"/>
        <item x="736"/>
        <item x="825"/>
        <item x="608"/>
        <item x="59"/>
        <item x="229"/>
        <item x="876"/>
        <item x="310"/>
        <item x="150"/>
        <item x="678"/>
        <item x="829"/>
        <item x="827"/>
        <item x="558"/>
        <item x="703"/>
        <item x="841"/>
        <item x="439"/>
        <item x="868"/>
        <item x="381"/>
        <item x="826"/>
        <item x="241"/>
        <item x="276"/>
        <item x="267"/>
        <item x="895"/>
        <item x="910"/>
        <item x="681"/>
        <item x="233"/>
        <item x="580"/>
        <item x="773"/>
        <item x="620"/>
        <item x="561"/>
        <item x="370"/>
        <item x="611"/>
        <item x="462"/>
        <item x="41"/>
        <item x="277"/>
        <item x="85"/>
        <item x="155"/>
        <item x="400"/>
        <item x="682"/>
        <item x="160"/>
        <item x="705"/>
        <item x="257"/>
        <item x="504"/>
        <item x="16"/>
        <item x="119"/>
        <item x="641"/>
        <item x="234"/>
        <item x="372"/>
        <item x="433"/>
        <item x="11"/>
        <item x="628"/>
        <item x="279"/>
        <item x="715"/>
        <item x="824"/>
        <item x="661"/>
        <item x="275"/>
        <item x="326"/>
        <item x="525"/>
        <item x="565"/>
        <item x="720"/>
        <item x="488"/>
        <item x="613"/>
        <item x="553"/>
        <item x="447"/>
        <item x="436"/>
        <item x="63"/>
        <item x="24"/>
        <item x="118"/>
        <item x="714"/>
        <item x="834"/>
        <item x="332"/>
        <item x="637"/>
        <item x="592"/>
        <item x="798"/>
        <item x="38"/>
        <item x="62"/>
        <item x="584"/>
        <item x="601"/>
        <item x="630"/>
        <item x="445"/>
        <item x="864"/>
        <item x="259"/>
        <item x="898"/>
        <item x="583"/>
        <item x="531"/>
        <item x="785"/>
        <item x="623"/>
        <item x="65"/>
        <item x="621"/>
        <item x="32"/>
        <item x="317"/>
        <item x="749"/>
        <item x="557"/>
        <item x="568"/>
        <item x="71"/>
        <item x="165"/>
        <item x="93"/>
        <item x="396"/>
        <item x="429"/>
        <item x="152"/>
        <item x="860"/>
        <item x="728"/>
        <item x="511"/>
        <item x="658"/>
        <item x="269"/>
        <item x="166"/>
        <item x="618"/>
        <item x="893"/>
        <item x="36"/>
        <item x="138"/>
        <item x="181"/>
        <item x="732"/>
        <item x="198"/>
        <item x="432"/>
        <item x="224"/>
        <item x="643"/>
        <item x="174"/>
        <item x="833"/>
        <item x="9"/>
        <item x="126"/>
        <item x="711"/>
        <item x="291"/>
        <item x="151"/>
        <item x="92"/>
        <item x="64"/>
        <item x="363"/>
        <item x="7"/>
        <item x="880"/>
        <item x="663"/>
        <item x="502"/>
        <item x="359"/>
        <item x="734"/>
        <item x="19"/>
        <item x="884"/>
        <item x="476"/>
        <item x="723"/>
        <item x="140"/>
        <item x="243"/>
        <item x="196"/>
        <item x="633"/>
        <item x="357"/>
        <item x="859"/>
        <item x="489"/>
        <item x="707"/>
        <item x="552"/>
        <item x="33"/>
        <item x="75"/>
        <item x="384"/>
        <item x="865"/>
        <item x="373"/>
        <item x="540"/>
        <item x="684"/>
        <item x="477"/>
        <item x="590"/>
        <item x="287"/>
        <item x="398"/>
        <item x="645"/>
        <item x="847"/>
        <item x="355"/>
        <item x="40"/>
        <item x="225"/>
        <item x="617"/>
        <item x="845"/>
        <item x="475"/>
        <item x="629"/>
        <item x="389"/>
        <item x="77"/>
        <item x="13"/>
        <item x="289"/>
        <item x="854"/>
        <item x="158"/>
        <item x="175"/>
        <item x="908"/>
        <item x="872"/>
        <item x="178"/>
        <item x="755"/>
        <item x="383"/>
        <item x="775"/>
        <item x="828"/>
        <item x="852"/>
        <item x="232"/>
        <item x="247"/>
        <item x="733"/>
        <item x="789"/>
        <item x="899"/>
        <item x="450"/>
        <item x="902"/>
        <item x="256"/>
        <item x="109"/>
        <item x="877"/>
        <item x="3"/>
        <item x="60"/>
        <item x="80"/>
        <item x="532"/>
        <item x="427"/>
        <item x="409"/>
        <item x="376"/>
        <item x="547"/>
        <item x="662"/>
        <item x="626"/>
        <item x="329"/>
        <item x="52"/>
        <item x="250"/>
        <item x="801"/>
        <item x="388"/>
        <item x="657"/>
        <item x="204"/>
        <item x="737"/>
        <item x="45"/>
        <item x="8"/>
        <item x="333"/>
        <item x="237"/>
        <item x="101"/>
        <item x="690"/>
        <item x="886"/>
        <item x="863"/>
        <item x="320"/>
        <item x="870"/>
        <item x="210"/>
        <item x="518"/>
        <item x="149"/>
        <item x="484"/>
        <item x="336"/>
        <item x="719"/>
        <item x="454"/>
        <item x="410"/>
        <item x="501"/>
        <item x="632"/>
        <item x="710"/>
        <item x="422"/>
        <item x="102"/>
        <item x="338"/>
        <item x="28"/>
        <item x="883"/>
        <item x="453"/>
        <item x="107"/>
        <item x="542"/>
        <item x="546"/>
        <item x="650"/>
        <item x="503"/>
        <item x="284"/>
        <item x="530"/>
        <item x="480"/>
        <item x="669"/>
        <item x="123"/>
        <item x="515"/>
        <item x="754"/>
        <item x="426"/>
        <item x="286"/>
        <item x="756"/>
        <item x="534"/>
        <item x="302"/>
        <item x="850"/>
        <item x="616"/>
        <item x="610"/>
        <item x="467"/>
        <item x="849"/>
        <item x="207"/>
        <item x="254"/>
        <item x="500"/>
        <item x="184"/>
        <item x="116"/>
        <item x="507"/>
        <item x="446"/>
        <item x="342"/>
        <item x="358"/>
        <item x="270"/>
        <item x="753"/>
        <item x="866"/>
        <item x="87"/>
        <item x="195"/>
        <item x="114"/>
        <item x="743"/>
        <item x="838"/>
        <item x="22"/>
        <item x="403"/>
        <item x="787"/>
        <item x="556"/>
        <item x="264"/>
        <item x="890"/>
        <item x="494"/>
        <item x="309"/>
        <item x="585"/>
        <item x="58"/>
        <item x="137"/>
        <item x="293"/>
        <item x="202"/>
        <item x="900"/>
        <item x="832"/>
        <item x="712"/>
        <item x="788"/>
        <item x="741"/>
        <item x="48"/>
        <item x="54"/>
        <item x="509"/>
        <item x="481"/>
        <item x="510"/>
        <item x="813"/>
        <item x="456"/>
        <item x="635"/>
        <item x="512"/>
        <item x="244"/>
        <item x="857"/>
        <item x="677"/>
        <item x="527"/>
        <item x="505"/>
        <item x="157"/>
        <item x="117"/>
        <item x="282"/>
        <item x="280"/>
        <item x="851"/>
        <item x="472"/>
        <item x="904"/>
        <item x="487"/>
        <item x="891"/>
        <item x="820"/>
        <item x="4"/>
        <item x="27"/>
        <item x="699"/>
        <item x="861"/>
        <item x="122"/>
        <item x="187"/>
        <item x="768"/>
        <item x="131"/>
        <item x="837"/>
        <item x="582"/>
        <item x="721"/>
        <item x="182"/>
        <item x="253"/>
        <item x="194"/>
        <item x="139"/>
        <item x="846"/>
        <item x="154"/>
        <item x="328"/>
        <item x="760"/>
        <item x="638"/>
        <item x="236"/>
        <item x="283"/>
        <item x="84"/>
        <item x="520"/>
        <item x="394"/>
        <item x="763"/>
        <item x="401"/>
        <item x="747"/>
        <item x="55"/>
        <item x="506"/>
        <item x="479"/>
        <item x="90"/>
        <item x="529"/>
        <item x="656"/>
        <item x="100"/>
        <item x="586"/>
        <item x="871"/>
        <item x="744"/>
        <item x="127"/>
        <item x="470"/>
        <item x="778"/>
        <item x="459"/>
        <item x="431"/>
        <item x="465"/>
        <item x="344"/>
        <item x="683"/>
        <item x="57"/>
        <item x="201"/>
        <item x="639"/>
        <item x="347"/>
        <item x="135"/>
        <item x="536"/>
        <item x="522"/>
        <item x="727"/>
        <item x="193"/>
        <item x="46"/>
        <item x="366"/>
        <item x="5"/>
        <item x="31"/>
        <item x="769"/>
        <item x="94"/>
        <item x="421"/>
        <item x="104"/>
        <item x="132"/>
        <item x="420"/>
        <item x="351"/>
        <item x="68"/>
        <item x="808"/>
        <item x="686"/>
        <item x="47"/>
        <item x="0"/>
        <item x="535"/>
        <item x="718"/>
        <item x="693"/>
        <item x="640"/>
        <item x="706"/>
        <item x="800"/>
        <item x="408"/>
        <item x="548"/>
        <item x="34"/>
        <item x="566"/>
        <item x="251"/>
        <item x="21"/>
        <item x="894"/>
        <item x="521"/>
        <item x="112"/>
        <item x="6"/>
        <item x="25"/>
        <item x="909"/>
        <item x="133"/>
        <item x="141"/>
        <item x="98"/>
        <item x="485"/>
        <item x="209"/>
        <item x="147"/>
        <item x="848"/>
        <item x="767"/>
        <item x="612"/>
        <item x="452"/>
        <item x="874"/>
        <item x="466"/>
        <item x="807"/>
        <item x="839"/>
        <item x="879"/>
        <item x="559"/>
        <item x="564"/>
        <item x="581"/>
        <item x="303"/>
        <item x="551"/>
        <item x="856"/>
        <item x="374"/>
        <item x="771"/>
        <item x="325"/>
        <item x="348"/>
        <item x="713"/>
        <item x="486"/>
        <item x="23"/>
        <item x="417"/>
        <item x="765"/>
        <item x="670"/>
        <item x="79"/>
        <item x="460"/>
        <item x="428"/>
        <item x="266"/>
        <item x="651"/>
        <item x="156"/>
        <item x="415"/>
        <item x="288"/>
        <item x="578"/>
        <item x="213"/>
        <item x="644"/>
        <item x="136"/>
        <item x="89"/>
        <item x="37"/>
        <item x="843"/>
        <item x="274"/>
        <item x="822"/>
        <item x="814"/>
        <item x="698"/>
        <item x="290"/>
        <item x="576"/>
        <item x="591"/>
        <item x="199"/>
        <item x="528"/>
        <item x="759"/>
        <item x="840"/>
        <item x="72"/>
        <item x="313"/>
        <item x="172"/>
        <item x="523"/>
        <item x="791"/>
        <item x="385"/>
        <item x="668"/>
        <item x="569"/>
        <item x="708"/>
        <item x="212"/>
        <item x="361"/>
        <item x="463"/>
        <item x="748"/>
        <item x="371"/>
        <item x="353"/>
        <item x="790"/>
        <item x="167"/>
        <item x="830"/>
        <item x="191"/>
        <item x="482"/>
        <item x="392"/>
        <item x="242"/>
        <item x="815"/>
        <item x="660"/>
        <item x="306"/>
        <item x="461"/>
        <item x="746"/>
        <item x="53"/>
        <item x="170"/>
        <item x="906"/>
        <item x="255"/>
        <item x="731"/>
        <item x="434"/>
        <item x="537"/>
        <item x="30"/>
        <item x="346"/>
        <item x="809"/>
        <item x="451"/>
        <item x="183"/>
        <item x="649"/>
        <item x="821"/>
        <item x="246"/>
        <item x="314"/>
        <item x="220"/>
        <item x="262"/>
        <item x="648"/>
        <item x="103"/>
        <item x="692"/>
        <item x="390"/>
        <item x="642"/>
        <item x="350"/>
        <item x="61"/>
        <item x="853"/>
        <item x="579"/>
        <item x="185"/>
        <item x="646"/>
        <item x="458"/>
        <item x="301"/>
        <item x="811"/>
        <item x="709"/>
        <item x="142"/>
        <item x="319"/>
        <item x="524"/>
        <item x="337"/>
        <item x="228"/>
        <item x="794"/>
        <item x="74"/>
        <item x="875"/>
        <item x="26"/>
        <item x="324"/>
        <item x="694"/>
        <item x="341"/>
        <item x="367"/>
        <item x="10"/>
        <item x="607"/>
        <item x="587"/>
        <item x="391"/>
        <item x="108"/>
        <item x="145"/>
        <item x="836"/>
        <item x="18"/>
        <item x="17"/>
        <item x="50"/>
        <item x="911"/>
        <item x="377"/>
        <item x="261"/>
        <item x="129"/>
        <item x="570"/>
        <item x="263"/>
        <item x="380"/>
        <item x="545"/>
        <item x="609"/>
        <item x="544"/>
        <item x="804"/>
        <item x="735"/>
        <item x="726"/>
        <item x="823"/>
        <item x="574"/>
        <item x="783"/>
        <item x="882"/>
        <item x="39"/>
        <item x="873"/>
        <item x="516"/>
        <item x="457"/>
        <item x="901"/>
        <item x="382"/>
        <item x="602"/>
        <item x="315"/>
        <item x="215"/>
        <item x="593"/>
        <item x="595"/>
        <item x="757"/>
        <item x="161"/>
        <item x="69"/>
        <item x="393"/>
        <item x="443"/>
        <item x="604"/>
        <item x="222"/>
        <item x="378"/>
        <item x="268"/>
        <item x="770"/>
        <item x="260"/>
        <item x="780"/>
        <item x="414"/>
        <item x="430"/>
        <item x="67"/>
        <item x="751"/>
        <item x="907"/>
        <item x="440"/>
        <item x="697"/>
        <item x="508"/>
        <item x="300"/>
        <item x="144"/>
        <item x="892"/>
        <item x="674"/>
        <item x="786"/>
        <item x="725"/>
        <item x="810"/>
        <item x="245"/>
        <item x="354"/>
        <item x="704"/>
        <item x="469"/>
        <item x="362"/>
        <item x="105"/>
        <item x="676"/>
        <item x="772"/>
        <item x="842"/>
        <item x="685"/>
        <item x="597"/>
        <item x="99"/>
        <item x="146"/>
        <item x="625"/>
        <item x="190"/>
        <item x="889"/>
        <item x="273"/>
        <item x="413"/>
        <item x="192"/>
        <item x="249"/>
        <item x="622"/>
        <item x="722"/>
        <item x="305"/>
        <item x="416"/>
        <item x="752"/>
        <item x="163"/>
        <item x="575"/>
        <item x="513"/>
        <item x="180"/>
        <item x="490"/>
        <item x="603"/>
        <item x="495"/>
        <item x="615"/>
        <item x="701"/>
        <item x="299"/>
        <item x="600"/>
        <item x="162"/>
        <item x="492"/>
        <item x="120"/>
        <item x="550"/>
        <item x="777"/>
        <item x="549"/>
        <item x="330"/>
        <item x="334"/>
        <item x="86"/>
        <item x="762"/>
        <item x="386"/>
        <item x="560"/>
        <item x="779"/>
        <item x="724"/>
        <item x="478"/>
        <item x="169"/>
        <item x="588"/>
        <item x="716"/>
        <item x="230"/>
        <item x="411"/>
        <item x="624"/>
        <item x="356"/>
        <item x="742"/>
        <item x="339"/>
        <item x="179"/>
        <item x="688"/>
        <item x="297"/>
        <item x="435"/>
        <item x="404"/>
        <item x="605"/>
        <item x="599"/>
        <item x="455"/>
        <item x="125"/>
        <item x="664"/>
        <item x="235"/>
        <item x="444"/>
        <item x="573"/>
        <item x="76"/>
        <item x="497"/>
        <item x="327"/>
        <item x="572"/>
        <item x="281"/>
        <item x="223"/>
        <item x="124"/>
        <item x="407"/>
        <item x="405"/>
        <item x="665"/>
        <item x="563"/>
        <item x="345"/>
        <item x="205"/>
        <item x="695"/>
        <item x="619"/>
        <item x="88"/>
        <item x="164"/>
        <item x="340"/>
        <item x="14"/>
        <item x="491"/>
        <item x="217"/>
        <item x="806"/>
        <item x="483"/>
        <item x="272"/>
        <item x="689"/>
        <item x="614"/>
        <item x="110"/>
        <item x="774"/>
        <item x="239"/>
        <item x="176"/>
        <item x="555"/>
        <item x="248"/>
        <item x="471"/>
        <item x="519"/>
        <item t="default"/>
      </items>
      <autoSortScope>
        <pivotArea dataOnly="0" outline="0" fieldPosition="0">
          <references count="1">
            <reference field="4294967294" count="1" selected="0">
              <x v="1"/>
            </reference>
          </references>
        </pivotArea>
      </autoSortScope>
    </pivotField>
    <pivotField compact="0" outline="0" showAll="0"/>
    <pivotField compact="0" outline="0" showAll="0"/>
    <pivotField compact="0" outline="0" showAll="0"/>
    <pivotField compact="0" outline="0" showAll="0"/>
    <pivotField compact="0" numFmtId="166" outline="0" showAll="0"/>
    <pivotField compact="0" numFmtId="167" outline="0" showAll="0"/>
    <pivotField compact="0" numFmtId="167" outline="0" showAll="0"/>
    <pivotField compact="0" outline="0" showAll="0"/>
    <pivotField compact="0" outline="0" showAll="0"/>
    <pivotField compact="0" outline="0" showAll="0"/>
    <pivotField dataField="1" compact="0" outline="0" showAll="0"/>
    <pivotField dataField="1" compact="0" numFmtId="2" outline="0" showAll="0"/>
    <pivotField compact="0" outline="0" showAll="0"/>
    <pivotField compact="0" outline="0" showAll="0">
      <items count="4">
        <item x="2"/>
        <item x="0"/>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defaultSubtotal="0"/>
    <pivotField compact="0" outline="0" showAll="0" defaultSubtotal="0">
      <items count="6">
        <item x="0"/>
        <item x="1"/>
        <item x="2"/>
        <item x="3"/>
        <item x="4"/>
        <item x="5"/>
      </items>
    </pivotField>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s>
  <rowFields count="1">
    <field x="5"/>
  </rowFields>
  <rowItems count="19">
    <i>
      <x v="787"/>
    </i>
    <i>
      <x v="329"/>
    </i>
    <i>
      <x v="266"/>
    </i>
    <i>
      <x v="450"/>
    </i>
    <i>
      <x v="600"/>
    </i>
    <i>
      <x v="332"/>
    </i>
    <i>
      <x v="722"/>
    </i>
    <i>
      <x v="556"/>
    </i>
    <i>
      <x v="895"/>
    </i>
    <i>
      <x v="81"/>
    </i>
    <i>
      <x v="585"/>
    </i>
    <i>
      <x v="675"/>
    </i>
    <i>
      <x v="657"/>
    </i>
    <i>
      <x v="884"/>
    </i>
    <i>
      <x v="715"/>
    </i>
    <i>
      <x v="900"/>
    </i>
    <i>
      <x v="242"/>
    </i>
    <i>
      <x v="584"/>
    </i>
    <i t="grand">
      <x/>
    </i>
  </rowItems>
  <colFields count="1">
    <field x="-2"/>
  </colFields>
  <colItems count="2">
    <i>
      <x/>
    </i>
    <i i="1">
      <x v="1"/>
    </i>
  </colItems>
  <dataFields count="2">
    <dataField name="Average Order Cost (AOC)" fld="17" subtotal="average" baseField="5" baseItem="787" numFmtId="2"/>
    <dataField name="Order Frequency (OF)" fld="16" subtotal="count" baseField="5" baseItem="266"/>
  </dataFields>
  <chartFormats count="8">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 chart="7"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1"/>
          </reference>
        </references>
      </pivotArea>
    </chartFormat>
    <chartFormat chart="8" format="2"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TableStyleInfo name="PivotStyleMedium9" showRowHeaders="1" showColHeaders="1" showRowStripes="0" showColStripes="0" showLastColumn="1"/>
  <filters count="1">
    <filter fld="5" type="count" evalOrder="-1" id="3" iMeasureFld="1">
      <autoFilter ref="A1">
        <filterColumn colId="0">
          <top10 val="15" filterVal="1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E573DE-2D94-45B2-B224-B40E96B6021B}" name="ProductPreference"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45">
  <location ref="F37:J42" firstHeaderRow="1" firstDataRow="3" firstDataCol="1" rowPageCount="1" colPageCount="1"/>
  <pivotFields count="34">
    <pivotField compact="0" outline="0" showAll="0" defaultSubtotal="0"/>
    <pivotField compact="0" numFmtId="165" outline="0" showAll="0" defaultSubtotal="0">
      <items count="689">
        <item x="94"/>
        <item x="283"/>
        <item x="107"/>
        <item x="555"/>
        <item x="327"/>
        <item x="209"/>
        <item x="172"/>
        <item x="2"/>
        <item x="238"/>
        <item x="39"/>
        <item x="230"/>
        <item x="433"/>
        <item x="243"/>
        <item x="129"/>
        <item x="154"/>
        <item x="474"/>
        <item x="624"/>
        <item x="110"/>
        <item x="321"/>
        <item x="25"/>
        <item x="435"/>
        <item x="151"/>
        <item x="181"/>
        <item x="56"/>
        <item x="505"/>
        <item x="363"/>
        <item x="254"/>
        <item x="108"/>
        <item x="182"/>
        <item x="649"/>
        <item x="79"/>
        <item x="604"/>
        <item x="514"/>
        <item x="498"/>
        <item x="375"/>
        <item x="233"/>
        <item x="566"/>
        <item x="43"/>
        <item x="665"/>
        <item x="88"/>
        <item x="598"/>
        <item x="421"/>
        <item x="520"/>
        <item x="320"/>
        <item x="279"/>
        <item x="102"/>
        <item x="194"/>
        <item x="456"/>
        <item x="118"/>
        <item x="648"/>
        <item x="64"/>
        <item x="533"/>
        <item x="501"/>
        <item x="422"/>
        <item x="8"/>
        <item x="353"/>
        <item x="103"/>
        <item x="195"/>
        <item x="339"/>
        <item x="643"/>
        <item x="654"/>
        <item x="271"/>
        <item x="389"/>
        <item x="475"/>
        <item x="522"/>
        <item x="20"/>
        <item x="144"/>
        <item x="462"/>
        <item x="397"/>
        <item x="588"/>
        <item x="229"/>
        <item x="469"/>
        <item x="400"/>
        <item x="391"/>
        <item x="683"/>
        <item x="603"/>
        <item x="660"/>
        <item x="447"/>
        <item x="207"/>
        <item x="619"/>
        <item x="351"/>
        <item x="638"/>
        <item x="662"/>
        <item x="390"/>
        <item x="477"/>
        <item x="112"/>
        <item x="226"/>
        <item x="364"/>
        <item x="600"/>
        <item x="109"/>
        <item x="231"/>
        <item x="241"/>
        <item x="92"/>
        <item x="106"/>
        <item x="362"/>
        <item x="430"/>
        <item x="37"/>
        <item x="540"/>
        <item x="257"/>
        <item x="438"/>
        <item x="384"/>
        <item x="608"/>
        <item x="593"/>
        <item x="316"/>
        <item x="580"/>
        <item x="350"/>
        <item x="383"/>
        <item x="258"/>
        <item x="296"/>
        <item x="457"/>
        <item x="191"/>
        <item x="611"/>
        <item x="423"/>
        <item x="235"/>
        <item x="388"/>
        <item x="534"/>
        <item x="544"/>
        <item x="145"/>
        <item x="653"/>
        <item x="374"/>
        <item x="633"/>
        <item x="418"/>
        <item x="294"/>
        <item x="575"/>
        <item x="255"/>
        <item x="567"/>
        <item x="66"/>
        <item x="346"/>
        <item x="259"/>
        <item x="63"/>
        <item x="667"/>
        <item x="174"/>
        <item x="678"/>
        <item x="548"/>
        <item x="471"/>
        <item x="411"/>
        <item x="431"/>
        <item x="628"/>
        <item x="476"/>
        <item x="270"/>
        <item x="199"/>
        <item x="568"/>
        <item x="586"/>
        <item x="40"/>
        <item x="545"/>
        <item x="634"/>
        <item x="155"/>
        <item x="489"/>
        <item x="467"/>
        <item x="491"/>
        <item x="149"/>
        <item x="460"/>
        <item x="91"/>
        <item x="273"/>
        <item x="672"/>
        <item x="120"/>
        <item x="478"/>
        <item x="130"/>
        <item x="674"/>
        <item x="227"/>
        <item x="440"/>
        <item x="266"/>
        <item x="299"/>
        <item x="631"/>
        <item x="329"/>
        <item x="307"/>
        <item x="488"/>
        <item x="685"/>
        <item x="573"/>
        <item x="50"/>
        <item x="286"/>
        <item x="48"/>
        <item x="532"/>
        <item x="281"/>
        <item x="15"/>
        <item x="61"/>
        <item x="67"/>
        <item x="599"/>
        <item x="558"/>
        <item x="75"/>
        <item x="55"/>
        <item x="680"/>
        <item x="684"/>
        <item x="344"/>
        <item x="52"/>
        <item x="419"/>
        <item x="232"/>
        <item x="134"/>
        <item x="572"/>
        <item x="455"/>
        <item x="171"/>
        <item x="661"/>
        <item x="524"/>
        <item x="416"/>
        <item x="219"/>
        <item x="196"/>
        <item x="36"/>
        <item x="420"/>
        <item x="100"/>
        <item x="574"/>
        <item x="601"/>
        <item x="6"/>
        <item x="562"/>
        <item x="625"/>
        <item x="590"/>
        <item x="253"/>
        <item x="148"/>
        <item x="569"/>
        <item x="335"/>
        <item x="492"/>
        <item x="526"/>
        <item x="439"/>
        <item x="252"/>
        <item x="16"/>
        <item x="166"/>
        <item x="204"/>
        <item x="425"/>
        <item x="137"/>
        <item x="490"/>
        <item x="564"/>
        <item x="60"/>
        <item x="319"/>
        <item x="256"/>
        <item x="676"/>
        <item x="559"/>
        <item x="222"/>
        <item x="81"/>
        <item x="666"/>
        <item x="484"/>
        <item x="605"/>
        <item x="546"/>
        <item x="453"/>
        <item x="170"/>
        <item x="164"/>
        <item x="17"/>
        <item x="509"/>
        <item x="584"/>
        <item x="291"/>
        <item x="282"/>
        <item x="262"/>
        <item x="236"/>
        <item x="656"/>
        <item x="324"/>
        <item x="35"/>
        <item x="645"/>
        <item x="343"/>
        <item x="618"/>
        <item x="434"/>
        <item x="245"/>
        <item x="298"/>
        <item x="264"/>
        <item x="359"/>
        <item x="213"/>
        <item x="13"/>
        <item x="12"/>
        <item x="34"/>
        <item x="485"/>
        <item x="360"/>
        <item x="177"/>
        <item x="293"/>
        <item x="368"/>
        <item x="396"/>
        <item x="132"/>
        <item x="516"/>
        <item x="261"/>
        <item x="357"/>
        <item x="531"/>
        <item x="263"/>
        <item x="518"/>
        <item x="444"/>
        <item x="45"/>
        <item x="19"/>
        <item x="97"/>
        <item x="486"/>
        <item x="312"/>
        <item x="216"/>
        <item x="330"/>
        <item x="292"/>
        <item x="18"/>
        <item x="328"/>
        <item x="14"/>
        <item x="664"/>
        <item x="96"/>
        <item x="686"/>
        <item x="308"/>
        <item x="225"/>
        <item x="553"/>
        <item x="366"/>
        <item x="73"/>
        <item x="515"/>
        <item x="42"/>
        <item x="125"/>
        <item x="295"/>
        <item x="415"/>
        <item x="549"/>
        <item x="30"/>
        <item x="381"/>
        <item x="146"/>
        <item x="22"/>
        <item x="84"/>
        <item x="126"/>
        <item x="508"/>
        <item x="127"/>
        <item x="571"/>
        <item x="373"/>
        <item x="11"/>
        <item x="10"/>
        <item x="161"/>
        <item x="385"/>
        <item x="115"/>
        <item x="345"/>
        <item x="188"/>
        <item x="9"/>
        <item x="507"/>
        <item x="675"/>
        <item x="677"/>
        <item x="622"/>
        <item x="31"/>
        <item x="322"/>
        <item x="429"/>
        <item x="554"/>
        <item x="29"/>
        <item x="401"/>
        <item x="173"/>
        <item x="409"/>
        <item x="288"/>
        <item x="105"/>
        <item x="65"/>
        <item x="53"/>
        <item x="51"/>
        <item x="629"/>
        <item x="443"/>
        <item x="610"/>
        <item x="135"/>
        <item x="500"/>
        <item x="560"/>
        <item x="523"/>
        <item x="1"/>
        <item x="499"/>
        <item x="587"/>
        <item x="114"/>
        <item x="543"/>
        <item x="483"/>
        <item x="494"/>
        <item x="407"/>
        <item x="495"/>
        <item x="449"/>
        <item x="602"/>
        <item x="369"/>
        <item x="206"/>
        <item x="122"/>
        <item x="313"/>
        <item x="556"/>
        <item x="426"/>
        <item x="670"/>
        <item x="361"/>
        <item x="272"/>
        <item x="442"/>
        <item x="179"/>
        <item x="46"/>
        <item x="657"/>
        <item x="86"/>
        <item x="637"/>
        <item x="473"/>
        <item x="72"/>
        <item x="104"/>
        <item x="70"/>
        <item x="300"/>
        <item x="432"/>
        <item x="302"/>
        <item x="595"/>
        <item x="212"/>
        <item x="607"/>
        <item x="688"/>
        <item x="169"/>
        <item x="160"/>
        <item x="406"/>
        <item x="436"/>
        <item x="627"/>
        <item x="632"/>
        <item x="446"/>
        <item x="185"/>
        <item x="591"/>
        <item x="152"/>
        <item x="537"/>
        <item x="3"/>
        <item x="95"/>
        <item x="93"/>
        <item x="306"/>
        <item x="5"/>
        <item x="445"/>
        <item x="481"/>
        <item x="159"/>
        <item x="244"/>
        <item x="458"/>
        <item x="87"/>
        <item x="585"/>
        <item x="669"/>
        <item x="636"/>
        <item x="557"/>
        <item x="143"/>
        <item x="517"/>
        <item x="630"/>
        <item x="211"/>
        <item x="635"/>
        <item x="395"/>
        <item x="136"/>
        <item x="142"/>
        <item x="408"/>
        <item x="33"/>
        <item x="589"/>
        <item x="47"/>
        <item x="594"/>
        <item x="138"/>
        <item x="412"/>
        <item x="224"/>
        <item x="162"/>
        <item x="341"/>
        <item x="192"/>
        <item x="615"/>
        <item x="340"/>
        <item x="679"/>
        <item x="323"/>
        <item x="372"/>
        <item x="89"/>
        <item x="77"/>
        <item x="38"/>
        <item x="276"/>
        <item x="427"/>
        <item x="83"/>
        <item x="673"/>
        <item x="116"/>
        <item x="539"/>
        <item x="203"/>
        <item x="141"/>
        <item x="687"/>
        <item x="463"/>
        <item x="184"/>
        <item x="338"/>
        <item x="367"/>
        <item x="497"/>
        <item x="552"/>
        <item x="349"/>
        <item x="647"/>
        <item x="354"/>
        <item x="352"/>
        <item x="277"/>
        <item x="561"/>
        <item x="275"/>
        <item x="371"/>
        <item x="616"/>
        <item x="378"/>
        <item x="403"/>
        <item x="461"/>
        <item x="410"/>
        <item x="218"/>
        <item x="284"/>
        <item x="482"/>
        <item x="278"/>
        <item x="21"/>
        <item x="242"/>
        <item x="157"/>
        <item x="131"/>
        <item x="297"/>
        <item x="59"/>
        <item x="27"/>
        <item x="186"/>
        <item x="311"/>
        <item x="85"/>
        <item x="379"/>
        <item x="158"/>
        <item x="183"/>
        <item x="305"/>
        <item x="428"/>
        <item x="519"/>
        <item x="399"/>
        <item x="640"/>
        <item x="326"/>
        <item x="124"/>
        <item x="437"/>
        <item x="200"/>
        <item x="334"/>
        <item x="606"/>
        <item x="303"/>
        <item x="623"/>
        <item x="4"/>
        <item x="147"/>
        <item x="71"/>
        <item x="325"/>
        <item x="190"/>
        <item x="99"/>
        <item x="382"/>
        <item x="655"/>
        <item x="156"/>
        <item x="592"/>
        <item x="583"/>
        <item x="417"/>
        <item x="535"/>
        <item x="542"/>
        <item x="249"/>
        <item x="90"/>
        <item x="58"/>
        <item x="180"/>
        <item x="274"/>
        <item x="479"/>
        <item x="163"/>
        <item x="318"/>
        <item x="337"/>
        <item x="68"/>
        <item x="234"/>
        <item x="113"/>
        <item x="551"/>
        <item x="128"/>
        <item x="336"/>
        <item x="414"/>
        <item x="626"/>
        <item x="150"/>
        <item x="620"/>
        <item x="220"/>
        <item x="502"/>
        <item x="450"/>
        <item x="465"/>
        <item x="550"/>
        <item x="671"/>
        <item x="404"/>
        <item x="487"/>
        <item x="290"/>
        <item x="641"/>
        <item x="119"/>
        <item x="215"/>
        <item x="54"/>
        <item x="74"/>
        <item x="541"/>
        <item x="251"/>
        <item x="309"/>
        <item x="57"/>
        <item x="304"/>
        <item x="82"/>
        <item x="247"/>
        <item x="178"/>
        <item x="646"/>
        <item x="504"/>
        <item x="314"/>
        <item x="69"/>
        <item x="510"/>
        <item x="392"/>
        <item x="76"/>
        <item x="496"/>
        <item x="168"/>
        <item x="24"/>
        <item x="32"/>
        <item x="217"/>
        <item x="240"/>
        <item x="621"/>
        <item x="394"/>
        <item x="468"/>
        <item x="470"/>
        <item x="139"/>
        <item x="581"/>
        <item x="331"/>
        <item x="260"/>
        <item x="289"/>
        <item x="28"/>
        <item x="393"/>
        <item x="332"/>
        <item x="596"/>
        <item x="358"/>
        <item x="267"/>
        <item x="121"/>
        <item x="214"/>
        <item x="451"/>
        <item x="466"/>
        <item x="355"/>
        <item x="98"/>
        <item x="165"/>
        <item x="527"/>
        <item x="536"/>
        <item x="480"/>
        <item x="248"/>
        <item x="658"/>
        <item x="23"/>
        <item x="512"/>
        <item x="287"/>
        <item x="448"/>
        <item x="198"/>
        <item x="682"/>
        <item x="365"/>
        <item x="424"/>
        <item x="44"/>
        <item x="639"/>
        <item x="348"/>
        <item x="239"/>
        <item x="650"/>
        <item x="347"/>
        <item x="193"/>
        <item x="402"/>
        <item x="578"/>
        <item x="525"/>
        <item x="370"/>
        <item x="614"/>
        <item x="167"/>
        <item x="570"/>
        <item x="547"/>
        <item x="398"/>
        <item x="642"/>
        <item x="503"/>
        <item x="617"/>
        <item x="78"/>
        <item x="380"/>
        <item x="597"/>
        <item x="441"/>
        <item x="386"/>
        <item x="464"/>
        <item x="356"/>
        <item x="237"/>
        <item x="413"/>
        <item x="301"/>
        <item x="280"/>
        <item x="530"/>
        <item x="223"/>
        <item x="333"/>
        <item x="202"/>
        <item x="663"/>
        <item x="506"/>
        <item x="269"/>
        <item x="342"/>
        <item x="111"/>
        <item x="577"/>
        <item x="201"/>
        <item x="123"/>
        <item x="452"/>
        <item x="377"/>
        <item x="221"/>
        <item x="612"/>
        <item x="7"/>
        <item x="513"/>
        <item x="376"/>
        <item x="228"/>
        <item x="265"/>
        <item x="565"/>
        <item x="187"/>
        <item x="454"/>
        <item x="529"/>
        <item x="609"/>
        <item x="521"/>
        <item x="668"/>
        <item x="176"/>
        <item x="579"/>
        <item x="175"/>
        <item x="133"/>
        <item x="644"/>
        <item x="0"/>
        <item x="101"/>
        <item x="659"/>
        <item x="140"/>
        <item x="210"/>
        <item x="41"/>
        <item x="246"/>
        <item x="26"/>
        <item x="472"/>
        <item x="511"/>
        <item x="117"/>
        <item x="62"/>
        <item x="387"/>
        <item x="317"/>
        <item x="205"/>
        <item x="315"/>
        <item x="538"/>
        <item x="310"/>
        <item x="652"/>
        <item x="613"/>
        <item x="197"/>
        <item x="189"/>
        <item x="582"/>
        <item x="268"/>
        <item x="493"/>
        <item x="681"/>
        <item x="153"/>
        <item x="208"/>
        <item x="405"/>
        <item x="576"/>
        <item x="563"/>
        <item x="80"/>
        <item x="49"/>
        <item x="285"/>
        <item x="651"/>
        <item x="528"/>
        <item x="459"/>
        <item x="250"/>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Col" compact="0" numFmtId="166" outline="0" showAll="0" defaultSubtotal="0">
      <items count="4">
        <item x="3"/>
        <item x="1"/>
        <item x="0"/>
        <item x="2"/>
      </items>
    </pivotField>
    <pivotField compact="0" numFmtId="167" outline="0" showAll="0" defaultSubtotal="0"/>
    <pivotField dataField="1" compact="0" numFmtId="167" outline="0" showAll="0" defaultSubtotal="0"/>
    <pivotField axis="axisRow" compact="0" outline="0" showAll="0" sortType="ascending" defaultSubtotal="0">
      <items count="4">
        <item x="0"/>
        <item x="1"/>
        <item x="3"/>
        <item x="2"/>
      </items>
      <autoSortScope>
        <pivotArea dataOnly="0" outline="0" fieldPosition="0">
          <references count="1">
            <reference field="4294967294" count="1" selected="0">
              <x v="0"/>
            </reference>
          </references>
        </pivotArea>
      </autoSortScope>
    </pivotField>
    <pivotField axis="axisCol" compact="0" outline="0" showAll="0" defaultSubtotal="0">
      <items count="3">
        <item x="0"/>
        <item x="1"/>
        <item x="2"/>
      </items>
    </pivotField>
    <pivotField compact="0" outline="0" showAll="0" defaultSubtotal="0"/>
    <pivotField compact="0" outline="0" showAll="0" defaultSubtotal="0"/>
    <pivotField compact="0" numFmtId="2" outline="0" showAll="0" defaultSubtotal="0"/>
    <pivotField compact="0" outline="0" showAll="0" defaultSubtotal="0"/>
    <pivotField axis="axisPage" compact="0" outline="0" showAll="0" sortType="descending" defaultSubtotal="0">
      <items count="3">
        <item x="1"/>
        <item x="0"/>
        <item x="2"/>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 compact="0" outline="0" showAll="0" defaultSubtotal="0">
      <items count="6">
        <item x="0"/>
        <item x="1"/>
        <item x="2"/>
        <item x="3"/>
        <item x="4"/>
        <item x="5"/>
      </items>
    </pivotField>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s>
  <rowFields count="1">
    <field x="13"/>
  </rowFields>
  <rowItems count="3">
    <i>
      <x v="2"/>
    </i>
    <i>
      <x v="1"/>
    </i>
    <i t="grand">
      <x/>
    </i>
  </rowItems>
  <colFields count="2">
    <field x="14"/>
    <field x="10"/>
  </colFields>
  <colItems count="4">
    <i>
      <x/>
      <x v="3"/>
    </i>
    <i>
      <x v="1"/>
      <x v="1"/>
    </i>
    <i>
      <x v="2"/>
      <x v="2"/>
    </i>
    <i t="grand">
      <x/>
    </i>
  </colItems>
  <pageFields count="1">
    <pageField fld="19" item="2" hier="-1"/>
  </pageFields>
  <dataFields count="1">
    <dataField name="Sum of Sales" fld="12" baseField="0" baseItem="0" numFmtId="167"/>
  </dataFields>
  <chartFormats count="12">
    <chartFormat chart="6" format="6" series="1">
      <pivotArea type="data" outline="0" fieldPosition="0">
        <references count="3">
          <reference field="4294967294" count="1" selected="0">
            <x v="0"/>
          </reference>
          <reference field="10" count="1" selected="0">
            <x v="3"/>
          </reference>
          <reference field="14" count="1" selected="0">
            <x v="0"/>
          </reference>
        </references>
      </pivotArea>
    </chartFormat>
    <chartFormat chart="6" format="7" series="1">
      <pivotArea type="data" outline="0" fieldPosition="0">
        <references count="3">
          <reference field="4294967294" count="1" selected="0">
            <x v="0"/>
          </reference>
          <reference field="10" count="1" selected="0">
            <x v="1"/>
          </reference>
          <reference field="14" count="1" selected="0">
            <x v="1"/>
          </reference>
        </references>
      </pivotArea>
    </chartFormat>
    <chartFormat chart="6" format="8" series="1">
      <pivotArea type="data" outline="0" fieldPosition="0">
        <references count="3">
          <reference field="4294967294" count="1" selected="0">
            <x v="0"/>
          </reference>
          <reference field="10" count="1" selected="0">
            <x v="2"/>
          </reference>
          <reference field="14" count="1" selected="0">
            <x v="2"/>
          </reference>
        </references>
      </pivotArea>
    </chartFormat>
    <chartFormat chart="6" format="9" series="1">
      <pivotArea type="data" outline="0" fieldPosition="0">
        <references count="3">
          <reference field="4294967294" count="1" selected="0">
            <x v="0"/>
          </reference>
          <reference field="10" count="1" selected="0">
            <x v="0"/>
          </reference>
          <reference field="14" count="1" selected="0">
            <x v="1"/>
          </reference>
        </references>
      </pivotArea>
    </chartFormat>
    <chartFormat chart="6" format="10" series="1">
      <pivotArea type="data" outline="0" fieldPosition="0">
        <references count="3">
          <reference field="4294967294" count="1" selected="0">
            <x v="0"/>
          </reference>
          <reference field="10" count="1" selected="0">
            <x v="2"/>
          </reference>
          <reference field="14" count="1" selected="0">
            <x v="1"/>
          </reference>
        </references>
      </pivotArea>
    </chartFormat>
    <chartFormat chart="6" format="11" series="1">
      <pivotArea type="data" outline="0" fieldPosition="0">
        <references count="3">
          <reference field="4294967294" count="1" selected="0">
            <x v="0"/>
          </reference>
          <reference field="10" count="1" selected="0">
            <x v="3"/>
          </reference>
          <reference field="14" count="1" selected="0">
            <x v="1"/>
          </reference>
        </references>
      </pivotArea>
    </chartFormat>
    <chartFormat chart="6" format="12" series="1">
      <pivotArea type="data" outline="0" fieldPosition="0">
        <references count="3">
          <reference field="4294967294" count="1" selected="0">
            <x v="0"/>
          </reference>
          <reference field="10" count="1" selected="0">
            <x v="0"/>
          </reference>
          <reference field="14" count="1" selected="0">
            <x v="2"/>
          </reference>
        </references>
      </pivotArea>
    </chartFormat>
    <chartFormat chart="6" format="13" series="1">
      <pivotArea type="data" outline="0" fieldPosition="0">
        <references count="3">
          <reference field="4294967294" count="1" selected="0">
            <x v="0"/>
          </reference>
          <reference field="10" count="1" selected="0">
            <x v="1"/>
          </reference>
          <reference field="14" count="1" selected="0">
            <x v="2"/>
          </reference>
        </references>
      </pivotArea>
    </chartFormat>
    <chartFormat chart="6" format="14" series="1">
      <pivotArea type="data" outline="0" fieldPosition="0">
        <references count="3">
          <reference field="4294967294" count="1" selected="0">
            <x v="0"/>
          </reference>
          <reference field="10" count="1" selected="0">
            <x v="3"/>
          </reference>
          <reference field="14" count="1" selected="0">
            <x v="2"/>
          </reference>
        </references>
      </pivotArea>
    </chartFormat>
    <chartFormat chart="6" format="15" series="1">
      <pivotArea type="data" outline="0" fieldPosition="0">
        <references count="3">
          <reference field="4294967294" count="1" selected="0">
            <x v="0"/>
          </reference>
          <reference field="10" count="1" selected="0">
            <x v="0"/>
          </reference>
          <reference field="14" count="1" selected="0">
            <x v="0"/>
          </reference>
        </references>
      </pivotArea>
    </chartFormat>
    <chartFormat chart="6" format="16" series="1">
      <pivotArea type="data" outline="0" fieldPosition="0">
        <references count="3">
          <reference field="4294967294" count="1" selected="0">
            <x v="0"/>
          </reference>
          <reference field="10" count="1" selected="0">
            <x v="1"/>
          </reference>
          <reference field="14" count="1" selected="0">
            <x v="0"/>
          </reference>
        </references>
      </pivotArea>
    </chartFormat>
    <chartFormat chart="6" format="17" series="1">
      <pivotArea type="data" outline="0" fieldPosition="0">
        <references count="3">
          <reference field="4294967294" count="1" selected="0">
            <x v="0"/>
          </reference>
          <reference field="10" count="1" selected="0">
            <x v="2"/>
          </reference>
          <reference field="1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B8B2095-DA77-4250-9EBF-8BE937F9AE0C}" name="CustomerSpendDis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0">
  <location ref="D72:E77" firstHeaderRow="1" firstDataRow="1" firstDataCol="1"/>
  <pivotFields count="34">
    <pivotField showAll="0"/>
    <pivotField numFmtId="165" showAll="0">
      <items count="690">
        <item x="94"/>
        <item x="283"/>
        <item x="107"/>
        <item x="555"/>
        <item x="327"/>
        <item x="209"/>
        <item x="172"/>
        <item x="2"/>
        <item x="238"/>
        <item x="39"/>
        <item x="230"/>
        <item x="433"/>
        <item x="243"/>
        <item x="129"/>
        <item x="154"/>
        <item x="474"/>
        <item x="624"/>
        <item x="110"/>
        <item x="321"/>
        <item x="25"/>
        <item x="435"/>
        <item x="151"/>
        <item x="181"/>
        <item x="56"/>
        <item x="505"/>
        <item x="363"/>
        <item x="254"/>
        <item x="108"/>
        <item x="182"/>
        <item x="649"/>
        <item x="79"/>
        <item x="604"/>
        <item x="514"/>
        <item x="498"/>
        <item x="375"/>
        <item x="233"/>
        <item x="566"/>
        <item x="43"/>
        <item x="665"/>
        <item x="88"/>
        <item x="598"/>
        <item x="421"/>
        <item x="520"/>
        <item x="320"/>
        <item x="279"/>
        <item x="102"/>
        <item x="194"/>
        <item x="456"/>
        <item x="118"/>
        <item x="648"/>
        <item x="64"/>
        <item x="533"/>
        <item x="501"/>
        <item x="422"/>
        <item x="8"/>
        <item x="353"/>
        <item x="103"/>
        <item x="195"/>
        <item x="339"/>
        <item x="643"/>
        <item x="654"/>
        <item x="271"/>
        <item x="389"/>
        <item x="475"/>
        <item x="522"/>
        <item x="20"/>
        <item x="144"/>
        <item x="462"/>
        <item x="397"/>
        <item x="588"/>
        <item x="229"/>
        <item x="469"/>
        <item x="400"/>
        <item x="391"/>
        <item x="683"/>
        <item x="603"/>
        <item x="660"/>
        <item x="447"/>
        <item x="207"/>
        <item x="619"/>
        <item x="351"/>
        <item x="638"/>
        <item x="662"/>
        <item x="390"/>
        <item x="477"/>
        <item x="112"/>
        <item x="226"/>
        <item x="364"/>
        <item x="600"/>
        <item x="109"/>
        <item x="231"/>
        <item x="241"/>
        <item x="92"/>
        <item x="106"/>
        <item x="362"/>
        <item x="430"/>
        <item x="37"/>
        <item x="540"/>
        <item x="257"/>
        <item x="438"/>
        <item x="384"/>
        <item x="608"/>
        <item x="593"/>
        <item x="316"/>
        <item x="580"/>
        <item x="350"/>
        <item x="383"/>
        <item x="258"/>
        <item x="296"/>
        <item x="457"/>
        <item x="191"/>
        <item x="611"/>
        <item x="423"/>
        <item x="235"/>
        <item x="388"/>
        <item x="534"/>
        <item x="544"/>
        <item x="145"/>
        <item x="653"/>
        <item x="374"/>
        <item x="633"/>
        <item x="418"/>
        <item x="294"/>
        <item x="575"/>
        <item x="255"/>
        <item x="567"/>
        <item x="66"/>
        <item x="346"/>
        <item x="259"/>
        <item x="63"/>
        <item x="667"/>
        <item x="174"/>
        <item x="678"/>
        <item x="548"/>
        <item x="471"/>
        <item x="411"/>
        <item x="431"/>
        <item x="628"/>
        <item x="476"/>
        <item x="270"/>
        <item x="199"/>
        <item x="568"/>
        <item x="586"/>
        <item x="40"/>
        <item x="545"/>
        <item x="634"/>
        <item x="155"/>
        <item x="489"/>
        <item x="467"/>
        <item x="491"/>
        <item x="149"/>
        <item x="460"/>
        <item x="91"/>
        <item x="273"/>
        <item x="672"/>
        <item x="120"/>
        <item x="478"/>
        <item x="130"/>
        <item x="674"/>
        <item x="227"/>
        <item x="440"/>
        <item x="266"/>
        <item x="299"/>
        <item x="631"/>
        <item x="329"/>
        <item x="307"/>
        <item x="488"/>
        <item x="685"/>
        <item x="573"/>
        <item x="50"/>
        <item x="286"/>
        <item x="48"/>
        <item x="532"/>
        <item x="281"/>
        <item x="15"/>
        <item x="61"/>
        <item x="67"/>
        <item x="599"/>
        <item x="558"/>
        <item x="75"/>
        <item x="55"/>
        <item x="680"/>
        <item x="684"/>
        <item x="344"/>
        <item x="52"/>
        <item x="419"/>
        <item x="232"/>
        <item x="134"/>
        <item x="572"/>
        <item x="455"/>
        <item x="171"/>
        <item x="661"/>
        <item x="524"/>
        <item x="416"/>
        <item x="219"/>
        <item x="196"/>
        <item x="36"/>
        <item x="420"/>
        <item x="100"/>
        <item x="574"/>
        <item x="601"/>
        <item x="6"/>
        <item x="562"/>
        <item x="625"/>
        <item x="590"/>
        <item x="253"/>
        <item x="148"/>
        <item x="569"/>
        <item x="335"/>
        <item x="492"/>
        <item x="526"/>
        <item x="439"/>
        <item x="252"/>
        <item x="16"/>
        <item x="166"/>
        <item x="204"/>
        <item x="425"/>
        <item x="137"/>
        <item x="490"/>
        <item x="564"/>
        <item x="60"/>
        <item x="319"/>
        <item x="256"/>
        <item x="676"/>
        <item x="559"/>
        <item x="222"/>
        <item x="81"/>
        <item x="666"/>
        <item x="484"/>
        <item x="605"/>
        <item x="546"/>
        <item x="453"/>
        <item x="170"/>
        <item x="164"/>
        <item x="17"/>
        <item x="509"/>
        <item x="584"/>
        <item x="291"/>
        <item x="282"/>
        <item x="262"/>
        <item x="236"/>
        <item x="656"/>
        <item x="324"/>
        <item x="35"/>
        <item x="645"/>
        <item x="343"/>
        <item x="618"/>
        <item x="434"/>
        <item x="245"/>
        <item x="298"/>
        <item x="264"/>
        <item x="359"/>
        <item x="213"/>
        <item x="13"/>
        <item x="12"/>
        <item x="34"/>
        <item x="485"/>
        <item x="360"/>
        <item x="177"/>
        <item x="293"/>
        <item x="368"/>
        <item x="396"/>
        <item x="132"/>
        <item x="516"/>
        <item x="261"/>
        <item x="357"/>
        <item x="531"/>
        <item x="263"/>
        <item x="518"/>
        <item x="444"/>
        <item x="45"/>
        <item x="19"/>
        <item x="97"/>
        <item x="486"/>
        <item x="312"/>
        <item x="216"/>
        <item x="330"/>
        <item x="292"/>
        <item x="18"/>
        <item x="328"/>
        <item x="14"/>
        <item x="664"/>
        <item x="96"/>
        <item x="686"/>
        <item x="308"/>
        <item x="225"/>
        <item x="553"/>
        <item x="366"/>
        <item x="73"/>
        <item x="515"/>
        <item x="42"/>
        <item x="125"/>
        <item x="295"/>
        <item x="415"/>
        <item x="549"/>
        <item x="30"/>
        <item x="381"/>
        <item x="146"/>
        <item x="22"/>
        <item x="84"/>
        <item x="126"/>
        <item x="508"/>
        <item x="127"/>
        <item x="571"/>
        <item x="373"/>
        <item x="11"/>
        <item x="10"/>
        <item x="161"/>
        <item x="385"/>
        <item x="115"/>
        <item x="345"/>
        <item x="188"/>
        <item x="9"/>
        <item x="507"/>
        <item x="675"/>
        <item x="677"/>
        <item x="622"/>
        <item x="31"/>
        <item x="322"/>
        <item x="429"/>
        <item x="554"/>
        <item x="29"/>
        <item x="401"/>
        <item x="173"/>
        <item x="409"/>
        <item x="288"/>
        <item x="105"/>
        <item x="65"/>
        <item x="53"/>
        <item x="51"/>
        <item x="629"/>
        <item x="443"/>
        <item x="610"/>
        <item x="135"/>
        <item x="500"/>
        <item x="560"/>
        <item x="523"/>
        <item x="1"/>
        <item x="499"/>
        <item x="587"/>
        <item x="114"/>
        <item x="543"/>
        <item x="483"/>
        <item x="494"/>
        <item x="407"/>
        <item x="495"/>
        <item x="449"/>
        <item x="602"/>
        <item x="369"/>
        <item x="206"/>
        <item x="122"/>
        <item x="313"/>
        <item x="556"/>
        <item x="426"/>
        <item x="670"/>
        <item x="361"/>
        <item x="272"/>
        <item x="442"/>
        <item x="179"/>
        <item x="46"/>
        <item x="657"/>
        <item x="86"/>
        <item x="637"/>
        <item x="473"/>
        <item x="72"/>
        <item x="104"/>
        <item x="70"/>
        <item x="300"/>
        <item x="432"/>
        <item x="302"/>
        <item x="595"/>
        <item x="212"/>
        <item x="607"/>
        <item x="688"/>
        <item x="169"/>
        <item x="160"/>
        <item x="406"/>
        <item x="436"/>
        <item x="627"/>
        <item x="632"/>
        <item x="446"/>
        <item x="185"/>
        <item x="591"/>
        <item x="152"/>
        <item x="537"/>
        <item x="3"/>
        <item x="95"/>
        <item x="93"/>
        <item x="306"/>
        <item x="5"/>
        <item x="445"/>
        <item x="481"/>
        <item x="159"/>
        <item x="244"/>
        <item x="458"/>
        <item x="87"/>
        <item x="585"/>
        <item x="669"/>
        <item x="636"/>
        <item x="557"/>
        <item x="143"/>
        <item x="517"/>
        <item x="630"/>
        <item x="211"/>
        <item x="635"/>
        <item x="395"/>
        <item x="136"/>
        <item x="142"/>
        <item x="408"/>
        <item x="33"/>
        <item x="589"/>
        <item x="47"/>
        <item x="594"/>
        <item x="138"/>
        <item x="412"/>
        <item x="224"/>
        <item x="162"/>
        <item x="341"/>
        <item x="192"/>
        <item x="615"/>
        <item x="340"/>
        <item x="679"/>
        <item x="323"/>
        <item x="372"/>
        <item x="89"/>
        <item x="77"/>
        <item x="38"/>
        <item x="276"/>
        <item x="427"/>
        <item x="83"/>
        <item x="673"/>
        <item x="116"/>
        <item x="539"/>
        <item x="203"/>
        <item x="141"/>
        <item x="687"/>
        <item x="463"/>
        <item x="184"/>
        <item x="338"/>
        <item x="367"/>
        <item x="497"/>
        <item x="552"/>
        <item x="349"/>
        <item x="647"/>
        <item x="354"/>
        <item x="352"/>
        <item x="277"/>
        <item x="561"/>
        <item x="275"/>
        <item x="371"/>
        <item x="616"/>
        <item x="378"/>
        <item x="403"/>
        <item x="461"/>
        <item x="410"/>
        <item x="218"/>
        <item x="284"/>
        <item x="482"/>
        <item x="278"/>
        <item x="21"/>
        <item x="242"/>
        <item x="157"/>
        <item x="131"/>
        <item x="297"/>
        <item x="59"/>
        <item x="27"/>
        <item x="186"/>
        <item x="311"/>
        <item x="85"/>
        <item x="379"/>
        <item x="158"/>
        <item x="183"/>
        <item x="305"/>
        <item x="428"/>
        <item x="519"/>
        <item x="399"/>
        <item x="640"/>
        <item x="326"/>
        <item x="124"/>
        <item x="437"/>
        <item x="200"/>
        <item x="334"/>
        <item x="606"/>
        <item x="303"/>
        <item x="623"/>
        <item x="4"/>
        <item x="147"/>
        <item x="71"/>
        <item x="325"/>
        <item x="190"/>
        <item x="99"/>
        <item x="382"/>
        <item x="655"/>
        <item x="156"/>
        <item x="592"/>
        <item x="583"/>
        <item x="417"/>
        <item x="535"/>
        <item x="542"/>
        <item x="249"/>
        <item x="90"/>
        <item x="58"/>
        <item x="180"/>
        <item x="274"/>
        <item x="479"/>
        <item x="163"/>
        <item x="318"/>
        <item x="337"/>
        <item x="68"/>
        <item x="234"/>
        <item x="113"/>
        <item x="551"/>
        <item x="128"/>
        <item x="336"/>
        <item x="414"/>
        <item x="626"/>
        <item x="150"/>
        <item x="620"/>
        <item x="220"/>
        <item x="502"/>
        <item x="450"/>
        <item x="465"/>
        <item x="550"/>
        <item x="671"/>
        <item x="404"/>
        <item x="487"/>
        <item x="290"/>
        <item x="641"/>
        <item x="119"/>
        <item x="215"/>
        <item x="54"/>
        <item x="74"/>
        <item x="541"/>
        <item x="251"/>
        <item x="309"/>
        <item x="57"/>
        <item x="304"/>
        <item x="82"/>
        <item x="247"/>
        <item x="178"/>
        <item x="646"/>
        <item x="504"/>
        <item x="314"/>
        <item x="69"/>
        <item x="510"/>
        <item x="392"/>
        <item x="76"/>
        <item x="496"/>
        <item x="168"/>
        <item x="24"/>
        <item x="32"/>
        <item x="217"/>
        <item x="240"/>
        <item x="621"/>
        <item x="394"/>
        <item x="468"/>
        <item x="470"/>
        <item x="139"/>
        <item x="581"/>
        <item x="331"/>
        <item x="260"/>
        <item x="289"/>
        <item x="28"/>
        <item x="393"/>
        <item x="332"/>
        <item x="596"/>
        <item x="358"/>
        <item x="267"/>
        <item x="121"/>
        <item x="214"/>
        <item x="451"/>
        <item x="466"/>
        <item x="355"/>
        <item x="98"/>
        <item x="165"/>
        <item x="527"/>
        <item x="536"/>
        <item x="480"/>
        <item x="248"/>
        <item x="658"/>
        <item x="23"/>
        <item x="512"/>
        <item x="287"/>
        <item x="448"/>
        <item x="198"/>
        <item x="682"/>
        <item x="365"/>
        <item x="424"/>
        <item x="44"/>
        <item x="639"/>
        <item x="348"/>
        <item x="239"/>
        <item x="650"/>
        <item x="347"/>
        <item x="193"/>
        <item x="402"/>
        <item x="578"/>
        <item x="525"/>
        <item x="370"/>
        <item x="614"/>
        <item x="167"/>
        <item x="570"/>
        <item x="547"/>
        <item x="398"/>
        <item x="642"/>
        <item x="503"/>
        <item x="617"/>
        <item x="78"/>
        <item x="380"/>
        <item x="597"/>
        <item x="441"/>
        <item x="386"/>
        <item x="464"/>
        <item x="356"/>
        <item x="237"/>
        <item x="413"/>
        <item x="301"/>
        <item x="280"/>
        <item x="530"/>
        <item x="223"/>
        <item x="333"/>
        <item x="202"/>
        <item x="663"/>
        <item x="506"/>
        <item x="269"/>
        <item x="342"/>
        <item x="111"/>
        <item x="577"/>
        <item x="201"/>
        <item x="123"/>
        <item x="452"/>
        <item x="377"/>
        <item x="221"/>
        <item x="612"/>
        <item x="7"/>
        <item x="513"/>
        <item x="376"/>
        <item x="228"/>
        <item x="265"/>
        <item x="565"/>
        <item x="187"/>
        <item x="454"/>
        <item x="529"/>
        <item x="609"/>
        <item x="521"/>
        <item x="668"/>
        <item x="176"/>
        <item x="579"/>
        <item x="175"/>
        <item x="133"/>
        <item x="644"/>
        <item x="0"/>
        <item x="101"/>
        <item x="659"/>
        <item x="140"/>
        <item x="210"/>
        <item x="41"/>
        <item x="246"/>
        <item x="26"/>
        <item x="472"/>
        <item x="511"/>
        <item x="117"/>
        <item x="62"/>
        <item x="387"/>
        <item x="317"/>
        <item x="205"/>
        <item x="315"/>
        <item x="538"/>
        <item x="310"/>
        <item x="652"/>
        <item x="613"/>
        <item x="197"/>
        <item x="189"/>
        <item x="582"/>
        <item x="268"/>
        <item x="493"/>
        <item x="681"/>
        <item x="153"/>
        <item x="208"/>
        <item x="405"/>
        <item x="576"/>
        <item x="563"/>
        <item x="80"/>
        <item x="49"/>
        <item x="285"/>
        <item x="651"/>
        <item x="528"/>
        <item x="459"/>
        <item x="250"/>
        <item t="default"/>
      </items>
    </pivotField>
    <pivotField dataField="1" showAll="0"/>
    <pivotField showAll="0"/>
    <pivotField showAll="0"/>
    <pivotField showAll="0"/>
    <pivotField showAll="0"/>
    <pivotField showAll="0"/>
    <pivotField showAll="0"/>
    <pivotField showAll="0"/>
    <pivotField numFmtId="166" showAll="0"/>
    <pivotField numFmtId="167" showAll="0"/>
    <pivotField numFmtId="167" showAll="0"/>
    <pivotField showAll="0"/>
    <pivotField showAll="0"/>
    <pivotField showAll="0">
      <items count="3">
        <item x="1"/>
        <item x="0"/>
        <item t="default"/>
      </items>
    </pivotField>
    <pivotField showAll="0"/>
    <pivotField numFmtId="2" showAll="0"/>
    <pivotField showAll="0"/>
    <pivotField showAll="0"/>
    <pivotField axis="axisRow" showAll="0" sortType="descending">
      <items count="5">
        <item x="1"/>
        <item x="2"/>
        <item x="3"/>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defaultSubtotal="0"/>
    <pivotField showAll="0" defaultSubtotal="0">
      <items count="6">
        <item x="0"/>
        <item x="1"/>
        <item x="2"/>
        <item x="3"/>
        <item x="4"/>
        <item x="5"/>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20"/>
  </rowFields>
  <rowItems count="5">
    <i>
      <x v="3"/>
    </i>
    <i>
      <x/>
    </i>
    <i>
      <x v="2"/>
    </i>
    <i>
      <x v="1"/>
    </i>
    <i t="grand">
      <x/>
    </i>
  </rowItems>
  <colItems count="1">
    <i/>
  </colItems>
  <dataFields count="1">
    <dataField name="Customer Count" fld="2" subtotal="count" baseField="20" baseItem="3"/>
  </dataFields>
  <chartFormats count="1">
    <chartFormat chart="2" format="2"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4413F6-4D0D-48CB-8B2B-167D312B67F1}" name="PriceVSVolumePivo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6">
  <location ref="H81:I86" firstHeaderRow="1" firstDataRow="1" firstDataCol="1"/>
  <pivotFields count="34">
    <pivotField showAll="0"/>
    <pivotField numFmtId="165" showAll="0">
      <items count="690">
        <item x="94"/>
        <item x="283"/>
        <item x="107"/>
        <item x="555"/>
        <item x="327"/>
        <item x="209"/>
        <item x="172"/>
        <item x="2"/>
        <item x="238"/>
        <item x="39"/>
        <item x="230"/>
        <item x="433"/>
        <item x="243"/>
        <item x="129"/>
        <item x="154"/>
        <item x="474"/>
        <item x="624"/>
        <item x="110"/>
        <item x="321"/>
        <item x="25"/>
        <item x="435"/>
        <item x="151"/>
        <item x="181"/>
        <item x="56"/>
        <item x="505"/>
        <item x="363"/>
        <item x="254"/>
        <item x="108"/>
        <item x="182"/>
        <item x="649"/>
        <item x="79"/>
        <item x="604"/>
        <item x="514"/>
        <item x="498"/>
        <item x="375"/>
        <item x="233"/>
        <item x="566"/>
        <item x="43"/>
        <item x="665"/>
        <item x="88"/>
        <item x="598"/>
        <item x="421"/>
        <item x="520"/>
        <item x="320"/>
        <item x="279"/>
        <item x="102"/>
        <item x="194"/>
        <item x="456"/>
        <item x="118"/>
        <item x="648"/>
        <item x="64"/>
        <item x="533"/>
        <item x="501"/>
        <item x="422"/>
        <item x="8"/>
        <item x="353"/>
        <item x="103"/>
        <item x="195"/>
        <item x="339"/>
        <item x="643"/>
        <item x="654"/>
        <item x="271"/>
        <item x="389"/>
        <item x="475"/>
        <item x="522"/>
        <item x="20"/>
        <item x="144"/>
        <item x="462"/>
        <item x="397"/>
        <item x="588"/>
        <item x="229"/>
        <item x="469"/>
        <item x="400"/>
        <item x="391"/>
        <item x="683"/>
        <item x="603"/>
        <item x="660"/>
        <item x="447"/>
        <item x="207"/>
        <item x="619"/>
        <item x="351"/>
        <item x="638"/>
        <item x="662"/>
        <item x="390"/>
        <item x="477"/>
        <item x="112"/>
        <item x="226"/>
        <item x="364"/>
        <item x="600"/>
        <item x="109"/>
        <item x="231"/>
        <item x="241"/>
        <item x="92"/>
        <item x="106"/>
        <item x="362"/>
        <item x="430"/>
        <item x="37"/>
        <item x="540"/>
        <item x="257"/>
        <item x="438"/>
        <item x="384"/>
        <item x="608"/>
        <item x="593"/>
        <item x="316"/>
        <item x="580"/>
        <item x="350"/>
        <item x="383"/>
        <item x="258"/>
        <item x="296"/>
        <item x="457"/>
        <item x="191"/>
        <item x="611"/>
        <item x="423"/>
        <item x="235"/>
        <item x="388"/>
        <item x="534"/>
        <item x="544"/>
        <item x="145"/>
        <item x="653"/>
        <item x="374"/>
        <item x="633"/>
        <item x="418"/>
        <item x="294"/>
        <item x="575"/>
        <item x="255"/>
        <item x="567"/>
        <item x="66"/>
        <item x="346"/>
        <item x="259"/>
        <item x="63"/>
        <item x="667"/>
        <item x="174"/>
        <item x="678"/>
        <item x="548"/>
        <item x="471"/>
        <item x="411"/>
        <item x="431"/>
        <item x="628"/>
        <item x="476"/>
        <item x="270"/>
        <item x="199"/>
        <item x="568"/>
        <item x="586"/>
        <item x="40"/>
        <item x="545"/>
        <item x="634"/>
        <item x="155"/>
        <item x="489"/>
        <item x="467"/>
        <item x="491"/>
        <item x="149"/>
        <item x="460"/>
        <item x="91"/>
        <item x="273"/>
        <item x="672"/>
        <item x="120"/>
        <item x="478"/>
        <item x="130"/>
        <item x="674"/>
        <item x="227"/>
        <item x="440"/>
        <item x="266"/>
        <item x="299"/>
        <item x="631"/>
        <item x="329"/>
        <item x="307"/>
        <item x="488"/>
        <item x="685"/>
        <item x="573"/>
        <item x="50"/>
        <item x="286"/>
        <item x="48"/>
        <item x="532"/>
        <item x="281"/>
        <item x="15"/>
        <item x="61"/>
        <item x="67"/>
        <item x="599"/>
        <item x="558"/>
        <item x="75"/>
        <item x="55"/>
        <item x="680"/>
        <item x="684"/>
        <item x="344"/>
        <item x="52"/>
        <item x="419"/>
        <item x="232"/>
        <item x="134"/>
        <item x="572"/>
        <item x="455"/>
        <item x="171"/>
        <item x="661"/>
        <item x="524"/>
        <item x="416"/>
        <item x="219"/>
        <item x="196"/>
        <item x="36"/>
        <item x="420"/>
        <item x="100"/>
        <item x="574"/>
        <item x="601"/>
        <item x="6"/>
        <item x="562"/>
        <item x="625"/>
        <item x="590"/>
        <item x="253"/>
        <item x="148"/>
        <item x="569"/>
        <item x="335"/>
        <item x="492"/>
        <item x="526"/>
        <item x="439"/>
        <item x="252"/>
        <item x="16"/>
        <item x="166"/>
        <item x="204"/>
        <item x="425"/>
        <item x="137"/>
        <item x="490"/>
        <item x="564"/>
        <item x="60"/>
        <item x="319"/>
        <item x="256"/>
        <item x="676"/>
        <item x="559"/>
        <item x="222"/>
        <item x="81"/>
        <item x="666"/>
        <item x="484"/>
        <item x="605"/>
        <item x="546"/>
        <item x="453"/>
        <item x="170"/>
        <item x="164"/>
        <item x="17"/>
        <item x="509"/>
        <item x="584"/>
        <item x="291"/>
        <item x="282"/>
        <item x="262"/>
        <item x="236"/>
        <item x="656"/>
        <item x="324"/>
        <item x="35"/>
        <item x="645"/>
        <item x="343"/>
        <item x="618"/>
        <item x="434"/>
        <item x="245"/>
        <item x="298"/>
        <item x="264"/>
        <item x="359"/>
        <item x="213"/>
        <item x="13"/>
        <item x="12"/>
        <item x="34"/>
        <item x="485"/>
        <item x="360"/>
        <item x="177"/>
        <item x="293"/>
        <item x="368"/>
        <item x="396"/>
        <item x="132"/>
        <item x="516"/>
        <item x="261"/>
        <item x="357"/>
        <item x="531"/>
        <item x="263"/>
        <item x="518"/>
        <item x="444"/>
        <item x="45"/>
        <item x="19"/>
        <item x="97"/>
        <item x="486"/>
        <item x="312"/>
        <item x="216"/>
        <item x="330"/>
        <item x="292"/>
        <item x="18"/>
        <item x="328"/>
        <item x="14"/>
        <item x="664"/>
        <item x="96"/>
        <item x="686"/>
        <item x="308"/>
        <item x="225"/>
        <item x="553"/>
        <item x="366"/>
        <item x="73"/>
        <item x="515"/>
        <item x="42"/>
        <item x="125"/>
        <item x="295"/>
        <item x="415"/>
        <item x="549"/>
        <item x="30"/>
        <item x="381"/>
        <item x="146"/>
        <item x="22"/>
        <item x="84"/>
        <item x="126"/>
        <item x="508"/>
        <item x="127"/>
        <item x="571"/>
        <item x="373"/>
        <item x="11"/>
        <item x="10"/>
        <item x="161"/>
        <item x="385"/>
        <item x="115"/>
        <item x="345"/>
        <item x="188"/>
        <item x="9"/>
        <item x="507"/>
        <item x="675"/>
        <item x="677"/>
        <item x="622"/>
        <item x="31"/>
        <item x="322"/>
        <item x="429"/>
        <item x="554"/>
        <item x="29"/>
        <item x="401"/>
        <item x="173"/>
        <item x="409"/>
        <item x="288"/>
        <item x="105"/>
        <item x="65"/>
        <item x="53"/>
        <item x="51"/>
        <item x="629"/>
        <item x="443"/>
        <item x="610"/>
        <item x="135"/>
        <item x="500"/>
        <item x="560"/>
        <item x="523"/>
        <item x="1"/>
        <item x="499"/>
        <item x="587"/>
        <item x="114"/>
        <item x="543"/>
        <item x="483"/>
        <item x="494"/>
        <item x="407"/>
        <item x="495"/>
        <item x="449"/>
        <item x="602"/>
        <item x="369"/>
        <item x="206"/>
        <item x="122"/>
        <item x="313"/>
        <item x="556"/>
        <item x="426"/>
        <item x="670"/>
        <item x="361"/>
        <item x="272"/>
        <item x="442"/>
        <item x="179"/>
        <item x="46"/>
        <item x="657"/>
        <item x="86"/>
        <item x="637"/>
        <item x="473"/>
        <item x="72"/>
        <item x="104"/>
        <item x="70"/>
        <item x="300"/>
        <item x="432"/>
        <item x="302"/>
        <item x="595"/>
        <item x="212"/>
        <item x="607"/>
        <item x="688"/>
        <item x="169"/>
        <item x="160"/>
        <item x="406"/>
        <item x="436"/>
        <item x="627"/>
        <item x="632"/>
        <item x="446"/>
        <item x="185"/>
        <item x="591"/>
        <item x="152"/>
        <item x="537"/>
        <item x="3"/>
        <item x="95"/>
        <item x="93"/>
        <item x="306"/>
        <item x="5"/>
        <item x="445"/>
        <item x="481"/>
        <item x="159"/>
        <item x="244"/>
        <item x="458"/>
        <item x="87"/>
        <item x="585"/>
        <item x="669"/>
        <item x="636"/>
        <item x="557"/>
        <item x="143"/>
        <item x="517"/>
        <item x="630"/>
        <item x="211"/>
        <item x="635"/>
        <item x="395"/>
        <item x="136"/>
        <item x="142"/>
        <item x="408"/>
        <item x="33"/>
        <item x="589"/>
        <item x="47"/>
        <item x="594"/>
        <item x="138"/>
        <item x="412"/>
        <item x="224"/>
        <item x="162"/>
        <item x="341"/>
        <item x="192"/>
        <item x="615"/>
        <item x="340"/>
        <item x="679"/>
        <item x="323"/>
        <item x="372"/>
        <item x="89"/>
        <item x="77"/>
        <item x="38"/>
        <item x="276"/>
        <item x="427"/>
        <item x="83"/>
        <item x="673"/>
        <item x="116"/>
        <item x="539"/>
        <item x="203"/>
        <item x="141"/>
        <item x="687"/>
        <item x="463"/>
        <item x="184"/>
        <item x="338"/>
        <item x="367"/>
        <item x="497"/>
        <item x="552"/>
        <item x="349"/>
        <item x="647"/>
        <item x="354"/>
        <item x="352"/>
        <item x="277"/>
        <item x="561"/>
        <item x="275"/>
        <item x="371"/>
        <item x="616"/>
        <item x="378"/>
        <item x="403"/>
        <item x="461"/>
        <item x="410"/>
        <item x="218"/>
        <item x="284"/>
        <item x="482"/>
        <item x="278"/>
        <item x="21"/>
        <item x="242"/>
        <item x="157"/>
        <item x="131"/>
        <item x="297"/>
        <item x="59"/>
        <item x="27"/>
        <item x="186"/>
        <item x="311"/>
        <item x="85"/>
        <item x="379"/>
        <item x="158"/>
        <item x="183"/>
        <item x="305"/>
        <item x="428"/>
        <item x="519"/>
        <item x="399"/>
        <item x="640"/>
        <item x="326"/>
        <item x="124"/>
        <item x="437"/>
        <item x="200"/>
        <item x="334"/>
        <item x="606"/>
        <item x="303"/>
        <item x="623"/>
        <item x="4"/>
        <item x="147"/>
        <item x="71"/>
        <item x="325"/>
        <item x="190"/>
        <item x="99"/>
        <item x="382"/>
        <item x="655"/>
        <item x="156"/>
        <item x="592"/>
        <item x="583"/>
        <item x="417"/>
        <item x="535"/>
        <item x="542"/>
        <item x="249"/>
        <item x="90"/>
        <item x="58"/>
        <item x="180"/>
        <item x="274"/>
        <item x="479"/>
        <item x="163"/>
        <item x="318"/>
        <item x="337"/>
        <item x="68"/>
        <item x="234"/>
        <item x="113"/>
        <item x="551"/>
        <item x="128"/>
        <item x="336"/>
        <item x="414"/>
        <item x="626"/>
        <item x="150"/>
        <item x="620"/>
        <item x="220"/>
        <item x="502"/>
        <item x="450"/>
        <item x="465"/>
        <item x="550"/>
        <item x="671"/>
        <item x="404"/>
        <item x="487"/>
        <item x="290"/>
        <item x="641"/>
        <item x="119"/>
        <item x="215"/>
        <item x="54"/>
        <item x="74"/>
        <item x="541"/>
        <item x="251"/>
        <item x="309"/>
        <item x="57"/>
        <item x="304"/>
        <item x="82"/>
        <item x="247"/>
        <item x="178"/>
        <item x="646"/>
        <item x="504"/>
        <item x="314"/>
        <item x="69"/>
        <item x="510"/>
        <item x="392"/>
        <item x="76"/>
        <item x="496"/>
        <item x="168"/>
        <item x="24"/>
        <item x="32"/>
        <item x="217"/>
        <item x="240"/>
        <item x="621"/>
        <item x="394"/>
        <item x="468"/>
        <item x="470"/>
        <item x="139"/>
        <item x="581"/>
        <item x="331"/>
        <item x="260"/>
        <item x="289"/>
        <item x="28"/>
        <item x="393"/>
        <item x="332"/>
        <item x="596"/>
        <item x="358"/>
        <item x="267"/>
        <item x="121"/>
        <item x="214"/>
        <item x="451"/>
        <item x="466"/>
        <item x="355"/>
        <item x="98"/>
        <item x="165"/>
        <item x="527"/>
        <item x="536"/>
        <item x="480"/>
        <item x="248"/>
        <item x="658"/>
        <item x="23"/>
        <item x="512"/>
        <item x="287"/>
        <item x="448"/>
        <item x="198"/>
        <item x="682"/>
        <item x="365"/>
        <item x="424"/>
        <item x="44"/>
        <item x="639"/>
        <item x="348"/>
        <item x="239"/>
        <item x="650"/>
        <item x="347"/>
        <item x="193"/>
        <item x="402"/>
        <item x="578"/>
        <item x="525"/>
        <item x="370"/>
        <item x="614"/>
        <item x="167"/>
        <item x="570"/>
        <item x="547"/>
        <item x="398"/>
        <item x="642"/>
        <item x="503"/>
        <item x="617"/>
        <item x="78"/>
        <item x="380"/>
        <item x="597"/>
        <item x="441"/>
        <item x="386"/>
        <item x="464"/>
        <item x="356"/>
        <item x="237"/>
        <item x="413"/>
        <item x="301"/>
        <item x="280"/>
        <item x="530"/>
        <item x="223"/>
        <item x="333"/>
        <item x="202"/>
        <item x="663"/>
        <item x="506"/>
        <item x="269"/>
        <item x="342"/>
        <item x="111"/>
        <item x="577"/>
        <item x="201"/>
        <item x="123"/>
        <item x="452"/>
        <item x="377"/>
        <item x="221"/>
        <item x="612"/>
        <item x="7"/>
        <item x="513"/>
        <item x="376"/>
        <item x="228"/>
        <item x="265"/>
        <item x="565"/>
        <item x="187"/>
        <item x="454"/>
        <item x="529"/>
        <item x="609"/>
        <item x="521"/>
        <item x="668"/>
        <item x="176"/>
        <item x="579"/>
        <item x="175"/>
        <item x="133"/>
        <item x="644"/>
        <item x="0"/>
        <item x="101"/>
        <item x="659"/>
        <item x="140"/>
        <item x="210"/>
        <item x="41"/>
        <item x="246"/>
        <item x="26"/>
        <item x="472"/>
        <item x="511"/>
        <item x="117"/>
        <item x="62"/>
        <item x="387"/>
        <item x="317"/>
        <item x="205"/>
        <item x="315"/>
        <item x="538"/>
        <item x="310"/>
        <item x="652"/>
        <item x="613"/>
        <item x="197"/>
        <item x="189"/>
        <item x="582"/>
        <item x="268"/>
        <item x="493"/>
        <item x="681"/>
        <item x="153"/>
        <item x="208"/>
        <item x="405"/>
        <item x="576"/>
        <item x="563"/>
        <item x="80"/>
        <item x="49"/>
        <item x="285"/>
        <item x="651"/>
        <item x="528"/>
        <item x="459"/>
        <item x="250"/>
        <item t="default"/>
      </items>
    </pivotField>
    <pivotField showAll="0"/>
    <pivotField showAll="0"/>
    <pivotField showAll="0"/>
    <pivotField showAll="0"/>
    <pivotField showAll="0"/>
    <pivotField showAll="0"/>
    <pivotField showAll="0"/>
    <pivotField showAll="0"/>
    <pivotField numFmtId="166" showAll="0">
      <items count="5">
        <item x="3"/>
        <item x="1"/>
        <item x="0"/>
        <item x="2"/>
        <item t="default"/>
      </items>
    </pivotField>
    <pivotField numFmtId="167" showAll="0"/>
    <pivotField dataField="1" numFmtId="167" showAll="0"/>
    <pivotField showAll="0"/>
    <pivotField showAll="0">
      <items count="4">
        <item x="0"/>
        <item x="1"/>
        <item x="2"/>
        <item t="default"/>
      </items>
    </pivotField>
    <pivotField showAll="0"/>
    <pivotField showAll="0"/>
    <pivotField numFmtId="2" showAll="0"/>
    <pivotField showAll="0"/>
    <pivotField showAll="0"/>
    <pivotField showAll="0"/>
    <pivotField showAll="0"/>
    <pivotField showAll="0"/>
    <pivotField axis="axisRow" showAll="0" sortType="descending">
      <items count="5">
        <item x="1"/>
        <item x="0"/>
        <item x="2"/>
        <item x="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defaultSubtotal="0"/>
    <pivotField showAll="0" defaultSubtotal="0">
      <items count="6">
        <item x="0"/>
        <item x="1"/>
        <item x="2"/>
        <item x="3"/>
        <item x="4"/>
        <item x="5"/>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23"/>
  </rowFields>
  <rowItems count="5">
    <i>
      <x/>
    </i>
    <i>
      <x v="1"/>
    </i>
    <i>
      <x v="3"/>
    </i>
    <i>
      <x v="2"/>
    </i>
    <i t="grand">
      <x/>
    </i>
  </rowItems>
  <colItems count="1">
    <i/>
  </colItems>
  <dataFields count="1">
    <dataField name="Sum of Sales" fld="12" baseField="0" baseItem="0" numFmtId="167"/>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7BC4ACD-37D9-4B55-A79F-B805D3A0B293}" name="PivotTable3"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1">
  <location ref="L1:M7" firstHeaderRow="1" firstDataRow="1" firstDataCol="1"/>
  <pivotFields count="34">
    <pivotField showAll="0"/>
    <pivotField numFmtId="165" showAll="0">
      <items count="690">
        <item x="94"/>
        <item x="283"/>
        <item x="107"/>
        <item x="555"/>
        <item x="327"/>
        <item x="209"/>
        <item x="172"/>
        <item x="2"/>
        <item x="238"/>
        <item x="39"/>
        <item x="230"/>
        <item x="433"/>
        <item x="243"/>
        <item x="129"/>
        <item x="154"/>
        <item x="474"/>
        <item x="624"/>
        <item x="110"/>
        <item x="321"/>
        <item x="25"/>
        <item x="435"/>
        <item x="151"/>
        <item x="181"/>
        <item x="56"/>
        <item x="505"/>
        <item x="363"/>
        <item x="254"/>
        <item x="108"/>
        <item x="182"/>
        <item x="649"/>
        <item x="79"/>
        <item x="604"/>
        <item x="514"/>
        <item x="498"/>
        <item x="375"/>
        <item x="233"/>
        <item x="566"/>
        <item x="43"/>
        <item x="665"/>
        <item x="88"/>
        <item x="598"/>
        <item x="421"/>
        <item x="520"/>
        <item x="320"/>
        <item x="279"/>
        <item x="102"/>
        <item x="194"/>
        <item x="456"/>
        <item x="118"/>
        <item x="648"/>
        <item x="64"/>
        <item x="533"/>
        <item x="501"/>
        <item x="422"/>
        <item x="8"/>
        <item x="353"/>
        <item x="103"/>
        <item x="195"/>
        <item x="339"/>
        <item x="643"/>
        <item x="654"/>
        <item x="271"/>
        <item x="389"/>
        <item x="475"/>
        <item x="522"/>
        <item x="20"/>
        <item x="144"/>
        <item x="462"/>
        <item x="397"/>
        <item x="588"/>
        <item x="229"/>
        <item x="469"/>
        <item x="400"/>
        <item x="391"/>
        <item x="683"/>
        <item x="603"/>
        <item x="660"/>
        <item x="447"/>
        <item x="207"/>
        <item x="619"/>
        <item x="351"/>
        <item x="638"/>
        <item x="662"/>
        <item x="390"/>
        <item x="477"/>
        <item x="112"/>
        <item x="226"/>
        <item x="364"/>
        <item x="600"/>
        <item x="109"/>
        <item x="231"/>
        <item x="241"/>
        <item x="92"/>
        <item x="106"/>
        <item x="362"/>
        <item x="430"/>
        <item x="37"/>
        <item x="540"/>
        <item x="257"/>
        <item x="438"/>
        <item x="384"/>
        <item x="608"/>
        <item x="593"/>
        <item x="316"/>
        <item x="580"/>
        <item x="350"/>
        <item x="383"/>
        <item x="258"/>
        <item x="296"/>
        <item x="457"/>
        <item x="191"/>
        <item x="611"/>
        <item x="423"/>
        <item x="235"/>
        <item x="388"/>
        <item x="534"/>
        <item x="544"/>
        <item x="145"/>
        <item x="653"/>
        <item x="374"/>
        <item x="633"/>
        <item x="418"/>
        <item x="294"/>
        <item x="575"/>
        <item x="255"/>
        <item x="567"/>
        <item x="66"/>
        <item x="346"/>
        <item x="259"/>
        <item x="63"/>
        <item x="667"/>
        <item x="174"/>
        <item x="678"/>
        <item x="548"/>
        <item x="471"/>
        <item x="411"/>
        <item x="431"/>
        <item x="628"/>
        <item x="476"/>
        <item x="270"/>
        <item x="199"/>
        <item x="568"/>
        <item x="586"/>
        <item x="40"/>
        <item x="545"/>
        <item x="634"/>
        <item x="155"/>
        <item x="489"/>
        <item x="467"/>
        <item x="491"/>
        <item x="149"/>
        <item x="460"/>
        <item x="91"/>
        <item x="273"/>
        <item x="672"/>
        <item x="120"/>
        <item x="478"/>
        <item x="130"/>
        <item x="674"/>
        <item x="227"/>
        <item x="440"/>
        <item x="266"/>
        <item x="299"/>
        <item x="631"/>
        <item x="329"/>
        <item x="307"/>
        <item x="488"/>
        <item x="685"/>
        <item x="573"/>
        <item x="50"/>
        <item x="286"/>
        <item x="48"/>
        <item x="532"/>
        <item x="281"/>
        <item x="15"/>
        <item x="61"/>
        <item x="67"/>
        <item x="599"/>
        <item x="558"/>
        <item x="75"/>
        <item x="55"/>
        <item x="680"/>
        <item x="684"/>
        <item x="344"/>
        <item x="52"/>
        <item x="419"/>
        <item x="232"/>
        <item x="134"/>
        <item x="572"/>
        <item x="455"/>
        <item x="171"/>
        <item x="661"/>
        <item x="524"/>
        <item x="416"/>
        <item x="219"/>
        <item x="196"/>
        <item x="36"/>
        <item x="420"/>
        <item x="100"/>
        <item x="574"/>
        <item x="601"/>
        <item x="6"/>
        <item x="562"/>
        <item x="625"/>
        <item x="590"/>
        <item x="253"/>
        <item x="148"/>
        <item x="569"/>
        <item x="335"/>
        <item x="492"/>
        <item x="526"/>
        <item x="439"/>
        <item x="252"/>
        <item x="16"/>
        <item x="166"/>
        <item x="204"/>
        <item x="425"/>
        <item x="137"/>
        <item x="490"/>
        <item x="564"/>
        <item x="60"/>
        <item x="319"/>
        <item x="256"/>
        <item x="676"/>
        <item x="559"/>
        <item x="222"/>
        <item x="81"/>
        <item x="666"/>
        <item x="484"/>
        <item x="605"/>
        <item x="546"/>
        <item x="453"/>
        <item x="170"/>
        <item x="164"/>
        <item x="17"/>
        <item x="509"/>
        <item x="584"/>
        <item x="291"/>
        <item x="282"/>
        <item x="262"/>
        <item x="236"/>
        <item x="656"/>
        <item x="324"/>
        <item x="35"/>
        <item x="645"/>
        <item x="343"/>
        <item x="618"/>
        <item x="434"/>
        <item x="245"/>
        <item x="298"/>
        <item x="264"/>
        <item x="359"/>
        <item x="213"/>
        <item x="13"/>
        <item x="12"/>
        <item x="34"/>
        <item x="485"/>
        <item x="360"/>
        <item x="177"/>
        <item x="293"/>
        <item x="368"/>
        <item x="396"/>
        <item x="132"/>
        <item x="516"/>
        <item x="261"/>
        <item x="357"/>
        <item x="531"/>
        <item x="263"/>
        <item x="518"/>
        <item x="444"/>
        <item x="45"/>
        <item x="19"/>
        <item x="97"/>
        <item x="486"/>
        <item x="312"/>
        <item x="216"/>
        <item x="330"/>
        <item x="292"/>
        <item x="18"/>
        <item x="328"/>
        <item x="14"/>
        <item x="664"/>
        <item x="96"/>
        <item x="686"/>
        <item x="308"/>
        <item x="225"/>
        <item x="553"/>
        <item x="366"/>
        <item x="73"/>
        <item x="515"/>
        <item x="42"/>
        <item x="125"/>
        <item x="295"/>
        <item x="415"/>
        <item x="549"/>
        <item x="30"/>
        <item x="381"/>
        <item x="146"/>
        <item x="22"/>
        <item x="84"/>
        <item x="126"/>
        <item x="508"/>
        <item x="127"/>
        <item x="571"/>
        <item x="373"/>
        <item x="11"/>
        <item x="10"/>
        <item x="161"/>
        <item x="385"/>
        <item x="115"/>
        <item x="345"/>
        <item x="188"/>
        <item x="9"/>
        <item x="507"/>
        <item x="675"/>
        <item x="677"/>
        <item x="622"/>
        <item x="31"/>
        <item x="322"/>
        <item x="429"/>
        <item x="554"/>
        <item x="29"/>
        <item x="401"/>
        <item x="173"/>
        <item x="409"/>
        <item x="288"/>
        <item x="105"/>
        <item x="65"/>
        <item x="53"/>
        <item x="51"/>
        <item x="629"/>
        <item x="443"/>
        <item x="610"/>
        <item x="135"/>
        <item x="500"/>
        <item x="560"/>
        <item x="523"/>
        <item x="1"/>
        <item x="499"/>
        <item x="587"/>
        <item x="114"/>
        <item x="543"/>
        <item x="483"/>
        <item x="494"/>
        <item x="407"/>
        <item x="495"/>
        <item x="449"/>
        <item x="602"/>
        <item x="369"/>
        <item x="206"/>
        <item x="122"/>
        <item x="313"/>
        <item x="556"/>
        <item x="426"/>
        <item x="670"/>
        <item x="361"/>
        <item x="272"/>
        <item x="442"/>
        <item x="179"/>
        <item x="46"/>
        <item x="657"/>
        <item x="86"/>
        <item x="637"/>
        <item x="473"/>
        <item x="72"/>
        <item x="104"/>
        <item x="70"/>
        <item x="300"/>
        <item x="432"/>
        <item x="302"/>
        <item x="595"/>
        <item x="212"/>
        <item x="607"/>
        <item x="688"/>
        <item x="169"/>
        <item x="160"/>
        <item x="406"/>
        <item x="436"/>
        <item x="627"/>
        <item x="632"/>
        <item x="446"/>
        <item x="185"/>
        <item x="591"/>
        <item x="152"/>
        <item x="537"/>
        <item x="3"/>
        <item x="95"/>
        <item x="93"/>
        <item x="306"/>
        <item x="5"/>
        <item x="445"/>
        <item x="481"/>
        <item x="159"/>
        <item x="244"/>
        <item x="458"/>
        <item x="87"/>
        <item x="585"/>
        <item x="669"/>
        <item x="636"/>
        <item x="557"/>
        <item x="143"/>
        <item x="517"/>
        <item x="630"/>
        <item x="211"/>
        <item x="635"/>
        <item x="395"/>
        <item x="136"/>
        <item x="142"/>
        <item x="408"/>
        <item x="33"/>
        <item x="589"/>
        <item x="47"/>
        <item x="594"/>
        <item x="138"/>
        <item x="412"/>
        <item x="224"/>
        <item x="162"/>
        <item x="341"/>
        <item x="192"/>
        <item x="615"/>
        <item x="340"/>
        <item x="679"/>
        <item x="323"/>
        <item x="372"/>
        <item x="89"/>
        <item x="77"/>
        <item x="38"/>
        <item x="276"/>
        <item x="427"/>
        <item x="83"/>
        <item x="673"/>
        <item x="116"/>
        <item x="539"/>
        <item x="203"/>
        <item x="141"/>
        <item x="687"/>
        <item x="463"/>
        <item x="184"/>
        <item x="338"/>
        <item x="367"/>
        <item x="497"/>
        <item x="552"/>
        <item x="349"/>
        <item x="647"/>
        <item x="354"/>
        <item x="352"/>
        <item x="277"/>
        <item x="561"/>
        <item x="275"/>
        <item x="371"/>
        <item x="616"/>
        <item x="378"/>
        <item x="403"/>
        <item x="461"/>
        <item x="410"/>
        <item x="218"/>
        <item x="284"/>
        <item x="482"/>
        <item x="278"/>
        <item x="21"/>
        <item x="242"/>
        <item x="157"/>
        <item x="131"/>
        <item x="297"/>
        <item x="59"/>
        <item x="27"/>
        <item x="186"/>
        <item x="311"/>
        <item x="85"/>
        <item x="379"/>
        <item x="158"/>
        <item x="183"/>
        <item x="305"/>
        <item x="428"/>
        <item x="519"/>
        <item x="399"/>
        <item x="640"/>
        <item x="326"/>
        <item x="124"/>
        <item x="437"/>
        <item x="200"/>
        <item x="334"/>
        <item x="606"/>
        <item x="303"/>
        <item x="623"/>
        <item x="4"/>
        <item x="147"/>
        <item x="71"/>
        <item x="325"/>
        <item x="190"/>
        <item x="99"/>
        <item x="382"/>
        <item x="655"/>
        <item x="156"/>
        <item x="592"/>
        <item x="583"/>
        <item x="417"/>
        <item x="535"/>
        <item x="542"/>
        <item x="249"/>
        <item x="90"/>
        <item x="58"/>
        <item x="180"/>
        <item x="274"/>
        <item x="479"/>
        <item x="163"/>
        <item x="318"/>
        <item x="337"/>
        <item x="68"/>
        <item x="234"/>
        <item x="113"/>
        <item x="551"/>
        <item x="128"/>
        <item x="336"/>
        <item x="414"/>
        <item x="626"/>
        <item x="150"/>
        <item x="620"/>
        <item x="220"/>
        <item x="502"/>
        <item x="450"/>
        <item x="465"/>
        <item x="550"/>
        <item x="671"/>
        <item x="404"/>
        <item x="487"/>
        <item x="290"/>
        <item x="641"/>
        <item x="119"/>
        <item x="215"/>
        <item x="54"/>
        <item x="74"/>
        <item x="541"/>
        <item x="251"/>
        <item x="309"/>
        <item x="57"/>
        <item x="304"/>
        <item x="82"/>
        <item x="247"/>
        <item x="178"/>
        <item x="646"/>
        <item x="504"/>
        <item x="314"/>
        <item x="69"/>
        <item x="510"/>
        <item x="392"/>
        <item x="76"/>
        <item x="496"/>
        <item x="168"/>
        <item x="24"/>
        <item x="32"/>
        <item x="217"/>
        <item x="240"/>
        <item x="621"/>
        <item x="394"/>
        <item x="468"/>
        <item x="470"/>
        <item x="139"/>
        <item x="581"/>
        <item x="331"/>
        <item x="260"/>
        <item x="289"/>
        <item x="28"/>
        <item x="393"/>
        <item x="332"/>
        <item x="596"/>
        <item x="358"/>
        <item x="267"/>
        <item x="121"/>
        <item x="214"/>
        <item x="451"/>
        <item x="466"/>
        <item x="355"/>
        <item x="98"/>
        <item x="165"/>
        <item x="527"/>
        <item x="536"/>
        <item x="480"/>
        <item x="248"/>
        <item x="658"/>
        <item x="23"/>
        <item x="512"/>
        <item x="287"/>
        <item x="448"/>
        <item x="198"/>
        <item x="682"/>
        <item x="365"/>
        <item x="424"/>
        <item x="44"/>
        <item x="639"/>
        <item x="348"/>
        <item x="239"/>
        <item x="650"/>
        <item x="347"/>
        <item x="193"/>
        <item x="402"/>
        <item x="578"/>
        <item x="525"/>
        <item x="370"/>
        <item x="614"/>
        <item x="167"/>
        <item x="570"/>
        <item x="547"/>
        <item x="398"/>
        <item x="642"/>
        <item x="503"/>
        <item x="617"/>
        <item x="78"/>
        <item x="380"/>
        <item x="597"/>
        <item x="441"/>
        <item x="386"/>
        <item x="464"/>
        <item x="356"/>
        <item x="237"/>
        <item x="413"/>
        <item x="301"/>
        <item x="280"/>
        <item x="530"/>
        <item x="223"/>
        <item x="333"/>
        <item x="202"/>
        <item x="663"/>
        <item x="506"/>
        <item x="269"/>
        <item x="342"/>
        <item x="111"/>
        <item x="577"/>
        <item x="201"/>
        <item x="123"/>
        <item x="452"/>
        <item x="377"/>
        <item x="221"/>
        <item x="612"/>
        <item x="7"/>
        <item x="513"/>
        <item x="376"/>
        <item x="228"/>
        <item x="265"/>
        <item x="565"/>
        <item x="187"/>
        <item x="454"/>
        <item x="529"/>
        <item x="609"/>
        <item x="521"/>
        <item x="668"/>
        <item x="176"/>
        <item x="579"/>
        <item x="175"/>
        <item x="133"/>
        <item x="644"/>
        <item x="0"/>
        <item x="101"/>
        <item x="659"/>
        <item x="140"/>
        <item x="210"/>
        <item x="41"/>
        <item x="246"/>
        <item x="26"/>
        <item x="472"/>
        <item x="511"/>
        <item x="117"/>
        <item x="62"/>
        <item x="387"/>
        <item x="317"/>
        <item x="205"/>
        <item x="315"/>
        <item x="538"/>
        <item x="310"/>
        <item x="652"/>
        <item x="613"/>
        <item x="197"/>
        <item x="189"/>
        <item x="582"/>
        <item x="268"/>
        <item x="493"/>
        <item x="681"/>
        <item x="153"/>
        <item x="208"/>
        <item x="405"/>
        <item x="576"/>
        <item x="563"/>
        <item x="80"/>
        <item x="49"/>
        <item x="285"/>
        <item x="651"/>
        <item x="528"/>
        <item x="459"/>
        <item x="250"/>
        <item t="default"/>
      </items>
    </pivotField>
    <pivotField showAll="0" measureFilter="1" sortType="ascending">
      <autoSortScope>
        <pivotArea dataOnly="0" outline="0" fieldPosition="0">
          <references count="1">
            <reference field="4294967294" count="1" selected="0">
              <x v="0"/>
            </reference>
          </references>
        </pivotArea>
      </autoSortScope>
    </pivotField>
    <pivotField showAll="0"/>
    <pivotField showAll="0"/>
    <pivotField axis="axisRow" showAll="0" measureFilter="1" sortType="ascending">
      <items count="914">
        <item x="519"/>
        <item x="471"/>
        <item x="248"/>
        <item x="555"/>
        <item x="176"/>
        <item x="239"/>
        <item x="774"/>
        <item x="110"/>
        <item x="614"/>
        <item x="689"/>
        <item x="272"/>
        <item x="483"/>
        <item x="806"/>
        <item x="217"/>
        <item x="491"/>
        <item x="14"/>
        <item x="340"/>
        <item x="164"/>
        <item x="88"/>
        <item x="619"/>
        <item x="695"/>
        <item x="205"/>
        <item x="345"/>
        <item x="563"/>
        <item x="665"/>
        <item x="405"/>
        <item x="407"/>
        <item x="124"/>
        <item x="223"/>
        <item x="281"/>
        <item x="572"/>
        <item x="327"/>
        <item x="497"/>
        <item x="76"/>
        <item x="573"/>
        <item x="444"/>
        <item x="235"/>
        <item x="664"/>
        <item x="125"/>
        <item x="455"/>
        <item x="599"/>
        <item x="605"/>
        <item x="404"/>
        <item x="435"/>
        <item x="297"/>
        <item x="688"/>
        <item x="179"/>
        <item x="339"/>
        <item x="742"/>
        <item x="356"/>
        <item x="624"/>
        <item x="411"/>
        <item x="230"/>
        <item x="716"/>
        <item x="588"/>
        <item x="169"/>
        <item x="478"/>
        <item x="724"/>
        <item x="779"/>
        <item x="560"/>
        <item x="386"/>
        <item x="762"/>
        <item x="86"/>
        <item x="334"/>
        <item x="330"/>
        <item x="549"/>
        <item x="777"/>
        <item x="550"/>
        <item x="120"/>
        <item x="492"/>
        <item x="162"/>
        <item x="600"/>
        <item x="299"/>
        <item x="701"/>
        <item x="615"/>
        <item x="495"/>
        <item x="603"/>
        <item x="490"/>
        <item x="180"/>
        <item x="513"/>
        <item x="575"/>
        <item x="163"/>
        <item x="752"/>
        <item x="416"/>
        <item x="305"/>
        <item x="722"/>
        <item x="622"/>
        <item x="249"/>
        <item x="192"/>
        <item x="413"/>
        <item x="273"/>
        <item x="889"/>
        <item x="190"/>
        <item x="625"/>
        <item x="146"/>
        <item x="99"/>
        <item x="597"/>
        <item x="685"/>
        <item x="842"/>
        <item x="772"/>
        <item x="676"/>
        <item x="105"/>
        <item x="362"/>
        <item x="469"/>
        <item x="704"/>
        <item x="354"/>
        <item x="245"/>
        <item x="810"/>
        <item x="725"/>
        <item x="786"/>
        <item x="674"/>
        <item x="892"/>
        <item x="144"/>
        <item x="300"/>
        <item x="508"/>
        <item x="697"/>
        <item x="440"/>
        <item x="907"/>
        <item x="751"/>
        <item x="67"/>
        <item x="430"/>
        <item x="414"/>
        <item x="780"/>
        <item x="260"/>
        <item x="770"/>
        <item x="268"/>
        <item x="378"/>
        <item x="222"/>
        <item x="604"/>
        <item x="443"/>
        <item x="393"/>
        <item x="69"/>
        <item x="161"/>
        <item x="757"/>
        <item x="595"/>
        <item x="593"/>
        <item x="215"/>
        <item x="315"/>
        <item x="602"/>
        <item x="382"/>
        <item x="901"/>
        <item x="457"/>
        <item x="516"/>
        <item x="873"/>
        <item x="39"/>
        <item x="882"/>
        <item x="783"/>
        <item x="574"/>
        <item x="823"/>
        <item x="726"/>
        <item x="735"/>
        <item x="804"/>
        <item x="544"/>
        <item x="609"/>
        <item x="545"/>
        <item x="380"/>
        <item x="263"/>
        <item x="570"/>
        <item x="129"/>
        <item x="261"/>
        <item x="377"/>
        <item x="911"/>
        <item x="50"/>
        <item x="17"/>
        <item x="18"/>
        <item x="836"/>
        <item x="145"/>
        <item x="108"/>
        <item x="391"/>
        <item x="587"/>
        <item x="607"/>
        <item x="10"/>
        <item x="367"/>
        <item x="341"/>
        <item x="694"/>
        <item x="324"/>
        <item x="26"/>
        <item x="875"/>
        <item x="74"/>
        <item x="794"/>
        <item x="228"/>
        <item x="337"/>
        <item x="524"/>
        <item x="319"/>
        <item x="142"/>
        <item x="709"/>
        <item x="811"/>
        <item x="301"/>
        <item x="458"/>
        <item x="646"/>
        <item x="185"/>
        <item x="579"/>
        <item x="853"/>
        <item x="61"/>
        <item x="350"/>
        <item x="642"/>
        <item x="390"/>
        <item x="692"/>
        <item x="103"/>
        <item x="648"/>
        <item x="262"/>
        <item x="220"/>
        <item x="314"/>
        <item x="246"/>
        <item x="821"/>
        <item x="649"/>
        <item x="183"/>
        <item x="451"/>
        <item x="809"/>
        <item x="346"/>
        <item x="30"/>
        <item x="537"/>
        <item x="434"/>
        <item x="731"/>
        <item x="255"/>
        <item x="906"/>
        <item x="170"/>
        <item x="53"/>
        <item x="746"/>
        <item x="461"/>
        <item x="306"/>
        <item x="660"/>
        <item x="815"/>
        <item x="242"/>
        <item x="392"/>
        <item x="482"/>
        <item x="191"/>
        <item x="830"/>
        <item x="167"/>
        <item x="790"/>
        <item x="353"/>
        <item x="371"/>
        <item x="748"/>
        <item x="463"/>
        <item x="361"/>
        <item x="212"/>
        <item x="708"/>
        <item x="569"/>
        <item x="668"/>
        <item x="385"/>
        <item x="791"/>
        <item x="523"/>
        <item x="172"/>
        <item x="313"/>
        <item x="72"/>
        <item x="840"/>
        <item x="759"/>
        <item x="528"/>
        <item x="199"/>
        <item x="591"/>
        <item x="576"/>
        <item x="290"/>
        <item x="698"/>
        <item x="814"/>
        <item x="822"/>
        <item x="274"/>
        <item x="843"/>
        <item x="37"/>
        <item x="89"/>
        <item x="136"/>
        <item x="644"/>
        <item x="213"/>
        <item x="578"/>
        <item x="288"/>
        <item x="415"/>
        <item x="156"/>
        <item x="651"/>
        <item x="266"/>
        <item x="428"/>
        <item x="460"/>
        <item x="79"/>
        <item x="670"/>
        <item x="765"/>
        <item x="417"/>
        <item x="23"/>
        <item x="486"/>
        <item x="713"/>
        <item x="348"/>
        <item x="325"/>
        <item x="771"/>
        <item x="374"/>
        <item x="856"/>
        <item x="551"/>
        <item x="303"/>
        <item x="581"/>
        <item x="564"/>
        <item x="559"/>
        <item x="879"/>
        <item x="839"/>
        <item x="807"/>
        <item x="466"/>
        <item x="874"/>
        <item x="452"/>
        <item x="612"/>
        <item x="767"/>
        <item x="848"/>
        <item x="147"/>
        <item x="209"/>
        <item x="485"/>
        <item x="98"/>
        <item x="141"/>
        <item x="133"/>
        <item x="909"/>
        <item x="25"/>
        <item x="6"/>
        <item x="112"/>
        <item x="521"/>
        <item x="894"/>
        <item x="21"/>
        <item x="251"/>
        <item x="566"/>
        <item x="34"/>
        <item x="548"/>
        <item x="408"/>
        <item x="800"/>
        <item x="706"/>
        <item x="640"/>
        <item x="693"/>
        <item x="718"/>
        <item x="535"/>
        <item x="0"/>
        <item x="47"/>
        <item x="686"/>
        <item x="808"/>
        <item x="68"/>
        <item x="351"/>
        <item x="420"/>
        <item x="132"/>
        <item x="104"/>
        <item x="421"/>
        <item x="94"/>
        <item x="769"/>
        <item x="31"/>
        <item x="5"/>
        <item x="366"/>
        <item x="46"/>
        <item x="193"/>
        <item x="727"/>
        <item x="522"/>
        <item x="536"/>
        <item x="135"/>
        <item x="347"/>
        <item x="639"/>
        <item x="201"/>
        <item x="57"/>
        <item x="683"/>
        <item x="344"/>
        <item x="465"/>
        <item x="431"/>
        <item x="459"/>
        <item x="778"/>
        <item x="470"/>
        <item x="127"/>
        <item x="744"/>
        <item x="871"/>
        <item x="586"/>
        <item x="100"/>
        <item x="656"/>
        <item x="529"/>
        <item x="90"/>
        <item x="479"/>
        <item x="506"/>
        <item x="55"/>
        <item x="747"/>
        <item x="401"/>
        <item x="763"/>
        <item x="394"/>
        <item x="520"/>
        <item x="84"/>
        <item x="283"/>
        <item x="236"/>
        <item x="638"/>
        <item x="760"/>
        <item x="328"/>
        <item x="154"/>
        <item x="846"/>
        <item x="139"/>
        <item x="194"/>
        <item x="253"/>
        <item x="182"/>
        <item x="721"/>
        <item x="582"/>
        <item x="837"/>
        <item x="131"/>
        <item x="768"/>
        <item x="187"/>
        <item x="122"/>
        <item x="861"/>
        <item x="699"/>
        <item x="27"/>
        <item x="4"/>
        <item x="820"/>
        <item x="891"/>
        <item x="487"/>
        <item x="904"/>
        <item x="472"/>
        <item x="851"/>
        <item x="280"/>
        <item x="282"/>
        <item x="117"/>
        <item x="157"/>
        <item x="505"/>
        <item x="527"/>
        <item x="677"/>
        <item x="857"/>
        <item x="244"/>
        <item x="512"/>
        <item x="635"/>
        <item x="456"/>
        <item x="813"/>
        <item x="510"/>
        <item x="481"/>
        <item x="509"/>
        <item x="54"/>
        <item x="48"/>
        <item x="741"/>
        <item x="788"/>
        <item x="712"/>
        <item x="832"/>
        <item x="900"/>
        <item x="202"/>
        <item x="293"/>
        <item x="137"/>
        <item x="58"/>
        <item x="585"/>
        <item x="309"/>
        <item x="494"/>
        <item x="890"/>
        <item x="264"/>
        <item x="556"/>
        <item x="787"/>
        <item x="403"/>
        <item x="22"/>
        <item x="838"/>
        <item x="743"/>
        <item x="114"/>
        <item x="195"/>
        <item x="87"/>
        <item x="866"/>
        <item x="753"/>
        <item x="270"/>
        <item x="358"/>
        <item x="342"/>
        <item x="446"/>
        <item x="507"/>
        <item x="116"/>
        <item x="184"/>
        <item x="500"/>
        <item x="254"/>
        <item x="207"/>
        <item x="849"/>
        <item x="467"/>
        <item x="610"/>
        <item x="616"/>
        <item x="850"/>
        <item x="302"/>
        <item x="534"/>
        <item x="756"/>
        <item x="286"/>
        <item x="426"/>
        <item x="754"/>
        <item x="515"/>
        <item x="123"/>
        <item x="669"/>
        <item x="480"/>
        <item x="530"/>
        <item x="284"/>
        <item x="503"/>
        <item x="650"/>
        <item x="546"/>
        <item x="542"/>
        <item x="107"/>
        <item x="453"/>
        <item x="883"/>
        <item x="28"/>
        <item x="338"/>
        <item x="102"/>
        <item x="422"/>
        <item x="710"/>
        <item x="632"/>
        <item x="501"/>
        <item x="410"/>
        <item x="454"/>
        <item x="719"/>
        <item x="336"/>
        <item x="484"/>
        <item x="149"/>
        <item x="518"/>
        <item x="210"/>
        <item x="870"/>
        <item x="320"/>
        <item x="863"/>
        <item x="886"/>
        <item x="690"/>
        <item x="101"/>
        <item x="237"/>
        <item x="333"/>
        <item x="8"/>
        <item x="45"/>
        <item x="737"/>
        <item x="204"/>
        <item x="657"/>
        <item x="388"/>
        <item x="801"/>
        <item x="250"/>
        <item x="52"/>
        <item x="329"/>
        <item x="626"/>
        <item x="662"/>
        <item x="547"/>
        <item x="376"/>
        <item x="409"/>
        <item x="427"/>
        <item x="532"/>
        <item x="80"/>
        <item x="60"/>
        <item x="3"/>
        <item x="877"/>
        <item x="109"/>
        <item x="256"/>
        <item x="902"/>
        <item x="450"/>
        <item x="899"/>
        <item x="789"/>
        <item x="733"/>
        <item x="247"/>
        <item x="232"/>
        <item x="852"/>
        <item x="828"/>
        <item x="775"/>
        <item x="383"/>
        <item x="755"/>
        <item x="178"/>
        <item x="872"/>
        <item x="908"/>
        <item x="175"/>
        <item x="158"/>
        <item x="854"/>
        <item x="289"/>
        <item x="13"/>
        <item x="77"/>
        <item x="389"/>
        <item x="629"/>
        <item x="475"/>
        <item x="845"/>
        <item x="617"/>
        <item x="225"/>
        <item x="40"/>
        <item x="355"/>
        <item x="847"/>
        <item x="645"/>
        <item x="398"/>
        <item x="287"/>
        <item x="590"/>
        <item x="477"/>
        <item x="684"/>
        <item x="540"/>
        <item x="373"/>
        <item x="865"/>
        <item x="384"/>
        <item x="75"/>
        <item x="33"/>
        <item x="552"/>
        <item x="707"/>
        <item x="489"/>
        <item x="859"/>
        <item x="357"/>
        <item x="633"/>
        <item x="196"/>
        <item x="243"/>
        <item x="140"/>
        <item x="723"/>
        <item x="476"/>
        <item x="884"/>
        <item x="19"/>
        <item x="734"/>
        <item x="359"/>
        <item x="502"/>
        <item x="663"/>
        <item x="880"/>
        <item x="7"/>
        <item x="363"/>
        <item x="64"/>
        <item x="92"/>
        <item x="151"/>
        <item x="291"/>
        <item x="711"/>
        <item x="126"/>
        <item x="9"/>
        <item x="833"/>
        <item x="174"/>
        <item x="643"/>
        <item x="224"/>
        <item x="432"/>
        <item x="198"/>
        <item x="732"/>
        <item x="181"/>
        <item x="138"/>
        <item x="36"/>
        <item x="893"/>
        <item x="618"/>
        <item x="166"/>
        <item x="269"/>
        <item x="658"/>
        <item x="511"/>
        <item x="728"/>
        <item x="860"/>
        <item x="152"/>
        <item x="429"/>
        <item x="396"/>
        <item x="93"/>
        <item x="165"/>
        <item x="71"/>
        <item x="568"/>
        <item x="557"/>
        <item x="749"/>
        <item x="317"/>
        <item x="32"/>
        <item x="621"/>
        <item x="65"/>
        <item x="623"/>
        <item x="785"/>
        <item x="531"/>
        <item x="583"/>
        <item x="898"/>
        <item x="259"/>
        <item x="864"/>
        <item x="445"/>
        <item x="630"/>
        <item x="601"/>
        <item x="584"/>
        <item x="62"/>
        <item x="38"/>
        <item x="798"/>
        <item x="592"/>
        <item x="637"/>
        <item x="332"/>
        <item x="834"/>
        <item x="714"/>
        <item x="118"/>
        <item x="24"/>
        <item x="63"/>
        <item x="436"/>
        <item x="447"/>
        <item x="553"/>
        <item x="613"/>
        <item x="488"/>
        <item x="720"/>
        <item x="565"/>
        <item x="525"/>
        <item x="326"/>
        <item x="275"/>
        <item x="661"/>
        <item x="824"/>
        <item x="715"/>
        <item x="279"/>
        <item x="628"/>
        <item x="11"/>
        <item x="433"/>
        <item x="372"/>
        <item x="234"/>
        <item x="641"/>
        <item x="119"/>
        <item x="16"/>
        <item x="504"/>
        <item x="257"/>
        <item x="705"/>
        <item x="160"/>
        <item x="682"/>
        <item x="400"/>
        <item x="155"/>
        <item x="85"/>
        <item x="277"/>
        <item x="41"/>
        <item x="462"/>
        <item x="611"/>
        <item x="370"/>
        <item x="561"/>
        <item x="620"/>
        <item x="773"/>
        <item x="580"/>
        <item x="233"/>
        <item x="681"/>
        <item x="910"/>
        <item x="895"/>
        <item x="267"/>
        <item x="276"/>
        <item x="241"/>
        <item x="826"/>
        <item x="381"/>
        <item x="868"/>
        <item x="439"/>
        <item x="841"/>
        <item x="703"/>
        <item x="558"/>
        <item x="827"/>
        <item x="829"/>
        <item x="678"/>
        <item x="150"/>
        <item x="310"/>
        <item x="876"/>
        <item x="229"/>
        <item x="59"/>
        <item x="608"/>
        <item x="825"/>
        <item x="736"/>
        <item x="200"/>
        <item x="792"/>
        <item x="474"/>
        <item x="365"/>
        <item x="543"/>
        <item x="448"/>
        <item x="352"/>
        <item x="816"/>
        <item x="44"/>
        <item x="912"/>
        <item x="42"/>
        <item x="307"/>
        <item x="745"/>
        <item x="121"/>
        <item x="903"/>
        <item x="73"/>
        <item x="295"/>
        <item x="312"/>
        <item x="278"/>
        <item x="652"/>
        <item x="91"/>
        <item x="867"/>
        <item x="594"/>
        <item x="399"/>
        <item x="730"/>
        <item x="539"/>
        <item x="211"/>
        <item x="885"/>
        <item x="598"/>
        <item x="258"/>
        <item x="375"/>
        <item x="738"/>
        <item x="796"/>
        <item x="750"/>
        <item x="360"/>
        <item x="221"/>
        <item x="308"/>
        <item x="498"/>
        <item x="887"/>
        <item x="729"/>
        <item x="627"/>
        <item x="673"/>
        <item x="423"/>
        <item x="631"/>
        <item x="153"/>
        <item x="159"/>
        <item x="206"/>
        <item x="322"/>
        <item x="111"/>
        <item x="647"/>
        <item x="298"/>
        <item x="526"/>
        <item x="35"/>
        <item x="12"/>
        <item x="554"/>
        <item x="418"/>
        <item x="66"/>
        <item x="881"/>
        <item x="424"/>
        <item x="655"/>
        <item x="696"/>
        <item x="335"/>
        <item x="402"/>
        <item x="419"/>
        <item x="188"/>
        <item x="844"/>
        <item x="81"/>
        <item x="533"/>
        <item x="596"/>
        <item x="395"/>
        <item x="369"/>
        <item x="888"/>
        <item x="896"/>
        <item x="831"/>
        <item x="331"/>
        <item x="316"/>
        <item x="29"/>
        <item x="862"/>
        <item x="49"/>
        <item x="835"/>
        <item x="96"/>
        <item x="168"/>
        <item x="797"/>
        <item x="134"/>
        <item x="227"/>
        <item x="321"/>
        <item x="252"/>
        <item x="679"/>
        <item x="115"/>
        <item x="782"/>
        <item x="304"/>
        <item x="776"/>
        <item x="130"/>
        <item x="406"/>
        <item x="667"/>
        <item x="869"/>
        <item x="858"/>
        <item x="541"/>
        <item x="606"/>
        <item x="197"/>
        <item x="240"/>
        <item x="700"/>
        <item x="311"/>
        <item x="671"/>
        <item x="177"/>
        <item x="464"/>
        <item x="285"/>
        <item x="2"/>
        <item x="758"/>
        <item x="368"/>
        <item x="659"/>
        <item x="571"/>
        <item x="687"/>
        <item x="468"/>
        <item x="56"/>
        <item x="265"/>
        <item x="216"/>
        <item x="128"/>
        <item x="214"/>
        <item x="740"/>
        <item x="636"/>
        <item x="702"/>
        <item x="514"/>
        <item x="323"/>
        <item x="271"/>
        <item x="349"/>
        <item x="802"/>
        <item x="15"/>
        <item x="691"/>
        <item x="1"/>
        <item x="171"/>
        <item x="106"/>
        <item x="226"/>
        <item x="805"/>
        <item x="83"/>
        <item x="499"/>
        <item x="387"/>
        <item x="517"/>
        <item x="208"/>
        <item x="397"/>
        <item x="20"/>
        <item x="761"/>
        <item x="634"/>
        <item x="795"/>
        <item x="294"/>
        <item x="784"/>
        <item x="412"/>
        <item x="51"/>
        <item x="905"/>
        <item x="231"/>
        <item x="173"/>
        <item x="449"/>
        <item x="442"/>
        <item x="897"/>
        <item x="803"/>
        <item x="766"/>
        <item x="764"/>
        <item x="441"/>
        <item x="218"/>
        <item x="793"/>
        <item x="186"/>
        <item x="318"/>
        <item x="496"/>
        <item x="577"/>
        <item x="379"/>
        <item x="567"/>
        <item x="781"/>
        <item x="819"/>
        <item x="675"/>
        <item x="78"/>
        <item x="654"/>
        <item x="189"/>
        <item x="799"/>
        <item x="425"/>
        <item x="437"/>
        <item x="296"/>
        <item x="219"/>
        <item x="855"/>
        <item x="82"/>
        <item x="143"/>
        <item x="562"/>
        <item x="717"/>
        <item x="812"/>
        <item x="97"/>
        <item x="817"/>
        <item x="343"/>
        <item x="113"/>
        <item x="473"/>
        <item x="818"/>
        <item x="238"/>
        <item x="672"/>
        <item x="364"/>
        <item x="43"/>
        <item x="538"/>
        <item x="680"/>
        <item x="70"/>
        <item x="666"/>
        <item x="203"/>
        <item x="878"/>
        <item x="292"/>
        <item x="95"/>
        <item x="653"/>
        <item x="493"/>
        <item x="438"/>
        <item x="148"/>
        <item x="739"/>
        <item x="58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numFmtId="166" showAll="0">
      <items count="5">
        <item x="3"/>
        <item x="1"/>
        <item x="0"/>
        <item x="2"/>
        <item t="default"/>
      </items>
    </pivotField>
    <pivotField numFmtId="167" showAll="0"/>
    <pivotField dataField="1" numFmtId="167" showAll="0"/>
    <pivotField showAll="0"/>
    <pivotField showAll="0">
      <items count="4">
        <item x="0"/>
        <item x="1"/>
        <item x="2"/>
        <item t="default"/>
      </items>
    </pivotField>
    <pivotField showAll="0">
      <items count="3">
        <item x="1"/>
        <item x="0"/>
        <item t="default"/>
      </items>
    </pivotField>
    <pivotField showAll="0"/>
    <pivotField numFmtId="2"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6">
        <item x="0"/>
        <item x="1"/>
        <item x="2"/>
        <item x="3"/>
        <item x="4"/>
        <item x="5"/>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5"/>
  </rowFields>
  <rowItems count="6">
    <i>
      <x v="255"/>
    </i>
    <i>
      <x v="646"/>
    </i>
    <i>
      <x v="831"/>
    </i>
    <i>
      <x v="125"/>
    </i>
    <i>
      <x v="28"/>
    </i>
    <i t="grand">
      <x/>
    </i>
  </rowItems>
  <colItems count="1">
    <i/>
  </colItems>
  <dataFields count="1">
    <dataField name="Sum of Sales" fld="12" baseField="0" baseItem="0" numFmtId="168"/>
  </dataFields>
  <formats count="1">
    <format dxfId="0">
      <pivotArea outline="0" collapsedLevelsAreSubtotals="1" fieldPosition="0"/>
    </format>
  </formats>
  <chartFormats count="1">
    <chartFormat chart="8" format="4"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2">
    <filter fld="5" type="count" evalOrder="-1" id="26" iMeasureFld="0">
      <autoFilter ref="A1">
        <filterColumn colId="0">
          <top10 val="5" filterVal="5"/>
        </filterColumn>
      </autoFilter>
    </filter>
    <filter fld="2"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DA145A8-D9F3-48F1-BF70-E5B160EA8308}"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0">
  <location ref="A65:B77" firstHeaderRow="1" firstDataRow="1" firstDataCol="1"/>
  <pivotFields count="34">
    <pivotField showAll="0"/>
    <pivotField numFmtId="165" showAll="0">
      <items count="690">
        <item x="94"/>
        <item x="283"/>
        <item x="107"/>
        <item x="555"/>
        <item x="327"/>
        <item x="209"/>
        <item x="172"/>
        <item x="2"/>
        <item x="238"/>
        <item x="39"/>
        <item x="230"/>
        <item x="433"/>
        <item x="243"/>
        <item x="129"/>
        <item x="154"/>
        <item x="474"/>
        <item x="624"/>
        <item x="110"/>
        <item x="321"/>
        <item x="25"/>
        <item x="435"/>
        <item x="151"/>
        <item x="181"/>
        <item x="56"/>
        <item x="505"/>
        <item x="363"/>
        <item x="254"/>
        <item x="108"/>
        <item x="182"/>
        <item x="649"/>
        <item x="79"/>
        <item x="604"/>
        <item x="514"/>
        <item x="498"/>
        <item x="375"/>
        <item x="233"/>
        <item x="566"/>
        <item x="43"/>
        <item x="665"/>
        <item x="88"/>
        <item x="598"/>
        <item x="421"/>
        <item x="520"/>
        <item x="320"/>
        <item x="279"/>
        <item x="102"/>
        <item x="194"/>
        <item x="456"/>
        <item x="118"/>
        <item x="648"/>
        <item x="64"/>
        <item x="533"/>
        <item x="501"/>
        <item x="422"/>
        <item x="8"/>
        <item x="353"/>
        <item x="103"/>
        <item x="195"/>
        <item x="339"/>
        <item x="643"/>
        <item x="654"/>
        <item x="271"/>
        <item x="389"/>
        <item x="475"/>
        <item x="522"/>
        <item x="20"/>
        <item x="144"/>
        <item x="462"/>
        <item x="397"/>
        <item x="588"/>
        <item x="229"/>
        <item x="469"/>
        <item x="400"/>
        <item x="391"/>
        <item x="683"/>
        <item x="603"/>
        <item x="660"/>
        <item x="447"/>
        <item x="207"/>
        <item x="619"/>
        <item x="351"/>
        <item x="638"/>
        <item x="662"/>
        <item x="390"/>
        <item x="477"/>
        <item x="112"/>
        <item x="226"/>
        <item x="364"/>
        <item x="600"/>
        <item x="109"/>
        <item x="231"/>
        <item x="241"/>
        <item x="92"/>
        <item x="106"/>
        <item x="362"/>
        <item x="430"/>
        <item x="37"/>
        <item x="540"/>
        <item x="257"/>
        <item x="438"/>
        <item x="384"/>
        <item x="608"/>
        <item x="593"/>
        <item x="316"/>
        <item x="580"/>
        <item x="350"/>
        <item x="383"/>
        <item x="258"/>
        <item x="296"/>
        <item x="457"/>
        <item x="191"/>
        <item x="611"/>
        <item x="423"/>
        <item x="235"/>
        <item x="388"/>
        <item x="534"/>
        <item x="544"/>
        <item x="145"/>
        <item x="653"/>
        <item x="374"/>
        <item x="633"/>
        <item x="418"/>
        <item x="294"/>
        <item x="575"/>
        <item x="255"/>
        <item x="567"/>
        <item x="66"/>
        <item x="346"/>
        <item x="259"/>
        <item x="63"/>
        <item x="667"/>
        <item x="174"/>
        <item x="678"/>
        <item x="548"/>
        <item x="471"/>
        <item x="411"/>
        <item x="431"/>
        <item x="628"/>
        <item x="476"/>
        <item x="270"/>
        <item x="199"/>
        <item x="568"/>
        <item x="586"/>
        <item x="40"/>
        <item x="545"/>
        <item x="634"/>
        <item x="155"/>
        <item x="489"/>
        <item x="467"/>
        <item x="491"/>
        <item x="149"/>
        <item x="460"/>
        <item x="91"/>
        <item x="273"/>
        <item x="672"/>
        <item x="120"/>
        <item x="478"/>
        <item x="130"/>
        <item x="674"/>
        <item x="227"/>
        <item x="440"/>
        <item x="266"/>
        <item x="299"/>
        <item x="631"/>
        <item x="329"/>
        <item x="307"/>
        <item x="488"/>
        <item x="685"/>
        <item x="573"/>
        <item x="50"/>
        <item x="286"/>
        <item x="48"/>
        <item x="532"/>
        <item x="281"/>
        <item x="15"/>
        <item x="61"/>
        <item x="67"/>
        <item x="599"/>
        <item x="558"/>
        <item x="75"/>
        <item x="55"/>
        <item x="680"/>
        <item x="684"/>
        <item x="344"/>
        <item x="52"/>
        <item x="419"/>
        <item x="232"/>
        <item x="134"/>
        <item x="572"/>
        <item x="455"/>
        <item x="171"/>
        <item x="661"/>
        <item x="524"/>
        <item x="416"/>
        <item x="219"/>
        <item x="196"/>
        <item x="36"/>
        <item x="420"/>
        <item x="100"/>
        <item x="574"/>
        <item x="601"/>
        <item x="6"/>
        <item x="562"/>
        <item x="625"/>
        <item x="590"/>
        <item x="253"/>
        <item x="148"/>
        <item x="569"/>
        <item x="335"/>
        <item x="492"/>
        <item x="526"/>
        <item x="439"/>
        <item x="252"/>
        <item x="16"/>
        <item x="166"/>
        <item x="204"/>
        <item x="425"/>
        <item x="137"/>
        <item x="490"/>
        <item x="564"/>
        <item x="60"/>
        <item x="319"/>
        <item x="256"/>
        <item x="676"/>
        <item x="559"/>
        <item x="222"/>
        <item x="81"/>
        <item x="666"/>
        <item x="484"/>
        <item x="605"/>
        <item x="546"/>
        <item x="453"/>
        <item x="170"/>
        <item x="164"/>
        <item x="17"/>
        <item x="509"/>
        <item x="584"/>
        <item x="291"/>
        <item x="282"/>
        <item x="262"/>
        <item x="236"/>
        <item x="656"/>
        <item x="324"/>
        <item x="35"/>
        <item x="645"/>
        <item x="343"/>
        <item x="618"/>
        <item x="434"/>
        <item x="245"/>
        <item x="298"/>
        <item x="264"/>
        <item x="359"/>
        <item x="213"/>
        <item x="13"/>
        <item x="12"/>
        <item x="34"/>
        <item x="485"/>
        <item x="360"/>
        <item x="177"/>
        <item x="293"/>
        <item x="368"/>
        <item x="396"/>
        <item x="132"/>
        <item x="516"/>
        <item x="261"/>
        <item x="357"/>
        <item x="531"/>
        <item x="263"/>
        <item x="518"/>
        <item x="444"/>
        <item x="45"/>
        <item x="19"/>
        <item x="97"/>
        <item x="486"/>
        <item x="312"/>
        <item x="216"/>
        <item x="330"/>
        <item x="292"/>
        <item x="18"/>
        <item x="328"/>
        <item x="14"/>
        <item x="664"/>
        <item x="96"/>
        <item x="686"/>
        <item x="308"/>
        <item x="225"/>
        <item x="553"/>
        <item x="366"/>
        <item x="73"/>
        <item x="515"/>
        <item x="42"/>
        <item x="125"/>
        <item x="295"/>
        <item x="415"/>
        <item x="549"/>
        <item x="30"/>
        <item x="381"/>
        <item x="146"/>
        <item x="22"/>
        <item x="84"/>
        <item x="126"/>
        <item x="508"/>
        <item x="127"/>
        <item x="571"/>
        <item x="373"/>
        <item x="11"/>
        <item x="10"/>
        <item x="161"/>
        <item x="385"/>
        <item x="115"/>
        <item x="345"/>
        <item x="188"/>
        <item x="9"/>
        <item x="507"/>
        <item x="675"/>
        <item x="677"/>
        <item x="622"/>
        <item x="31"/>
        <item x="322"/>
        <item x="429"/>
        <item x="554"/>
        <item x="29"/>
        <item x="401"/>
        <item x="173"/>
        <item x="409"/>
        <item x="288"/>
        <item x="105"/>
        <item x="65"/>
        <item x="53"/>
        <item x="51"/>
        <item x="629"/>
        <item x="443"/>
        <item x="610"/>
        <item x="135"/>
        <item x="500"/>
        <item x="560"/>
        <item x="523"/>
        <item x="1"/>
        <item x="499"/>
        <item x="587"/>
        <item x="114"/>
        <item x="543"/>
        <item x="483"/>
        <item x="494"/>
        <item x="407"/>
        <item x="495"/>
        <item x="449"/>
        <item x="602"/>
        <item x="369"/>
        <item x="206"/>
        <item x="122"/>
        <item x="313"/>
        <item x="556"/>
        <item x="426"/>
        <item x="670"/>
        <item x="361"/>
        <item x="272"/>
        <item x="442"/>
        <item x="179"/>
        <item x="46"/>
        <item x="657"/>
        <item x="86"/>
        <item x="637"/>
        <item x="473"/>
        <item x="72"/>
        <item x="104"/>
        <item x="70"/>
        <item x="300"/>
        <item x="432"/>
        <item x="302"/>
        <item x="595"/>
        <item x="212"/>
        <item x="607"/>
        <item x="688"/>
        <item x="169"/>
        <item x="160"/>
        <item x="406"/>
        <item x="436"/>
        <item x="627"/>
        <item x="632"/>
        <item x="446"/>
        <item x="185"/>
        <item x="591"/>
        <item x="152"/>
        <item x="537"/>
        <item x="3"/>
        <item x="95"/>
        <item x="93"/>
        <item x="306"/>
        <item x="5"/>
        <item x="445"/>
        <item x="481"/>
        <item x="159"/>
        <item x="244"/>
        <item x="458"/>
        <item x="87"/>
        <item x="585"/>
        <item x="669"/>
        <item x="636"/>
        <item x="557"/>
        <item x="143"/>
        <item x="517"/>
        <item x="630"/>
        <item x="211"/>
        <item x="635"/>
        <item x="395"/>
        <item x="136"/>
        <item x="142"/>
        <item x="408"/>
        <item x="33"/>
        <item x="589"/>
        <item x="47"/>
        <item x="594"/>
        <item x="138"/>
        <item x="412"/>
        <item x="224"/>
        <item x="162"/>
        <item x="341"/>
        <item x="192"/>
        <item x="615"/>
        <item x="340"/>
        <item x="679"/>
        <item x="323"/>
        <item x="372"/>
        <item x="89"/>
        <item x="77"/>
        <item x="38"/>
        <item x="276"/>
        <item x="427"/>
        <item x="83"/>
        <item x="673"/>
        <item x="116"/>
        <item x="539"/>
        <item x="203"/>
        <item x="141"/>
        <item x="687"/>
        <item x="463"/>
        <item x="184"/>
        <item x="338"/>
        <item x="367"/>
        <item x="497"/>
        <item x="552"/>
        <item x="349"/>
        <item x="647"/>
        <item x="354"/>
        <item x="352"/>
        <item x="277"/>
        <item x="561"/>
        <item x="275"/>
        <item x="371"/>
        <item x="616"/>
        <item x="378"/>
        <item x="403"/>
        <item x="461"/>
        <item x="410"/>
        <item x="218"/>
        <item x="284"/>
        <item x="482"/>
        <item x="278"/>
        <item x="21"/>
        <item x="242"/>
        <item x="157"/>
        <item x="131"/>
        <item x="297"/>
        <item x="59"/>
        <item x="27"/>
        <item x="186"/>
        <item x="311"/>
        <item x="85"/>
        <item x="379"/>
        <item x="158"/>
        <item x="183"/>
        <item x="305"/>
        <item x="428"/>
        <item x="519"/>
        <item x="399"/>
        <item x="640"/>
        <item x="326"/>
        <item x="124"/>
        <item x="437"/>
        <item x="200"/>
        <item x="334"/>
        <item x="606"/>
        <item x="303"/>
        <item x="623"/>
        <item x="4"/>
        <item x="147"/>
        <item x="71"/>
        <item x="325"/>
        <item x="190"/>
        <item x="99"/>
        <item x="382"/>
        <item x="655"/>
        <item x="156"/>
        <item x="592"/>
        <item x="583"/>
        <item x="417"/>
        <item x="535"/>
        <item x="542"/>
        <item x="249"/>
        <item x="90"/>
        <item x="58"/>
        <item x="180"/>
        <item x="274"/>
        <item x="479"/>
        <item x="163"/>
        <item x="318"/>
        <item x="337"/>
        <item x="68"/>
        <item x="234"/>
        <item x="113"/>
        <item x="551"/>
        <item x="128"/>
        <item x="336"/>
        <item x="414"/>
        <item x="626"/>
        <item x="150"/>
        <item x="620"/>
        <item x="220"/>
        <item x="502"/>
        <item x="450"/>
        <item x="465"/>
        <item x="550"/>
        <item x="671"/>
        <item x="404"/>
        <item x="487"/>
        <item x="290"/>
        <item x="641"/>
        <item x="119"/>
        <item x="215"/>
        <item x="54"/>
        <item x="74"/>
        <item x="541"/>
        <item x="251"/>
        <item x="309"/>
        <item x="57"/>
        <item x="304"/>
        <item x="82"/>
        <item x="247"/>
        <item x="178"/>
        <item x="646"/>
        <item x="504"/>
        <item x="314"/>
        <item x="69"/>
        <item x="510"/>
        <item x="392"/>
        <item x="76"/>
        <item x="496"/>
        <item x="168"/>
        <item x="24"/>
        <item x="32"/>
        <item x="217"/>
        <item x="240"/>
        <item x="621"/>
        <item x="394"/>
        <item x="468"/>
        <item x="470"/>
        <item x="139"/>
        <item x="581"/>
        <item x="331"/>
        <item x="260"/>
        <item x="289"/>
        <item x="28"/>
        <item x="393"/>
        <item x="332"/>
        <item x="596"/>
        <item x="358"/>
        <item x="267"/>
        <item x="121"/>
        <item x="214"/>
        <item x="451"/>
        <item x="466"/>
        <item x="355"/>
        <item x="98"/>
        <item x="165"/>
        <item x="527"/>
        <item x="536"/>
        <item x="480"/>
        <item x="248"/>
        <item x="658"/>
        <item x="23"/>
        <item x="512"/>
        <item x="287"/>
        <item x="448"/>
        <item x="198"/>
        <item x="682"/>
        <item x="365"/>
        <item x="424"/>
        <item x="44"/>
        <item x="639"/>
        <item x="348"/>
        <item x="239"/>
        <item x="650"/>
        <item x="347"/>
        <item x="193"/>
        <item x="402"/>
        <item x="578"/>
        <item x="525"/>
        <item x="370"/>
        <item x="614"/>
        <item x="167"/>
        <item x="570"/>
        <item x="547"/>
        <item x="398"/>
        <item x="642"/>
        <item x="503"/>
        <item x="617"/>
        <item x="78"/>
        <item x="380"/>
        <item x="597"/>
        <item x="441"/>
        <item x="386"/>
        <item x="464"/>
        <item x="356"/>
        <item x="237"/>
        <item x="413"/>
        <item x="301"/>
        <item x="280"/>
        <item x="530"/>
        <item x="223"/>
        <item x="333"/>
        <item x="202"/>
        <item x="663"/>
        <item x="506"/>
        <item x="269"/>
        <item x="342"/>
        <item x="111"/>
        <item x="577"/>
        <item x="201"/>
        <item x="123"/>
        <item x="452"/>
        <item x="377"/>
        <item x="221"/>
        <item x="612"/>
        <item x="7"/>
        <item x="513"/>
        <item x="376"/>
        <item x="228"/>
        <item x="265"/>
        <item x="565"/>
        <item x="187"/>
        <item x="454"/>
        <item x="529"/>
        <item x="609"/>
        <item x="521"/>
        <item x="668"/>
        <item x="176"/>
        <item x="579"/>
        <item x="175"/>
        <item x="133"/>
        <item x="644"/>
        <item x="0"/>
        <item x="101"/>
        <item x="659"/>
        <item x="140"/>
        <item x="210"/>
        <item x="41"/>
        <item x="246"/>
        <item x="26"/>
        <item x="472"/>
        <item x="511"/>
        <item x="117"/>
        <item x="62"/>
        <item x="387"/>
        <item x="317"/>
        <item x="205"/>
        <item x="315"/>
        <item x="538"/>
        <item x="310"/>
        <item x="652"/>
        <item x="613"/>
        <item x="197"/>
        <item x="189"/>
        <item x="582"/>
        <item x="268"/>
        <item x="493"/>
        <item x="681"/>
        <item x="153"/>
        <item x="208"/>
        <item x="405"/>
        <item x="576"/>
        <item x="563"/>
        <item x="80"/>
        <item x="49"/>
        <item x="285"/>
        <item x="651"/>
        <item x="528"/>
        <item x="459"/>
        <item x="250"/>
        <item t="default"/>
      </items>
    </pivotField>
    <pivotField showAll="0"/>
    <pivotField showAll="0"/>
    <pivotField showAll="0"/>
    <pivotField axis="axisRow" showAll="0" measureFilter="1" sortType="ascending">
      <items count="914">
        <item x="519"/>
        <item x="471"/>
        <item x="248"/>
        <item x="555"/>
        <item x="176"/>
        <item x="239"/>
        <item x="774"/>
        <item x="110"/>
        <item x="614"/>
        <item x="689"/>
        <item x="272"/>
        <item x="483"/>
        <item x="806"/>
        <item x="217"/>
        <item x="491"/>
        <item x="14"/>
        <item x="340"/>
        <item x="164"/>
        <item x="88"/>
        <item x="619"/>
        <item x="695"/>
        <item x="205"/>
        <item x="345"/>
        <item x="563"/>
        <item x="665"/>
        <item x="405"/>
        <item x="407"/>
        <item x="124"/>
        <item x="223"/>
        <item x="281"/>
        <item x="572"/>
        <item x="327"/>
        <item x="497"/>
        <item x="76"/>
        <item x="573"/>
        <item x="444"/>
        <item x="235"/>
        <item x="664"/>
        <item x="125"/>
        <item x="455"/>
        <item x="599"/>
        <item x="605"/>
        <item x="404"/>
        <item x="435"/>
        <item x="297"/>
        <item x="688"/>
        <item x="179"/>
        <item x="339"/>
        <item x="742"/>
        <item x="356"/>
        <item x="624"/>
        <item x="411"/>
        <item x="230"/>
        <item x="716"/>
        <item x="588"/>
        <item x="169"/>
        <item x="478"/>
        <item x="724"/>
        <item x="779"/>
        <item x="560"/>
        <item x="386"/>
        <item x="762"/>
        <item x="86"/>
        <item x="334"/>
        <item x="330"/>
        <item x="549"/>
        <item x="777"/>
        <item x="550"/>
        <item x="120"/>
        <item x="492"/>
        <item x="162"/>
        <item x="600"/>
        <item x="299"/>
        <item x="701"/>
        <item x="615"/>
        <item x="495"/>
        <item x="603"/>
        <item x="490"/>
        <item x="180"/>
        <item x="513"/>
        <item x="575"/>
        <item x="163"/>
        <item x="752"/>
        <item x="416"/>
        <item x="305"/>
        <item x="722"/>
        <item x="622"/>
        <item x="249"/>
        <item x="192"/>
        <item x="413"/>
        <item x="273"/>
        <item x="889"/>
        <item x="190"/>
        <item x="625"/>
        <item x="146"/>
        <item x="99"/>
        <item x="597"/>
        <item x="685"/>
        <item x="842"/>
        <item x="772"/>
        <item x="676"/>
        <item x="105"/>
        <item x="362"/>
        <item x="469"/>
        <item x="704"/>
        <item x="354"/>
        <item x="245"/>
        <item x="810"/>
        <item x="725"/>
        <item x="786"/>
        <item x="674"/>
        <item x="892"/>
        <item x="144"/>
        <item x="300"/>
        <item x="508"/>
        <item x="697"/>
        <item x="440"/>
        <item x="907"/>
        <item x="751"/>
        <item x="67"/>
        <item x="430"/>
        <item x="414"/>
        <item x="780"/>
        <item x="260"/>
        <item x="770"/>
        <item x="268"/>
        <item x="378"/>
        <item x="222"/>
        <item x="604"/>
        <item x="443"/>
        <item x="393"/>
        <item x="69"/>
        <item x="161"/>
        <item x="757"/>
        <item x="595"/>
        <item x="593"/>
        <item x="215"/>
        <item x="315"/>
        <item x="602"/>
        <item x="382"/>
        <item x="901"/>
        <item x="457"/>
        <item x="516"/>
        <item x="873"/>
        <item x="39"/>
        <item x="882"/>
        <item x="783"/>
        <item x="574"/>
        <item x="823"/>
        <item x="726"/>
        <item x="735"/>
        <item x="804"/>
        <item x="544"/>
        <item x="609"/>
        <item x="545"/>
        <item x="380"/>
        <item x="263"/>
        <item x="570"/>
        <item x="129"/>
        <item x="261"/>
        <item x="377"/>
        <item x="911"/>
        <item x="50"/>
        <item x="17"/>
        <item x="18"/>
        <item x="836"/>
        <item x="145"/>
        <item x="108"/>
        <item x="391"/>
        <item x="587"/>
        <item x="607"/>
        <item x="10"/>
        <item x="367"/>
        <item x="341"/>
        <item x="694"/>
        <item x="324"/>
        <item x="26"/>
        <item x="875"/>
        <item x="74"/>
        <item x="794"/>
        <item x="228"/>
        <item x="337"/>
        <item x="524"/>
        <item x="319"/>
        <item x="142"/>
        <item x="709"/>
        <item x="811"/>
        <item x="301"/>
        <item x="458"/>
        <item x="646"/>
        <item x="185"/>
        <item x="579"/>
        <item x="853"/>
        <item x="61"/>
        <item x="350"/>
        <item x="642"/>
        <item x="390"/>
        <item x="692"/>
        <item x="103"/>
        <item x="648"/>
        <item x="262"/>
        <item x="220"/>
        <item x="314"/>
        <item x="246"/>
        <item x="821"/>
        <item x="649"/>
        <item x="183"/>
        <item x="451"/>
        <item x="809"/>
        <item x="346"/>
        <item x="30"/>
        <item x="537"/>
        <item x="434"/>
        <item x="731"/>
        <item x="255"/>
        <item x="906"/>
        <item x="170"/>
        <item x="53"/>
        <item x="746"/>
        <item x="461"/>
        <item x="306"/>
        <item x="660"/>
        <item x="815"/>
        <item x="242"/>
        <item x="392"/>
        <item x="482"/>
        <item x="191"/>
        <item x="830"/>
        <item x="167"/>
        <item x="790"/>
        <item x="353"/>
        <item x="371"/>
        <item x="748"/>
        <item x="463"/>
        <item x="361"/>
        <item x="212"/>
        <item x="708"/>
        <item x="569"/>
        <item x="668"/>
        <item x="385"/>
        <item x="791"/>
        <item x="523"/>
        <item x="172"/>
        <item x="313"/>
        <item x="72"/>
        <item x="840"/>
        <item x="759"/>
        <item x="528"/>
        <item x="199"/>
        <item x="591"/>
        <item x="576"/>
        <item x="290"/>
        <item x="698"/>
        <item x="814"/>
        <item x="822"/>
        <item x="274"/>
        <item x="843"/>
        <item x="37"/>
        <item x="89"/>
        <item x="136"/>
        <item x="644"/>
        <item x="213"/>
        <item x="578"/>
        <item x="288"/>
        <item x="415"/>
        <item x="156"/>
        <item x="651"/>
        <item x="266"/>
        <item x="428"/>
        <item x="460"/>
        <item x="79"/>
        <item x="670"/>
        <item x="765"/>
        <item x="417"/>
        <item x="23"/>
        <item x="486"/>
        <item x="713"/>
        <item x="348"/>
        <item x="325"/>
        <item x="771"/>
        <item x="374"/>
        <item x="856"/>
        <item x="551"/>
        <item x="303"/>
        <item x="581"/>
        <item x="564"/>
        <item x="559"/>
        <item x="879"/>
        <item x="839"/>
        <item x="807"/>
        <item x="466"/>
        <item x="874"/>
        <item x="452"/>
        <item x="612"/>
        <item x="767"/>
        <item x="848"/>
        <item x="147"/>
        <item x="209"/>
        <item x="485"/>
        <item x="98"/>
        <item x="141"/>
        <item x="133"/>
        <item x="909"/>
        <item x="25"/>
        <item x="6"/>
        <item x="112"/>
        <item x="521"/>
        <item x="894"/>
        <item x="21"/>
        <item x="251"/>
        <item x="566"/>
        <item x="34"/>
        <item x="548"/>
        <item x="408"/>
        <item x="800"/>
        <item x="706"/>
        <item x="640"/>
        <item x="693"/>
        <item x="718"/>
        <item x="535"/>
        <item x="0"/>
        <item x="47"/>
        <item x="686"/>
        <item x="808"/>
        <item x="68"/>
        <item x="351"/>
        <item x="420"/>
        <item x="132"/>
        <item x="104"/>
        <item x="421"/>
        <item x="94"/>
        <item x="769"/>
        <item x="31"/>
        <item x="5"/>
        <item x="366"/>
        <item x="46"/>
        <item x="193"/>
        <item x="727"/>
        <item x="522"/>
        <item x="536"/>
        <item x="135"/>
        <item x="347"/>
        <item x="639"/>
        <item x="201"/>
        <item x="57"/>
        <item x="683"/>
        <item x="344"/>
        <item x="465"/>
        <item x="431"/>
        <item x="459"/>
        <item x="778"/>
        <item x="470"/>
        <item x="127"/>
        <item x="744"/>
        <item x="871"/>
        <item x="586"/>
        <item x="100"/>
        <item x="656"/>
        <item x="529"/>
        <item x="90"/>
        <item x="479"/>
        <item x="506"/>
        <item x="55"/>
        <item x="747"/>
        <item x="401"/>
        <item x="763"/>
        <item x="394"/>
        <item x="520"/>
        <item x="84"/>
        <item x="283"/>
        <item x="236"/>
        <item x="638"/>
        <item x="760"/>
        <item x="328"/>
        <item x="154"/>
        <item x="846"/>
        <item x="139"/>
        <item x="194"/>
        <item x="253"/>
        <item x="182"/>
        <item x="721"/>
        <item x="582"/>
        <item x="837"/>
        <item x="131"/>
        <item x="768"/>
        <item x="187"/>
        <item x="122"/>
        <item x="861"/>
        <item x="699"/>
        <item x="27"/>
        <item x="4"/>
        <item x="820"/>
        <item x="891"/>
        <item x="487"/>
        <item x="904"/>
        <item x="472"/>
        <item x="851"/>
        <item x="280"/>
        <item x="282"/>
        <item x="117"/>
        <item x="157"/>
        <item x="505"/>
        <item x="527"/>
        <item x="677"/>
        <item x="857"/>
        <item x="244"/>
        <item x="512"/>
        <item x="635"/>
        <item x="456"/>
        <item x="813"/>
        <item x="510"/>
        <item x="481"/>
        <item x="509"/>
        <item x="54"/>
        <item x="48"/>
        <item x="741"/>
        <item x="788"/>
        <item x="712"/>
        <item x="832"/>
        <item x="900"/>
        <item x="202"/>
        <item x="293"/>
        <item x="137"/>
        <item x="58"/>
        <item x="585"/>
        <item x="309"/>
        <item x="494"/>
        <item x="890"/>
        <item x="264"/>
        <item x="556"/>
        <item x="787"/>
        <item x="403"/>
        <item x="22"/>
        <item x="838"/>
        <item x="743"/>
        <item x="114"/>
        <item x="195"/>
        <item x="87"/>
        <item x="866"/>
        <item x="753"/>
        <item x="270"/>
        <item x="358"/>
        <item x="342"/>
        <item x="446"/>
        <item x="507"/>
        <item x="116"/>
        <item x="184"/>
        <item x="500"/>
        <item x="254"/>
        <item x="207"/>
        <item x="849"/>
        <item x="467"/>
        <item x="610"/>
        <item x="616"/>
        <item x="850"/>
        <item x="302"/>
        <item x="534"/>
        <item x="756"/>
        <item x="286"/>
        <item x="426"/>
        <item x="754"/>
        <item x="515"/>
        <item x="123"/>
        <item x="669"/>
        <item x="480"/>
        <item x="530"/>
        <item x="284"/>
        <item x="503"/>
        <item x="650"/>
        <item x="546"/>
        <item x="542"/>
        <item x="107"/>
        <item x="453"/>
        <item x="883"/>
        <item x="28"/>
        <item x="338"/>
        <item x="102"/>
        <item x="422"/>
        <item x="710"/>
        <item x="632"/>
        <item x="501"/>
        <item x="410"/>
        <item x="454"/>
        <item x="719"/>
        <item x="336"/>
        <item x="484"/>
        <item x="149"/>
        <item x="518"/>
        <item x="210"/>
        <item x="870"/>
        <item x="320"/>
        <item x="863"/>
        <item x="886"/>
        <item x="690"/>
        <item x="101"/>
        <item x="237"/>
        <item x="333"/>
        <item x="8"/>
        <item x="45"/>
        <item x="737"/>
        <item x="204"/>
        <item x="657"/>
        <item x="388"/>
        <item x="801"/>
        <item x="250"/>
        <item x="52"/>
        <item x="329"/>
        <item x="626"/>
        <item x="662"/>
        <item x="547"/>
        <item x="376"/>
        <item x="409"/>
        <item x="427"/>
        <item x="532"/>
        <item x="80"/>
        <item x="60"/>
        <item x="3"/>
        <item x="877"/>
        <item x="109"/>
        <item x="256"/>
        <item x="902"/>
        <item x="450"/>
        <item x="899"/>
        <item x="789"/>
        <item x="733"/>
        <item x="247"/>
        <item x="232"/>
        <item x="852"/>
        <item x="828"/>
        <item x="775"/>
        <item x="383"/>
        <item x="755"/>
        <item x="178"/>
        <item x="872"/>
        <item x="908"/>
        <item x="175"/>
        <item x="158"/>
        <item x="854"/>
        <item x="289"/>
        <item x="13"/>
        <item x="77"/>
        <item x="389"/>
        <item x="629"/>
        <item x="475"/>
        <item x="845"/>
        <item x="617"/>
        <item x="225"/>
        <item x="40"/>
        <item x="355"/>
        <item x="847"/>
        <item x="645"/>
        <item x="398"/>
        <item x="287"/>
        <item x="590"/>
        <item x="477"/>
        <item x="684"/>
        <item x="540"/>
        <item x="373"/>
        <item x="865"/>
        <item x="384"/>
        <item x="75"/>
        <item x="33"/>
        <item x="552"/>
        <item x="707"/>
        <item x="489"/>
        <item x="859"/>
        <item x="357"/>
        <item x="633"/>
        <item x="196"/>
        <item x="243"/>
        <item x="140"/>
        <item x="723"/>
        <item x="476"/>
        <item x="884"/>
        <item x="19"/>
        <item x="734"/>
        <item x="359"/>
        <item x="502"/>
        <item x="663"/>
        <item x="880"/>
        <item x="7"/>
        <item x="363"/>
        <item x="64"/>
        <item x="92"/>
        <item x="151"/>
        <item x="291"/>
        <item x="711"/>
        <item x="126"/>
        <item x="9"/>
        <item x="833"/>
        <item x="174"/>
        <item x="643"/>
        <item x="224"/>
        <item x="432"/>
        <item x="198"/>
        <item x="732"/>
        <item x="181"/>
        <item x="138"/>
        <item x="36"/>
        <item x="893"/>
        <item x="618"/>
        <item x="166"/>
        <item x="269"/>
        <item x="658"/>
        <item x="511"/>
        <item x="728"/>
        <item x="860"/>
        <item x="152"/>
        <item x="429"/>
        <item x="396"/>
        <item x="93"/>
        <item x="165"/>
        <item x="71"/>
        <item x="568"/>
        <item x="557"/>
        <item x="749"/>
        <item x="317"/>
        <item x="32"/>
        <item x="621"/>
        <item x="65"/>
        <item x="623"/>
        <item x="785"/>
        <item x="531"/>
        <item x="583"/>
        <item x="898"/>
        <item x="259"/>
        <item x="864"/>
        <item x="445"/>
        <item x="630"/>
        <item x="601"/>
        <item x="584"/>
        <item x="62"/>
        <item x="38"/>
        <item x="798"/>
        <item x="592"/>
        <item x="637"/>
        <item x="332"/>
        <item x="834"/>
        <item x="714"/>
        <item x="118"/>
        <item x="24"/>
        <item x="63"/>
        <item x="436"/>
        <item x="447"/>
        <item x="553"/>
        <item x="613"/>
        <item x="488"/>
        <item x="720"/>
        <item x="565"/>
        <item x="525"/>
        <item x="326"/>
        <item x="275"/>
        <item x="661"/>
        <item x="824"/>
        <item x="715"/>
        <item x="279"/>
        <item x="628"/>
        <item x="11"/>
        <item x="433"/>
        <item x="372"/>
        <item x="234"/>
        <item x="641"/>
        <item x="119"/>
        <item x="16"/>
        <item x="504"/>
        <item x="257"/>
        <item x="705"/>
        <item x="160"/>
        <item x="682"/>
        <item x="400"/>
        <item x="155"/>
        <item x="85"/>
        <item x="277"/>
        <item x="41"/>
        <item x="462"/>
        <item x="611"/>
        <item x="370"/>
        <item x="561"/>
        <item x="620"/>
        <item x="773"/>
        <item x="580"/>
        <item x="233"/>
        <item x="681"/>
        <item x="910"/>
        <item x="895"/>
        <item x="267"/>
        <item x="276"/>
        <item x="241"/>
        <item x="826"/>
        <item x="381"/>
        <item x="868"/>
        <item x="439"/>
        <item x="841"/>
        <item x="703"/>
        <item x="558"/>
        <item x="827"/>
        <item x="829"/>
        <item x="678"/>
        <item x="150"/>
        <item x="310"/>
        <item x="876"/>
        <item x="229"/>
        <item x="59"/>
        <item x="608"/>
        <item x="825"/>
        <item x="736"/>
        <item x="200"/>
        <item x="792"/>
        <item x="474"/>
        <item x="365"/>
        <item x="543"/>
        <item x="448"/>
        <item x="352"/>
        <item x="816"/>
        <item x="44"/>
        <item x="912"/>
        <item x="42"/>
        <item x="307"/>
        <item x="745"/>
        <item x="121"/>
        <item x="903"/>
        <item x="73"/>
        <item x="295"/>
        <item x="312"/>
        <item x="278"/>
        <item x="652"/>
        <item x="91"/>
        <item x="867"/>
        <item x="594"/>
        <item x="399"/>
        <item x="730"/>
        <item x="539"/>
        <item x="211"/>
        <item x="885"/>
        <item x="598"/>
        <item x="258"/>
        <item x="375"/>
        <item x="738"/>
        <item x="796"/>
        <item x="750"/>
        <item x="360"/>
        <item x="221"/>
        <item x="308"/>
        <item x="498"/>
        <item x="887"/>
        <item x="729"/>
        <item x="627"/>
        <item x="673"/>
        <item x="423"/>
        <item x="631"/>
        <item x="153"/>
        <item x="159"/>
        <item x="206"/>
        <item x="322"/>
        <item x="111"/>
        <item x="647"/>
        <item x="298"/>
        <item x="526"/>
        <item x="35"/>
        <item x="12"/>
        <item x="554"/>
        <item x="418"/>
        <item x="66"/>
        <item x="881"/>
        <item x="424"/>
        <item x="655"/>
        <item x="696"/>
        <item x="335"/>
        <item x="402"/>
        <item x="419"/>
        <item x="188"/>
        <item x="844"/>
        <item x="81"/>
        <item x="533"/>
        <item x="596"/>
        <item x="395"/>
        <item x="369"/>
        <item x="888"/>
        <item x="896"/>
        <item x="831"/>
        <item x="331"/>
        <item x="316"/>
        <item x="29"/>
        <item x="862"/>
        <item x="49"/>
        <item x="835"/>
        <item x="96"/>
        <item x="168"/>
        <item x="797"/>
        <item x="134"/>
        <item x="227"/>
        <item x="321"/>
        <item x="252"/>
        <item x="679"/>
        <item x="115"/>
        <item x="782"/>
        <item x="304"/>
        <item x="776"/>
        <item x="130"/>
        <item x="406"/>
        <item x="667"/>
        <item x="869"/>
        <item x="858"/>
        <item x="541"/>
        <item x="606"/>
        <item x="197"/>
        <item x="240"/>
        <item x="700"/>
        <item x="311"/>
        <item x="671"/>
        <item x="177"/>
        <item x="464"/>
        <item x="285"/>
        <item x="2"/>
        <item x="758"/>
        <item x="368"/>
        <item x="659"/>
        <item x="571"/>
        <item x="687"/>
        <item x="468"/>
        <item x="56"/>
        <item x="265"/>
        <item x="216"/>
        <item x="128"/>
        <item x="214"/>
        <item x="740"/>
        <item x="636"/>
        <item x="702"/>
        <item x="514"/>
        <item x="323"/>
        <item x="271"/>
        <item x="349"/>
        <item x="802"/>
        <item x="15"/>
        <item x="691"/>
        <item x="1"/>
        <item x="171"/>
        <item x="106"/>
        <item x="226"/>
        <item x="805"/>
        <item x="83"/>
        <item x="499"/>
        <item x="387"/>
        <item x="517"/>
        <item x="208"/>
        <item x="397"/>
        <item x="20"/>
        <item x="761"/>
        <item x="634"/>
        <item x="795"/>
        <item x="294"/>
        <item x="784"/>
        <item x="412"/>
        <item x="51"/>
        <item x="905"/>
        <item x="231"/>
        <item x="173"/>
        <item x="449"/>
        <item x="442"/>
        <item x="897"/>
        <item x="803"/>
        <item x="766"/>
        <item x="764"/>
        <item x="441"/>
        <item x="218"/>
        <item x="793"/>
        <item x="186"/>
        <item x="318"/>
        <item x="496"/>
        <item x="577"/>
        <item x="379"/>
        <item x="567"/>
        <item x="781"/>
        <item x="819"/>
        <item x="675"/>
        <item x="78"/>
        <item x="654"/>
        <item x="189"/>
        <item x="799"/>
        <item x="425"/>
        <item x="437"/>
        <item x="296"/>
        <item x="219"/>
        <item x="855"/>
        <item x="82"/>
        <item x="143"/>
        <item x="562"/>
        <item x="717"/>
        <item x="812"/>
        <item x="97"/>
        <item x="817"/>
        <item x="343"/>
        <item x="113"/>
        <item x="473"/>
        <item x="818"/>
        <item x="238"/>
        <item x="672"/>
        <item x="364"/>
        <item x="43"/>
        <item x="538"/>
        <item x="680"/>
        <item x="70"/>
        <item x="666"/>
        <item x="203"/>
        <item x="878"/>
        <item x="292"/>
        <item x="95"/>
        <item x="653"/>
        <item x="493"/>
        <item x="438"/>
        <item x="148"/>
        <item x="739"/>
        <item x="58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numFmtId="166" showAll="0"/>
    <pivotField numFmtId="167" showAll="0"/>
    <pivotField dataField="1" numFmtId="167" showAll="0"/>
    <pivotField showAll="0"/>
    <pivotField showAll="0"/>
    <pivotField showAll="0">
      <items count="3">
        <item x="1"/>
        <item x="0"/>
        <item t="default"/>
      </items>
    </pivotField>
    <pivotField showAll="0"/>
    <pivotField numFmtId="2"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6">
        <item x="0"/>
        <item x="1"/>
        <item x="2"/>
        <item x="3"/>
        <item x="4"/>
        <item x="5"/>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5"/>
  </rowFields>
  <rowItems count="12">
    <i>
      <x v="226"/>
    </i>
    <i>
      <x v="762"/>
    </i>
    <i>
      <x v="390"/>
    </i>
    <i>
      <x v="528"/>
    </i>
    <i>
      <x v="518"/>
    </i>
    <i>
      <x v="639"/>
    </i>
    <i>
      <x v="218"/>
    </i>
    <i>
      <x v="289"/>
    </i>
    <i>
      <x v="785"/>
    </i>
    <i>
      <x v="826"/>
    </i>
    <i>
      <x v="20"/>
    </i>
    <i t="grand">
      <x/>
    </i>
  </rowItems>
  <colItems count="1">
    <i/>
  </colItems>
  <dataFields count="1">
    <dataField name="Average of Sales" fld="12" subtotal="average" baseField="5" baseItem="125" numFmtId="167"/>
  </dataFields>
  <chartFormats count="1">
    <chartFormat chart="2" format="2"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5" type="count" evalOrder="-1" id="4"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44FAC86-E768-4ED0-831C-126F96473A11}" name="TotalSales" cacheId="0" applyNumberFormats="0" applyBorderFormats="0" applyFontFormats="0" applyPatternFormats="0" applyAlignmentFormats="0" applyWidthHeightFormats="1" dataCaption="Values" updatedVersion="8" minRefreshableVersion="5" useAutoFormatting="1" itemPrintTitles="1" createdVersion="8" indent="0" compact="0" compactData="0" multipleFieldFilters="0" chartFormat="41">
  <location ref="A1:G7" firstHeaderRow="1" firstDataRow="2" firstDataCol="2"/>
  <pivotFields count="34">
    <pivotField compact="0" outline="0" showAll="0"/>
    <pivotField compact="0" numFmtId="165" outline="0" showAll="0">
      <items count="690">
        <item x="94"/>
        <item x="283"/>
        <item x="107"/>
        <item x="555"/>
        <item x="327"/>
        <item x="209"/>
        <item x="172"/>
        <item x="2"/>
        <item x="238"/>
        <item x="39"/>
        <item x="230"/>
        <item x="433"/>
        <item x="243"/>
        <item x="129"/>
        <item x="154"/>
        <item x="474"/>
        <item x="624"/>
        <item x="110"/>
        <item x="321"/>
        <item x="25"/>
        <item x="435"/>
        <item x="151"/>
        <item x="181"/>
        <item x="56"/>
        <item x="505"/>
        <item x="363"/>
        <item x="254"/>
        <item x="108"/>
        <item x="182"/>
        <item x="649"/>
        <item x="79"/>
        <item x="604"/>
        <item x="514"/>
        <item x="498"/>
        <item x="375"/>
        <item x="233"/>
        <item x="566"/>
        <item x="43"/>
        <item x="665"/>
        <item x="88"/>
        <item x="598"/>
        <item x="421"/>
        <item x="520"/>
        <item x="320"/>
        <item x="279"/>
        <item x="102"/>
        <item x="194"/>
        <item x="456"/>
        <item x="118"/>
        <item x="648"/>
        <item x="64"/>
        <item x="533"/>
        <item x="501"/>
        <item x="422"/>
        <item x="8"/>
        <item x="353"/>
        <item x="103"/>
        <item x="195"/>
        <item x="339"/>
        <item x="643"/>
        <item x="654"/>
        <item x="271"/>
        <item x="389"/>
        <item x="475"/>
        <item x="522"/>
        <item x="20"/>
        <item x="144"/>
        <item x="462"/>
        <item x="397"/>
        <item x="588"/>
        <item x="229"/>
        <item x="469"/>
        <item x="400"/>
        <item x="391"/>
        <item x="683"/>
        <item x="603"/>
        <item x="660"/>
        <item x="447"/>
        <item x="207"/>
        <item x="619"/>
        <item x="351"/>
        <item x="638"/>
        <item x="662"/>
        <item x="390"/>
        <item x="477"/>
        <item x="112"/>
        <item x="226"/>
        <item x="364"/>
        <item x="600"/>
        <item x="109"/>
        <item x="231"/>
        <item x="241"/>
        <item x="92"/>
        <item x="106"/>
        <item x="362"/>
        <item x="430"/>
        <item x="37"/>
        <item x="540"/>
        <item x="257"/>
        <item x="438"/>
        <item x="384"/>
        <item x="608"/>
        <item x="593"/>
        <item x="316"/>
        <item x="580"/>
        <item x="350"/>
        <item x="383"/>
        <item x="258"/>
        <item x="296"/>
        <item x="457"/>
        <item x="191"/>
        <item x="611"/>
        <item x="423"/>
        <item x="235"/>
        <item x="388"/>
        <item x="534"/>
        <item x="544"/>
        <item x="145"/>
        <item x="653"/>
        <item x="374"/>
        <item x="633"/>
        <item x="418"/>
        <item x="294"/>
        <item x="575"/>
        <item x="255"/>
        <item x="567"/>
        <item x="66"/>
        <item x="346"/>
        <item x="259"/>
        <item x="63"/>
        <item x="667"/>
        <item x="174"/>
        <item x="678"/>
        <item x="548"/>
        <item x="471"/>
        <item x="411"/>
        <item x="431"/>
        <item x="628"/>
        <item x="476"/>
        <item x="270"/>
        <item x="199"/>
        <item x="568"/>
        <item x="586"/>
        <item x="40"/>
        <item x="545"/>
        <item x="634"/>
        <item x="155"/>
        <item x="489"/>
        <item x="467"/>
        <item x="491"/>
        <item x="149"/>
        <item x="460"/>
        <item x="91"/>
        <item x="273"/>
        <item x="672"/>
        <item x="120"/>
        <item x="478"/>
        <item x="130"/>
        <item x="674"/>
        <item x="227"/>
        <item x="440"/>
        <item x="266"/>
        <item x="299"/>
        <item x="631"/>
        <item x="329"/>
        <item x="307"/>
        <item x="488"/>
        <item x="685"/>
        <item x="573"/>
        <item x="50"/>
        <item x="286"/>
        <item x="48"/>
        <item x="532"/>
        <item x="281"/>
        <item x="15"/>
        <item x="61"/>
        <item x="67"/>
        <item x="599"/>
        <item x="558"/>
        <item x="75"/>
        <item x="55"/>
        <item x="680"/>
        <item x="684"/>
        <item x="344"/>
        <item x="52"/>
        <item x="419"/>
        <item x="232"/>
        <item x="134"/>
        <item x="572"/>
        <item x="455"/>
        <item x="171"/>
        <item x="661"/>
        <item x="524"/>
        <item x="416"/>
        <item x="219"/>
        <item x="196"/>
        <item x="36"/>
        <item x="420"/>
        <item x="100"/>
        <item x="574"/>
        <item x="601"/>
        <item x="6"/>
        <item x="562"/>
        <item x="625"/>
        <item x="590"/>
        <item x="253"/>
        <item x="148"/>
        <item x="569"/>
        <item x="335"/>
        <item x="492"/>
        <item x="526"/>
        <item x="439"/>
        <item x="252"/>
        <item x="16"/>
        <item x="166"/>
        <item x="204"/>
        <item x="425"/>
        <item x="137"/>
        <item x="490"/>
        <item x="564"/>
        <item x="60"/>
        <item x="319"/>
        <item x="256"/>
        <item x="676"/>
        <item x="559"/>
        <item x="222"/>
        <item x="81"/>
        <item x="666"/>
        <item x="484"/>
        <item x="605"/>
        <item x="546"/>
        <item x="453"/>
        <item x="170"/>
        <item x="164"/>
        <item x="17"/>
        <item x="509"/>
        <item x="584"/>
        <item x="291"/>
        <item x="282"/>
        <item x="262"/>
        <item x="236"/>
        <item x="656"/>
        <item x="324"/>
        <item x="35"/>
        <item x="645"/>
        <item x="343"/>
        <item x="618"/>
        <item x="434"/>
        <item x="245"/>
        <item x="298"/>
        <item x="264"/>
        <item x="359"/>
        <item x="213"/>
        <item x="13"/>
        <item x="12"/>
        <item x="34"/>
        <item x="485"/>
        <item x="360"/>
        <item x="177"/>
        <item x="293"/>
        <item x="368"/>
        <item x="396"/>
        <item x="132"/>
        <item x="516"/>
        <item x="261"/>
        <item x="357"/>
        <item x="531"/>
        <item x="263"/>
        <item x="518"/>
        <item x="444"/>
        <item x="45"/>
        <item x="19"/>
        <item x="97"/>
        <item x="486"/>
        <item x="312"/>
        <item x="216"/>
        <item x="330"/>
        <item x="292"/>
        <item x="18"/>
        <item x="328"/>
        <item x="14"/>
        <item x="664"/>
        <item x="96"/>
        <item x="686"/>
        <item x="308"/>
        <item x="225"/>
        <item x="553"/>
        <item x="366"/>
        <item x="73"/>
        <item x="515"/>
        <item x="42"/>
        <item x="125"/>
        <item x="295"/>
        <item x="415"/>
        <item x="549"/>
        <item x="30"/>
        <item x="381"/>
        <item x="146"/>
        <item x="22"/>
        <item x="84"/>
        <item x="126"/>
        <item x="508"/>
        <item x="127"/>
        <item x="571"/>
        <item x="373"/>
        <item x="11"/>
        <item x="10"/>
        <item x="161"/>
        <item x="385"/>
        <item x="115"/>
        <item x="345"/>
        <item x="188"/>
        <item x="9"/>
        <item x="507"/>
        <item x="675"/>
        <item x="677"/>
        <item x="622"/>
        <item x="31"/>
        <item x="322"/>
        <item x="429"/>
        <item x="554"/>
        <item x="29"/>
        <item x="401"/>
        <item x="173"/>
        <item x="409"/>
        <item x="288"/>
        <item x="105"/>
        <item x="65"/>
        <item x="53"/>
        <item x="51"/>
        <item x="629"/>
        <item x="443"/>
        <item x="610"/>
        <item x="135"/>
        <item x="500"/>
        <item x="560"/>
        <item x="523"/>
        <item x="1"/>
        <item x="499"/>
        <item x="587"/>
        <item x="114"/>
        <item x="543"/>
        <item x="483"/>
        <item x="494"/>
        <item x="407"/>
        <item x="495"/>
        <item x="449"/>
        <item x="602"/>
        <item x="369"/>
        <item x="206"/>
        <item x="122"/>
        <item x="313"/>
        <item x="556"/>
        <item x="426"/>
        <item x="670"/>
        <item x="361"/>
        <item x="272"/>
        <item x="442"/>
        <item x="179"/>
        <item x="46"/>
        <item x="657"/>
        <item x="86"/>
        <item x="637"/>
        <item x="473"/>
        <item x="72"/>
        <item x="104"/>
        <item x="70"/>
        <item x="300"/>
        <item x="432"/>
        <item x="302"/>
        <item x="595"/>
        <item x="212"/>
        <item x="607"/>
        <item x="688"/>
        <item x="169"/>
        <item x="160"/>
        <item x="406"/>
        <item x="436"/>
        <item x="627"/>
        <item x="632"/>
        <item x="446"/>
        <item x="185"/>
        <item x="591"/>
        <item x="152"/>
        <item x="537"/>
        <item x="3"/>
        <item x="95"/>
        <item x="93"/>
        <item x="306"/>
        <item x="5"/>
        <item x="445"/>
        <item x="481"/>
        <item x="159"/>
        <item x="244"/>
        <item x="458"/>
        <item x="87"/>
        <item x="585"/>
        <item x="669"/>
        <item x="636"/>
        <item x="557"/>
        <item x="143"/>
        <item x="517"/>
        <item x="630"/>
        <item x="211"/>
        <item x="635"/>
        <item x="395"/>
        <item x="136"/>
        <item x="142"/>
        <item x="408"/>
        <item x="33"/>
        <item x="589"/>
        <item x="47"/>
        <item x="594"/>
        <item x="138"/>
        <item x="412"/>
        <item x="224"/>
        <item x="162"/>
        <item x="341"/>
        <item x="192"/>
        <item x="615"/>
        <item x="340"/>
        <item x="679"/>
        <item x="323"/>
        <item x="372"/>
        <item x="89"/>
        <item x="77"/>
        <item x="38"/>
        <item x="276"/>
        <item x="427"/>
        <item x="83"/>
        <item x="673"/>
        <item x="116"/>
        <item x="539"/>
        <item x="203"/>
        <item x="141"/>
        <item x="687"/>
        <item x="463"/>
        <item x="184"/>
        <item x="338"/>
        <item x="367"/>
        <item x="497"/>
        <item x="552"/>
        <item x="349"/>
        <item x="647"/>
        <item x="354"/>
        <item x="352"/>
        <item x="277"/>
        <item x="561"/>
        <item x="275"/>
        <item x="371"/>
        <item x="616"/>
        <item x="378"/>
        <item x="403"/>
        <item x="461"/>
        <item x="410"/>
        <item x="218"/>
        <item x="284"/>
        <item x="482"/>
        <item x="278"/>
        <item x="21"/>
        <item x="242"/>
        <item x="157"/>
        <item x="131"/>
        <item x="297"/>
        <item x="59"/>
        <item x="27"/>
        <item x="186"/>
        <item x="311"/>
        <item x="85"/>
        <item x="379"/>
        <item x="158"/>
        <item x="183"/>
        <item x="305"/>
        <item x="428"/>
        <item x="519"/>
        <item x="399"/>
        <item x="640"/>
        <item x="326"/>
        <item x="124"/>
        <item x="437"/>
        <item x="200"/>
        <item x="334"/>
        <item x="606"/>
        <item x="303"/>
        <item x="623"/>
        <item x="4"/>
        <item x="147"/>
        <item x="71"/>
        <item x="325"/>
        <item x="190"/>
        <item x="99"/>
        <item x="382"/>
        <item x="655"/>
        <item x="156"/>
        <item x="592"/>
        <item x="583"/>
        <item x="417"/>
        <item x="535"/>
        <item x="542"/>
        <item x="249"/>
        <item x="90"/>
        <item x="58"/>
        <item x="180"/>
        <item x="274"/>
        <item x="479"/>
        <item x="163"/>
        <item x="318"/>
        <item x="337"/>
        <item x="68"/>
        <item x="234"/>
        <item x="113"/>
        <item x="551"/>
        <item x="128"/>
        <item x="336"/>
        <item x="414"/>
        <item x="626"/>
        <item x="150"/>
        <item x="620"/>
        <item x="220"/>
        <item x="502"/>
        <item x="450"/>
        <item x="465"/>
        <item x="550"/>
        <item x="671"/>
        <item x="404"/>
        <item x="487"/>
        <item x="290"/>
        <item x="641"/>
        <item x="119"/>
        <item x="215"/>
        <item x="54"/>
        <item x="74"/>
        <item x="541"/>
        <item x="251"/>
        <item x="309"/>
        <item x="57"/>
        <item x="304"/>
        <item x="82"/>
        <item x="247"/>
        <item x="178"/>
        <item x="646"/>
        <item x="504"/>
        <item x="314"/>
        <item x="69"/>
        <item x="510"/>
        <item x="392"/>
        <item x="76"/>
        <item x="496"/>
        <item x="168"/>
        <item x="24"/>
        <item x="32"/>
        <item x="217"/>
        <item x="240"/>
        <item x="621"/>
        <item x="394"/>
        <item x="468"/>
        <item x="470"/>
        <item x="139"/>
        <item x="581"/>
        <item x="331"/>
        <item x="260"/>
        <item x="289"/>
        <item x="28"/>
        <item x="393"/>
        <item x="332"/>
        <item x="596"/>
        <item x="358"/>
        <item x="267"/>
        <item x="121"/>
        <item x="214"/>
        <item x="451"/>
        <item x="466"/>
        <item x="355"/>
        <item x="98"/>
        <item x="165"/>
        <item x="527"/>
        <item x="536"/>
        <item x="480"/>
        <item x="248"/>
        <item x="658"/>
        <item x="23"/>
        <item x="512"/>
        <item x="287"/>
        <item x="448"/>
        <item x="198"/>
        <item x="682"/>
        <item x="365"/>
        <item x="424"/>
        <item x="44"/>
        <item x="639"/>
        <item x="348"/>
        <item x="239"/>
        <item x="650"/>
        <item x="347"/>
        <item x="193"/>
        <item x="402"/>
        <item x="578"/>
        <item x="525"/>
        <item x="370"/>
        <item x="614"/>
        <item x="167"/>
        <item x="570"/>
        <item x="547"/>
        <item x="398"/>
        <item x="642"/>
        <item x="503"/>
        <item x="617"/>
        <item x="78"/>
        <item x="380"/>
        <item x="597"/>
        <item x="441"/>
        <item x="386"/>
        <item x="464"/>
        <item x="356"/>
        <item x="237"/>
        <item x="413"/>
        <item x="301"/>
        <item x="280"/>
        <item x="530"/>
        <item x="223"/>
        <item x="333"/>
        <item x="202"/>
        <item x="663"/>
        <item x="506"/>
        <item x="269"/>
        <item x="342"/>
        <item x="111"/>
        <item x="577"/>
        <item x="201"/>
        <item x="123"/>
        <item x="452"/>
        <item x="377"/>
        <item x="221"/>
        <item x="612"/>
        <item x="7"/>
        <item x="513"/>
        <item x="376"/>
        <item x="228"/>
        <item x="265"/>
        <item x="565"/>
        <item x="187"/>
        <item x="454"/>
        <item x="529"/>
        <item x="609"/>
        <item x="521"/>
        <item x="668"/>
        <item x="176"/>
        <item x="579"/>
        <item x="175"/>
        <item x="133"/>
        <item x="644"/>
        <item x="0"/>
        <item x="101"/>
        <item x="659"/>
        <item x="140"/>
        <item x="210"/>
        <item x="41"/>
        <item x="246"/>
        <item x="26"/>
        <item x="472"/>
        <item x="511"/>
        <item x="117"/>
        <item x="62"/>
        <item x="387"/>
        <item x="317"/>
        <item x="205"/>
        <item x="315"/>
        <item x="538"/>
        <item x="310"/>
        <item x="652"/>
        <item x="613"/>
        <item x="197"/>
        <item x="189"/>
        <item x="582"/>
        <item x="268"/>
        <item x="493"/>
        <item x="681"/>
        <item x="153"/>
        <item x="208"/>
        <item x="405"/>
        <item x="576"/>
        <item x="563"/>
        <item x="80"/>
        <item x="49"/>
        <item x="285"/>
        <item x="651"/>
        <item x="528"/>
        <item x="459"/>
        <item x="25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items count="5">
        <item x="3"/>
        <item x="1"/>
        <item x="0"/>
        <item x="2"/>
        <item t="default"/>
      </items>
    </pivotField>
    <pivotField compact="0" numFmtId="167" outline="0" showAll="0"/>
    <pivotField dataField="1" compact="0" numFmtId="167" outline="0" showAll="0"/>
    <pivotField axis="axisCol" compact="0" outline="0" showAll="0">
      <items count="5">
        <item x="2"/>
        <item x="3"/>
        <item x="1"/>
        <item x="0"/>
        <item t="default"/>
      </items>
    </pivotField>
    <pivotField compact="0" outline="0" showAll="0">
      <items count="4">
        <item x="0"/>
        <item x="1"/>
        <item x="2"/>
        <item t="default"/>
      </items>
    </pivotField>
    <pivotField compact="0" outline="0" showAll="0">
      <items count="3">
        <item x="1"/>
        <item x="0"/>
        <item t="default"/>
      </items>
    </pivotField>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5">
        <item x="0"/>
        <item x="1"/>
        <item x="2"/>
        <item x="3"/>
        <item x="4"/>
        <item x="5"/>
        <item x="6"/>
        <item x="7"/>
        <item x="8"/>
        <item x="9"/>
        <item x="10"/>
        <item x="11"/>
        <item x="12"/>
        <item x="13"/>
        <item t="default"/>
      </items>
    </pivotField>
    <pivotField axis="axisRow" compact="0" outline="0" showAll="0">
      <items count="7">
        <item x="0"/>
        <item sd="0" x="1"/>
        <item sd="0" x="2"/>
        <item sd="0" x="3"/>
        <item sd="0" x="4"/>
        <item x="5"/>
        <item t="default"/>
      </items>
    </pivotField>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s>
  <rowFields count="2">
    <field x="29"/>
    <field x="28"/>
  </rowFields>
  <rowItems count="5">
    <i>
      <x v="1"/>
    </i>
    <i>
      <x v="2"/>
    </i>
    <i>
      <x v="3"/>
    </i>
    <i>
      <x v="4"/>
    </i>
    <i t="grand">
      <x/>
    </i>
  </rowItems>
  <colFields count="1">
    <field x="13"/>
  </colFields>
  <colItems count="5">
    <i>
      <x/>
    </i>
    <i>
      <x v="1"/>
    </i>
    <i>
      <x v="2"/>
    </i>
    <i>
      <x v="3"/>
    </i>
    <i t="grand">
      <x/>
    </i>
  </colItems>
  <dataFields count="1">
    <dataField name="Sum of Sales" fld="12" baseField="0" baseItem="0" numFmtId="168"/>
  </dataFields>
  <formats count="1">
    <format dxfId="1">
      <pivotArea outline="0" collapsedLevelsAreSubtotals="1" fieldPosition="0"/>
    </format>
  </formats>
  <chartFormats count="4">
    <chartFormat chart="6" format="25" series="1">
      <pivotArea type="data" outline="0" fieldPosition="0">
        <references count="2">
          <reference field="4294967294" count="1" selected="0">
            <x v="0"/>
          </reference>
          <reference field="13" count="1" selected="0">
            <x v="0"/>
          </reference>
        </references>
      </pivotArea>
    </chartFormat>
    <chartFormat chart="6" format="26" series="1">
      <pivotArea type="data" outline="0" fieldPosition="0">
        <references count="2">
          <reference field="4294967294" count="1" selected="0">
            <x v="0"/>
          </reference>
          <reference field="13" count="1" selected="0">
            <x v="1"/>
          </reference>
        </references>
      </pivotArea>
    </chartFormat>
    <chartFormat chart="6" format="27" series="1">
      <pivotArea type="data" outline="0" fieldPosition="0">
        <references count="2">
          <reference field="4294967294" count="1" selected="0">
            <x v="0"/>
          </reference>
          <reference field="13" count="1" selected="0">
            <x v="2"/>
          </reference>
        </references>
      </pivotArea>
    </chartFormat>
    <chartFormat chart="6" format="28"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8221D92-1280-4897-8759-E5B7379FCD03}" name="CustSeg/AOC"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0">
  <location ref="I29:J33" firstHeaderRow="1" firstDataRow="1" firstDataCol="1"/>
  <pivotFields count="34">
    <pivotField showAll="0"/>
    <pivotField numFmtId="165" showAll="0">
      <items count="690">
        <item x="94"/>
        <item x="283"/>
        <item x="107"/>
        <item x="555"/>
        <item x="327"/>
        <item x="209"/>
        <item x="172"/>
        <item x="2"/>
        <item x="238"/>
        <item x="39"/>
        <item x="230"/>
        <item x="433"/>
        <item x="243"/>
        <item x="129"/>
        <item x="154"/>
        <item x="474"/>
        <item x="624"/>
        <item x="110"/>
        <item x="321"/>
        <item x="25"/>
        <item x="435"/>
        <item x="151"/>
        <item x="181"/>
        <item x="56"/>
        <item x="505"/>
        <item x="363"/>
        <item x="254"/>
        <item x="108"/>
        <item x="182"/>
        <item x="649"/>
        <item x="79"/>
        <item x="604"/>
        <item x="514"/>
        <item x="498"/>
        <item x="375"/>
        <item x="233"/>
        <item x="566"/>
        <item x="43"/>
        <item x="665"/>
        <item x="88"/>
        <item x="598"/>
        <item x="421"/>
        <item x="520"/>
        <item x="320"/>
        <item x="279"/>
        <item x="102"/>
        <item x="194"/>
        <item x="456"/>
        <item x="118"/>
        <item x="648"/>
        <item x="64"/>
        <item x="533"/>
        <item x="501"/>
        <item x="422"/>
        <item x="8"/>
        <item x="353"/>
        <item x="103"/>
        <item x="195"/>
        <item x="339"/>
        <item x="643"/>
        <item x="654"/>
        <item x="271"/>
        <item x="389"/>
        <item x="475"/>
        <item x="522"/>
        <item x="20"/>
        <item x="144"/>
        <item x="462"/>
        <item x="397"/>
        <item x="588"/>
        <item x="229"/>
        <item x="469"/>
        <item x="400"/>
        <item x="391"/>
        <item x="683"/>
        <item x="603"/>
        <item x="660"/>
        <item x="447"/>
        <item x="207"/>
        <item x="619"/>
        <item x="351"/>
        <item x="638"/>
        <item x="662"/>
        <item x="390"/>
        <item x="477"/>
        <item x="112"/>
        <item x="226"/>
        <item x="364"/>
        <item x="600"/>
        <item x="109"/>
        <item x="231"/>
        <item x="241"/>
        <item x="92"/>
        <item x="106"/>
        <item x="362"/>
        <item x="430"/>
        <item x="37"/>
        <item x="540"/>
        <item x="257"/>
        <item x="438"/>
        <item x="384"/>
        <item x="608"/>
        <item x="593"/>
        <item x="316"/>
        <item x="580"/>
        <item x="350"/>
        <item x="383"/>
        <item x="258"/>
        <item x="296"/>
        <item x="457"/>
        <item x="191"/>
        <item x="611"/>
        <item x="423"/>
        <item x="235"/>
        <item x="388"/>
        <item x="534"/>
        <item x="544"/>
        <item x="145"/>
        <item x="653"/>
        <item x="374"/>
        <item x="633"/>
        <item x="418"/>
        <item x="294"/>
        <item x="575"/>
        <item x="255"/>
        <item x="567"/>
        <item x="66"/>
        <item x="346"/>
        <item x="259"/>
        <item x="63"/>
        <item x="667"/>
        <item x="174"/>
        <item x="678"/>
        <item x="548"/>
        <item x="471"/>
        <item x="411"/>
        <item x="431"/>
        <item x="628"/>
        <item x="476"/>
        <item x="270"/>
        <item x="199"/>
        <item x="568"/>
        <item x="586"/>
        <item x="40"/>
        <item x="545"/>
        <item x="634"/>
        <item x="155"/>
        <item x="489"/>
        <item x="467"/>
        <item x="491"/>
        <item x="149"/>
        <item x="460"/>
        <item x="91"/>
        <item x="273"/>
        <item x="672"/>
        <item x="120"/>
        <item x="478"/>
        <item x="130"/>
        <item x="674"/>
        <item x="227"/>
        <item x="440"/>
        <item x="266"/>
        <item x="299"/>
        <item x="631"/>
        <item x="329"/>
        <item x="307"/>
        <item x="488"/>
        <item x="685"/>
        <item x="573"/>
        <item x="50"/>
        <item x="286"/>
        <item x="48"/>
        <item x="532"/>
        <item x="281"/>
        <item x="15"/>
        <item x="61"/>
        <item x="67"/>
        <item x="599"/>
        <item x="558"/>
        <item x="75"/>
        <item x="55"/>
        <item x="680"/>
        <item x="684"/>
        <item x="344"/>
        <item x="52"/>
        <item x="419"/>
        <item x="232"/>
        <item x="134"/>
        <item x="572"/>
        <item x="455"/>
        <item x="171"/>
        <item x="661"/>
        <item x="524"/>
        <item x="416"/>
        <item x="219"/>
        <item x="196"/>
        <item x="36"/>
        <item x="420"/>
        <item x="100"/>
        <item x="574"/>
        <item x="601"/>
        <item x="6"/>
        <item x="562"/>
        <item x="625"/>
        <item x="590"/>
        <item x="253"/>
        <item x="148"/>
        <item x="569"/>
        <item x="335"/>
        <item x="492"/>
        <item x="526"/>
        <item x="439"/>
        <item x="252"/>
        <item x="16"/>
        <item x="166"/>
        <item x="204"/>
        <item x="425"/>
        <item x="137"/>
        <item x="490"/>
        <item x="564"/>
        <item x="60"/>
        <item x="319"/>
        <item x="256"/>
        <item x="676"/>
        <item x="559"/>
        <item x="222"/>
        <item x="81"/>
        <item x="666"/>
        <item x="484"/>
        <item x="605"/>
        <item x="546"/>
        <item x="453"/>
        <item x="170"/>
        <item x="164"/>
        <item x="17"/>
        <item x="509"/>
        <item x="584"/>
        <item x="291"/>
        <item x="282"/>
        <item x="262"/>
        <item x="236"/>
        <item x="656"/>
        <item x="324"/>
        <item x="35"/>
        <item x="645"/>
        <item x="343"/>
        <item x="618"/>
        <item x="434"/>
        <item x="245"/>
        <item x="298"/>
        <item x="264"/>
        <item x="359"/>
        <item x="213"/>
        <item x="13"/>
        <item x="12"/>
        <item x="34"/>
        <item x="485"/>
        <item x="360"/>
        <item x="177"/>
        <item x="293"/>
        <item x="368"/>
        <item x="396"/>
        <item x="132"/>
        <item x="516"/>
        <item x="261"/>
        <item x="357"/>
        <item x="531"/>
        <item x="263"/>
        <item x="518"/>
        <item x="444"/>
        <item x="45"/>
        <item x="19"/>
        <item x="97"/>
        <item x="486"/>
        <item x="312"/>
        <item x="216"/>
        <item x="330"/>
        <item x="292"/>
        <item x="18"/>
        <item x="328"/>
        <item x="14"/>
        <item x="664"/>
        <item x="96"/>
        <item x="686"/>
        <item x="308"/>
        <item x="225"/>
        <item x="553"/>
        <item x="366"/>
        <item x="73"/>
        <item x="515"/>
        <item x="42"/>
        <item x="125"/>
        <item x="295"/>
        <item x="415"/>
        <item x="549"/>
        <item x="30"/>
        <item x="381"/>
        <item x="146"/>
        <item x="22"/>
        <item x="84"/>
        <item x="126"/>
        <item x="508"/>
        <item x="127"/>
        <item x="571"/>
        <item x="373"/>
        <item x="11"/>
        <item x="10"/>
        <item x="161"/>
        <item x="385"/>
        <item x="115"/>
        <item x="345"/>
        <item x="188"/>
        <item x="9"/>
        <item x="507"/>
        <item x="675"/>
        <item x="677"/>
        <item x="622"/>
        <item x="31"/>
        <item x="322"/>
        <item x="429"/>
        <item x="554"/>
        <item x="29"/>
        <item x="401"/>
        <item x="173"/>
        <item x="409"/>
        <item x="288"/>
        <item x="105"/>
        <item x="65"/>
        <item x="53"/>
        <item x="51"/>
        <item x="629"/>
        <item x="443"/>
        <item x="610"/>
        <item x="135"/>
        <item x="500"/>
        <item x="560"/>
        <item x="523"/>
        <item x="1"/>
        <item x="499"/>
        <item x="587"/>
        <item x="114"/>
        <item x="543"/>
        <item x="483"/>
        <item x="494"/>
        <item x="407"/>
        <item x="495"/>
        <item x="449"/>
        <item x="602"/>
        <item x="369"/>
        <item x="206"/>
        <item x="122"/>
        <item x="313"/>
        <item x="556"/>
        <item x="426"/>
        <item x="670"/>
        <item x="361"/>
        <item x="272"/>
        <item x="442"/>
        <item x="179"/>
        <item x="46"/>
        <item x="657"/>
        <item x="86"/>
        <item x="637"/>
        <item x="473"/>
        <item x="72"/>
        <item x="104"/>
        <item x="70"/>
        <item x="300"/>
        <item x="432"/>
        <item x="302"/>
        <item x="595"/>
        <item x="212"/>
        <item x="607"/>
        <item x="688"/>
        <item x="169"/>
        <item x="160"/>
        <item x="406"/>
        <item x="436"/>
        <item x="627"/>
        <item x="632"/>
        <item x="446"/>
        <item x="185"/>
        <item x="591"/>
        <item x="152"/>
        <item x="537"/>
        <item x="3"/>
        <item x="95"/>
        <item x="93"/>
        <item x="306"/>
        <item x="5"/>
        <item x="445"/>
        <item x="481"/>
        <item x="159"/>
        <item x="244"/>
        <item x="458"/>
        <item x="87"/>
        <item x="585"/>
        <item x="669"/>
        <item x="636"/>
        <item x="557"/>
        <item x="143"/>
        <item x="517"/>
        <item x="630"/>
        <item x="211"/>
        <item x="635"/>
        <item x="395"/>
        <item x="136"/>
        <item x="142"/>
        <item x="408"/>
        <item x="33"/>
        <item x="589"/>
        <item x="47"/>
        <item x="594"/>
        <item x="138"/>
        <item x="412"/>
        <item x="224"/>
        <item x="162"/>
        <item x="341"/>
        <item x="192"/>
        <item x="615"/>
        <item x="340"/>
        <item x="679"/>
        <item x="323"/>
        <item x="372"/>
        <item x="89"/>
        <item x="77"/>
        <item x="38"/>
        <item x="276"/>
        <item x="427"/>
        <item x="83"/>
        <item x="673"/>
        <item x="116"/>
        <item x="539"/>
        <item x="203"/>
        <item x="141"/>
        <item x="687"/>
        <item x="463"/>
        <item x="184"/>
        <item x="338"/>
        <item x="367"/>
        <item x="497"/>
        <item x="552"/>
        <item x="349"/>
        <item x="647"/>
        <item x="354"/>
        <item x="352"/>
        <item x="277"/>
        <item x="561"/>
        <item x="275"/>
        <item x="371"/>
        <item x="616"/>
        <item x="378"/>
        <item x="403"/>
        <item x="461"/>
        <item x="410"/>
        <item x="218"/>
        <item x="284"/>
        <item x="482"/>
        <item x="278"/>
        <item x="21"/>
        <item x="242"/>
        <item x="157"/>
        <item x="131"/>
        <item x="297"/>
        <item x="59"/>
        <item x="27"/>
        <item x="186"/>
        <item x="311"/>
        <item x="85"/>
        <item x="379"/>
        <item x="158"/>
        <item x="183"/>
        <item x="305"/>
        <item x="428"/>
        <item x="519"/>
        <item x="399"/>
        <item x="640"/>
        <item x="326"/>
        <item x="124"/>
        <item x="437"/>
        <item x="200"/>
        <item x="334"/>
        <item x="606"/>
        <item x="303"/>
        <item x="623"/>
        <item x="4"/>
        <item x="147"/>
        <item x="71"/>
        <item x="325"/>
        <item x="190"/>
        <item x="99"/>
        <item x="382"/>
        <item x="655"/>
        <item x="156"/>
        <item x="592"/>
        <item x="583"/>
        <item x="417"/>
        <item x="535"/>
        <item x="542"/>
        <item x="249"/>
        <item x="90"/>
        <item x="58"/>
        <item x="180"/>
        <item x="274"/>
        <item x="479"/>
        <item x="163"/>
        <item x="318"/>
        <item x="337"/>
        <item x="68"/>
        <item x="234"/>
        <item x="113"/>
        <item x="551"/>
        <item x="128"/>
        <item x="336"/>
        <item x="414"/>
        <item x="626"/>
        <item x="150"/>
        <item x="620"/>
        <item x="220"/>
        <item x="502"/>
        <item x="450"/>
        <item x="465"/>
        <item x="550"/>
        <item x="671"/>
        <item x="404"/>
        <item x="487"/>
        <item x="290"/>
        <item x="641"/>
        <item x="119"/>
        <item x="215"/>
        <item x="54"/>
        <item x="74"/>
        <item x="541"/>
        <item x="251"/>
        <item x="309"/>
        <item x="57"/>
        <item x="304"/>
        <item x="82"/>
        <item x="247"/>
        <item x="178"/>
        <item x="646"/>
        <item x="504"/>
        <item x="314"/>
        <item x="69"/>
        <item x="510"/>
        <item x="392"/>
        <item x="76"/>
        <item x="496"/>
        <item x="168"/>
        <item x="24"/>
        <item x="32"/>
        <item x="217"/>
        <item x="240"/>
        <item x="621"/>
        <item x="394"/>
        <item x="468"/>
        <item x="470"/>
        <item x="139"/>
        <item x="581"/>
        <item x="331"/>
        <item x="260"/>
        <item x="289"/>
        <item x="28"/>
        <item x="393"/>
        <item x="332"/>
        <item x="596"/>
        <item x="358"/>
        <item x="267"/>
        <item x="121"/>
        <item x="214"/>
        <item x="451"/>
        <item x="466"/>
        <item x="355"/>
        <item x="98"/>
        <item x="165"/>
        <item x="527"/>
        <item x="536"/>
        <item x="480"/>
        <item x="248"/>
        <item x="658"/>
        <item x="23"/>
        <item x="512"/>
        <item x="287"/>
        <item x="448"/>
        <item x="198"/>
        <item x="682"/>
        <item x="365"/>
        <item x="424"/>
        <item x="44"/>
        <item x="639"/>
        <item x="348"/>
        <item x="239"/>
        <item x="650"/>
        <item x="347"/>
        <item x="193"/>
        <item x="402"/>
        <item x="578"/>
        <item x="525"/>
        <item x="370"/>
        <item x="614"/>
        <item x="167"/>
        <item x="570"/>
        <item x="547"/>
        <item x="398"/>
        <item x="642"/>
        <item x="503"/>
        <item x="617"/>
        <item x="78"/>
        <item x="380"/>
        <item x="597"/>
        <item x="441"/>
        <item x="386"/>
        <item x="464"/>
        <item x="356"/>
        <item x="237"/>
        <item x="413"/>
        <item x="301"/>
        <item x="280"/>
        <item x="530"/>
        <item x="223"/>
        <item x="333"/>
        <item x="202"/>
        <item x="663"/>
        <item x="506"/>
        <item x="269"/>
        <item x="342"/>
        <item x="111"/>
        <item x="577"/>
        <item x="201"/>
        <item x="123"/>
        <item x="452"/>
        <item x="377"/>
        <item x="221"/>
        <item x="612"/>
        <item x="7"/>
        <item x="513"/>
        <item x="376"/>
        <item x="228"/>
        <item x="265"/>
        <item x="565"/>
        <item x="187"/>
        <item x="454"/>
        <item x="529"/>
        <item x="609"/>
        <item x="521"/>
        <item x="668"/>
        <item x="176"/>
        <item x="579"/>
        <item x="175"/>
        <item x="133"/>
        <item x="644"/>
        <item x="0"/>
        <item x="101"/>
        <item x="659"/>
        <item x="140"/>
        <item x="210"/>
        <item x="41"/>
        <item x="246"/>
        <item x="26"/>
        <item x="472"/>
        <item x="511"/>
        <item x="117"/>
        <item x="62"/>
        <item x="387"/>
        <item x="317"/>
        <item x="205"/>
        <item x="315"/>
        <item x="538"/>
        <item x="310"/>
        <item x="652"/>
        <item x="613"/>
        <item x="197"/>
        <item x="189"/>
        <item x="582"/>
        <item x="268"/>
        <item x="493"/>
        <item x="681"/>
        <item x="153"/>
        <item x="208"/>
        <item x="405"/>
        <item x="576"/>
        <item x="563"/>
        <item x="80"/>
        <item x="49"/>
        <item x="285"/>
        <item x="651"/>
        <item x="528"/>
        <item x="459"/>
        <item x="250"/>
        <item t="default"/>
      </items>
    </pivotField>
    <pivotField showAll="0"/>
    <pivotField showAll="0"/>
    <pivotField showAll="0"/>
    <pivotField showAll="0"/>
    <pivotField showAll="0"/>
    <pivotField showAll="0"/>
    <pivotField showAll="0"/>
    <pivotField showAll="0"/>
    <pivotField numFmtId="166" showAll="0"/>
    <pivotField numFmtId="167" showAll="0"/>
    <pivotField numFmtId="167" showAll="0"/>
    <pivotField showAll="0"/>
    <pivotField showAll="0"/>
    <pivotField showAll="0"/>
    <pivotField showAll="0"/>
    <pivotField dataField="1" numFmtId="2" showAll="0"/>
    <pivotField showAll="0" sortType="ascending"/>
    <pivotField axis="axisRow" showAll="0" sortType="descending">
      <items count="4">
        <item x="1"/>
        <item x="0"/>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defaultSubtotal="0"/>
    <pivotField showAll="0" defaultSubtotal="0">
      <items count="6">
        <item x="0"/>
        <item x="1"/>
        <item x="2"/>
        <item x="3"/>
        <item x="4"/>
        <item x="5"/>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9"/>
  </rowFields>
  <rowItems count="4">
    <i>
      <x v="2"/>
    </i>
    <i>
      <x v="1"/>
    </i>
    <i>
      <x/>
    </i>
    <i t="grand">
      <x/>
    </i>
  </rowItems>
  <colItems count="1">
    <i/>
  </colItems>
  <dataFields count="1">
    <dataField name="Average of Average Order Cost" fld="17" subtotal="average" baseField="18" baseItem="0" numFmtId="2"/>
  </dataFields>
  <chartFormats count="12">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9" count="1" selected="0">
            <x v="2"/>
          </reference>
        </references>
      </pivotArea>
    </chartFormat>
    <chartFormat chart="0" format="2">
      <pivotArea type="data" outline="0" fieldPosition="0">
        <references count="2">
          <reference field="4294967294" count="1" selected="0">
            <x v="0"/>
          </reference>
          <reference field="19" count="1" selected="0">
            <x v="1"/>
          </reference>
        </references>
      </pivotArea>
    </chartFormat>
    <chartFormat chart="0" format="3">
      <pivotArea type="data" outline="0" fieldPosition="0">
        <references count="2">
          <reference field="4294967294" count="1" selected="0">
            <x v="0"/>
          </reference>
          <reference field="19" count="1" selected="0">
            <x v="0"/>
          </reference>
        </references>
      </pivotArea>
    </chartFormat>
    <chartFormat chart="1" format="4" series="1">
      <pivotArea type="data" outline="0" fieldPosition="0">
        <references count="1">
          <reference field="4294967294" count="1" selected="0">
            <x v="0"/>
          </reference>
        </references>
      </pivotArea>
    </chartFormat>
    <chartFormat chart="1" format="5">
      <pivotArea type="data" outline="0" fieldPosition="0">
        <references count="2">
          <reference field="4294967294" count="1" selected="0">
            <x v="0"/>
          </reference>
          <reference field="19" count="1" selected="0">
            <x v="2"/>
          </reference>
        </references>
      </pivotArea>
    </chartFormat>
    <chartFormat chart="1" format="6">
      <pivotArea type="data" outline="0" fieldPosition="0">
        <references count="2">
          <reference field="4294967294" count="1" selected="0">
            <x v="0"/>
          </reference>
          <reference field="19" count="1" selected="0">
            <x v="1"/>
          </reference>
        </references>
      </pivotArea>
    </chartFormat>
    <chartFormat chart="1" format="7">
      <pivotArea type="data" outline="0" fieldPosition="0">
        <references count="2">
          <reference field="4294967294" count="1" selected="0">
            <x v="0"/>
          </reference>
          <reference field="19" count="1" selected="0">
            <x v="0"/>
          </reference>
        </references>
      </pivotArea>
    </chartFormat>
    <chartFormat chart="2" format="8" series="1">
      <pivotArea type="data" outline="0" fieldPosition="0">
        <references count="1">
          <reference field="4294967294" count="1" selected="0">
            <x v="0"/>
          </reference>
        </references>
      </pivotArea>
    </chartFormat>
    <chartFormat chart="2" format="9">
      <pivotArea type="data" outline="0" fieldPosition="0">
        <references count="2">
          <reference field="4294967294" count="1" selected="0">
            <x v="0"/>
          </reference>
          <reference field="19" count="1" selected="0">
            <x v="2"/>
          </reference>
        </references>
      </pivotArea>
    </chartFormat>
    <chartFormat chart="2" format="10">
      <pivotArea type="data" outline="0" fieldPosition="0">
        <references count="2">
          <reference field="4294967294" count="1" selected="0">
            <x v="0"/>
          </reference>
          <reference field="19" count="1" selected="0">
            <x v="1"/>
          </reference>
        </references>
      </pivotArea>
    </chartFormat>
    <chartFormat chart="2" format="11">
      <pivotArea type="data" outline="0" fieldPosition="0">
        <references count="2">
          <reference field="4294967294" count="1" selected="0">
            <x v="0"/>
          </reference>
          <reference field="19"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BF47904-143F-4B61-8F60-716E48FD187A}" name="PackSizePerformanc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6">
  <location ref="E81:F86" firstHeaderRow="1" firstDataRow="1" firstDataCol="1"/>
  <pivotFields count="34">
    <pivotField showAll="0"/>
    <pivotField numFmtId="165" showAll="0">
      <items count="690">
        <item x="94"/>
        <item x="283"/>
        <item x="107"/>
        <item x="555"/>
        <item x="327"/>
        <item x="209"/>
        <item x="172"/>
        <item x="2"/>
        <item x="238"/>
        <item x="39"/>
        <item x="230"/>
        <item x="433"/>
        <item x="243"/>
        <item x="129"/>
        <item x="154"/>
        <item x="474"/>
        <item x="624"/>
        <item x="110"/>
        <item x="321"/>
        <item x="25"/>
        <item x="435"/>
        <item x="151"/>
        <item x="181"/>
        <item x="56"/>
        <item x="505"/>
        <item x="363"/>
        <item x="254"/>
        <item x="108"/>
        <item x="182"/>
        <item x="649"/>
        <item x="79"/>
        <item x="604"/>
        <item x="514"/>
        <item x="498"/>
        <item x="375"/>
        <item x="233"/>
        <item x="566"/>
        <item x="43"/>
        <item x="665"/>
        <item x="88"/>
        <item x="598"/>
        <item x="421"/>
        <item x="520"/>
        <item x="320"/>
        <item x="279"/>
        <item x="102"/>
        <item x="194"/>
        <item x="456"/>
        <item x="118"/>
        <item x="648"/>
        <item x="64"/>
        <item x="533"/>
        <item x="501"/>
        <item x="422"/>
        <item x="8"/>
        <item x="353"/>
        <item x="103"/>
        <item x="195"/>
        <item x="339"/>
        <item x="643"/>
        <item x="654"/>
        <item x="271"/>
        <item x="389"/>
        <item x="475"/>
        <item x="522"/>
        <item x="20"/>
        <item x="144"/>
        <item x="462"/>
        <item x="397"/>
        <item x="588"/>
        <item x="229"/>
        <item x="469"/>
        <item x="400"/>
        <item x="391"/>
        <item x="683"/>
        <item x="603"/>
        <item x="660"/>
        <item x="447"/>
        <item x="207"/>
        <item x="619"/>
        <item x="351"/>
        <item x="638"/>
        <item x="662"/>
        <item x="390"/>
        <item x="477"/>
        <item x="112"/>
        <item x="226"/>
        <item x="364"/>
        <item x="600"/>
        <item x="109"/>
        <item x="231"/>
        <item x="241"/>
        <item x="92"/>
        <item x="106"/>
        <item x="362"/>
        <item x="430"/>
        <item x="37"/>
        <item x="540"/>
        <item x="257"/>
        <item x="438"/>
        <item x="384"/>
        <item x="608"/>
        <item x="593"/>
        <item x="316"/>
        <item x="580"/>
        <item x="350"/>
        <item x="383"/>
        <item x="258"/>
        <item x="296"/>
        <item x="457"/>
        <item x="191"/>
        <item x="611"/>
        <item x="423"/>
        <item x="235"/>
        <item x="388"/>
        <item x="534"/>
        <item x="544"/>
        <item x="145"/>
        <item x="653"/>
        <item x="374"/>
        <item x="633"/>
        <item x="418"/>
        <item x="294"/>
        <item x="575"/>
        <item x="255"/>
        <item x="567"/>
        <item x="66"/>
        <item x="346"/>
        <item x="259"/>
        <item x="63"/>
        <item x="667"/>
        <item x="174"/>
        <item x="678"/>
        <item x="548"/>
        <item x="471"/>
        <item x="411"/>
        <item x="431"/>
        <item x="628"/>
        <item x="476"/>
        <item x="270"/>
        <item x="199"/>
        <item x="568"/>
        <item x="586"/>
        <item x="40"/>
        <item x="545"/>
        <item x="634"/>
        <item x="155"/>
        <item x="489"/>
        <item x="467"/>
        <item x="491"/>
        <item x="149"/>
        <item x="460"/>
        <item x="91"/>
        <item x="273"/>
        <item x="672"/>
        <item x="120"/>
        <item x="478"/>
        <item x="130"/>
        <item x="674"/>
        <item x="227"/>
        <item x="440"/>
        <item x="266"/>
        <item x="299"/>
        <item x="631"/>
        <item x="329"/>
        <item x="307"/>
        <item x="488"/>
        <item x="685"/>
        <item x="573"/>
        <item x="50"/>
        <item x="286"/>
        <item x="48"/>
        <item x="532"/>
        <item x="281"/>
        <item x="15"/>
        <item x="61"/>
        <item x="67"/>
        <item x="599"/>
        <item x="558"/>
        <item x="75"/>
        <item x="55"/>
        <item x="680"/>
        <item x="684"/>
        <item x="344"/>
        <item x="52"/>
        <item x="419"/>
        <item x="232"/>
        <item x="134"/>
        <item x="572"/>
        <item x="455"/>
        <item x="171"/>
        <item x="661"/>
        <item x="524"/>
        <item x="416"/>
        <item x="219"/>
        <item x="196"/>
        <item x="36"/>
        <item x="420"/>
        <item x="100"/>
        <item x="574"/>
        <item x="601"/>
        <item x="6"/>
        <item x="562"/>
        <item x="625"/>
        <item x="590"/>
        <item x="253"/>
        <item x="148"/>
        <item x="569"/>
        <item x="335"/>
        <item x="492"/>
        <item x="526"/>
        <item x="439"/>
        <item x="252"/>
        <item x="16"/>
        <item x="166"/>
        <item x="204"/>
        <item x="425"/>
        <item x="137"/>
        <item x="490"/>
        <item x="564"/>
        <item x="60"/>
        <item x="319"/>
        <item x="256"/>
        <item x="676"/>
        <item x="559"/>
        <item x="222"/>
        <item x="81"/>
        <item x="666"/>
        <item x="484"/>
        <item x="605"/>
        <item x="546"/>
        <item x="453"/>
        <item x="170"/>
        <item x="164"/>
        <item x="17"/>
        <item x="509"/>
        <item x="584"/>
        <item x="291"/>
        <item x="282"/>
        <item x="262"/>
        <item x="236"/>
        <item x="656"/>
        <item x="324"/>
        <item x="35"/>
        <item x="645"/>
        <item x="343"/>
        <item x="618"/>
        <item x="434"/>
        <item x="245"/>
        <item x="298"/>
        <item x="264"/>
        <item x="359"/>
        <item x="213"/>
        <item x="13"/>
        <item x="12"/>
        <item x="34"/>
        <item x="485"/>
        <item x="360"/>
        <item x="177"/>
        <item x="293"/>
        <item x="368"/>
        <item x="396"/>
        <item x="132"/>
        <item x="516"/>
        <item x="261"/>
        <item x="357"/>
        <item x="531"/>
        <item x="263"/>
        <item x="518"/>
        <item x="444"/>
        <item x="45"/>
        <item x="19"/>
        <item x="97"/>
        <item x="486"/>
        <item x="312"/>
        <item x="216"/>
        <item x="330"/>
        <item x="292"/>
        <item x="18"/>
        <item x="328"/>
        <item x="14"/>
        <item x="664"/>
        <item x="96"/>
        <item x="686"/>
        <item x="308"/>
        <item x="225"/>
        <item x="553"/>
        <item x="366"/>
        <item x="73"/>
        <item x="515"/>
        <item x="42"/>
        <item x="125"/>
        <item x="295"/>
        <item x="415"/>
        <item x="549"/>
        <item x="30"/>
        <item x="381"/>
        <item x="146"/>
        <item x="22"/>
        <item x="84"/>
        <item x="126"/>
        <item x="508"/>
        <item x="127"/>
        <item x="571"/>
        <item x="373"/>
        <item x="11"/>
        <item x="10"/>
        <item x="161"/>
        <item x="385"/>
        <item x="115"/>
        <item x="345"/>
        <item x="188"/>
        <item x="9"/>
        <item x="507"/>
        <item x="675"/>
        <item x="677"/>
        <item x="622"/>
        <item x="31"/>
        <item x="322"/>
        <item x="429"/>
        <item x="554"/>
        <item x="29"/>
        <item x="401"/>
        <item x="173"/>
        <item x="409"/>
        <item x="288"/>
        <item x="105"/>
        <item x="65"/>
        <item x="53"/>
        <item x="51"/>
        <item x="629"/>
        <item x="443"/>
        <item x="610"/>
        <item x="135"/>
        <item x="500"/>
        <item x="560"/>
        <item x="523"/>
        <item x="1"/>
        <item x="499"/>
        <item x="587"/>
        <item x="114"/>
        <item x="543"/>
        <item x="483"/>
        <item x="494"/>
        <item x="407"/>
        <item x="495"/>
        <item x="449"/>
        <item x="602"/>
        <item x="369"/>
        <item x="206"/>
        <item x="122"/>
        <item x="313"/>
        <item x="556"/>
        <item x="426"/>
        <item x="670"/>
        <item x="361"/>
        <item x="272"/>
        <item x="442"/>
        <item x="179"/>
        <item x="46"/>
        <item x="657"/>
        <item x="86"/>
        <item x="637"/>
        <item x="473"/>
        <item x="72"/>
        <item x="104"/>
        <item x="70"/>
        <item x="300"/>
        <item x="432"/>
        <item x="302"/>
        <item x="595"/>
        <item x="212"/>
        <item x="607"/>
        <item x="688"/>
        <item x="169"/>
        <item x="160"/>
        <item x="406"/>
        <item x="436"/>
        <item x="627"/>
        <item x="632"/>
        <item x="446"/>
        <item x="185"/>
        <item x="591"/>
        <item x="152"/>
        <item x="537"/>
        <item x="3"/>
        <item x="95"/>
        <item x="93"/>
        <item x="306"/>
        <item x="5"/>
        <item x="445"/>
        <item x="481"/>
        <item x="159"/>
        <item x="244"/>
        <item x="458"/>
        <item x="87"/>
        <item x="585"/>
        <item x="669"/>
        <item x="636"/>
        <item x="557"/>
        <item x="143"/>
        <item x="517"/>
        <item x="630"/>
        <item x="211"/>
        <item x="635"/>
        <item x="395"/>
        <item x="136"/>
        <item x="142"/>
        <item x="408"/>
        <item x="33"/>
        <item x="589"/>
        <item x="47"/>
        <item x="594"/>
        <item x="138"/>
        <item x="412"/>
        <item x="224"/>
        <item x="162"/>
        <item x="341"/>
        <item x="192"/>
        <item x="615"/>
        <item x="340"/>
        <item x="679"/>
        <item x="323"/>
        <item x="372"/>
        <item x="89"/>
        <item x="77"/>
        <item x="38"/>
        <item x="276"/>
        <item x="427"/>
        <item x="83"/>
        <item x="673"/>
        <item x="116"/>
        <item x="539"/>
        <item x="203"/>
        <item x="141"/>
        <item x="687"/>
        <item x="463"/>
        <item x="184"/>
        <item x="338"/>
        <item x="367"/>
        <item x="497"/>
        <item x="552"/>
        <item x="349"/>
        <item x="647"/>
        <item x="354"/>
        <item x="352"/>
        <item x="277"/>
        <item x="561"/>
        <item x="275"/>
        <item x="371"/>
        <item x="616"/>
        <item x="378"/>
        <item x="403"/>
        <item x="461"/>
        <item x="410"/>
        <item x="218"/>
        <item x="284"/>
        <item x="482"/>
        <item x="278"/>
        <item x="21"/>
        <item x="242"/>
        <item x="157"/>
        <item x="131"/>
        <item x="297"/>
        <item x="59"/>
        <item x="27"/>
        <item x="186"/>
        <item x="311"/>
        <item x="85"/>
        <item x="379"/>
        <item x="158"/>
        <item x="183"/>
        <item x="305"/>
        <item x="428"/>
        <item x="519"/>
        <item x="399"/>
        <item x="640"/>
        <item x="326"/>
        <item x="124"/>
        <item x="437"/>
        <item x="200"/>
        <item x="334"/>
        <item x="606"/>
        <item x="303"/>
        <item x="623"/>
        <item x="4"/>
        <item x="147"/>
        <item x="71"/>
        <item x="325"/>
        <item x="190"/>
        <item x="99"/>
        <item x="382"/>
        <item x="655"/>
        <item x="156"/>
        <item x="592"/>
        <item x="583"/>
        <item x="417"/>
        <item x="535"/>
        <item x="542"/>
        <item x="249"/>
        <item x="90"/>
        <item x="58"/>
        <item x="180"/>
        <item x="274"/>
        <item x="479"/>
        <item x="163"/>
        <item x="318"/>
        <item x="337"/>
        <item x="68"/>
        <item x="234"/>
        <item x="113"/>
        <item x="551"/>
        <item x="128"/>
        <item x="336"/>
        <item x="414"/>
        <item x="626"/>
        <item x="150"/>
        <item x="620"/>
        <item x="220"/>
        <item x="502"/>
        <item x="450"/>
        <item x="465"/>
        <item x="550"/>
        <item x="671"/>
        <item x="404"/>
        <item x="487"/>
        <item x="290"/>
        <item x="641"/>
        <item x="119"/>
        <item x="215"/>
        <item x="54"/>
        <item x="74"/>
        <item x="541"/>
        <item x="251"/>
        <item x="309"/>
        <item x="57"/>
        <item x="304"/>
        <item x="82"/>
        <item x="247"/>
        <item x="178"/>
        <item x="646"/>
        <item x="504"/>
        <item x="314"/>
        <item x="69"/>
        <item x="510"/>
        <item x="392"/>
        <item x="76"/>
        <item x="496"/>
        <item x="168"/>
        <item x="24"/>
        <item x="32"/>
        <item x="217"/>
        <item x="240"/>
        <item x="621"/>
        <item x="394"/>
        <item x="468"/>
        <item x="470"/>
        <item x="139"/>
        <item x="581"/>
        <item x="331"/>
        <item x="260"/>
        <item x="289"/>
        <item x="28"/>
        <item x="393"/>
        <item x="332"/>
        <item x="596"/>
        <item x="358"/>
        <item x="267"/>
        <item x="121"/>
        <item x="214"/>
        <item x="451"/>
        <item x="466"/>
        <item x="355"/>
        <item x="98"/>
        <item x="165"/>
        <item x="527"/>
        <item x="536"/>
        <item x="480"/>
        <item x="248"/>
        <item x="658"/>
        <item x="23"/>
        <item x="512"/>
        <item x="287"/>
        <item x="448"/>
        <item x="198"/>
        <item x="682"/>
        <item x="365"/>
        <item x="424"/>
        <item x="44"/>
        <item x="639"/>
        <item x="348"/>
        <item x="239"/>
        <item x="650"/>
        <item x="347"/>
        <item x="193"/>
        <item x="402"/>
        <item x="578"/>
        <item x="525"/>
        <item x="370"/>
        <item x="614"/>
        <item x="167"/>
        <item x="570"/>
        <item x="547"/>
        <item x="398"/>
        <item x="642"/>
        <item x="503"/>
        <item x="617"/>
        <item x="78"/>
        <item x="380"/>
        <item x="597"/>
        <item x="441"/>
        <item x="386"/>
        <item x="464"/>
        <item x="356"/>
        <item x="237"/>
        <item x="413"/>
        <item x="301"/>
        <item x="280"/>
        <item x="530"/>
        <item x="223"/>
        <item x="333"/>
        <item x="202"/>
        <item x="663"/>
        <item x="506"/>
        <item x="269"/>
        <item x="342"/>
        <item x="111"/>
        <item x="577"/>
        <item x="201"/>
        <item x="123"/>
        <item x="452"/>
        <item x="377"/>
        <item x="221"/>
        <item x="612"/>
        <item x="7"/>
        <item x="513"/>
        <item x="376"/>
        <item x="228"/>
        <item x="265"/>
        <item x="565"/>
        <item x="187"/>
        <item x="454"/>
        <item x="529"/>
        <item x="609"/>
        <item x="521"/>
        <item x="668"/>
        <item x="176"/>
        <item x="579"/>
        <item x="175"/>
        <item x="133"/>
        <item x="644"/>
        <item x="0"/>
        <item x="101"/>
        <item x="659"/>
        <item x="140"/>
        <item x="210"/>
        <item x="41"/>
        <item x="246"/>
        <item x="26"/>
        <item x="472"/>
        <item x="511"/>
        <item x="117"/>
        <item x="62"/>
        <item x="387"/>
        <item x="317"/>
        <item x="205"/>
        <item x="315"/>
        <item x="538"/>
        <item x="310"/>
        <item x="652"/>
        <item x="613"/>
        <item x="197"/>
        <item x="189"/>
        <item x="582"/>
        <item x="268"/>
        <item x="493"/>
        <item x="681"/>
        <item x="153"/>
        <item x="208"/>
        <item x="405"/>
        <item x="576"/>
        <item x="563"/>
        <item x="80"/>
        <item x="49"/>
        <item x="285"/>
        <item x="651"/>
        <item x="528"/>
        <item x="459"/>
        <item x="250"/>
        <item t="default"/>
      </items>
    </pivotField>
    <pivotField showAll="0"/>
    <pivotField showAll="0"/>
    <pivotField showAll="0"/>
    <pivotField showAll="0"/>
    <pivotField showAll="0"/>
    <pivotField showAll="0"/>
    <pivotField showAll="0"/>
    <pivotField showAll="0"/>
    <pivotField axis="axisRow" numFmtId="166" showAll="0" sortType="descending">
      <items count="5">
        <item x="2"/>
        <item x="0"/>
        <item x="1"/>
        <item x="3"/>
        <item t="default"/>
      </items>
    </pivotField>
    <pivotField numFmtId="167" showAll="0"/>
    <pivotField dataField="1" numFmtId="167" showAll="0"/>
    <pivotField showAll="0"/>
    <pivotField showAll="0">
      <items count="4">
        <item x="0"/>
        <item x="1"/>
        <item x="2"/>
        <item t="default"/>
      </items>
    </pivotField>
    <pivotField showAll="0"/>
    <pivotField showAll="0"/>
    <pivotField numFmtId="2"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6">
        <item x="0"/>
        <item x="1"/>
        <item x="2"/>
        <item x="3"/>
        <item x="4"/>
        <item x="5"/>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0"/>
  </rowFields>
  <rowItems count="5">
    <i>
      <x/>
    </i>
    <i>
      <x v="1"/>
    </i>
    <i>
      <x v="2"/>
    </i>
    <i>
      <x v="3"/>
    </i>
    <i t="grand">
      <x/>
    </i>
  </rowItems>
  <colItems count="1">
    <i/>
  </colItems>
  <dataFields count="1">
    <dataField name="Sum of Sales" fld="12" baseField="0" baseItem="0" numFmtId="167"/>
  </dataFields>
  <chartFormats count="1">
    <chartFormat chart="2" format="3"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959D1A7-7EB8-4EEF-AE08-83C0CBFAF6BA}" name="QuarterlyTable"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2">
  <location ref="I90:N96" firstHeaderRow="1" firstDataRow="2" firstDataCol="1"/>
  <pivotFields count="34">
    <pivotField showAll="0"/>
    <pivotField numFmtId="165" showAll="0">
      <items count="690">
        <item x="94"/>
        <item x="283"/>
        <item x="107"/>
        <item x="555"/>
        <item x="327"/>
        <item x="209"/>
        <item x="172"/>
        <item x="2"/>
        <item x="238"/>
        <item x="39"/>
        <item x="230"/>
        <item x="433"/>
        <item x="243"/>
        <item x="129"/>
        <item x="154"/>
        <item x="474"/>
        <item x="624"/>
        <item x="110"/>
        <item x="321"/>
        <item x="25"/>
        <item x="435"/>
        <item x="151"/>
        <item x="181"/>
        <item x="56"/>
        <item x="505"/>
        <item x="363"/>
        <item x="254"/>
        <item x="108"/>
        <item x="182"/>
        <item x="649"/>
        <item x="79"/>
        <item x="604"/>
        <item x="514"/>
        <item x="498"/>
        <item x="375"/>
        <item x="233"/>
        <item x="566"/>
        <item x="43"/>
        <item x="665"/>
        <item x="88"/>
        <item x="598"/>
        <item x="421"/>
        <item x="520"/>
        <item x="320"/>
        <item x="279"/>
        <item x="102"/>
        <item x="194"/>
        <item x="456"/>
        <item x="118"/>
        <item x="648"/>
        <item x="64"/>
        <item x="533"/>
        <item x="501"/>
        <item x="422"/>
        <item x="8"/>
        <item x="353"/>
        <item x="103"/>
        <item x="195"/>
        <item x="339"/>
        <item x="643"/>
        <item x="654"/>
        <item x="271"/>
        <item x="389"/>
        <item x="475"/>
        <item x="522"/>
        <item x="20"/>
        <item x="144"/>
        <item x="462"/>
        <item x="397"/>
        <item x="588"/>
        <item x="229"/>
        <item x="469"/>
        <item x="400"/>
        <item x="391"/>
        <item x="683"/>
        <item x="603"/>
        <item x="660"/>
        <item x="447"/>
        <item x="207"/>
        <item x="619"/>
        <item x="351"/>
        <item x="638"/>
        <item x="662"/>
        <item x="390"/>
        <item x="477"/>
        <item x="112"/>
        <item x="226"/>
        <item x="364"/>
        <item x="600"/>
        <item x="109"/>
        <item x="231"/>
        <item x="241"/>
        <item x="92"/>
        <item x="106"/>
        <item x="362"/>
        <item x="430"/>
        <item x="37"/>
        <item x="540"/>
        <item x="257"/>
        <item x="438"/>
        <item x="384"/>
        <item x="608"/>
        <item x="593"/>
        <item x="316"/>
        <item x="580"/>
        <item x="350"/>
        <item x="383"/>
        <item x="258"/>
        <item x="296"/>
        <item x="457"/>
        <item x="191"/>
        <item x="611"/>
        <item x="423"/>
        <item x="235"/>
        <item x="388"/>
        <item x="534"/>
        <item x="544"/>
        <item x="145"/>
        <item x="653"/>
        <item x="374"/>
        <item x="633"/>
        <item x="418"/>
        <item x="294"/>
        <item x="575"/>
        <item x="255"/>
        <item x="567"/>
        <item x="66"/>
        <item x="346"/>
        <item x="259"/>
        <item x="63"/>
        <item x="667"/>
        <item x="174"/>
        <item x="678"/>
        <item x="548"/>
        <item x="471"/>
        <item x="411"/>
        <item x="431"/>
        <item x="628"/>
        <item x="476"/>
        <item x="270"/>
        <item x="199"/>
        <item x="568"/>
        <item x="586"/>
        <item x="40"/>
        <item x="545"/>
        <item x="634"/>
        <item x="155"/>
        <item x="489"/>
        <item x="467"/>
        <item x="491"/>
        <item x="149"/>
        <item x="460"/>
        <item x="91"/>
        <item x="273"/>
        <item x="672"/>
        <item x="120"/>
        <item x="478"/>
        <item x="130"/>
        <item x="674"/>
        <item x="227"/>
        <item x="440"/>
        <item x="266"/>
        <item x="299"/>
        <item x="631"/>
        <item x="329"/>
        <item x="307"/>
        <item x="488"/>
        <item x="685"/>
        <item x="573"/>
        <item x="50"/>
        <item x="286"/>
        <item x="48"/>
        <item x="532"/>
        <item x="281"/>
        <item x="15"/>
        <item x="61"/>
        <item x="67"/>
        <item x="599"/>
        <item x="558"/>
        <item x="75"/>
        <item x="55"/>
        <item x="680"/>
        <item x="684"/>
        <item x="344"/>
        <item x="52"/>
        <item x="419"/>
        <item x="232"/>
        <item x="134"/>
        <item x="572"/>
        <item x="455"/>
        <item x="171"/>
        <item x="661"/>
        <item x="524"/>
        <item x="416"/>
        <item x="219"/>
        <item x="196"/>
        <item x="36"/>
        <item x="420"/>
        <item x="100"/>
        <item x="574"/>
        <item x="601"/>
        <item x="6"/>
        <item x="562"/>
        <item x="625"/>
        <item x="590"/>
        <item x="253"/>
        <item x="148"/>
        <item x="569"/>
        <item x="335"/>
        <item x="492"/>
        <item x="526"/>
        <item x="439"/>
        <item x="252"/>
        <item x="16"/>
        <item x="166"/>
        <item x="204"/>
        <item x="425"/>
        <item x="137"/>
        <item x="490"/>
        <item x="564"/>
        <item x="60"/>
        <item x="319"/>
        <item x="256"/>
        <item x="676"/>
        <item x="559"/>
        <item x="222"/>
        <item x="81"/>
        <item x="666"/>
        <item x="484"/>
        <item x="605"/>
        <item x="546"/>
        <item x="453"/>
        <item x="170"/>
        <item x="164"/>
        <item x="17"/>
        <item x="509"/>
        <item x="584"/>
        <item x="291"/>
        <item x="282"/>
        <item x="262"/>
        <item x="236"/>
        <item x="656"/>
        <item x="324"/>
        <item x="35"/>
        <item x="645"/>
        <item x="343"/>
        <item x="618"/>
        <item x="434"/>
        <item x="245"/>
        <item x="298"/>
        <item x="264"/>
        <item x="359"/>
        <item x="213"/>
        <item x="13"/>
        <item x="12"/>
        <item x="34"/>
        <item x="485"/>
        <item x="360"/>
        <item x="177"/>
        <item x="293"/>
        <item x="368"/>
        <item x="396"/>
        <item x="132"/>
        <item x="516"/>
        <item x="261"/>
        <item x="357"/>
        <item x="531"/>
        <item x="263"/>
        <item x="518"/>
        <item x="444"/>
        <item x="45"/>
        <item x="19"/>
        <item x="97"/>
        <item x="486"/>
        <item x="312"/>
        <item x="216"/>
        <item x="330"/>
        <item x="292"/>
        <item x="18"/>
        <item x="328"/>
        <item x="14"/>
        <item x="664"/>
        <item x="96"/>
        <item x="686"/>
        <item x="308"/>
        <item x="225"/>
        <item x="553"/>
        <item x="366"/>
        <item x="73"/>
        <item x="515"/>
        <item x="42"/>
        <item x="125"/>
        <item x="295"/>
        <item x="415"/>
        <item x="549"/>
        <item x="30"/>
        <item x="381"/>
        <item x="146"/>
        <item x="22"/>
        <item x="84"/>
        <item x="126"/>
        <item x="508"/>
        <item x="127"/>
        <item x="571"/>
        <item x="373"/>
        <item x="11"/>
        <item x="10"/>
        <item x="161"/>
        <item x="385"/>
        <item x="115"/>
        <item x="345"/>
        <item x="188"/>
        <item x="9"/>
        <item x="507"/>
        <item x="675"/>
        <item x="677"/>
        <item x="622"/>
        <item x="31"/>
        <item x="322"/>
        <item x="429"/>
        <item x="554"/>
        <item x="29"/>
        <item x="401"/>
        <item x="173"/>
        <item x="409"/>
        <item x="288"/>
        <item x="105"/>
        <item x="65"/>
        <item x="53"/>
        <item x="51"/>
        <item x="629"/>
        <item x="443"/>
        <item x="610"/>
        <item x="135"/>
        <item x="500"/>
        <item x="560"/>
        <item x="523"/>
        <item x="1"/>
        <item x="499"/>
        <item x="587"/>
        <item x="114"/>
        <item x="543"/>
        <item x="483"/>
        <item x="494"/>
        <item x="407"/>
        <item x="495"/>
        <item x="449"/>
        <item x="602"/>
        <item x="369"/>
        <item x="206"/>
        <item x="122"/>
        <item x="313"/>
        <item x="556"/>
        <item x="426"/>
        <item x="670"/>
        <item x="361"/>
        <item x="272"/>
        <item x="442"/>
        <item x="179"/>
        <item x="46"/>
        <item x="657"/>
        <item x="86"/>
        <item x="637"/>
        <item x="473"/>
        <item x="72"/>
        <item x="104"/>
        <item x="70"/>
        <item x="300"/>
        <item x="432"/>
        <item x="302"/>
        <item x="595"/>
        <item x="212"/>
        <item x="607"/>
        <item x="688"/>
        <item x="169"/>
        <item x="160"/>
        <item x="406"/>
        <item x="436"/>
        <item x="627"/>
        <item x="632"/>
        <item x="446"/>
        <item x="185"/>
        <item x="591"/>
        <item x="152"/>
        <item x="537"/>
        <item x="3"/>
        <item x="95"/>
        <item x="93"/>
        <item x="306"/>
        <item x="5"/>
        <item x="445"/>
        <item x="481"/>
        <item x="159"/>
        <item x="244"/>
        <item x="458"/>
        <item x="87"/>
        <item x="585"/>
        <item x="669"/>
        <item x="636"/>
        <item x="557"/>
        <item x="143"/>
        <item x="517"/>
        <item x="630"/>
        <item x="211"/>
        <item x="635"/>
        <item x="395"/>
        <item x="136"/>
        <item x="142"/>
        <item x="408"/>
        <item x="33"/>
        <item x="589"/>
        <item x="47"/>
        <item x="594"/>
        <item x="138"/>
        <item x="412"/>
        <item x="224"/>
        <item x="162"/>
        <item x="341"/>
        <item x="192"/>
        <item x="615"/>
        <item x="340"/>
        <item x="679"/>
        <item x="323"/>
        <item x="372"/>
        <item x="89"/>
        <item x="77"/>
        <item x="38"/>
        <item x="276"/>
        <item x="427"/>
        <item x="83"/>
        <item x="673"/>
        <item x="116"/>
        <item x="539"/>
        <item x="203"/>
        <item x="141"/>
        <item x="687"/>
        <item x="463"/>
        <item x="184"/>
        <item x="338"/>
        <item x="367"/>
        <item x="497"/>
        <item x="552"/>
        <item x="349"/>
        <item x="647"/>
        <item x="354"/>
        <item x="352"/>
        <item x="277"/>
        <item x="561"/>
        <item x="275"/>
        <item x="371"/>
        <item x="616"/>
        <item x="378"/>
        <item x="403"/>
        <item x="461"/>
        <item x="410"/>
        <item x="218"/>
        <item x="284"/>
        <item x="482"/>
        <item x="278"/>
        <item x="21"/>
        <item x="242"/>
        <item x="157"/>
        <item x="131"/>
        <item x="297"/>
        <item x="59"/>
        <item x="27"/>
        <item x="186"/>
        <item x="311"/>
        <item x="85"/>
        <item x="379"/>
        <item x="158"/>
        <item x="183"/>
        <item x="305"/>
        <item x="428"/>
        <item x="519"/>
        <item x="399"/>
        <item x="640"/>
        <item x="326"/>
        <item x="124"/>
        <item x="437"/>
        <item x="200"/>
        <item x="334"/>
        <item x="606"/>
        <item x="303"/>
        <item x="623"/>
        <item x="4"/>
        <item x="147"/>
        <item x="71"/>
        <item x="325"/>
        <item x="190"/>
        <item x="99"/>
        <item x="382"/>
        <item x="655"/>
        <item x="156"/>
        <item x="592"/>
        <item x="583"/>
        <item x="417"/>
        <item x="535"/>
        <item x="542"/>
        <item x="249"/>
        <item x="90"/>
        <item x="58"/>
        <item x="180"/>
        <item x="274"/>
        <item x="479"/>
        <item x="163"/>
        <item x="318"/>
        <item x="337"/>
        <item x="68"/>
        <item x="234"/>
        <item x="113"/>
        <item x="551"/>
        <item x="128"/>
        <item x="336"/>
        <item x="414"/>
        <item x="626"/>
        <item x="150"/>
        <item x="620"/>
        <item x="220"/>
        <item x="502"/>
        <item x="450"/>
        <item x="465"/>
        <item x="550"/>
        <item x="671"/>
        <item x="404"/>
        <item x="487"/>
        <item x="290"/>
        <item x="641"/>
        <item x="119"/>
        <item x="215"/>
        <item x="54"/>
        <item x="74"/>
        <item x="541"/>
        <item x="251"/>
        <item x="309"/>
        <item x="57"/>
        <item x="304"/>
        <item x="82"/>
        <item x="247"/>
        <item x="178"/>
        <item x="646"/>
        <item x="504"/>
        <item x="314"/>
        <item x="69"/>
        <item x="510"/>
        <item x="392"/>
        <item x="76"/>
        <item x="496"/>
        <item x="168"/>
        <item x="24"/>
        <item x="32"/>
        <item x="217"/>
        <item x="240"/>
        <item x="621"/>
        <item x="394"/>
        <item x="468"/>
        <item x="470"/>
        <item x="139"/>
        <item x="581"/>
        <item x="331"/>
        <item x="260"/>
        <item x="289"/>
        <item x="28"/>
        <item x="393"/>
        <item x="332"/>
        <item x="596"/>
        <item x="358"/>
        <item x="267"/>
        <item x="121"/>
        <item x="214"/>
        <item x="451"/>
        <item x="466"/>
        <item x="355"/>
        <item x="98"/>
        <item x="165"/>
        <item x="527"/>
        <item x="536"/>
        <item x="480"/>
        <item x="248"/>
        <item x="658"/>
        <item x="23"/>
        <item x="512"/>
        <item x="287"/>
        <item x="448"/>
        <item x="198"/>
        <item x="682"/>
        <item x="365"/>
        <item x="424"/>
        <item x="44"/>
        <item x="639"/>
        <item x="348"/>
        <item x="239"/>
        <item x="650"/>
        <item x="347"/>
        <item x="193"/>
        <item x="402"/>
        <item x="578"/>
        <item x="525"/>
        <item x="370"/>
        <item x="614"/>
        <item x="167"/>
        <item x="570"/>
        <item x="547"/>
        <item x="398"/>
        <item x="642"/>
        <item x="503"/>
        <item x="617"/>
        <item x="78"/>
        <item x="380"/>
        <item x="597"/>
        <item x="441"/>
        <item x="386"/>
        <item x="464"/>
        <item x="356"/>
        <item x="237"/>
        <item x="413"/>
        <item x="301"/>
        <item x="280"/>
        <item x="530"/>
        <item x="223"/>
        <item x="333"/>
        <item x="202"/>
        <item x="663"/>
        <item x="506"/>
        <item x="269"/>
        <item x="342"/>
        <item x="111"/>
        <item x="577"/>
        <item x="201"/>
        <item x="123"/>
        <item x="452"/>
        <item x="377"/>
        <item x="221"/>
        <item x="612"/>
        <item x="7"/>
        <item x="513"/>
        <item x="376"/>
        <item x="228"/>
        <item x="265"/>
        <item x="565"/>
        <item x="187"/>
        <item x="454"/>
        <item x="529"/>
        <item x="609"/>
        <item x="521"/>
        <item x="668"/>
        <item x="176"/>
        <item x="579"/>
        <item x="175"/>
        <item x="133"/>
        <item x="644"/>
        <item x="0"/>
        <item x="101"/>
        <item x="659"/>
        <item x="140"/>
        <item x="210"/>
        <item x="41"/>
        <item x="246"/>
        <item x="26"/>
        <item x="472"/>
        <item x="511"/>
        <item x="117"/>
        <item x="62"/>
        <item x="387"/>
        <item x="317"/>
        <item x="205"/>
        <item x="315"/>
        <item x="538"/>
        <item x="310"/>
        <item x="652"/>
        <item x="613"/>
        <item x="197"/>
        <item x="189"/>
        <item x="582"/>
        <item x="268"/>
        <item x="493"/>
        <item x="681"/>
        <item x="153"/>
        <item x="208"/>
        <item x="405"/>
        <item x="576"/>
        <item x="563"/>
        <item x="80"/>
        <item x="49"/>
        <item x="285"/>
        <item x="651"/>
        <item x="528"/>
        <item x="459"/>
        <item x="250"/>
        <item t="default"/>
      </items>
    </pivotField>
    <pivotField showAll="0"/>
    <pivotField showAll="0"/>
    <pivotField showAll="0"/>
    <pivotField showAll="0"/>
    <pivotField showAll="0"/>
    <pivotField showAll="0"/>
    <pivotField showAll="0"/>
    <pivotField showAll="0"/>
    <pivotField numFmtId="166" showAll="0"/>
    <pivotField numFmtId="167" showAll="0"/>
    <pivotField dataField="1" numFmtId="167" showAll="0"/>
    <pivotField axis="axisCol" showAll="0">
      <items count="5">
        <item x="2"/>
        <item x="3"/>
        <item x="1"/>
        <item x="0"/>
        <item t="default"/>
      </items>
    </pivotField>
    <pivotField showAll="0"/>
    <pivotField showAll="0"/>
    <pivotField showAll="0"/>
    <pivotField numFmtId="2" showAll="0"/>
    <pivotField showAll="0"/>
    <pivotField showAll="0"/>
    <pivotField showAll="0"/>
    <pivotField showAll="0"/>
    <pivotField showAll="0"/>
    <pivotField showAll="0"/>
    <pivotField showAll="0"/>
    <pivotField axis="axisRow" showAll="0">
      <items count="5">
        <item sd="0" x="2"/>
        <item sd="0" x="1"/>
        <item sd="0" x="0"/>
        <item sd="0" x="3"/>
        <item t="default"/>
      </items>
    </pivotField>
    <pivotField showAll="0"/>
    <pivotField showAll="0"/>
    <pivotField showAll="0" defaultSubtotal="0"/>
    <pivotField axis="axisRow" showAll="0" defaultSubtotal="0">
      <items count="6">
        <item x="0"/>
        <item sd="0" x="1"/>
        <item sd="0" x="2"/>
        <item sd="0" x="3"/>
        <item sd="0" x="4"/>
        <item x="5"/>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2">
    <field x="25"/>
    <field x="29"/>
  </rowFields>
  <rowItems count="5">
    <i>
      <x/>
    </i>
    <i>
      <x v="1"/>
    </i>
    <i>
      <x v="2"/>
    </i>
    <i>
      <x v="3"/>
    </i>
    <i t="grand">
      <x/>
    </i>
  </rowItems>
  <colFields count="1">
    <field x="13"/>
  </colFields>
  <colItems count="5">
    <i>
      <x/>
    </i>
    <i>
      <x v="1"/>
    </i>
    <i>
      <x v="2"/>
    </i>
    <i>
      <x v="3"/>
    </i>
    <i t="grand">
      <x/>
    </i>
  </colItems>
  <dataFields count="1">
    <dataField name="Sum of Sales" fld="12" baseField="0" baseItem="0" numFmtId="167"/>
  </dataFields>
  <chartFormats count="4">
    <chartFormat chart="7" format="8" series="1">
      <pivotArea type="data" outline="0" fieldPosition="0">
        <references count="2">
          <reference field="4294967294" count="1" selected="0">
            <x v="0"/>
          </reference>
          <reference field="13" count="1" selected="0">
            <x v="0"/>
          </reference>
        </references>
      </pivotArea>
    </chartFormat>
    <chartFormat chart="7" format="9" series="1">
      <pivotArea type="data" outline="0" fieldPosition="0">
        <references count="2">
          <reference field="4294967294" count="1" selected="0">
            <x v="0"/>
          </reference>
          <reference field="13" count="1" selected="0">
            <x v="1"/>
          </reference>
        </references>
      </pivotArea>
    </chartFormat>
    <chartFormat chart="7" format="10" series="1">
      <pivotArea type="data" outline="0" fieldPosition="0">
        <references count="2">
          <reference field="4294967294" count="1" selected="0">
            <x v="0"/>
          </reference>
          <reference field="13" count="1" selected="0">
            <x v="2"/>
          </reference>
        </references>
      </pivotArea>
    </chartFormat>
    <chartFormat chart="7" format="11"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537976B-4C6A-426C-908C-2F922D4B631E}" name="GrowthRateTable"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7">
  <location ref="A106:C111" firstHeaderRow="0" firstDataRow="1" firstDataCol="1"/>
  <pivotFields count="34">
    <pivotField showAll="0"/>
    <pivotField numFmtId="165" showAll="0">
      <items count="690">
        <item x="94"/>
        <item x="283"/>
        <item x="107"/>
        <item x="555"/>
        <item x="327"/>
        <item x="209"/>
        <item x="172"/>
        <item x="2"/>
        <item x="238"/>
        <item x="39"/>
        <item x="230"/>
        <item x="433"/>
        <item x="243"/>
        <item x="129"/>
        <item x="154"/>
        <item x="474"/>
        <item x="624"/>
        <item x="110"/>
        <item x="321"/>
        <item x="25"/>
        <item x="435"/>
        <item x="151"/>
        <item x="181"/>
        <item x="56"/>
        <item x="505"/>
        <item x="363"/>
        <item x="254"/>
        <item x="108"/>
        <item x="182"/>
        <item x="649"/>
        <item x="79"/>
        <item x="604"/>
        <item x="514"/>
        <item x="498"/>
        <item x="375"/>
        <item x="233"/>
        <item x="566"/>
        <item x="43"/>
        <item x="665"/>
        <item x="88"/>
        <item x="598"/>
        <item x="421"/>
        <item x="520"/>
        <item x="320"/>
        <item x="279"/>
        <item x="102"/>
        <item x="194"/>
        <item x="456"/>
        <item x="118"/>
        <item x="648"/>
        <item x="64"/>
        <item x="533"/>
        <item x="501"/>
        <item x="422"/>
        <item x="8"/>
        <item x="353"/>
        <item x="103"/>
        <item x="195"/>
        <item x="339"/>
        <item x="643"/>
        <item x="654"/>
        <item x="271"/>
        <item x="389"/>
        <item x="475"/>
        <item x="522"/>
        <item x="20"/>
        <item x="144"/>
        <item x="462"/>
        <item x="397"/>
        <item x="588"/>
        <item x="229"/>
        <item x="469"/>
        <item x="400"/>
        <item x="391"/>
        <item x="683"/>
        <item x="603"/>
        <item x="660"/>
        <item x="447"/>
        <item x="207"/>
        <item x="619"/>
        <item x="351"/>
        <item x="638"/>
        <item x="662"/>
        <item x="390"/>
        <item x="477"/>
        <item x="112"/>
        <item x="226"/>
        <item x="364"/>
        <item x="600"/>
        <item x="109"/>
        <item x="231"/>
        <item x="241"/>
        <item x="92"/>
        <item x="106"/>
        <item x="362"/>
        <item x="430"/>
        <item x="37"/>
        <item x="540"/>
        <item x="257"/>
        <item x="438"/>
        <item x="384"/>
        <item x="608"/>
        <item x="593"/>
        <item x="316"/>
        <item x="580"/>
        <item x="350"/>
        <item x="383"/>
        <item x="258"/>
        <item x="296"/>
        <item x="457"/>
        <item x="191"/>
        <item x="611"/>
        <item x="423"/>
        <item x="235"/>
        <item x="388"/>
        <item x="534"/>
        <item x="544"/>
        <item x="145"/>
        <item x="653"/>
        <item x="374"/>
        <item x="633"/>
        <item x="418"/>
        <item x="294"/>
        <item x="575"/>
        <item x="255"/>
        <item x="567"/>
        <item x="66"/>
        <item x="346"/>
        <item x="259"/>
        <item x="63"/>
        <item x="667"/>
        <item x="174"/>
        <item x="678"/>
        <item x="548"/>
        <item x="471"/>
        <item x="411"/>
        <item x="431"/>
        <item x="628"/>
        <item x="476"/>
        <item x="270"/>
        <item x="199"/>
        <item x="568"/>
        <item x="586"/>
        <item x="40"/>
        <item x="545"/>
        <item x="634"/>
        <item x="155"/>
        <item x="489"/>
        <item x="467"/>
        <item x="491"/>
        <item x="149"/>
        <item x="460"/>
        <item x="91"/>
        <item x="273"/>
        <item x="672"/>
        <item x="120"/>
        <item x="478"/>
        <item x="130"/>
        <item x="674"/>
        <item x="227"/>
        <item x="440"/>
        <item x="266"/>
        <item x="299"/>
        <item x="631"/>
        <item x="329"/>
        <item x="307"/>
        <item x="488"/>
        <item x="685"/>
        <item x="573"/>
        <item x="50"/>
        <item x="286"/>
        <item x="48"/>
        <item x="532"/>
        <item x="281"/>
        <item x="15"/>
        <item x="61"/>
        <item x="67"/>
        <item x="599"/>
        <item x="558"/>
        <item x="75"/>
        <item x="55"/>
        <item x="680"/>
        <item x="684"/>
        <item x="344"/>
        <item x="52"/>
        <item x="419"/>
        <item x="232"/>
        <item x="134"/>
        <item x="572"/>
        <item x="455"/>
        <item x="171"/>
        <item x="661"/>
        <item x="524"/>
        <item x="416"/>
        <item x="219"/>
        <item x="196"/>
        <item x="36"/>
        <item x="420"/>
        <item x="100"/>
        <item x="574"/>
        <item x="601"/>
        <item x="6"/>
        <item x="562"/>
        <item x="625"/>
        <item x="590"/>
        <item x="253"/>
        <item x="148"/>
        <item x="569"/>
        <item x="335"/>
        <item x="492"/>
        <item x="526"/>
        <item x="439"/>
        <item x="252"/>
        <item x="16"/>
        <item x="166"/>
        <item x="204"/>
        <item x="425"/>
        <item x="137"/>
        <item x="490"/>
        <item x="564"/>
        <item x="60"/>
        <item x="319"/>
        <item x="256"/>
        <item x="676"/>
        <item x="559"/>
        <item x="222"/>
        <item x="81"/>
        <item x="666"/>
        <item x="484"/>
        <item x="605"/>
        <item x="546"/>
        <item x="453"/>
        <item x="170"/>
        <item x="164"/>
        <item x="17"/>
        <item x="509"/>
        <item x="584"/>
        <item x="291"/>
        <item x="282"/>
        <item x="262"/>
        <item x="236"/>
        <item x="656"/>
        <item x="324"/>
        <item x="35"/>
        <item x="645"/>
        <item x="343"/>
        <item x="618"/>
        <item x="434"/>
        <item x="245"/>
        <item x="298"/>
        <item x="264"/>
        <item x="359"/>
        <item x="213"/>
        <item x="13"/>
        <item x="12"/>
        <item x="34"/>
        <item x="485"/>
        <item x="360"/>
        <item x="177"/>
        <item x="293"/>
        <item x="368"/>
        <item x="396"/>
        <item x="132"/>
        <item x="516"/>
        <item x="261"/>
        <item x="357"/>
        <item x="531"/>
        <item x="263"/>
        <item x="518"/>
        <item x="444"/>
        <item x="45"/>
        <item x="19"/>
        <item x="97"/>
        <item x="486"/>
        <item x="312"/>
        <item x="216"/>
        <item x="330"/>
        <item x="292"/>
        <item x="18"/>
        <item x="328"/>
        <item x="14"/>
        <item x="664"/>
        <item x="96"/>
        <item x="686"/>
        <item x="308"/>
        <item x="225"/>
        <item x="553"/>
        <item x="366"/>
        <item x="73"/>
        <item x="515"/>
        <item x="42"/>
        <item x="125"/>
        <item x="295"/>
        <item x="415"/>
        <item x="549"/>
        <item x="30"/>
        <item x="381"/>
        <item x="146"/>
        <item x="22"/>
        <item x="84"/>
        <item x="126"/>
        <item x="508"/>
        <item x="127"/>
        <item x="571"/>
        <item x="373"/>
        <item x="11"/>
        <item x="10"/>
        <item x="161"/>
        <item x="385"/>
        <item x="115"/>
        <item x="345"/>
        <item x="188"/>
        <item x="9"/>
        <item x="507"/>
        <item x="675"/>
        <item x="677"/>
        <item x="622"/>
        <item x="31"/>
        <item x="322"/>
        <item x="429"/>
        <item x="554"/>
        <item x="29"/>
        <item x="401"/>
        <item x="173"/>
        <item x="409"/>
        <item x="288"/>
        <item x="105"/>
        <item x="65"/>
        <item x="53"/>
        <item x="51"/>
        <item x="629"/>
        <item x="443"/>
        <item x="610"/>
        <item x="135"/>
        <item x="500"/>
        <item x="560"/>
        <item x="523"/>
        <item x="1"/>
        <item x="499"/>
        <item x="587"/>
        <item x="114"/>
        <item x="543"/>
        <item x="483"/>
        <item x="494"/>
        <item x="407"/>
        <item x="495"/>
        <item x="449"/>
        <item x="602"/>
        <item x="369"/>
        <item x="206"/>
        <item x="122"/>
        <item x="313"/>
        <item x="556"/>
        <item x="426"/>
        <item x="670"/>
        <item x="361"/>
        <item x="272"/>
        <item x="442"/>
        <item x="179"/>
        <item x="46"/>
        <item x="657"/>
        <item x="86"/>
        <item x="637"/>
        <item x="473"/>
        <item x="72"/>
        <item x="104"/>
        <item x="70"/>
        <item x="300"/>
        <item x="432"/>
        <item x="302"/>
        <item x="595"/>
        <item x="212"/>
        <item x="607"/>
        <item x="688"/>
        <item x="169"/>
        <item x="160"/>
        <item x="406"/>
        <item x="436"/>
        <item x="627"/>
        <item x="632"/>
        <item x="446"/>
        <item x="185"/>
        <item x="591"/>
        <item x="152"/>
        <item x="537"/>
        <item x="3"/>
        <item x="95"/>
        <item x="93"/>
        <item x="306"/>
        <item x="5"/>
        <item x="445"/>
        <item x="481"/>
        <item x="159"/>
        <item x="244"/>
        <item x="458"/>
        <item x="87"/>
        <item x="585"/>
        <item x="669"/>
        <item x="636"/>
        <item x="557"/>
        <item x="143"/>
        <item x="517"/>
        <item x="630"/>
        <item x="211"/>
        <item x="635"/>
        <item x="395"/>
        <item x="136"/>
        <item x="142"/>
        <item x="408"/>
        <item x="33"/>
        <item x="589"/>
        <item x="47"/>
        <item x="594"/>
        <item x="138"/>
        <item x="412"/>
        <item x="224"/>
        <item x="162"/>
        <item x="341"/>
        <item x="192"/>
        <item x="615"/>
        <item x="340"/>
        <item x="679"/>
        <item x="323"/>
        <item x="372"/>
        <item x="89"/>
        <item x="77"/>
        <item x="38"/>
        <item x="276"/>
        <item x="427"/>
        <item x="83"/>
        <item x="673"/>
        <item x="116"/>
        <item x="539"/>
        <item x="203"/>
        <item x="141"/>
        <item x="687"/>
        <item x="463"/>
        <item x="184"/>
        <item x="338"/>
        <item x="367"/>
        <item x="497"/>
        <item x="552"/>
        <item x="349"/>
        <item x="647"/>
        <item x="354"/>
        <item x="352"/>
        <item x="277"/>
        <item x="561"/>
        <item x="275"/>
        <item x="371"/>
        <item x="616"/>
        <item x="378"/>
        <item x="403"/>
        <item x="461"/>
        <item x="410"/>
        <item x="218"/>
        <item x="284"/>
        <item x="482"/>
        <item x="278"/>
        <item x="21"/>
        <item x="242"/>
        <item x="157"/>
        <item x="131"/>
        <item x="297"/>
        <item x="59"/>
        <item x="27"/>
        <item x="186"/>
        <item x="311"/>
        <item x="85"/>
        <item x="379"/>
        <item x="158"/>
        <item x="183"/>
        <item x="305"/>
        <item x="428"/>
        <item x="519"/>
        <item x="399"/>
        <item x="640"/>
        <item x="326"/>
        <item x="124"/>
        <item x="437"/>
        <item x="200"/>
        <item x="334"/>
        <item x="606"/>
        <item x="303"/>
        <item x="623"/>
        <item x="4"/>
        <item x="147"/>
        <item x="71"/>
        <item x="325"/>
        <item x="190"/>
        <item x="99"/>
        <item x="382"/>
        <item x="655"/>
        <item x="156"/>
        <item x="592"/>
        <item x="583"/>
        <item x="417"/>
        <item x="535"/>
        <item x="542"/>
        <item x="249"/>
        <item x="90"/>
        <item x="58"/>
        <item x="180"/>
        <item x="274"/>
        <item x="479"/>
        <item x="163"/>
        <item x="318"/>
        <item x="337"/>
        <item x="68"/>
        <item x="234"/>
        <item x="113"/>
        <item x="551"/>
        <item x="128"/>
        <item x="336"/>
        <item x="414"/>
        <item x="626"/>
        <item x="150"/>
        <item x="620"/>
        <item x="220"/>
        <item x="502"/>
        <item x="450"/>
        <item x="465"/>
        <item x="550"/>
        <item x="671"/>
        <item x="404"/>
        <item x="487"/>
        <item x="290"/>
        <item x="641"/>
        <item x="119"/>
        <item x="215"/>
        <item x="54"/>
        <item x="74"/>
        <item x="541"/>
        <item x="251"/>
        <item x="309"/>
        <item x="57"/>
        <item x="304"/>
        <item x="82"/>
        <item x="247"/>
        <item x="178"/>
        <item x="646"/>
        <item x="504"/>
        <item x="314"/>
        <item x="69"/>
        <item x="510"/>
        <item x="392"/>
        <item x="76"/>
        <item x="496"/>
        <item x="168"/>
        <item x="24"/>
        <item x="32"/>
        <item x="217"/>
        <item x="240"/>
        <item x="621"/>
        <item x="394"/>
        <item x="468"/>
        <item x="470"/>
        <item x="139"/>
        <item x="581"/>
        <item x="331"/>
        <item x="260"/>
        <item x="289"/>
        <item x="28"/>
        <item x="393"/>
        <item x="332"/>
        <item x="596"/>
        <item x="358"/>
        <item x="267"/>
        <item x="121"/>
        <item x="214"/>
        <item x="451"/>
        <item x="466"/>
        <item x="355"/>
        <item x="98"/>
        <item x="165"/>
        <item x="527"/>
        <item x="536"/>
        <item x="480"/>
        <item x="248"/>
        <item x="658"/>
        <item x="23"/>
        <item x="512"/>
        <item x="287"/>
        <item x="448"/>
        <item x="198"/>
        <item x="682"/>
        <item x="365"/>
        <item x="424"/>
        <item x="44"/>
        <item x="639"/>
        <item x="348"/>
        <item x="239"/>
        <item x="650"/>
        <item x="347"/>
        <item x="193"/>
        <item x="402"/>
        <item x="578"/>
        <item x="525"/>
        <item x="370"/>
        <item x="614"/>
        <item x="167"/>
        <item x="570"/>
        <item x="547"/>
        <item x="398"/>
        <item x="642"/>
        <item x="503"/>
        <item x="617"/>
        <item x="78"/>
        <item x="380"/>
        <item x="597"/>
        <item x="441"/>
        <item x="386"/>
        <item x="464"/>
        <item x="356"/>
        <item x="237"/>
        <item x="413"/>
        <item x="301"/>
        <item x="280"/>
        <item x="530"/>
        <item x="223"/>
        <item x="333"/>
        <item x="202"/>
        <item x="663"/>
        <item x="506"/>
        <item x="269"/>
        <item x="342"/>
        <item x="111"/>
        <item x="577"/>
        <item x="201"/>
        <item x="123"/>
        <item x="452"/>
        <item x="377"/>
        <item x="221"/>
        <item x="612"/>
        <item x="7"/>
        <item x="513"/>
        <item x="376"/>
        <item x="228"/>
        <item x="265"/>
        <item x="565"/>
        <item x="187"/>
        <item x="454"/>
        <item x="529"/>
        <item x="609"/>
        <item x="521"/>
        <item x="668"/>
        <item x="176"/>
        <item x="579"/>
        <item x="175"/>
        <item x="133"/>
        <item x="644"/>
        <item x="0"/>
        <item x="101"/>
        <item x="659"/>
        <item x="140"/>
        <item x="210"/>
        <item x="41"/>
        <item x="246"/>
        <item x="26"/>
        <item x="472"/>
        <item x="511"/>
        <item x="117"/>
        <item x="62"/>
        <item x="387"/>
        <item x="317"/>
        <item x="205"/>
        <item x="315"/>
        <item x="538"/>
        <item x="310"/>
        <item x="652"/>
        <item x="613"/>
        <item x="197"/>
        <item x="189"/>
        <item x="582"/>
        <item x="268"/>
        <item x="493"/>
        <item x="681"/>
        <item x="153"/>
        <item x="208"/>
        <item x="405"/>
        <item x="576"/>
        <item x="563"/>
        <item x="80"/>
        <item x="49"/>
        <item x="285"/>
        <item x="651"/>
        <item x="528"/>
        <item x="459"/>
        <item x="250"/>
        <item t="default"/>
      </items>
    </pivotField>
    <pivotField showAll="0"/>
    <pivotField showAll="0"/>
    <pivotField showAll="0"/>
    <pivotField showAll="0"/>
    <pivotField showAll="0"/>
    <pivotField showAll="0"/>
    <pivotField showAll="0"/>
    <pivotField showAll="0"/>
    <pivotField numFmtId="166" showAll="0"/>
    <pivotField numFmtId="167" showAll="0"/>
    <pivotField dataField="1" numFmtId="167" showAll="0"/>
    <pivotField showAll="0"/>
    <pivotField showAll="0"/>
    <pivotField showAll="0"/>
    <pivotField showAll="0"/>
    <pivotField numFmtId="2" showAll="0"/>
    <pivotField showAll="0"/>
    <pivotField showAll="0"/>
    <pivotField showAll="0"/>
    <pivotField showAll="0"/>
    <pivotField showAll="0"/>
    <pivotField showAll="0"/>
    <pivotField showAll="0"/>
    <pivotField showAll="0"/>
    <pivotField showAll="0"/>
    <pivotField showAll="0"/>
    <pivotField axis="axisRow" showAll="0" defaultSubtotal="0">
      <items count="14">
        <item x="0"/>
        <item x="1"/>
        <item x="2"/>
        <item x="3"/>
        <item x="4"/>
        <item x="5"/>
        <item x="6"/>
        <item x="7"/>
        <item x="8"/>
        <item x="9"/>
        <item x="10"/>
        <item x="11"/>
        <item x="12"/>
        <item x="13"/>
      </items>
    </pivotField>
    <pivotField axis="axisRow" showAll="0" defaultSubtotal="0">
      <items count="6">
        <item x="0"/>
        <item sd="0" x="1"/>
        <item sd="0" x="2"/>
        <item sd="0" x="3"/>
        <item sd="0" x="4"/>
        <item x="5"/>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2">
    <field x="29"/>
    <field x="28"/>
  </rowFields>
  <rowItems count="5">
    <i>
      <x v="1"/>
    </i>
    <i>
      <x v="2"/>
    </i>
    <i>
      <x v="3"/>
    </i>
    <i>
      <x v="4"/>
    </i>
    <i t="grand">
      <x/>
    </i>
  </rowItems>
  <colFields count="1">
    <field x="-2"/>
  </colFields>
  <colItems count="2">
    <i>
      <x/>
    </i>
    <i i="1">
      <x v="1"/>
    </i>
  </colItems>
  <dataFields count="2">
    <dataField name="Total Sales" fld="12" baseField="0" baseItem="0" numFmtId="167"/>
    <dataField name="YoY Growth %" fld="12" showDataAs="percentDiff" baseField="29" baseItem="1048828" numFmtId="1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8FD1293-7BA5-45CD-8F82-A4CE446B0121}" name="PriceVSQuantit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9">
  <location ref="A81:C86" firstHeaderRow="0" firstDataRow="1" firstDataCol="1"/>
  <pivotFields count="34">
    <pivotField showAll="0"/>
    <pivotField numFmtId="165" showAll="0">
      <items count="690">
        <item x="94"/>
        <item x="283"/>
        <item x="107"/>
        <item x="555"/>
        <item x="327"/>
        <item x="209"/>
        <item x="172"/>
        <item x="2"/>
        <item x="238"/>
        <item x="39"/>
        <item x="230"/>
        <item x="433"/>
        <item x="243"/>
        <item x="129"/>
        <item x="154"/>
        <item x="474"/>
        <item x="624"/>
        <item x="110"/>
        <item x="321"/>
        <item x="25"/>
        <item x="435"/>
        <item x="151"/>
        <item x="181"/>
        <item x="56"/>
        <item x="505"/>
        <item x="363"/>
        <item x="254"/>
        <item x="108"/>
        <item x="182"/>
        <item x="649"/>
        <item x="79"/>
        <item x="604"/>
        <item x="514"/>
        <item x="498"/>
        <item x="375"/>
        <item x="233"/>
        <item x="566"/>
        <item x="43"/>
        <item x="665"/>
        <item x="88"/>
        <item x="598"/>
        <item x="421"/>
        <item x="520"/>
        <item x="320"/>
        <item x="279"/>
        <item x="102"/>
        <item x="194"/>
        <item x="456"/>
        <item x="118"/>
        <item x="648"/>
        <item x="64"/>
        <item x="533"/>
        <item x="501"/>
        <item x="422"/>
        <item x="8"/>
        <item x="353"/>
        <item x="103"/>
        <item x="195"/>
        <item x="339"/>
        <item x="643"/>
        <item x="654"/>
        <item x="271"/>
        <item x="389"/>
        <item x="475"/>
        <item x="522"/>
        <item x="20"/>
        <item x="144"/>
        <item x="462"/>
        <item x="397"/>
        <item x="588"/>
        <item x="229"/>
        <item x="469"/>
        <item x="400"/>
        <item x="391"/>
        <item x="683"/>
        <item x="603"/>
        <item x="660"/>
        <item x="447"/>
        <item x="207"/>
        <item x="619"/>
        <item x="351"/>
        <item x="638"/>
        <item x="662"/>
        <item x="390"/>
        <item x="477"/>
        <item x="112"/>
        <item x="226"/>
        <item x="364"/>
        <item x="600"/>
        <item x="109"/>
        <item x="231"/>
        <item x="241"/>
        <item x="92"/>
        <item x="106"/>
        <item x="362"/>
        <item x="430"/>
        <item x="37"/>
        <item x="540"/>
        <item x="257"/>
        <item x="438"/>
        <item x="384"/>
        <item x="608"/>
        <item x="593"/>
        <item x="316"/>
        <item x="580"/>
        <item x="350"/>
        <item x="383"/>
        <item x="258"/>
        <item x="296"/>
        <item x="457"/>
        <item x="191"/>
        <item x="611"/>
        <item x="423"/>
        <item x="235"/>
        <item x="388"/>
        <item x="534"/>
        <item x="544"/>
        <item x="145"/>
        <item x="653"/>
        <item x="374"/>
        <item x="633"/>
        <item x="418"/>
        <item x="294"/>
        <item x="575"/>
        <item x="255"/>
        <item x="567"/>
        <item x="66"/>
        <item x="346"/>
        <item x="259"/>
        <item x="63"/>
        <item x="667"/>
        <item x="174"/>
        <item x="678"/>
        <item x="548"/>
        <item x="471"/>
        <item x="411"/>
        <item x="431"/>
        <item x="628"/>
        <item x="476"/>
        <item x="270"/>
        <item x="199"/>
        <item x="568"/>
        <item x="586"/>
        <item x="40"/>
        <item x="545"/>
        <item x="634"/>
        <item x="155"/>
        <item x="489"/>
        <item x="467"/>
        <item x="491"/>
        <item x="149"/>
        <item x="460"/>
        <item x="91"/>
        <item x="273"/>
        <item x="672"/>
        <item x="120"/>
        <item x="478"/>
        <item x="130"/>
        <item x="674"/>
        <item x="227"/>
        <item x="440"/>
        <item x="266"/>
        <item x="299"/>
        <item x="631"/>
        <item x="329"/>
        <item x="307"/>
        <item x="488"/>
        <item x="685"/>
        <item x="573"/>
        <item x="50"/>
        <item x="286"/>
        <item x="48"/>
        <item x="532"/>
        <item x="281"/>
        <item x="15"/>
        <item x="61"/>
        <item x="67"/>
        <item x="599"/>
        <item x="558"/>
        <item x="75"/>
        <item x="55"/>
        <item x="680"/>
        <item x="684"/>
        <item x="344"/>
        <item x="52"/>
        <item x="419"/>
        <item x="232"/>
        <item x="134"/>
        <item x="572"/>
        <item x="455"/>
        <item x="171"/>
        <item x="661"/>
        <item x="524"/>
        <item x="416"/>
        <item x="219"/>
        <item x="196"/>
        <item x="36"/>
        <item x="420"/>
        <item x="100"/>
        <item x="574"/>
        <item x="601"/>
        <item x="6"/>
        <item x="562"/>
        <item x="625"/>
        <item x="590"/>
        <item x="253"/>
        <item x="148"/>
        <item x="569"/>
        <item x="335"/>
        <item x="492"/>
        <item x="526"/>
        <item x="439"/>
        <item x="252"/>
        <item x="16"/>
        <item x="166"/>
        <item x="204"/>
        <item x="425"/>
        <item x="137"/>
        <item x="490"/>
        <item x="564"/>
        <item x="60"/>
        <item x="319"/>
        <item x="256"/>
        <item x="676"/>
        <item x="559"/>
        <item x="222"/>
        <item x="81"/>
        <item x="666"/>
        <item x="484"/>
        <item x="605"/>
        <item x="546"/>
        <item x="453"/>
        <item x="170"/>
        <item x="164"/>
        <item x="17"/>
        <item x="509"/>
        <item x="584"/>
        <item x="291"/>
        <item x="282"/>
        <item x="262"/>
        <item x="236"/>
        <item x="656"/>
        <item x="324"/>
        <item x="35"/>
        <item x="645"/>
        <item x="343"/>
        <item x="618"/>
        <item x="434"/>
        <item x="245"/>
        <item x="298"/>
        <item x="264"/>
        <item x="359"/>
        <item x="213"/>
        <item x="13"/>
        <item x="12"/>
        <item x="34"/>
        <item x="485"/>
        <item x="360"/>
        <item x="177"/>
        <item x="293"/>
        <item x="368"/>
        <item x="396"/>
        <item x="132"/>
        <item x="516"/>
        <item x="261"/>
        <item x="357"/>
        <item x="531"/>
        <item x="263"/>
        <item x="518"/>
        <item x="444"/>
        <item x="45"/>
        <item x="19"/>
        <item x="97"/>
        <item x="486"/>
        <item x="312"/>
        <item x="216"/>
        <item x="330"/>
        <item x="292"/>
        <item x="18"/>
        <item x="328"/>
        <item x="14"/>
        <item x="664"/>
        <item x="96"/>
        <item x="686"/>
        <item x="308"/>
        <item x="225"/>
        <item x="553"/>
        <item x="366"/>
        <item x="73"/>
        <item x="515"/>
        <item x="42"/>
        <item x="125"/>
        <item x="295"/>
        <item x="415"/>
        <item x="549"/>
        <item x="30"/>
        <item x="381"/>
        <item x="146"/>
        <item x="22"/>
        <item x="84"/>
        <item x="126"/>
        <item x="508"/>
        <item x="127"/>
        <item x="571"/>
        <item x="373"/>
        <item x="11"/>
        <item x="10"/>
        <item x="161"/>
        <item x="385"/>
        <item x="115"/>
        <item x="345"/>
        <item x="188"/>
        <item x="9"/>
        <item x="507"/>
        <item x="675"/>
        <item x="677"/>
        <item x="622"/>
        <item x="31"/>
        <item x="322"/>
        <item x="429"/>
        <item x="554"/>
        <item x="29"/>
        <item x="401"/>
        <item x="173"/>
        <item x="409"/>
        <item x="288"/>
        <item x="105"/>
        <item x="65"/>
        <item x="53"/>
        <item x="51"/>
        <item x="629"/>
        <item x="443"/>
        <item x="610"/>
        <item x="135"/>
        <item x="500"/>
        <item x="560"/>
        <item x="523"/>
        <item x="1"/>
        <item x="499"/>
        <item x="587"/>
        <item x="114"/>
        <item x="543"/>
        <item x="483"/>
        <item x="494"/>
        <item x="407"/>
        <item x="495"/>
        <item x="449"/>
        <item x="602"/>
        <item x="369"/>
        <item x="206"/>
        <item x="122"/>
        <item x="313"/>
        <item x="556"/>
        <item x="426"/>
        <item x="670"/>
        <item x="361"/>
        <item x="272"/>
        <item x="442"/>
        <item x="179"/>
        <item x="46"/>
        <item x="657"/>
        <item x="86"/>
        <item x="637"/>
        <item x="473"/>
        <item x="72"/>
        <item x="104"/>
        <item x="70"/>
        <item x="300"/>
        <item x="432"/>
        <item x="302"/>
        <item x="595"/>
        <item x="212"/>
        <item x="607"/>
        <item x="688"/>
        <item x="169"/>
        <item x="160"/>
        <item x="406"/>
        <item x="436"/>
        <item x="627"/>
        <item x="632"/>
        <item x="446"/>
        <item x="185"/>
        <item x="591"/>
        <item x="152"/>
        <item x="537"/>
        <item x="3"/>
        <item x="95"/>
        <item x="93"/>
        <item x="306"/>
        <item x="5"/>
        <item x="445"/>
        <item x="481"/>
        <item x="159"/>
        <item x="244"/>
        <item x="458"/>
        <item x="87"/>
        <item x="585"/>
        <item x="669"/>
        <item x="636"/>
        <item x="557"/>
        <item x="143"/>
        <item x="517"/>
        <item x="630"/>
        <item x="211"/>
        <item x="635"/>
        <item x="395"/>
        <item x="136"/>
        <item x="142"/>
        <item x="408"/>
        <item x="33"/>
        <item x="589"/>
        <item x="47"/>
        <item x="594"/>
        <item x="138"/>
        <item x="412"/>
        <item x="224"/>
        <item x="162"/>
        <item x="341"/>
        <item x="192"/>
        <item x="615"/>
        <item x="340"/>
        <item x="679"/>
        <item x="323"/>
        <item x="372"/>
        <item x="89"/>
        <item x="77"/>
        <item x="38"/>
        <item x="276"/>
        <item x="427"/>
        <item x="83"/>
        <item x="673"/>
        <item x="116"/>
        <item x="539"/>
        <item x="203"/>
        <item x="141"/>
        <item x="687"/>
        <item x="463"/>
        <item x="184"/>
        <item x="338"/>
        <item x="367"/>
        <item x="497"/>
        <item x="552"/>
        <item x="349"/>
        <item x="647"/>
        <item x="354"/>
        <item x="352"/>
        <item x="277"/>
        <item x="561"/>
        <item x="275"/>
        <item x="371"/>
        <item x="616"/>
        <item x="378"/>
        <item x="403"/>
        <item x="461"/>
        <item x="410"/>
        <item x="218"/>
        <item x="284"/>
        <item x="482"/>
        <item x="278"/>
        <item x="21"/>
        <item x="242"/>
        <item x="157"/>
        <item x="131"/>
        <item x="297"/>
        <item x="59"/>
        <item x="27"/>
        <item x="186"/>
        <item x="311"/>
        <item x="85"/>
        <item x="379"/>
        <item x="158"/>
        <item x="183"/>
        <item x="305"/>
        <item x="428"/>
        <item x="519"/>
        <item x="399"/>
        <item x="640"/>
        <item x="326"/>
        <item x="124"/>
        <item x="437"/>
        <item x="200"/>
        <item x="334"/>
        <item x="606"/>
        <item x="303"/>
        <item x="623"/>
        <item x="4"/>
        <item x="147"/>
        <item x="71"/>
        <item x="325"/>
        <item x="190"/>
        <item x="99"/>
        <item x="382"/>
        <item x="655"/>
        <item x="156"/>
        <item x="592"/>
        <item x="583"/>
        <item x="417"/>
        <item x="535"/>
        <item x="542"/>
        <item x="249"/>
        <item x="90"/>
        <item x="58"/>
        <item x="180"/>
        <item x="274"/>
        <item x="479"/>
        <item x="163"/>
        <item x="318"/>
        <item x="337"/>
        <item x="68"/>
        <item x="234"/>
        <item x="113"/>
        <item x="551"/>
        <item x="128"/>
        <item x="336"/>
        <item x="414"/>
        <item x="626"/>
        <item x="150"/>
        <item x="620"/>
        <item x="220"/>
        <item x="502"/>
        <item x="450"/>
        <item x="465"/>
        <item x="550"/>
        <item x="671"/>
        <item x="404"/>
        <item x="487"/>
        <item x="290"/>
        <item x="641"/>
        <item x="119"/>
        <item x="215"/>
        <item x="54"/>
        <item x="74"/>
        <item x="541"/>
        <item x="251"/>
        <item x="309"/>
        <item x="57"/>
        <item x="304"/>
        <item x="82"/>
        <item x="247"/>
        <item x="178"/>
        <item x="646"/>
        <item x="504"/>
        <item x="314"/>
        <item x="69"/>
        <item x="510"/>
        <item x="392"/>
        <item x="76"/>
        <item x="496"/>
        <item x="168"/>
        <item x="24"/>
        <item x="32"/>
        <item x="217"/>
        <item x="240"/>
        <item x="621"/>
        <item x="394"/>
        <item x="468"/>
        <item x="470"/>
        <item x="139"/>
        <item x="581"/>
        <item x="331"/>
        <item x="260"/>
        <item x="289"/>
        <item x="28"/>
        <item x="393"/>
        <item x="332"/>
        <item x="596"/>
        <item x="358"/>
        <item x="267"/>
        <item x="121"/>
        <item x="214"/>
        <item x="451"/>
        <item x="466"/>
        <item x="355"/>
        <item x="98"/>
        <item x="165"/>
        <item x="527"/>
        <item x="536"/>
        <item x="480"/>
        <item x="248"/>
        <item x="658"/>
        <item x="23"/>
        <item x="512"/>
        <item x="287"/>
        <item x="448"/>
        <item x="198"/>
        <item x="682"/>
        <item x="365"/>
        <item x="424"/>
        <item x="44"/>
        <item x="639"/>
        <item x="348"/>
        <item x="239"/>
        <item x="650"/>
        <item x="347"/>
        <item x="193"/>
        <item x="402"/>
        <item x="578"/>
        <item x="525"/>
        <item x="370"/>
        <item x="614"/>
        <item x="167"/>
        <item x="570"/>
        <item x="547"/>
        <item x="398"/>
        <item x="642"/>
        <item x="503"/>
        <item x="617"/>
        <item x="78"/>
        <item x="380"/>
        <item x="597"/>
        <item x="441"/>
        <item x="386"/>
        <item x="464"/>
        <item x="356"/>
        <item x="237"/>
        <item x="413"/>
        <item x="301"/>
        <item x="280"/>
        <item x="530"/>
        <item x="223"/>
        <item x="333"/>
        <item x="202"/>
        <item x="663"/>
        <item x="506"/>
        <item x="269"/>
        <item x="342"/>
        <item x="111"/>
        <item x="577"/>
        <item x="201"/>
        <item x="123"/>
        <item x="452"/>
        <item x="377"/>
        <item x="221"/>
        <item x="612"/>
        <item x="7"/>
        <item x="513"/>
        <item x="376"/>
        <item x="228"/>
        <item x="265"/>
        <item x="565"/>
        <item x="187"/>
        <item x="454"/>
        <item x="529"/>
        <item x="609"/>
        <item x="521"/>
        <item x="668"/>
        <item x="176"/>
        <item x="579"/>
        <item x="175"/>
        <item x="133"/>
        <item x="644"/>
        <item x="0"/>
        <item x="101"/>
        <item x="659"/>
        <item x="140"/>
        <item x="210"/>
        <item x="41"/>
        <item x="246"/>
        <item x="26"/>
        <item x="472"/>
        <item x="511"/>
        <item x="117"/>
        <item x="62"/>
        <item x="387"/>
        <item x="317"/>
        <item x="205"/>
        <item x="315"/>
        <item x="538"/>
        <item x="310"/>
        <item x="652"/>
        <item x="613"/>
        <item x="197"/>
        <item x="189"/>
        <item x="582"/>
        <item x="268"/>
        <item x="493"/>
        <item x="681"/>
        <item x="153"/>
        <item x="208"/>
        <item x="405"/>
        <item x="576"/>
        <item x="563"/>
        <item x="80"/>
        <item x="49"/>
        <item x="285"/>
        <item x="651"/>
        <item x="528"/>
        <item x="459"/>
        <item x="250"/>
        <item t="default"/>
      </items>
    </pivotField>
    <pivotField showAll="0"/>
    <pivotField showAll="0"/>
    <pivotField dataField="1" showAll="0"/>
    <pivotField showAll="0"/>
    <pivotField showAll="0"/>
    <pivotField showAll="0"/>
    <pivotField showAll="0"/>
    <pivotField showAll="0"/>
    <pivotField numFmtId="166" showAll="0">
      <items count="5">
        <item x="3"/>
        <item x="1"/>
        <item x="0"/>
        <item x="2"/>
        <item t="default"/>
      </items>
    </pivotField>
    <pivotField dataField="1" numFmtId="167" showAll="0"/>
    <pivotField numFmtId="167" showAll="0"/>
    <pivotField axis="axisRow" showAll="0" sortType="descending">
      <items count="5">
        <item x="2"/>
        <item x="3"/>
        <item x="1"/>
        <item x="0"/>
        <item t="default"/>
      </items>
      <autoSortScope>
        <pivotArea dataOnly="0" outline="0" fieldPosition="0">
          <references count="1">
            <reference field="4294967294" count="1" selected="0">
              <x v="1"/>
            </reference>
          </references>
        </pivotArea>
      </autoSortScope>
    </pivotField>
    <pivotField showAll="0">
      <items count="4">
        <item x="0"/>
        <item x="1"/>
        <item x="2"/>
        <item t="default"/>
      </items>
    </pivotField>
    <pivotField showAll="0"/>
    <pivotField showAll="0"/>
    <pivotField numFmtId="2"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6">
        <item x="0"/>
        <item x="1"/>
        <item x="2"/>
        <item x="3"/>
        <item x="4"/>
        <item x="5"/>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3"/>
  </rowFields>
  <rowItems count="5">
    <i>
      <x/>
    </i>
    <i>
      <x v="3"/>
    </i>
    <i>
      <x v="1"/>
    </i>
    <i>
      <x v="2"/>
    </i>
    <i t="grand">
      <x/>
    </i>
  </rowItems>
  <colFields count="1">
    <field x="-2"/>
  </colFields>
  <colItems count="2">
    <i>
      <x/>
    </i>
    <i i="1">
      <x v="1"/>
    </i>
  </colItems>
  <dataFields count="2">
    <dataField name="Average Unit Price (AUP)" fld="11" subtotal="average" baseField="13" baseItem="0" numFmtId="167"/>
    <dataField name="Total Quantity" fld="4"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1"/>
          </reference>
        </references>
      </pivotArea>
    </chartFormat>
    <chartFormat chart="5" format="5"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F6CDECA-53D9-4162-93D7-B7DB594A7D26}" name="Freq/CustomerCount" cacheId="0"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43">
  <location ref="F29:G33" firstHeaderRow="1" firstDataRow="1" firstDataCol="1"/>
  <pivotFields count="34">
    <pivotField compact="0" outline="0" showAll="0" defaultSubtotal="0"/>
    <pivotField compact="0" numFmtId="165" outline="0" showAll="0" defaultSubtotal="0">
      <items count="689">
        <item x="94"/>
        <item x="283"/>
        <item x="107"/>
        <item x="555"/>
        <item x="327"/>
        <item x="209"/>
        <item x="172"/>
        <item x="2"/>
        <item x="238"/>
        <item x="39"/>
        <item x="230"/>
        <item x="433"/>
        <item x="243"/>
        <item x="129"/>
        <item x="154"/>
        <item x="474"/>
        <item x="624"/>
        <item x="110"/>
        <item x="321"/>
        <item x="25"/>
        <item x="435"/>
        <item x="151"/>
        <item x="181"/>
        <item x="56"/>
        <item x="505"/>
        <item x="363"/>
        <item x="254"/>
        <item x="108"/>
        <item x="182"/>
        <item x="649"/>
        <item x="79"/>
        <item x="604"/>
        <item x="514"/>
        <item x="498"/>
        <item x="375"/>
        <item x="233"/>
        <item x="566"/>
        <item x="43"/>
        <item x="665"/>
        <item x="88"/>
        <item x="598"/>
        <item x="421"/>
        <item x="520"/>
        <item x="320"/>
        <item x="279"/>
        <item x="102"/>
        <item x="194"/>
        <item x="456"/>
        <item x="118"/>
        <item x="648"/>
        <item x="64"/>
        <item x="533"/>
        <item x="501"/>
        <item x="422"/>
        <item x="8"/>
        <item x="353"/>
        <item x="103"/>
        <item x="195"/>
        <item x="339"/>
        <item x="643"/>
        <item x="654"/>
        <item x="271"/>
        <item x="389"/>
        <item x="475"/>
        <item x="522"/>
        <item x="20"/>
        <item x="144"/>
        <item x="462"/>
        <item x="397"/>
        <item x="588"/>
        <item x="229"/>
        <item x="469"/>
        <item x="400"/>
        <item x="391"/>
        <item x="683"/>
        <item x="603"/>
        <item x="660"/>
        <item x="447"/>
        <item x="207"/>
        <item x="619"/>
        <item x="351"/>
        <item x="638"/>
        <item x="662"/>
        <item x="390"/>
        <item x="477"/>
        <item x="112"/>
        <item x="226"/>
        <item x="364"/>
        <item x="600"/>
        <item x="109"/>
        <item x="231"/>
        <item x="241"/>
        <item x="92"/>
        <item x="106"/>
        <item x="362"/>
        <item x="430"/>
        <item x="37"/>
        <item x="540"/>
        <item x="257"/>
        <item x="438"/>
        <item x="384"/>
        <item x="608"/>
        <item x="593"/>
        <item x="316"/>
        <item x="580"/>
        <item x="350"/>
        <item x="383"/>
        <item x="258"/>
        <item x="296"/>
        <item x="457"/>
        <item x="191"/>
        <item x="611"/>
        <item x="423"/>
        <item x="235"/>
        <item x="388"/>
        <item x="534"/>
        <item x="544"/>
        <item x="145"/>
        <item x="653"/>
        <item x="374"/>
        <item x="633"/>
        <item x="418"/>
        <item x="294"/>
        <item x="575"/>
        <item x="255"/>
        <item x="567"/>
        <item x="66"/>
        <item x="346"/>
        <item x="259"/>
        <item x="63"/>
        <item x="667"/>
        <item x="174"/>
        <item x="678"/>
        <item x="548"/>
        <item x="471"/>
        <item x="411"/>
        <item x="431"/>
        <item x="628"/>
        <item x="476"/>
        <item x="270"/>
        <item x="199"/>
        <item x="568"/>
        <item x="586"/>
        <item x="40"/>
        <item x="545"/>
        <item x="634"/>
        <item x="155"/>
        <item x="489"/>
        <item x="467"/>
        <item x="491"/>
        <item x="149"/>
        <item x="460"/>
        <item x="91"/>
        <item x="273"/>
        <item x="672"/>
        <item x="120"/>
        <item x="478"/>
        <item x="130"/>
        <item x="674"/>
        <item x="227"/>
        <item x="440"/>
        <item x="266"/>
        <item x="299"/>
        <item x="631"/>
        <item x="329"/>
        <item x="307"/>
        <item x="488"/>
        <item x="685"/>
        <item x="573"/>
        <item x="50"/>
        <item x="286"/>
        <item x="48"/>
        <item x="532"/>
        <item x="281"/>
        <item x="15"/>
        <item x="61"/>
        <item x="67"/>
        <item x="599"/>
        <item x="558"/>
        <item x="75"/>
        <item x="55"/>
        <item x="680"/>
        <item x="684"/>
        <item x="344"/>
        <item x="52"/>
        <item x="419"/>
        <item x="232"/>
        <item x="134"/>
        <item x="572"/>
        <item x="455"/>
        <item x="171"/>
        <item x="661"/>
        <item x="524"/>
        <item x="416"/>
        <item x="219"/>
        <item x="196"/>
        <item x="36"/>
        <item x="420"/>
        <item x="100"/>
        <item x="574"/>
        <item x="601"/>
        <item x="6"/>
        <item x="562"/>
        <item x="625"/>
        <item x="590"/>
        <item x="253"/>
        <item x="148"/>
        <item x="569"/>
        <item x="335"/>
        <item x="492"/>
        <item x="526"/>
        <item x="439"/>
        <item x="252"/>
        <item x="16"/>
        <item x="166"/>
        <item x="204"/>
        <item x="425"/>
        <item x="137"/>
        <item x="490"/>
        <item x="564"/>
        <item x="60"/>
        <item x="319"/>
        <item x="256"/>
        <item x="676"/>
        <item x="559"/>
        <item x="222"/>
        <item x="81"/>
        <item x="666"/>
        <item x="484"/>
        <item x="605"/>
        <item x="546"/>
        <item x="453"/>
        <item x="170"/>
        <item x="164"/>
        <item x="17"/>
        <item x="509"/>
        <item x="584"/>
        <item x="291"/>
        <item x="282"/>
        <item x="262"/>
        <item x="236"/>
        <item x="656"/>
        <item x="324"/>
        <item x="35"/>
        <item x="645"/>
        <item x="343"/>
        <item x="618"/>
        <item x="434"/>
        <item x="245"/>
        <item x="298"/>
        <item x="264"/>
        <item x="359"/>
        <item x="213"/>
        <item x="13"/>
        <item x="12"/>
        <item x="34"/>
        <item x="485"/>
        <item x="360"/>
        <item x="177"/>
        <item x="293"/>
        <item x="368"/>
        <item x="396"/>
        <item x="132"/>
        <item x="516"/>
        <item x="261"/>
        <item x="357"/>
        <item x="531"/>
        <item x="263"/>
        <item x="518"/>
        <item x="444"/>
        <item x="45"/>
        <item x="19"/>
        <item x="97"/>
        <item x="486"/>
        <item x="312"/>
        <item x="216"/>
        <item x="330"/>
        <item x="292"/>
        <item x="18"/>
        <item x="328"/>
        <item x="14"/>
        <item x="664"/>
        <item x="96"/>
        <item x="686"/>
        <item x="308"/>
        <item x="225"/>
        <item x="553"/>
        <item x="366"/>
        <item x="73"/>
        <item x="515"/>
        <item x="42"/>
        <item x="125"/>
        <item x="295"/>
        <item x="415"/>
        <item x="549"/>
        <item x="30"/>
        <item x="381"/>
        <item x="146"/>
        <item x="22"/>
        <item x="84"/>
        <item x="126"/>
        <item x="508"/>
        <item x="127"/>
        <item x="571"/>
        <item x="373"/>
        <item x="11"/>
        <item x="10"/>
        <item x="161"/>
        <item x="385"/>
        <item x="115"/>
        <item x="345"/>
        <item x="188"/>
        <item x="9"/>
        <item x="507"/>
        <item x="675"/>
        <item x="677"/>
        <item x="622"/>
        <item x="31"/>
        <item x="322"/>
        <item x="429"/>
        <item x="554"/>
        <item x="29"/>
        <item x="401"/>
        <item x="173"/>
        <item x="409"/>
        <item x="288"/>
        <item x="105"/>
        <item x="65"/>
        <item x="53"/>
        <item x="51"/>
        <item x="629"/>
        <item x="443"/>
        <item x="610"/>
        <item x="135"/>
        <item x="500"/>
        <item x="560"/>
        <item x="523"/>
        <item x="1"/>
        <item x="499"/>
        <item x="587"/>
        <item x="114"/>
        <item x="543"/>
        <item x="483"/>
        <item x="494"/>
        <item x="407"/>
        <item x="495"/>
        <item x="449"/>
        <item x="602"/>
        <item x="369"/>
        <item x="206"/>
        <item x="122"/>
        <item x="313"/>
        <item x="556"/>
        <item x="426"/>
        <item x="670"/>
        <item x="361"/>
        <item x="272"/>
        <item x="442"/>
        <item x="179"/>
        <item x="46"/>
        <item x="657"/>
        <item x="86"/>
        <item x="637"/>
        <item x="473"/>
        <item x="72"/>
        <item x="104"/>
        <item x="70"/>
        <item x="300"/>
        <item x="432"/>
        <item x="302"/>
        <item x="595"/>
        <item x="212"/>
        <item x="607"/>
        <item x="688"/>
        <item x="169"/>
        <item x="160"/>
        <item x="406"/>
        <item x="436"/>
        <item x="627"/>
        <item x="632"/>
        <item x="446"/>
        <item x="185"/>
        <item x="591"/>
        <item x="152"/>
        <item x="537"/>
        <item x="3"/>
        <item x="95"/>
        <item x="93"/>
        <item x="306"/>
        <item x="5"/>
        <item x="445"/>
        <item x="481"/>
        <item x="159"/>
        <item x="244"/>
        <item x="458"/>
        <item x="87"/>
        <item x="585"/>
        <item x="669"/>
        <item x="636"/>
        <item x="557"/>
        <item x="143"/>
        <item x="517"/>
        <item x="630"/>
        <item x="211"/>
        <item x="635"/>
        <item x="395"/>
        <item x="136"/>
        <item x="142"/>
        <item x="408"/>
        <item x="33"/>
        <item x="589"/>
        <item x="47"/>
        <item x="594"/>
        <item x="138"/>
        <item x="412"/>
        <item x="224"/>
        <item x="162"/>
        <item x="341"/>
        <item x="192"/>
        <item x="615"/>
        <item x="340"/>
        <item x="679"/>
        <item x="323"/>
        <item x="372"/>
        <item x="89"/>
        <item x="77"/>
        <item x="38"/>
        <item x="276"/>
        <item x="427"/>
        <item x="83"/>
        <item x="673"/>
        <item x="116"/>
        <item x="539"/>
        <item x="203"/>
        <item x="141"/>
        <item x="687"/>
        <item x="463"/>
        <item x="184"/>
        <item x="338"/>
        <item x="367"/>
        <item x="497"/>
        <item x="552"/>
        <item x="349"/>
        <item x="647"/>
        <item x="354"/>
        <item x="352"/>
        <item x="277"/>
        <item x="561"/>
        <item x="275"/>
        <item x="371"/>
        <item x="616"/>
        <item x="378"/>
        <item x="403"/>
        <item x="461"/>
        <item x="410"/>
        <item x="218"/>
        <item x="284"/>
        <item x="482"/>
        <item x="278"/>
        <item x="21"/>
        <item x="242"/>
        <item x="157"/>
        <item x="131"/>
        <item x="297"/>
        <item x="59"/>
        <item x="27"/>
        <item x="186"/>
        <item x="311"/>
        <item x="85"/>
        <item x="379"/>
        <item x="158"/>
        <item x="183"/>
        <item x="305"/>
        <item x="428"/>
        <item x="519"/>
        <item x="399"/>
        <item x="640"/>
        <item x="326"/>
        <item x="124"/>
        <item x="437"/>
        <item x="200"/>
        <item x="334"/>
        <item x="606"/>
        <item x="303"/>
        <item x="623"/>
        <item x="4"/>
        <item x="147"/>
        <item x="71"/>
        <item x="325"/>
        <item x="190"/>
        <item x="99"/>
        <item x="382"/>
        <item x="655"/>
        <item x="156"/>
        <item x="592"/>
        <item x="583"/>
        <item x="417"/>
        <item x="535"/>
        <item x="542"/>
        <item x="249"/>
        <item x="90"/>
        <item x="58"/>
        <item x="180"/>
        <item x="274"/>
        <item x="479"/>
        <item x="163"/>
        <item x="318"/>
        <item x="337"/>
        <item x="68"/>
        <item x="234"/>
        <item x="113"/>
        <item x="551"/>
        <item x="128"/>
        <item x="336"/>
        <item x="414"/>
        <item x="626"/>
        <item x="150"/>
        <item x="620"/>
        <item x="220"/>
        <item x="502"/>
        <item x="450"/>
        <item x="465"/>
        <item x="550"/>
        <item x="671"/>
        <item x="404"/>
        <item x="487"/>
        <item x="290"/>
        <item x="641"/>
        <item x="119"/>
        <item x="215"/>
        <item x="54"/>
        <item x="74"/>
        <item x="541"/>
        <item x="251"/>
        <item x="309"/>
        <item x="57"/>
        <item x="304"/>
        <item x="82"/>
        <item x="247"/>
        <item x="178"/>
        <item x="646"/>
        <item x="504"/>
        <item x="314"/>
        <item x="69"/>
        <item x="510"/>
        <item x="392"/>
        <item x="76"/>
        <item x="496"/>
        <item x="168"/>
        <item x="24"/>
        <item x="32"/>
        <item x="217"/>
        <item x="240"/>
        <item x="621"/>
        <item x="394"/>
        <item x="468"/>
        <item x="470"/>
        <item x="139"/>
        <item x="581"/>
        <item x="331"/>
        <item x="260"/>
        <item x="289"/>
        <item x="28"/>
        <item x="393"/>
        <item x="332"/>
        <item x="596"/>
        <item x="358"/>
        <item x="267"/>
        <item x="121"/>
        <item x="214"/>
        <item x="451"/>
        <item x="466"/>
        <item x="355"/>
        <item x="98"/>
        <item x="165"/>
        <item x="527"/>
        <item x="536"/>
        <item x="480"/>
        <item x="248"/>
        <item x="658"/>
        <item x="23"/>
        <item x="512"/>
        <item x="287"/>
        <item x="448"/>
        <item x="198"/>
        <item x="682"/>
        <item x="365"/>
        <item x="424"/>
        <item x="44"/>
        <item x="639"/>
        <item x="348"/>
        <item x="239"/>
        <item x="650"/>
        <item x="347"/>
        <item x="193"/>
        <item x="402"/>
        <item x="578"/>
        <item x="525"/>
        <item x="370"/>
        <item x="614"/>
        <item x="167"/>
        <item x="570"/>
        <item x="547"/>
        <item x="398"/>
        <item x="642"/>
        <item x="503"/>
        <item x="617"/>
        <item x="78"/>
        <item x="380"/>
        <item x="597"/>
        <item x="441"/>
        <item x="386"/>
        <item x="464"/>
        <item x="356"/>
        <item x="237"/>
        <item x="413"/>
        <item x="301"/>
        <item x="280"/>
        <item x="530"/>
        <item x="223"/>
        <item x="333"/>
        <item x="202"/>
        <item x="663"/>
        <item x="506"/>
        <item x="269"/>
        <item x="342"/>
        <item x="111"/>
        <item x="577"/>
        <item x="201"/>
        <item x="123"/>
        <item x="452"/>
        <item x="377"/>
        <item x="221"/>
        <item x="612"/>
        <item x="7"/>
        <item x="513"/>
        <item x="376"/>
        <item x="228"/>
        <item x="265"/>
        <item x="565"/>
        <item x="187"/>
        <item x="454"/>
        <item x="529"/>
        <item x="609"/>
        <item x="521"/>
        <item x="668"/>
        <item x="176"/>
        <item x="579"/>
        <item x="175"/>
        <item x="133"/>
        <item x="644"/>
        <item x="0"/>
        <item x="101"/>
        <item x="659"/>
        <item x="140"/>
        <item x="210"/>
        <item x="41"/>
        <item x="246"/>
        <item x="26"/>
        <item x="472"/>
        <item x="511"/>
        <item x="117"/>
        <item x="62"/>
        <item x="387"/>
        <item x="317"/>
        <item x="205"/>
        <item x="315"/>
        <item x="538"/>
        <item x="310"/>
        <item x="652"/>
        <item x="613"/>
        <item x="197"/>
        <item x="189"/>
        <item x="582"/>
        <item x="268"/>
        <item x="493"/>
        <item x="681"/>
        <item x="153"/>
        <item x="208"/>
        <item x="405"/>
        <item x="576"/>
        <item x="563"/>
        <item x="80"/>
        <item x="49"/>
        <item x="285"/>
        <item x="651"/>
        <item x="528"/>
        <item x="459"/>
        <item x="250"/>
      </items>
    </pivotField>
    <pivotField dataField="1" compact="0" outline="0" showAll="0" defaultSubtotal="0"/>
    <pivotField compact="0" outline="0" showAll="0" defaultSubtotal="0"/>
    <pivotField compact="0" outline="0" showAll="0" defaultSubtotal="0"/>
    <pivotField compact="0" outline="0" showAll="0" measureFilter="1" sortType="descending" defaultSubtotal="0">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outline="0" showAll="0" defaultSubtotal="0"/>
    <pivotField compact="0" outline="0" showAll="0" defaultSubtotal="0"/>
    <pivotField compact="0" numFmtId="166" outline="0" showAll="0" defaultSubtotal="0"/>
    <pivotField compact="0" numFmtId="167" outline="0" showAll="0" defaultSubtotal="0"/>
    <pivotField compact="0" numFmtId="167" outline="0" showAll="0" defaultSubtotal="0"/>
    <pivotField compact="0" outline="0" showAll="0" defaultSubtotal="0"/>
    <pivotField compact="0" outline="0" showAll="0" defaultSubtotal="0"/>
    <pivotField compact="0" outline="0" showAll="0" defaultSubtotal="0"/>
    <pivotField compact="0" outline="0" showAll="0" sortType="ascending" defaultSubtotal="0"/>
    <pivotField compact="0" numFmtId="2" outline="0" showAll="0" defaultSubtotal="0"/>
    <pivotField axis="axisRow" compact="0" outline="0" showAll="0" sortType="descending" defaultSubtotal="0">
      <items count="6">
        <item x="2"/>
        <item x="0"/>
        <item x="1"/>
        <item m="1" x="4"/>
        <item m="1" x="5"/>
        <item m="1" x="3"/>
      </items>
      <autoSortScope>
        <pivotArea dataOnly="0" outline="0" fieldPosition="0">
          <references count="1">
            <reference field="4294967294" count="1" selected="0">
              <x v="0"/>
            </reference>
          </references>
        </pivotArea>
      </autoSortScope>
    </pivotField>
    <pivotField compact="0" outline="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howAll="0" defaultSubtotal="0"/>
    <pivotField compact="0" outline="0" showAll="0" defaultSubtotal="0">
      <items count="6">
        <item x="0"/>
        <item x="1"/>
        <item x="2"/>
        <item x="3"/>
        <item x="4"/>
        <item x="5"/>
      </items>
    </pivotField>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s>
  <rowFields count="1">
    <field x="18"/>
  </rowFields>
  <rowItems count="4">
    <i>
      <x v="1"/>
    </i>
    <i>
      <x v="2"/>
    </i>
    <i>
      <x/>
    </i>
    <i t="grand">
      <x/>
    </i>
  </rowItems>
  <colItems count="1">
    <i/>
  </colItems>
  <dataFields count="1">
    <dataField name="Customer Count" fld="2" subtotal="count" baseField="0" baseItem="0"/>
  </dataFields>
  <chartFormats count="6">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18" count="1" selected="0">
            <x v="1"/>
          </reference>
        </references>
      </pivotArea>
    </chartFormat>
    <chartFormat chart="3" format="4">
      <pivotArea type="data" outline="0" fieldPosition="0">
        <references count="2">
          <reference field="4294967294" count="1" selected="0">
            <x v="0"/>
          </reference>
          <reference field="18" count="1" selected="0">
            <x v="2"/>
          </reference>
        </references>
      </pivotArea>
    </chartFormat>
    <chartFormat chart="3" format="5">
      <pivotArea type="data" outline="0" fieldPosition="0">
        <references count="2">
          <reference field="4294967294" count="1" selected="0">
            <x v="0"/>
          </reference>
          <reference field="18" count="1" selected="0">
            <x v="0"/>
          </reference>
        </references>
      </pivotArea>
    </chartFormat>
  </chartFormats>
  <pivotTableStyleInfo name="PivotStyleMedium9" showRowHeaders="1" showColHeaders="1" showRowStripes="0" showColStripes="0" showLastColumn="1"/>
  <filters count="1">
    <filter fld="5" type="count" evalOrder="-1" id="4" iMeasureFld="0">
      <autoFilter ref="A1">
        <filterColumn colId="0">
          <top10 val="15" filterVal="1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6F48574-8849-48ED-AF5C-A8E7A9C27708}" name="TopQuantit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F11:G23" firstHeaderRow="1" firstDataRow="1" firstDataCol="1"/>
  <pivotFields count="34">
    <pivotField showAll="0"/>
    <pivotField numFmtId="165" showAll="0">
      <items count="690">
        <item x="94"/>
        <item x="283"/>
        <item x="107"/>
        <item x="555"/>
        <item x="327"/>
        <item x="209"/>
        <item x="172"/>
        <item x="2"/>
        <item x="238"/>
        <item x="39"/>
        <item x="230"/>
        <item x="433"/>
        <item x="243"/>
        <item x="129"/>
        <item x="154"/>
        <item x="474"/>
        <item x="624"/>
        <item x="110"/>
        <item x="321"/>
        <item x="25"/>
        <item x="435"/>
        <item x="151"/>
        <item x="181"/>
        <item x="56"/>
        <item x="505"/>
        <item x="363"/>
        <item x="254"/>
        <item x="108"/>
        <item x="182"/>
        <item x="649"/>
        <item x="79"/>
        <item x="604"/>
        <item x="514"/>
        <item x="498"/>
        <item x="375"/>
        <item x="233"/>
        <item x="566"/>
        <item x="43"/>
        <item x="665"/>
        <item x="88"/>
        <item x="598"/>
        <item x="421"/>
        <item x="520"/>
        <item x="320"/>
        <item x="279"/>
        <item x="102"/>
        <item x="194"/>
        <item x="456"/>
        <item x="118"/>
        <item x="648"/>
        <item x="64"/>
        <item x="533"/>
        <item x="501"/>
        <item x="422"/>
        <item x="8"/>
        <item x="353"/>
        <item x="103"/>
        <item x="195"/>
        <item x="339"/>
        <item x="643"/>
        <item x="654"/>
        <item x="271"/>
        <item x="389"/>
        <item x="475"/>
        <item x="522"/>
        <item x="20"/>
        <item x="144"/>
        <item x="462"/>
        <item x="397"/>
        <item x="588"/>
        <item x="229"/>
        <item x="469"/>
        <item x="400"/>
        <item x="391"/>
        <item x="683"/>
        <item x="603"/>
        <item x="660"/>
        <item x="447"/>
        <item x="207"/>
        <item x="619"/>
        <item x="351"/>
        <item x="638"/>
        <item x="662"/>
        <item x="390"/>
        <item x="477"/>
        <item x="112"/>
        <item x="226"/>
        <item x="364"/>
        <item x="600"/>
        <item x="109"/>
        <item x="231"/>
        <item x="241"/>
        <item x="92"/>
        <item x="106"/>
        <item x="362"/>
        <item x="430"/>
        <item x="37"/>
        <item x="540"/>
        <item x="257"/>
        <item x="438"/>
        <item x="384"/>
        <item x="608"/>
        <item x="593"/>
        <item x="316"/>
        <item x="580"/>
        <item x="350"/>
        <item x="383"/>
        <item x="258"/>
        <item x="296"/>
        <item x="457"/>
        <item x="191"/>
        <item x="611"/>
        <item x="423"/>
        <item x="235"/>
        <item x="388"/>
        <item x="534"/>
        <item x="544"/>
        <item x="145"/>
        <item x="653"/>
        <item x="374"/>
        <item x="633"/>
        <item x="418"/>
        <item x="294"/>
        <item x="575"/>
        <item x="255"/>
        <item x="567"/>
        <item x="66"/>
        <item x="346"/>
        <item x="259"/>
        <item x="63"/>
        <item x="667"/>
        <item x="174"/>
        <item x="678"/>
        <item x="548"/>
        <item x="471"/>
        <item x="411"/>
        <item x="431"/>
        <item x="628"/>
        <item x="476"/>
        <item x="270"/>
        <item x="199"/>
        <item x="568"/>
        <item x="586"/>
        <item x="40"/>
        <item x="545"/>
        <item x="634"/>
        <item x="155"/>
        <item x="489"/>
        <item x="467"/>
        <item x="491"/>
        <item x="149"/>
        <item x="460"/>
        <item x="91"/>
        <item x="273"/>
        <item x="672"/>
        <item x="120"/>
        <item x="478"/>
        <item x="130"/>
        <item x="674"/>
        <item x="227"/>
        <item x="440"/>
        <item x="266"/>
        <item x="299"/>
        <item x="631"/>
        <item x="329"/>
        <item x="307"/>
        <item x="488"/>
        <item x="685"/>
        <item x="573"/>
        <item x="50"/>
        <item x="286"/>
        <item x="48"/>
        <item x="532"/>
        <item x="281"/>
        <item x="15"/>
        <item x="61"/>
        <item x="67"/>
        <item x="599"/>
        <item x="558"/>
        <item x="75"/>
        <item x="55"/>
        <item x="680"/>
        <item x="684"/>
        <item x="344"/>
        <item x="52"/>
        <item x="419"/>
        <item x="232"/>
        <item x="134"/>
        <item x="572"/>
        <item x="455"/>
        <item x="171"/>
        <item x="661"/>
        <item x="524"/>
        <item x="416"/>
        <item x="219"/>
        <item x="196"/>
        <item x="36"/>
        <item x="420"/>
        <item x="100"/>
        <item x="574"/>
        <item x="601"/>
        <item x="6"/>
        <item x="562"/>
        <item x="625"/>
        <item x="590"/>
        <item x="253"/>
        <item x="148"/>
        <item x="569"/>
        <item x="335"/>
        <item x="492"/>
        <item x="526"/>
        <item x="439"/>
        <item x="252"/>
        <item x="16"/>
        <item x="166"/>
        <item x="204"/>
        <item x="425"/>
        <item x="137"/>
        <item x="490"/>
        <item x="564"/>
        <item x="60"/>
        <item x="319"/>
        <item x="256"/>
        <item x="676"/>
        <item x="559"/>
        <item x="222"/>
        <item x="81"/>
        <item x="666"/>
        <item x="484"/>
        <item x="605"/>
        <item x="546"/>
        <item x="453"/>
        <item x="170"/>
        <item x="164"/>
        <item x="17"/>
        <item x="509"/>
        <item x="584"/>
        <item x="291"/>
        <item x="282"/>
        <item x="262"/>
        <item x="236"/>
        <item x="656"/>
        <item x="324"/>
        <item x="35"/>
        <item x="645"/>
        <item x="343"/>
        <item x="618"/>
        <item x="434"/>
        <item x="245"/>
        <item x="298"/>
        <item x="264"/>
        <item x="359"/>
        <item x="213"/>
        <item x="13"/>
        <item x="12"/>
        <item x="34"/>
        <item x="485"/>
        <item x="360"/>
        <item x="177"/>
        <item x="293"/>
        <item x="368"/>
        <item x="396"/>
        <item x="132"/>
        <item x="516"/>
        <item x="261"/>
        <item x="357"/>
        <item x="531"/>
        <item x="263"/>
        <item x="518"/>
        <item x="444"/>
        <item x="45"/>
        <item x="19"/>
        <item x="97"/>
        <item x="486"/>
        <item x="312"/>
        <item x="216"/>
        <item x="330"/>
        <item x="292"/>
        <item x="18"/>
        <item x="328"/>
        <item x="14"/>
        <item x="664"/>
        <item x="96"/>
        <item x="686"/>
        <item x="308"/>
        <item x="225"/>
        <item x="553"/>
        <item x="366"/>
        <item x="73"/>
        <item x="515"/>
        <item x="42"/>
        <item x="125"/>
        <item x="295"/>
        <item x="415"/>
        <item x="549"/>
        <item x="30"/>
        <item x="381"/>
        <item x="146"/>
        <item x="22"/>
        <item x="84"/>
        <item x="126"/>
        <item x="508"/>
        <item x="127"/>
        <item x="571"/>
        <item x="373"/>
        <item x="11"/>
        <item x="10"/>
        <item x="161"/>
        <item x="385"/>
        <item x="115"/>
        <item x="345"/>
        <item x="188"/>
        <item x="9"/>
        <item x="507"/>
        <item x="675"/>
        <item x="677"/>
        <item x="622"/>
        <item x="31"/>
        <item x="322"/>
        <item x="429"/>
        <item x="554"/>
        <item x="29"/>
        <item x="401"/>
        <item x="173"/>
        <item x="409"/>
        <item x="288"/>
        <item x="105"/>
        <item x="65"/>
        <item x="53"/>
        <item x="51"/>
        <item x="629"/>
        <item x="443"/>
        <item x="610"/>
        <item x="135"/>
        <item x="500"/>
        <item x="560"/>
        <item x="523"/>
        <item x="1"/>
        <item x="499"/>
        <item x="587"/>
        <item x="114"/>
        <item x="543"/>
        <item x="483"/>
        <item x="494"/>
        <item x="407"/>
        <item x="495"/>
        <item x="449"/>
        <item x="602"/>
        <item x="369"/>
        <item x="206"/>
        <item x="122"/>
        <item x="313"/>
        <item x="556"/>
        <item x="426"/>
        <item x="670"/>
        <item x="361"/>
        <item x="272"/>
        <item x="442"/>
        <item x="179"/>
        <item x="46"/>
        <item x="657"/>
        <item x="86"/>
        <item x="637"/>
        <item x="473"/>
        <item x="72"/>
        <item x="104"/>
        <item x="70"/>
        <item x="300"/>
        <item x="432"/>
        <item x="302"/>
        <item x="595"/>
        <item x="212"/>
        <item x="607"/>
        <item x="688"/>
        <item x="169"/>
        <item x="160"/>
        <item x="406"/>
        <item x="436"/>
        <item x="627"/>
        <item x="632"/>
        <item x="446"/>
        <item x="185"/>
        <item x="591"/>
        <item x="152"/>
        <item x="537"/>
        <item x="3"/>
        <item x="95"/>
        <item x="93"/>
        <item x="306"/>
        <item x="5"/>
        <item x="445"/>
        <item x="481"/>
        <item x="159"/>
        <item x="244"/>
        <item x="458"/>
        <item x="87"/>
        <item x="585"/>
        <item x="669"/>
        <item x="636"/>
        <item x="557"/>
        <item x="143"/>
        <item x="517"/>
        <item x="630"/>
        <item x="211"/>
        <item x="635"/>
        <item x="395"/>
        <item x="136"/>
        <item x="142"/>
        <item x="408"/>
        <item x="33"/>
        <item x="589"/>
        <item x="47"/>
        <item x="594"/>
        <item x="138"/>
        <item x="412"/>
        <item x="224"/>
        <item x="162"/>
        <item x="341"/>
        <item x="192"/>
        <item x="615"/>
        <item x="340"/>
        <item x="679"/>
        <item x="323"/>
        <item x="372"/>
        <item x="89"/>
        <item x="77"/>
        <item x="38"/>
        <item x="276"/>
        <item x="427"/>
        <item x="83"/>
        <item x="673"/>
        <item x="116"/>
        <item x="539"/>
        <item x="203"/>
        <item x="141"/>
        <item x="687"/>
        <item x="463"/>
        <item x="184"/>
        <item x="338"/>
        <item x="367"/>
        <item x="497"/>
        <item x="552"/>
        <item x="349"/>
        <item x="647"/>
        <item x="354"/>
        <item x="352"/>
        <item x="277"/>
        <item x="561"/>
        <item x="275"/>
        <item x="371"/>
        <item x="616"/>
        <item x="378"/>
        <item x="403"/>
        <item x="461"/>
        <item x="410"/>
        <item x="218"/>
        <item x="284"/>
        <item x="482"/>
        <item x="278"/>
        <item x="21"/>
        <item x="242"/>
        <item x="157"/>
        <item x="131"/>
        <item x="297"/>
        <item x="59"/>
        <item x="27"/>
        <item x="186"/>
        <item x="311"/>
        <item x="85"/>
        <item x="379"/>
        <item x="158"/>
        <item x="183"/>
        <item x="305"/>
        <item x="428"/>
        <item x="519"/>
        <item x="399"/>
        <item x="640"/>
        <item x="326"/>
        <item x="124"/>
        <item x="437"/>
        <item x="200"/>
        <item x="334"/>
        <item x="606"/>
        <item x="303"/>
        <item x="623"/>
        <item x="4"/>
        <item x="147"/>
        <item x="71"/>
        <item x="325"/>
        <item x="190"/>
        <item x="99"/>
        <item x="382"/>
        <item x="655"/>
        <item x="156"/>
        <item x="592"/>
        <item x="583"/>
        <item x="417"/>
        <item x="535"/>
        <item x="542"/>
        <item x="249"/>
        <item x="90"/>
        <item x="58"/>
        <item x="180"/>
        <item x="274"/>
        <item x="479"/>
        <item x="163"/>
        <item x="318"/>
        <item x="337"/>
        <item x="68"/>
        <item x="234"/>
        <item x="113"/>
        <item x="551"/>
        <item x="128"/>
        <item x="336"/>
        <item x="414"/>
        <item x="626"/>
        <item x="150"/>
        <item x="620"/>
        <item x="220"/>
        <item x="502"/>
        <item x="450"/>
        <item x="465"/>
        <item x="550"/>
        <item x="671"/>
        <item x="404"/>
        <item x="487"/>
        <item x="290"/>
        <item x="641"/>
        <item x="119"/>
        <item x="215"/>
        <item x="54"/>
        <item x="74"/>
        <item x="541"/>
        <item x="251"/>
        <item x="309"/>
        <item x="57"/>
        <item x="304"/>
        <item x="82"/>
        <item x="247"/>
        <item x="178"/>
        <item x="646"/>
        <item x="504"/>
        <item x="314"/>
        <item x="69"/>
        <item x="510"/>
        <item x="392"/>
        <item x="76"/>
        <item x="496"/>
        <item x="168"/>
        <item x="24"/>
        <item x="32"/>
        <item x="217"/>
        <item x="240"/>
        <item x="621"/>
        <item x="394"/>
        <item x="468"/>
        <item x="470"/>
        <item x="139"/>
        <item x="581"/>
        <item x="331"/>
        <item x="260"/>
        <item x="289"/>
        <item x="28"/>
        <item x="393"/>
        <item x="332"/>
        <item x="596"/>
        <item x="358"/>
        <item x="267"/>
        <item x="121"/>
        <item x="214"/>
        <item x="451"/>
        <item x="466"/>
        <item x="355"/>
        <item x="98"/>
        <item x="165"/>
        <item x="527"/>
        <item x="536"/>
        <item x="480"/>
        <item x="248"/>
        <item x="658"/>
        <item x="23"/>
        <item x="512"/>
        <item x="287"/>
        <item x="448"/>
        <item x="198"/>
        <item x="682"/>
        <item x="365"/>
        <item x="424"/>
        <item x="44"/>
        <item x="639"/>
        <item x="348"/>
        <item x="239"/>
        <item x="650"/>
        <item x="347"/>
        <item x="193"/>
        <item x="402"/>
        <item x="578"/>
        <item x="525"/>
        <item x="370"/>
        <item x="614"/>
        <item x="167"/>
        <item x="570"/>
        <item x="547"/>
        <item x="398"/>
        <item x="642"/>
        <item x="503"/>
        <item x="617"/>
        <item x="78"/>
        <item x="380"/>
        <item x="597"/>
        <item x="441"/>
        <item x="386"/>
        <item x="464"/>
        <item x="356"/>
        <item x="237"/>
        <item x="413"/>
        <item x="301"/>
        <item x="280"/>
        <item x="530"/>
        <item x="223"/>
        <item x="333"/>
        <item x="202"/>
        <item x="663"/>
        <item x="506"/>
        <item x="269"/>
        <item x="342"/>
        <item x="111"/>
        <item x="577"/>
        <item x="201"/>
        <item x="123"/>
        <item x="452"/>
        <item x="377"/>
        <item x="221"/>
        <item x="612"/>
        <item x="7"/>
        <item x="513"/>
        <item x="376"/>
        <item x="228"/>
        <item x="265"/>
        <item x="565"/>
        <item x="187"/>
        <item x="454"/>
        <item x="529"/>
        <item x="609"/>
        <item x="521"/>
        <item x="668"/>
        <item x="176"/>
        <item x="579"/>
        <item x="175"/>
        <item x="133"/>
        <item x="644"/>
        <item x="0"/>
        <item x="101"/>
        <item x="659"/>
        <item x="140"/>
        <item x="210"/>
        <item x="41"/>
        <item x="246"/>
        <item x="26"/>
        <item x="472"/>
        <item x="511"/>
        <item x="117"/>
        <item x="62"/>
        <item x="387"/>
        <item x="317"/>
        <item x="205"/>
        <item x="315"/>
        <item x="538"/>
        <item x="310"/>
        <item x="652"/>
        <item x="613"/>
        <item x="197"/>
        <item x="189"/>
        <item x="582"/>
        <item x="268"/>
        <item x="493"/>
        <item x="681"/>
        <item x="153"/>
        <item x="208"/>
        <item x="405"/>
        <item x="576"/>
        <item x="563"/>
        <item x="80"/>
        <item x="49"/>
        <item x="285"/>
        <item x="651"/>
        <item x="528"/>
        <item x="459"/>
        <item x="250"/>
        <item t="default"/>
      </items>
    </pivotField>
    <pivotField showAll="0"/>
    <pivotField axis="axisRow" showAll="0" measureFilter="1" sortType="ascending">
      <items count="49">
        <item x="9"/>
        <item x="38"/>
        <item x="6"/>
        <item x="11"/>
        <item x="44"/>
        <item x="31"/>
        <item x="26"/>
        <item x="25"/>
        <item x="13"/>
        <item x="0"/>
        <item x="47"/>
        <item x="15"/>
        <item x="41"/>
        <item x="34"/>
        <item x="37"/>
        <item x="5"/>
        <item x="33"/>
        <item x="1"/>
        <item x="30"/>
        <item x="10"/>
        <item x="28"/>
        <item x="19"/>
        <item x="14"/>
        <item x="29"/>
        <item x="4"/>
        <item x="21"/>
        <item x="24"/>
        <item x="42"/>
        <item x="39"/>
        <item x="45"/>
        <item x="20"/>
        <item x="27"/>
        <item x="32"/>
        <item x="12"/>
        <item x="36"/>
        <item x="40"/>
        <item x="3"/>
        <item x="35"/>
        <item x="2"/>
        <item x="46"/>
        <item x="17"/>
        <item x="7"/>
        <item x="16"/>
        <item x="23"/>
        <item x="22"/>
        <item x="8"/>
        <item x="18"/>
        <item x="43"/>
        <item t="default"/>
      </items>
      <autoSortScope>
        <pivotArea dataOnly="0" outline="0" fieldPosition="0">
          <references count="1">
            <reference field="4294967294" count="1" selected="0">
              <x v="0"/>
            </reference>
          </references>
        </pivotArea>
      </autoSortScope>
    </pivotField>
    <pivotField dataField="1" showAll="0"/>
    <pivotField showAll="0"/>
    <pivotField showAll="0"/>
    <pivotField showAll="0">
      <items count="4">
        <item x="1"/>
        <item x="2"/>
        <item x="0"/>
        <item t="default"/>
      </items>
    </pivotField>
    <pivotField showAll="0"/>
    <pivotField showAll="0"/>
    <pivotField numFmtId="166" showAll="0"/>
    <pivotField numFmtId="167" showAll="0"/>
    <pivotField numFmtId="167" showAll="0"/>
    <pivotField showAll="0">
      <items count="5">
        <item x="2"/>
        <item x="3"/>
        <item x="1"/>
        <item x="0"/>
        <item t="default"/>
      </items>
    </pivotField>
    <pivotField showAll="0"/>
    <pivotField showAll="0"/>
    <pivotField showAll="0"/>
    <pivotField numFmtId="2"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6">
        <item x="0"/>
        <item x="1"/>
        <item x="2"/>
        <item x="3"/>
        <item x="4"/>
        <item x="5"/>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3"/>
  </rowFields>
  <rowItems count="12">
    <i>
      <x v="46"/>
    </i>
    <i>
      <x v="25"/>
    </i>
    <i>
      <x v="30"/>
    </i>
    <i>
      <x v="5"/>
    </i>
    <i>
      <x v="11"/>
    </i>
    <i>
      <x v="19"/>
    </i>
    <i>
      <x v="36"/>
    </i>
    <i>
      <x v="47"/>
    </i>
    <i>
      <x v="37"/>
    </i>
    <i>
      <x v="38"/>
    </i>
    <i>
      <x v="7"/>
    </i>
    <i t="grand">
      <x/>
    </i>
  </rowItems>
  <colItems count="1">
    <i/>
  </colItems>
  <dataFields count="1">
    <dataField name="Sum of Quantity" fld="4" baseField="0" baseItem="0"/>
  </dataFields>
  <chartFormats count="1">
    <chartFormat chart="6" format="2"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3" type="count" evalOrder="-1" id="2"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519F233-A263-4CEF-B218-97BEEAD77233}" name="TopSal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1">
  <location ref="I11:J23" firstHeaderRow="1" firstDataRow="1" firstDataCol="1"/>
  <pivotFields count="34">
    <pivotField showAll="0"/>
    <pivotField numFmtId="165" showAll="0">
      <items count="690">
        <item x="94"/>
        <item x="283"/>
        <item x="107"/>
        <item x="555"/>
        <item x="327"/>
        <item x="209"/>
        <item x="172"/>
        <item x="2"/>
        <item x="238"/>
        <item x="39"/>
        <item x="230"/>
        <item x="433"/>
        <item x="243"/>
        <item x="129"/>
        <item x="154"/>
        <item x="474"/>
        <item x="624"/>
        <item x="110"/>
        <item x="321"/>
        <item x="25"/>
        <item x="435"/>
        <item x="151"/>
        <item x="181"/>
        <item x="56"/>
        <item x="505"/>
        <item x="363"/>
        <item x="254"/>
        <item x="108"/>
        <item x="182"/>
        <item x="649"/>
        <item x="79"/>
        <item x="604"/>
        <item x="514"/>
        <item x="498"/>
        <item x="375"/>
        <item x="233"/>
        <item x="566"/>
        <item x="43"/>
        <item x="665"/>
        <item x="88"/>
        <item x="598"/>
        <item x="421"/>
        <item x="520"/>
        <item x="320"/>
        <item x="279"/>
        <item x="102"/>
        <item x="194"/>
        <item x="456"/>
        <item x="118"/>
        <item x="648"/>
        <item x="64"/>
        <item x="533"/>
        <item x="501"/>
        <item x="422"/>
        <item x="8"/>
        <item x="353"/>
        <item x="103"/>
        <item x="195"/>
        <item x="339"/>
        <item x="643"/>
        <item x="654"/>
        <item x="271"/>
        <item x="389"/>
        <item x="475"/>
        <item x="522"/>
        <item x="20"/>
        <item x="144"/>
        <item x="462"/>
        <item x="397"/>
        <item x="588"/>
        <item x="229"/>
        <item x="469"/>
        <item x="400"/>
        <item x="391"/>
        <item x="683"/>
        <item x="603"/>
        <item x="660"/>
        <item x="447"/>
        <item x="207"/>
        <item x="619"/>
        <item x="351"/>
        <item x="638"/>
        <item x="662"/>
        <item x="390"/>
        <item x="477"/>
        <item x="112"/>
        <item x="226"/>
        <item x="364"/>
        <item x="600"/>
        <item x="109"/>
        <item x="231"/>
        <item x="241"/>
        <item x="92"/>
        <item x="106"/>
        <item x="362"/>
        <item x="430"/>
        <item x="37"/>
        <item x="540"/>
        <item x="257"/>
        <item x="438"/>
        <item x="384"/>
        <item x="608"/>
        <item x="593"/>
        <item x="316"/>
        <item x="580"/>
        <item x="350"/>
        <item x="383"/>
        <item x="258"/>
        <item x="296"/>
        <item x="457"/>
        <item x="191"/>
        <item x="611"/>
        <item x="423"/>
        <item x="235"/>
        <item x="388"/>
        <item x="534"/>
        <item x="544"/>
        <item x="145"/>
        <item x="653"/>
        <item x="374"/>
        <item x="633"/>
        <item x="418"/>
        <item x="294"/>
        <item x="575"/>
        <item x="255"/>
        <item x="567"/>
        <item x="66"/>
        <item x="346"/>
        <item x="259"/>
        <item x="63"/>
        <item x="667"/>
        <item x="174"/>
        <item x="678"/>
        <item x="548"/>
        <item x="471"/>
        <item x="411"/>
        <item x="431"/>
        <item x="628"/>
        <item x="476"/>
        <item x="270"/>
        <item x="199"/>
        <item x="568"/>
        <item x="586"/>
        <item x="40"/>
        <item x="545"/>
        <item x="634"/>
        <item x="155"/>
        <item x="489"/>
        <item x="467"/>
        <item x="491"/>
        <item x="149"/>
        <item x="460"/>
        <item x="91"/>
        <item x="273"/>
        <item x="672"/>
        <item x="120"/>
        <item x="478"/>
        <item x="130"/>
        <item x="674"/>
        <item x="227"/>
        <item x="440"/>
        <item x="266"/>
        <item x="299"/>
        <item x="631"/>
        <item x="329"/>
        <item x="307"/>
        <item x="488"/>
        <item x="685"/>
        <item x="573"/>
        <item x="50"/>
        <item x="286"/>
        <item x="48"/>
        <item x="532"/>
        <item x="281"/>
        <item x="15"/>
        <item x="61"/>
        <item x="67"/>
        <item x="599"/>
        <item x="558"/>
        <item x="75"/>
        <item x="55"/>
        <item x="680"/>
        <item x="684"/>
        <item x="344"/>
        <item x="52"/>
        <item x="419"/>
        <item x="232"/>
        <item x="134"/>
        <item x="572"/>
        <item x="455"/>
        <item x="171"/>
        <item x="661"/>
        <item x="524"/>
        <item x="416"/>
        <item x="219"/>
        <item x="196"/>
        <item x="36"/>
        <item x="420"/>
        <item x="100"/>
        <item x="574"/>
        <item x="601"/>
        <item x="6"/>
        <item x="562"/>
        <item x="625"/>
        <item x="590"/>
        <item x="253"/>
        <item x="148"/>
        <item x="569"/>
        <item x="335"/>
        <item x="492"/>
        <item x="526"/>
        <item x="439"/>
        <item x="252"/>
        <item x="16"/>
        <item x="166"/>
        <item x="204"/>
        <item x="425"/>
        <item x="137"/>
        <item x="490"/>
        <item x="564"/>
        <item x="60"/>
        <item x="319"/>
        <item x="256"/>
        <item x="676"/>
        <item x="559"/>
        <item x="222"/>
        <item x="81"/>
        <item x="666"/>
        <item x="484"/>
        <item x="605"/>
        <item x="546"/>
        <item x="453"/>
        <item x="170"/>
        <item x="164"/>
        <item x="17"/>
        <item x="509"/>
        <item x="584"/>
        <item x="291"/>
        <item x="282"/>
        <item x="262"/>
        <item x="236"/>
        <item x="656"/>
        <item x="324"/>
        <item x="35"/>
        <item x="645"/>
        <item x="343"/>
        <item x="618"/>
        <item x="434"/>
        <item x="245"/>
        <item x="298"/>
        <item x="264"/>
        <item x="359"/>
        <item x="213"/>
        <item x="13"/>
        <item x="12"/>
        <item x="34"/>
        <item x="485"/>
        <item x="360"/>
        <item x="177"/>
        <item x="293"/>
        <item x="368"/>
        <item x="396"/>
        <item x="132"/>
        <item x="516"/>
        <item x="261"/>
        <item x="357"/>
        <item x="531"/>
        <item x="263"/>
        <item x="518"/>
        <item x="444"/>
        <item x="45"/>
        <item x="19"/>
        <item x="97"/>
        <item x="486"/>
        <item x="312"/>
        <item x="216"/>
        <item x="330"/>
        <item x="292"/>
        <item x="18"/>
        <item x="328"/>
        <item x="14"/>
        <item x="664"/>
        <item x="96"/>
        <item x="686"/>
        <item x="308"/>
        <item x="225"/>
        <item x="553"/>
        <item x="366"/>
        <item x="73"/>
        <item x="515"/>
        <item x="42"/>
        <item x="125"/>
        <item x="295"/>
        <item x="415"/>
        <item x="549"/>
        <item x="30"/>
        <item x="381"/>
        <item x="146"/>
        <item x="22"/>
        <item x="84"/>
        <item x="126"/>
        <item x="508"/>
        <item x="127"/>
        <item x="571"/>
        <item x="373"/>
        <item x="11"/>
        <item x="10"/>
        <item x="161"/>
        <item x="385"/>
        <item x="115"/>
        <item x="345"/>
        <item x="188"/>
        <item x="9"/>
        <item x="507"/>
        <item x="675"/>
        <item x="677"/>
        <item x="622"/>
        <item x="31"/>
        <item x="322"/>
        <item x="429"/>
        <item x="554"/>
        <item x="29"/>
        <item x="401"/>
        <item x="173"/>
        <item x="409"/>
        <item x="288"/>
        <item x="105"/>
        <item x="65"/>
        <item x="53"/>
        <item x="51"/>
        <item x="629"/>
        <item x="443"/>
        <item x="610"/>
        <item x="135"/>
        <item x="500"/>
        <item x="560"/>
        <item x="523"/>
        <item x="1"/>
        <item x="499"/>
        <item x="587"/>
        <item x="114"/>
        <item x="543"/>
        <item x="483"/>
        <item x="494"/>
        <item x="407"/>
        <item x="495"/>
        <item x="449"/>
        <item x="602"/>
        <item x="369"/>
        <item x="206"/>
        <item x="122"/>
        <item x="313"/>
        <item x="556"/>
        <item x="426"/>
        <item x="670"/>
        <item x="361"/>
        <item x="272"/>
        <item x="442"/>
        <item x="179"/>
        <item x="46"/>
        <item x="657"/>
        <item x="86"/>
        <item x="637"/>
        <item x="473"/>
        <item x="72"/>
        <item x="104"/>
        <item x="70"/>
        <item x="300"/>
        <item x="432"/>
        <item x="302"/>
        <item x="595"/>
        <item x="212"/>
        <item x="607"/>
        <item x="688"/>
        <item x="169"/>
        <item x="160"/>
        <item x="406"/>
        <item x="436"/>
        <item x="627"/>
        <item x="632"/>
        <item x="446"/>
        <item x="185"/>
        <item x="591"/>
        <item x="152"/>
        <item x="537"/>
        <item x="3"/>
        <item x="95"/>
        <item x="93"/>
        <item x="306"/>
        <item x="5"/>
        <item x="445"/>
        <item x="481"/>
        <item x="159"/>
        <item x="244"/>
        <item x="458"/>
        <item x="87"/>
        <item x="585"/>
        <item x="669"/>
        <item x="636"/>
        <item x="557"/>
        <item x="143"/>
        <item x="517"/>
        <item x="630"/>
        <item x="211"/>
        <item x="635"/>
        <item x="395"/>
        <item x="136"/>
        <item x="142"/>
        <item x="408"/>
        <item x="33"/>
        <item x="589"/>
        <item x="47"/>
        <item x="594"/>
        <item x="138"/>
        <item x="412"/>
        <item x="224"/>
        <item x="162"/>
        <item x="341"/>
        <item x="192"/>
        <item x="615"/>
        <item x="340"/>
        <item x="679"/>
        <item x="323"/>
        <item x="372"/>
        <item x="89"/>
        <item x="77"/>
        <item x="38"/>
        <item x="276"/>
        <item x="427"/>
        <item x="83"/>
        <item x="673"/>
        <item x="116"/>
        <item x="539"/>
        <item x="203"/>
        <item x="141"/>
        <item x="687"/>
        <item x="463"/>
        <item x="184"/>
        <item x="338"/>
        <item x="367"/>
        <item x="497"/>
        <item x="552"/>
        <item x="349"/>
        <item x="647"/>
        <item x="354"/>
        <item x="352"/>
        <item x="277"/>
        <item x="561"/>
        <item x="275"/>
        <item x="371"/>
        <item x="616"/>
        <item x="378"/>
        <item x="403"/>
        <item x="461"/>
        <item x="410"/>
        <item x="218"/>
        <item x="284"/>
        <item x="482"/>
        <item x="278"/>
        <item x="21"/>
        <item x="242"/>
        <item x="157"/>
        <item x="131"/>
        <item x="297"/>
        <item x="59"/>
        <item x="27"/>
        <item x="186"/>
        <item x="311"/>
        <item x="85"/>
        <item x="379"/>
        <item x="158"/>
        <item x="183"/>
        <item x="305"/>
        <item x="428"/>
        <item x="519"/>
        <item x="399"/>
        <item x="640"/>
        <item x="326"/>
        <item x="124"/>
        <item x="437"/>
        <item x="200"/>
        <item x="334"/>
        <item x="606"/>
        <item x="303"/>
        <item x="623"/>
        <item x="4"/>
        <item x="147"/>
        <item x="71"/>
        <item x="325"/>
        <item x="190"/>
        <item x="99"/>
        <item x="382"/>
        <item x="655"/>
        <item x="156"/>
        <item x="592"/>
        <item x="583"/>
        <item x="417"/>
        <item x="535"/>
        <item x="542"/>
        <item x="249"/>
        <item x="90"/>
        <item x="58"/>
        <item x="180"/>
        <item x="274"/>
        <item x="479"/>
        <item x="163"/>
        <item x="318"/>
        <item x="337"/>
        <item x="68"/>
        <item x="234"/>
        <item x="113"/>
        <item x="551"/>
        <item x="128"/>
        <item x="336"/>
        <item x="414"/>
        <item x="626"/>
        <item x="150"/>
        <item x="620"/>
        <item x="220"/>
        <item x="502"/>
        <item x="450"/>
        <item x="465"/>
        <item x="550"/>
        <item x="671"/>
        <item x="404"/>
        <item x="487"/>
        <item x="290"/>
        <item x="641"/>
        <item x="119"/>
        <item x="215"/>
        <item x="54"/>
        <item x="74"/>
        <item x="541"/>
        <item x="251"/>
        <item x="309"/>
        <item x="57"/>
        <item x="304"/>
        <item x="82"/>
        <item x="247"/>
        <item x="178"/>
        <item x="646"/>
        <item x="504"/>
        <item x="314"/>
        <item x="69"/>
        <item x="510"/>
        <item x="392"/>
        <item x="76"/>
        <item x="496"/>
        <item x="168"/>
        <item x="24"/>
        <item x="32"/>
        <item x="217"/>
        <item x="240"/>
        <item x="621"/>
        <item x="394"/>
        <item x="468"/>
        <item x="470"/>
        <item x="139"/>
        <item x="581"/>
        <item x="331"/>
        <item x="260"/>
        <item x="289"/>
        <item x="28"/>
        <item x="393"/>
        <item x="332"/>
        <item x="596"/>
        <item x="358"/>
        <item x="267"/>
        <item x="121"/>
        <item x="214"/>
        <item x="451"/>
        <item x="466"/>
        <item x="355"/>
        <item x="98"/>
        <item x="165"/>
        <item x="527"/>
        <item x="536"/>
        <item x="480"/>
        <item x="248"/>
        <item x="658"/>
        <item x="23"/>
        <item x="512"/>
        <item x="287"/>
        <item x="448"/>
        <item x="198"/>
        <item x="682"/>
        <item x="365"/>
        <item x="424"/>
        <item x="44"/>
        <item x="639"/>
        <item x="348"/>
        <item x="239"/>
        <item x="650"/>
        <item x="347"/>
        <item x="193"/>
        <item x="402"/>
        <item x="578"/>
        <item x="525"/>
        <item x="370"/>
        <item x="614"/>
        <item x="167"/>
        <item x="570"/>
        <item x="547"/>
        <item x="398"/>
        <item x="642"/>
        <item x="503"/>
        <item x="617"/>
        <item x="78"/>
        <item x="380"/>
        <item x="597"/>
        <item x="441"/>
        <item x="386"/>
        <item x="464"/>
        <item x="356"/>
        <item x="237"/>
        <item x="413"/>
        <item x="301"/>
        <item x="280"/>
        <item x="530"/>
        <item x="223"/>
        <item x="333"/>
        <item x="202"/>
        <item x="663"/>
        <item x="506"/>
        <item x="269"/>
        <item x="342"/>
        <item x="111"/>
        <item x="577"/>
        <item x="201"/>
        <item x="123"/>
        <item x="452"/>
        <item x="377"/>
        <item x="221"/>
        <item x="612"/>
        <item x="7"/>
        <item x="513"/>
        <item x="376"/>
        <item x="228"/>
        <item x="265"/>
        <item x="565"/>
        <item x="187"/>
        <item x="454"/>
        <item x="529"/>
        <item x="609"/>
        <item x="521"/>
        <item x="668"/>
        <item x="176"/>
        <item x="579"/>
        <item x="175"/>
        <item x="133"/>
        <item x="644"/>
        <item x="0"/>
        <item x="101"/>
        <item x="659"/>
        <item x="140"/>
        <item x="210"/>
        <item x="41"/>
        <item x="246"/>
        <item x="26"/>
        <item x="472"/>
        <item x="511"/>
        <item x="117"/>
        <item x="62"/>
        <item x="387"/>
        <item x="317"/>
        <item x="205"/>
        <item x="315"/>
        <item x="538"/>
        <item x="310"/>
        <item x="652"/>
        <item x="613"/>
        <item x="197"/>
        <item x="189"/>
        <item x="582"/>
        <item x="268"/>
        <item x="493"/>
        <item x="681"/>
        <item x="153"/>
        <item x="208"/>
        <item x="405"/>
        <item x="576"/>
        <item x="563"/>
        <item x="80"/>
        <item x="49"/>
        <item x="285"/>
        <item x="651"/>
        <item x="528"/>
        <item x="459"/>
        <item x="250"/>
        <item t="default"/>
      </items>
    </pivotField>
    <pivotField showAll="0"/>
    <pivotField axis="axisRow" showAll="0" measureFilter="1" sortType="ascending">
      <items count="49">
        <item x="9"/>
        <item x="38"/>
        <item x="6"/>
        <item x="11"/>
        <item x="44"/>
        <item x="31"/>
        <item x="26"/>
        <item x="25"/>
        <item x="13"/>
        <item x="0"/>
        <item x="47"/>
        <item x="15"/>
        <item x="41"/>
        <item x="34"/>
        <item x="37"/>
        <item x="5"/>
        <item x="33"/>
        <item x="1"/>
        <item x="30"/>
        <item x="10"/>
        <item x="28"/>
        <item x="19"/>
        <item x="14"/>
        <item x="29"/>
        <item x="4"/>
        <item x="21"/>
        <item x="24"/>
        <item x="42"/>
        <item x="39"/>
        <item x="45"/>
        <item x="20"/>
        <item x="27"/>
        <item x="32"/>
        <item x="12"/>
        <item x="36"/>
        <item x="40"/>
        <item x="3"/>
        <item x="35"/>
        <item x="2"/>
        <item x="46"/>
        <item x="17"/>
        <item x="7"/>
        <item x="16"/>
        <item x="23"/>
        <item x="22"/>
        <item x="8"/>
        <item x="18"/>
        <item x="43"/>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items count="4">
        <item x="1"/>
        <item x="2"/>
        <item x="0"/>
        <item t="default"/>
      </items>
    </pivotField>
    <pivotField showAll="0"/>
    <pivotField showAll="0"/>
    <pivotField numFmtId="166" showAll="0"/>
    <pivotField numFmtId="167" showAll="0"/>
    <pivotField dataField="1" numFmtId="167" showAll="0"/>
    <pivotField showAll="0">
      <items count="5">
        <item x="2"/>
        <item x="3"/>
        <item x="1"/>
        <item x="0"/>
        <item t="default"/>
      </items>
    </pivotField>
    <pivotField showAll="0"/>
    <pivotField showAll="0"/>
    <pivotField showAll="0"/>
    <pivotField numFmtId="2"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6">
        <item x="0"/>
        <item x="1"/>
        <item x="2"/>
        <item x="3"/>
        <item x="4"/>
        <item x="5"/>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3"/>
  </rowFields>
  <rowItems count="12">
    <i>
      <x v="12"/>
    </i>
    <i>
      <x v="8"/>
    </i>
    <i>
      <x v="44"/>
    </i>
    <i>
      <x v="4"/>
    </i>
    <i>
      <x v="32"/>
    </i>
    <i>
      <x v="24"/>
    </i>
    <i>
      <x v="16"/>
    </i>
    <i>
      <x v="20"/>
    </i>
    <i>
      <x v="28"/>
    </i>
    <i>
      <x v="36"/>
    </i>
    <i>
      <x v="40"/>
    </i>
    <i t="grand">
      <x/>
    </i>
  </rowItems>
  <colItems count="1">
    <i/>
  </colItems>
  <dataFields count="1">
    <dataField name="Sum of Sales" fld="12" baseField="0" baseItem="0" numFmtId="167"/>
  </dataFields>
  <chartFormats count="1">
    <chartFormat chart="5" format="2"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3" type="count" evalOrder="-1" id="2" iMeasureFld="0">
      <autoFilter ref="A1">
        <filterColumn colId="0">
          <top10 val="11" filterVal="1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0FA40D-ECD4-4325-B55A-DCD1F72C4D20}" name="SeasonalTable"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9">
  <location ref="A98:N104" firstHeaderRow="1" firstDataRow="2" firstDataCol="1"/>
  <pivotFields count="34">
    <pivotField showAll="0"/>
    <pivotField numFmtId="165" showAll="0">
      <items count="690">
        <item x="94"/>
        <item x="283"/>
        <item x="107"/>
        <item x="555"/>
        <item x="327"/>
        <item x="209"/>
        <item x="172"/>
        <item x="2"/>
        <item x="238"/>
        <item x="39"/>
        <item x="230"/>
        <item x="433"/>
        <item x="243"/>
        <item x="129"/>
        <item x="154"/>
        <item x="474"/>
        <item x="624"/>
        <item x="110"/>
        <item x="321"/>
        <item x="25"/>
        <item x="435"/>
        <item x="151"/>
        <item x="181"/>
        <item x="56"/>
        <item x="505"/>
        <item x="363"/>
        <item x="254"/>
        <item x="108"/>
        <item x="182"/>
        <item x="649"/>
        <item x="79"/>
        <item x="604"/>
        <item x="514"/>
        <item x="498"/>
        <item x="375"/>
        <item x="233"/>
        <item x="566"/>
        <item x="43"/>
        <item x="665"/>
        <item x="88"/>
        <item x="598"/>
        <item x="421"/>
        <item x="520"/>
        <item x="320"/>
        <item x="279"/>
        <item x="102"/>
        <item x="194"/>
        <item x="456"/>
        <item x="118"/>
        <item x="648"/>
        <item x="64"/>
        <item x="533"/>
        <item x="501"/>
        <item x="422"/>
        <item x="8"/>
        <item x="353"/>
        <item x="103"/>
        <item x="195"/>
        <item x="339"/>
        <item x="643"/>
        <item x="654"/>
        <item x="271"/>
        <item x="389"/>
        <item x="475"/>
        <item x="522"/>
        <item x="20"/>
        <item x="144"/>
        <item x="462"/>
        <item x="397"/>
        <item x="588"/>
        <item x="229"/>
        <item x="469"/>
        <item x="400"/>
        <item x="391"/>
        <item x="683"/>
        <item x="603"/>
        <item x="660"/>
        <item x="447"/>
        <item x="207"/>
        <item x="619"/>
        <item x="351"/>
        <item x="638"/>
        <item x="662"/>
        <item x="390"/>
        <item x="477"/>
        <item x="112"/>
        <item x="226"/>
        <item x="364"/>
        <item x="600"/>
        <item x="109"/>
        <item x="231"/>
        <item x="241"/>
        <item x="92"/>
        <item x="106"/>
        <item x="362"/>
        <item x="430"/>
        <item x="37"/>
        <item x="540"/>
        <item x="257"/>
        <item x="438"/>
        <item x="384"/>
        <item x="608"/>
        <item x="593"/>
        <item x="316"/>
        <item x="580"/>
        <item x="350"/>
        <item x="383"/>
        <item x="258"/>
        <item x="296"/>
        <item x="457"/>
        <item x="191"/>
        <item x="611"/>
        <item x="423"/>
        <item x="235"/>
        <item x="388"/>
        <item x="534"/>
        <item x="544"/>
        <item x="145"/>
        <item x="653"/>
        <item x="374"/>
        <item x="633"/>
        <item x="418"/>
        <item x="294"/>
        <item x="575"/>
        <item x="255"/>
        <item x="567"/>
        <item x="66"/>
        <item x="346"/>
        <item x="259"/>
        <item x="63"/>
        <item x="667"/>
        <item x="174"/>
        <item x="678"/>
        <item x="548"/>
        <item x="471"/>
        <item x="411"/>
        <item x="431"/>
        <item x="628"/>
        <item x="476"/>
        <item x="270"/>
        <item x="199"/>
        <item x="568"/>
        <item x="586"/>
        <item x="40"/>
        <item x="545"/>
        <item x="634"/>
        <item x="155"/>
        <item x="489"/>
        <item x="467"/>
        <item x="491"/>
        <item x="149"/>
        <item x="460"/>
        <item x="91"/>
        <item x="273"/>
        <item x="672"/>
        <item x="120"/>
        <item x="478"/>
        <item x="130"/>
        <item x="674"/>
        <item x="227"/>
        <item x="440"/>
        <item x="266"/>
        <item x="299"/>
        <item x="631"/>
        <item x="329"/>
        <item x="307"/>
        <item x="488"/>
        <item x="685"/>
        <item x="573"/>
        <item x="50"/>
        <item x="286"/>
        <item x="48"/>
        <item x="532"/>
        <item x="281"/>
        <item x="15"/>
        <item x="61"/>
        <item x="67"/>
        <item x="599"/>
        <item x="558"/>
        <item x="75"/>
        <item x="55"/>
        <item x="680"/>
        <item x="684"/>
        <item x="344"/>
        <item x="52"/>
        <item x="419"/>
        <item x="232"/>
        <item x="134"/>
        <item x="572"/>
        <item x="455"/>
        <item x="171"/>
        <item x="661"/>
        <item x="524"/>
        <item x="416"/>
        <item x="219"/>
        <item x="196"/>
        <item x="36"/>
        <item x="420"/>
        <item x="100"/>
        <item x="574"/>
        <item x="601"/>
        <item x="6"/>
        <item x="562"/>
        <item x="625"/>
        <item x="590"/>
        <item x="253"/>
        <item x="148"/>
        <item x="569"/>
        <item x="335"/>
        <item x="492"/>
        <item x="526"/>
        <item x="439"/>
        <item x="252"/>
        <item x="16"/>
        <item x="166"/>
        <item x="204"/>
        <item x="425"/>
        <item x="137"/>
        <item x="490"/>
        <item x="564"/>
        <item x="60"/>
        <item x="319"/>
        <item x="256"/>
        <item x="676"/>
        <item x="559"/>
        <item x="222"/>
        <item x="81"/>
        <item x="666"/>
        <item x="484"/>
        <item x="605"/>
        <item x="546"/>
        <item x="453"/>
        <item x="170"/>
        <item x="164"/>
        <item x="17"/>
        <item x="509"/>
        <item x="584"/>
        <item x="291"/>
        <item x="282"/>
        <item x="262"/>
        <item x="236"/>
        <item x="656"/>
        <item x="324"/>
        <item x="35"/>
        <item x="645"/>
        <item x="343"/>
        <item x="618"/>
        <item x="434"/>
        <item x="245"/>
        <item x="298"/>
        <item x="264"/>
        <item x="359"/>
        <item x="213"/>
        <item x="13"/>
        <item x="12"/>
        <item x="34"/>
        <item x="485"/>
        <item x="360"/>
        <item x="177"/>
        <item x="293"/>
        <item x="368"/>
        <item x="396"/>
        <item x="132"/>
        <item x="516"/>
        <item x="261"/>
        <item x="357"/>
        <item x="531"/>
        <item x="263"/>
        <item x="518"/>
        <item x="444"/>
        <item x="45"/>
        <item x="19"/>
        <item x="97"/>
        <item x="486"/>
        <item x="312"/>
        <item x="216"/>
        <item x="330"/>
        <item x="292"/>
        <item x="18"/>
        <item x="328"/>
        <item x="14"/>
        <item x="664"/>
        <item x="96"/>
        <item x="686"/>
        <item x="308"/>
        <item x="225"/>
        <item x="553"/>
        <item x="366"/>
        <item x="73"/>
        <item x="515"/>
        <item x="42"/>
        <item x="125"/>
        <item x="295"/>
        <item x="415"/>
        <item x="549"/>
        <item x="30"/>
        <item x="381"/>
        <item x="146"/>
        <item x="22"/>
        <item x="84"/>
        <item x="126"/>
        <item x="508"/>
        <item x="127"/>
        <item x="571"/>
        <item x="373"/>
        <item x="11"/>
        <item x="10"/>
        <item x="161"/>
        <item x="385"/>
        <item x="115"/>
        <item x="345"/>
        <item x="188"/>
        <item x="9"/>
        <item x="507"/>
        <item x="675"/>
        <item x="677"/>
        <item x="622"/>
        <item x="31"/>
        <item x="322"/>
        <item x="429"/>
        <item x="554"/>
        <item x="29"/>
        <item x="401"/>
        <item x="173"/>
        <item x="409"/>
        <item x="288"/>
        <item x="105"/>
        <item x="65"/>
        <item x="53"/>
        <item x="51"/>
        <item x="629"/>
        <item x="443"/>
        <item x="610"/>
        <item x="135"/>
        <item x="500"/>
        <item x="560"/>
        <item x="523"/>
        <item x="1"/>
        <item x="499"/>
        <item x="587"/>
        <item x="114"/>
        <item x="543"/>
        <item x="483"/>
        <item x="494"/>
        <item x="407"/>
        <item x="495"/>
        <item x="449"/>
        <item x="602"/>
        <item x="369"/>
        <item x="206"/>
        <item x="122"/>
        <item x="313"/>
        <item x="556"/>
        <item x="426"/>
        <item x="670"/>
        <item x="361"/>
        <item x="272"/>
        <item x="442"/>
        <item x="179"/>
        <item x="46"/>
        <item x="657"/>
        <item x="86"/>
        <item x="637"/>
        <item x="473"/>
        <item x="72"/>
        <item x="104"/>
        <item x="70"/>
        <item x="300"/>
        <item x="432"/>
        <item x="302"/>
        <item x="595"/>
        <item x="212"/>
        <item x="607"/>
        <item x="688"/>
        <item x="169"/>
        <item x="160"/>
        <item x="406"/>
        <item x="436"/>
        <item x="627"/>
        <item x="632"/>
        <item x="446"/>
        <item x="185"/>
        <item x="591"/>
        <item x="152"/>
        <item x="537"/>
        <item x="3"/>
        <item x="95"/>
        <item x="93"/>
        <item x="306"/>
        <item x="5"/>
        <item x="445"/>
        <item x="481"/>
        <item x="159"/>
        <item x="244"/>
        <item x="458"/>
        <item x="87"/>
        <item x="585"/>
        <item x="669"/>
        <item x="636"/>
        <item x="557"/>
        <item x="143"/>
        <item x="517"/>
        <item x="630"/>
        <item x="211"/>
        <item x="635"/>
        <item x="395"/>
        <item x="136"/>
        <item x="142"/>
        <item x="408"/>
        <item x="33"/>
        <item x="589"/>
        <item x="47"/>
        <item x="594"/>
        <item x="138"/>
        <item x="412"/>
        <item x="224"/>
        <item x="162"/>
        <item x="341"/>
        <item x="192"/>
        <item x="615"/>
        <item x="340"/>
        <item x="679"/>
        <item x="323"/>
        <item x="372"/>
        <item x="89"/>
        <item x="77"/>
        <item x="38"/>
        <item x="276"/>
        <item x="427"/>
        <item x="83"/>
        <item x="673"/>
        <item x="116"/>
        <item x="539"/>
        <item x="203"/>
        <item x="141"/>
        <item x="687"/>
        <item x="463"/>
        <item x="184"/>
        <item x="338"/>
        <item x="367"/>
        <item x="497"/>
        <item x="552"/>
        <item x="349"/>
        <item x="647"/>
        <item x="354"/>
        <item x="352"/>
        <item x="277"/>
        <item x="561"/>
        <item x="275"/>
        <item x="371"/>
        <item x="616"/>
        <item x="378"/>
        <item x="403"/>
        <item x="461"/>
        <item x="410"/>
        <item x="218"/>
        <item x="284"/>
        <item x="482"/>
        <item x="278"/>
        <item x="21"/>
        <item x="242"/>
        <item x="157"/>
        <item x="131"/>
        <item x="297"/>
        <item x="59"/>
        <item x="27"/>
        <item x="186"/>
        <item x="311"/>
        <item x="85"/>
        <item x="379"/>
        <item x="158"/>
        <item x="183"/>
        <item x="305"/>
        <item x="428"/>
        <item x="519"/>
        <item x="399"/>
        <item x="640"/>
        <item x="326"/>
        <item x="124"/>
        <item x="437"/>
        <item x="200"/>
        <item x="334"/>
        <item x="606"/>
        <item x="303"/>
        <item x="623"/>
        <item x="4"/>
        <item x="147"/>
        <item x="71"/>
        <item x="325"/>
        <item x="190"/>
        <item x="99"/>
        <item x="382"/>
        <item x="655"/>
        <item x="156"/>
        <item x="592"/>
        <item x="583"/>
        <item x="417"/>
        <item x="535"/>
        <item x="542"/>
        <item x="249"/>
        <item x="90"/>
        <item x="58"/>
        <item x="180"/>
        <item x="274"/>
        <item x="479"/>
        <item x="163"/>
        <item x="318"/>
        <item x="337"/>
        <item x="68"/>
        <item x="234"/>
        <item x="113"/>
        <item x="551"/>
        <item x="128"/>
        <item x="336"/>
        <item x="414"/>
        <item x="626"/>
        <item x="150"/>
        <item x="620"/>
        <item x="220"/>
        <item x="502"/>
        <item x="450"/>
        <item x="465"/>
        <item x="550"/>
        <item x="671"/>
        <item x="404"/>
        <item x="487"/>
        <item x="290"/>
        <item x="641"/>
        <item x="119"/>
        <item x="215"/>
        <item x="54"/>
        <item x="74"/>
        <item x="541"/>
        <item x="251"/>
        <item x="309"/>
        <item x="57"/>
        <item x="304"/>
        <item x="82"/>
        <item x="247"/>
        <item x="178"/>
        <item x="646"/>
        <item x="504"/>
        <item x="314"/>
        <item x="69"/>
        <item x="510"/>
        <item x="392"/>
        <item x="76"/>
        <item x="496"/>
        <item x="168"/>
        <item x="24"/>
        <item x="32"/>
        <item x="217"/>
        <item x="240"/>
        <item x="621"/>
        <item x="394"/>
        <item x="468"/>
        <item x="470"/>
        <item x="139"/>
        <item x="581"/>
        <item x="331"/>
        <item x="260"/>
        <item x="289"/>
        <item x="28"/>
        <item x="393"/>
        <item x="332"/>
        <item x="596"/>
        <item x="358"/>
        <item x="267"/>
        <item x="121"/>
        <item x="214"/>
        <item x="451"/>
        <item x="466"/>
        <item x="355"/>
        <item x="98"/>
        <item x="165"/>
        <item x="527"/>
        <item x="536"/>
        <item x="480"/>
        <item x="248"/>
        <item x="658"/>
        <item x="23"/>
        <item x="512"/>
        <item x="287"/>
        <item x="448"/>
        <item x="198"/>
        <item x="682"/>
        <item x="365"/>
        <item x="424"/>
        <item x="44"/>
        <item x="639"/>
        <item x="348"/>
        <item x="239"/>
        <item x="650"/>
        <item x="347"/>
        <item x="193"/>
        <item x="402"/>
        <item x="578"/>
        <item x="525"/>
        <item x="370"/>
        <item x="614"/>
        <item x="167"/>
        <item x="570"/>
        <item x="547"/>
        <item x="398"/>
        <item x="642"/>
        <item x="503"/>
        <item x="617"/>
        <item x="78"/>
        <item x="380"/>
        <item x="597"/>
        <item x="441"/>
        <item x="386"/>
        <item x="464"/>
        <item x="356"/>
        <item x="237"/>
        <item x="413"/>
        <item x="301"/>
        <item x="280"/>
        <item x="530"/>
        <item x="223"/>
        <item x="333"/>
        <item x="202"/>
        <item x="663"/>
        <item x="506"/>
        <item x="269"/>
        <item x="342"/>
        <item x="111"/>
        <item x="577"/>
        <item x="201"/>
        <item x="123"/>
        <item x="452"/>
        <item x="377"/>
        <item x="221"/>
        <item x="612"/>
        <item x="7"/>
        <item x="513"/>
        <item x="376"/>
        <item x="228"/>
        <item x="265"/>
        <item x="565"/>
        <item x="187"/>
        <item x="454"/>
        <item x="529"/>
        <item x="609"/>
        <item x="521"/>
        <item x="668"/>
        <item x="176"/>
        <item x="579"/>
        <item x="175"/>
        <item x="133"/>
        <item x="644"/>
        <item x="0"/>
        <item x="101"/>
        <item x="659"/>
        <item x="140"/>
        <item x="210"/>
        <item x="41"/>
        <item x="246"/>
        <item x="26"/>
        <item x="472"/>
        <item x="511"/>
        <item x="117"/>
        <item x="62"/>
        <item x="387"/>
        <item x="317"/>
        <item x="205"/>
        <item x="315"/>
        <item x="538"/>
        <item x="310"/>
        <item x="652"/>
        <item x="613"/>
        <item x="197"/>
        <item x="189"/>
        <item x="582"/>
        <item x="268"/>
        <item x="493"/>
        <item x="681"/>
        <item x="153"/>
        <item x="208"/>
        <item x="405"/>
        <item x="576"/>
        <item x="563"/>
        <item x="80"/>
        <item x="49"/>
        <item x="285"/>
        <item x="651"/>
        <item x="528"/>
        <item x="459"/>
        <item x="250"/>
        <item t="default"/>
      </items>
    </pivotField>
    <pivotField showAll="0"/>
    <pivotField showAll="0"/>
    <pivotField showAll="0"/>
    <pivotField showAll="0"/>
    <pivotField showAll="0"/>
    <pivotField showAll="0"/>
    <pivotField showAll="0"/>
    <pivotField showAll="0"/>
    <pivotField numFmtId="166" showAll="0"/>
    <pivotField numFmtId="167" showAll="0"/>
    <pivotField dataField="1" numFmtId="167" showAll="0"/>
    <pivotField showAll="0"/>
    <pivotField showAll="0"/>
    <pivotField showAll="0"/>
    <pivotField showAll="0"/>
    <pivotField numFmtId="2" showAll="0"/>
    <pivotField showAll="0"/>
    <pivotField showAll="0"/>
    <pivotField showAll="0"/>
    <pivotField showAll="0"/>
    <pivotField showAll="0"/>
    <pivotField showAll="0"/>
    <pivotField showAll="0"/>
    <pivotField showAll="0"/>
    <pivotField axis="axisCol" showAll="0">
      <items count="13">
        <item x="7"/>
        <item x="6"/>
        <item x="2"/>
        <item x="8"/>
        <item x="10"/>
        <item x="3"/>
        <item x="9"/>
        <item x="1"/>
        <item x="4"/>
        <item x="0"/>
        <item x="11"/>
        <item x="5"/>
        <item t="default"/>
      </items>
    </pivotField>
    <pivotField axis="axisRow" showAll="0">
      <items count="5">
        <item sd="0" x="1"/>
        <item sd="0" x="3"/>
        <item sd="0" x="0"/>
        <item sd="0" x="2"/>
        <item t="default"/>
      </items>
    </pivotField>
    <pivotField showAll="0" defaultSubtotal="0">
      <items count="14">
        <item x="0"/>
        <item x="1"/>
        <item x="2"/>
        <item x="3"/>
        <item x="4"/>
        <item x="5"/>
        <item x="6"/>
        <item x="7"/>
        <item x="8"/>
        <item x="9"/>
        <item x="10"/>
        <item x="11"/>
        <item x="12"/>
        <item x="13"/>
      </items>
    </pivotField>
    <pivotField axis="axisRow" showAll="0" defaultSubtotal="0">
      <items count="6">
        <item x="0"/>
        <item sd="0" x="1"/>
        <item sd="0" x="2"/>
        <item sd="0" x="3"/>
        <item sd="0" x="4"/>
        <item x="5"/>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2">
    <field x="27"/>
    <field x="29"/>
  </rowFields>
  <rowItems count="5">
    <i>
      <x/>
    </i>
    <i>
      <x v="1"/>
    </i>
    <i>
      <x v="2"/>
    </i>
    <i>
      <x v="3"/>
    </i>
    <i t="grand">
      <x/>
    </i>
  </rowItems>
  <colFields count="1">
    <field x="26"/>
  </colFields>
  <colItems count="13">
    <i>
      <x/>
    </i>
    <i>
      <x v="1"/>
    </i>
    <i>
      <x v="2"/>
    </i>
    <i>
      <x v="3"/>
    </i>
    <i>
      <x v="4"/>
    </i>
    <i>
      <x v="5"/>
    </i>
    <i>
      <x v="6"/>
    </i>
    <i>
      <x v="7"/>
    </i>
    <i>
      <x v="8"/>
    </i>
    <i>
      <x v="9"/>
    </i>
    <i>
      <x v="10"/>
    </i>
    <i>
      <x v="11"/>
    </i>
    <i t="grand">
      <x/>
    </i>
  </colItems>
  <dataFields count="1">
    <dataField name="Sum of Sales" fld="12" baseField="0" baseItem="0" numFmtId="167"/>
  </dataFields>
  <chartFormats count="24">
    <chartFormat chart="10" format="0" series="1">
      <pivotArea type="data" outline="0" fieldPosition="0">
        <references count="2">
          <reference field="4294967294" count="1" selected="0">
            <x v="0"/>
          </reference>
          <reference field="26" count="1" selected="0">
            <x v="0"/>
          </reference>
        </references>
      </pivotArea>
    </chartFormat>
    <chartFormat chart="10" format="1" series="1">
      <pivotArea type="data" outline="0" fieldPosition="0">
        <references count="2">
          <reference field="4294967294" count="1" selected="0">
            <x v="0"/>
          </reference>
          <reference field="26" count="1" selected="0">
            <x v="1"/>
          </reference>
        </references>
      </pivotArea>
    </chartFormat>
    <chartFormat chart="10" format="2" series="1">
      <pivotArea type="data" outline="0" fieldPosition="0">
        <references count="2">
          <reference field="4294967294" count="1" selected="0">
            <x v="0"/>
          </reference>
          <reference field="26" count="1" selected="0">
            <x v="2"/>
          </reference>
        </references>
      </pivotArea>
    </chartFormat>
    <chartFormat chart="10" format="3" series="1">
      <pivotArea type="data" outline="0" fieldPosition="0">
        <references count="2">
          <reference field="4294967294" count="1" selected="0">
            <x v="0"/>
          </reference>
          <reference field="26" count="1" selected="0">
            <x v="3"/>
          </reference>
        </references>
      </pivotArea>
    </chartFormat>
    <chartFormat chart="10" format="4" series="1">
      <pivotArea type="data" outline="0" fieldPosition="0">
        <references count="2">
          <reference field="4294967294" count="1" selected="0">
            <x v="0"/>
          </reference>
          <reference field="26" count="1" selected="0">
            <x v="4"/>
          </reference>
        </references>
      </pivotArea>
    </chartFormat>
    <chartFormat chart="10" format="5" series="1">
      <pivotArea type="data" outline="0" fieldPosition="0">
        <references count="2">
          <reference field="4294967294" count="1" selected="0">
            <x v="0"/>
          </reference>
          <reference field="26" count="1" selected="0">
            <x v="5"/>
          </reference>
        </references>
      </pivotArea>
    </chartFormat>
    <chartFormat chart="10" format="6" series="1">
      <pivotArea type="data" outline="0" fieldPosition="0">
        <references count="2">
          <reference field="4294967294" count="1" selected="0">
            <x v="0"/>
          </reference>
          <reference field="26" count="1" selected="0">
            <x v="6"/>
          </reference>
        </references>
      </pivotArea>
    </chartFormat>
    <chartFormat chart="10" format="7" series="1">
      <pivotArea type="data" outline="0" fieldPosition="0">
        <references count="2">
          <reference field="4294967294" count="1" selected="0">
            <x v="0"/>
          </reference>
          <reference field="26" count="1" selected="0">
            <x v="7"/>
          </reference>
        </references>
      </pivotArea>
    </chartFormat>
    <chartFormat chart="10" format="8" series="1">
      <pivotArea type="data" outline="0" fieldPosition="0">
        <references count="2">
          <reference field="4294967294" count="1" selected="0">
            <x v="0"/>
          </reference>
          <reference field="26" count="1" selected="0">
            <x v="8"/>
          </reference>
        </references>
      </pivotArea>
    </chartFormat>
    <chartFormat chart="10" format="9" series="1">
      <pivotArea type="data" outline="0" fieldPosition="0">
        <references count="2">
          <reference field="4294967294" count="1" selected="0">
            <x v="0"/>
          </reference>
          <reference field="26" count="1" selected="0">
            <x v="9"/>
          </reference>
        </references>
      </pivotArea>
    </chartFormat>
    <chartFormat chart="10" format="10" series="1">
      <pivotArea type="data" outline="0" fieldPosition="0">
        <references count="2">
          <reference field="4294967294" count="1" selected="0">
            <x v="0"/>
          </reference>
          <reference field="26" count="1" selected="0">
            <x v="10"/>
          </reference>
        </references>
      </pivotArea>
    </chartFormat>
    <chartFormat chart="10" format="11" series="1">
      <pivotArea type="data" outline="0" fieldPosition="0">
        <references count="2">
          <reference field="4294967294" count="1" selected="0">
            <x v="0"/>
          </reference>
          <reference field="26" count="1" selected="0">
            <x v="11"/>
          </reference>
        </references>
      </pivotArea>
    </chartFormat>
    <chartFormat chart="12" format="24" series="1">
      <pivotArea type="data" outline="0" fieldPosition="0">
        <references count="2">
          <reference field="4294967294" count="1" selected="0">
            <x v="0"/>
          </reference>
          <reference field="26" count="1" selected="0">
            <x v="0"/>
          </reference>
        </references>
      </pivotArea>
    </chartFormat>
    <chartFormat chart="12" format="25" series="1">
      <pivotArea type="data" outline="0" fieldPosition="0">
        <references count="2">
          <reference field="4294967294" count="1" selected="0">
            <x v="0"/>
          </reference>
          <reference field="26" count="1" selected="0">
            <x v="1"/>
          </reference>
        </references>
      </pivotArea>
    </chartFormat>
    <chartFormat chart="12" format="26" series="1">
      <pivotArea type="data" outline="0" fieldPosition="0">
        <references count="2">
          <reference field="4294967294" count="1" selected="0">
            <x v="0"/>
          </reference>
          <reference field="26" count="1" selected="0">
            <x v="2"/>
          </reference>
        </references>
      </pivotArea>
    </chartFormat>
    <chartFormat chart="12" format="27" series="1">
      <pivotArea type="data" outline="0" fieldPosition="0">
        <references count="2">
          <reference field="4294967294" count="1" selected="0">
            <x v="0"/>
          </reference>
          <reference field="26" count="1" selected="0">
            <x v="3"/>
          </reference>
        </references>
      </pivotArea>
    </chartFormat>
    <chartFormat chart="12" format="28" series="1">
      <pivotArea type="data" outline="0" fieldPosition="0">
        <references count="2">
          <reference field="4294967294" count="1" selected="0">
            <x v="0"/>
          </reference>
          <reference field="26" count="1" selected="0">
            <x v="4"/>
          </reference>
        </references>
      </pivotArea>
    </chartFormat>
    <chartFormat chart="12" format="29" series="1">
      <pivotArea type="data" outline="0" fieldPosition="0">
        <references count="2">
          <reference field="4294967294" count="1" selected="0">
            <x v="0"/>
          </reference>
          <reference field="26" count="1" selected="0">
            <x v="5"/>
          </reference>
        </references>
      </pivotArea>
    </chartFormat>
    <chartFormat chart="12" format="30" series="1">
      <pivotArea type="data" outline="0" fieldPosition="0">
        <references count="2">
          <reference field="4294967294" count="1" selected="0">
            <x v="0"/>
          </reference>
          <reference field="26" count="1" selected="0">
            <x v="6"/>
          </reference>
        </references>
      </pivotArea>
    </chartFormat>
    <chartFormat chart="12" format="31" series="1">
      <pivotArea type="data" outline="0" fieldPosition="0">
        <references count="2">
          <reference field="4294967294" count="1" selected="0">
            <x v="0"/>
          </reference>
          <reference field="26" count="1" selected="0">
            <x v="7"/>
          </reference>
        </references>
      </pivotArea>
    </chartFormat>
    <chartFormat chart="12" format="32" series="1">
      <pivotArea type="data" outline="0" fieldPosition="0">
        <references count="2">
          <reference field="4294967294" count="1" selected="0">
            <x v="0"/>
          </reference>
          <reference field="26" count="1" selected="0">
            <x v="8"/>
          </reference>
        </references>
      </pivotArea>
    </chartFormat>
    <chartFormat chart="12" format="33" series="1">
      <pivotArea type="data" outline="0" fieldPosition="0">
        <references count="2">
          <reference field="4294967294" count="1" selected="0">
            <x v="0"/>
          </reference>
          <reference field="26" count="1" selected="0">
            <x v="9"/>
          </reference>
        </references>
      </pivotArea>
    </chartFormat>
    <chartFormat chart="12" format="34" series="1">
      <pivotArea type="data" outline="0" fieldPosition="0">
        <references count="2">
          <reference field="4294967294" count="1" selected="0">
            <x v="0"/>
          </reference>
          <reference field="26" count="1" selected="0">
            <x v="10"/>
          </reference>
        </references>
      </pivotArea>
    </chartFormat>
    <chartFormat chart="12" format="35" series="1">
      <pivotArea type="data" outline="0" fieldPosition="0">
        <references count="2">
          <reference field="4294967294" count="1" selected="0">
            <x v="0"/>
          </reference>
          <reference field="26" count="1" selected="0">
            <x v="11"/>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184ACC0-0BB5-4495-85F5-3C0B9BD42730}" name="SalesOverTime" cacheId="0" applyNumberFormats="0" applyBorderFormats="0" applyFontFormats="0" applyPatternFormats="0" applyAlignmentFormats="0" applyWidthHeightFormats="1" dataCaption="Values" updatedVersion="8" minRefreshableVersion="5" useAutoFormatting="1" itemPrintTitles="1" createdVersion="8" indent="0" compact="0" compactData="0" multipleFieldFilters="0" chartFormat="5">
  <location ref="A90:G96" firstHeaderRow="1" firstDataRow="2" firstDataCol="2"/>
  <pivotFields count="34">
    <pivotField compact="0" outline="0" showAll="0"/>
    <pivotField compact="0" numFmtId="165" outline="0" showAll="0">
      <items count="690">
        <item x="94"/>
        <item x="283"/>
        <item x="107"/>
        <item x="555"/>
        <item x="327"/>
        <item x="209"/>
        <item x="172"/>
        <item x="2"/>
        <item x="238"/>
        <item x="39"/>
        <item x="230"/>
        <item x="433"/>
        <item x="243"/>
        <item x="129"/>
        <item x="154"/>
        <item x="474"/>
        <item x="624"/>
        <item x="110"/>
        <item x="321"/>
        <item x="25"/>
        <item x="435"/>
        <item x="151"/>
        <item x="181"/>
        <item x="56"/>
        <item x="505"/>
        <item x="363"/>
        <item x="254"/>
        <item x="108"/>
        <item x="182"/>
        <item x="649"/>
        <item x="79"/>
        <item x="604"/>
        <item x="514"/>
        <item x="498"/>
        <item x="375"/>
        <item x="233"/>
        <item x="566"/>
        <item x="43"/>
        <item x="665"/>
        <item x="88"/>
        <item x="598"/>
        <item x="421"/>
        <item x="520"/>
        <item x="320"/>
        <item x="279"/>
        <item x="102"/>
        <item x="194"/>
        <item x="456"/>
        <item x="118"/>
        <item x="648"/>
        <item x="64"/>
        <item x="533"/>
        <item x="501"/>
        <item x="422"/>
        <item x="8"/>
        <item x="353"/>
        <item x="103"/>
        <item x="195"/>
        <item x="339"/>
        <item x="643"/>
        <item x="654"/>
        <item x="271"/>
        <item x="389"/>
        <item x="475"/>
        <item x="522"/>
        <item x="20"/>
        <item x="144"/>
        <item x="462"/>
        <item x="397"/>
        <item x="588"/>
        <item x="229"/>
        <item x="469"/>
        <item x="400"/>
        <item x="391"/>
        <item x="683"/>
        <item x="603"/>
        <item x="660"/>
        <item x="447"/>
        <item x="207"/>
        <item x="619"/>
        <item x="351"/>
        <item x="638"/>
        <item x="662"/>
        <item x="390"/>
        <item x="477"/>
        <item x="112"/>
        <item x="226"/>
        <item x="364"/>
        <item x="600"/>
        <item x="109"/>
        <item x="231"/>
        <item x="241"/>
        <item x="92"/>
        <item x="106"/>
        <item x="362"/>
        <item x="430"/>
        <item x="37"/>
        <item x="540"/>
        <item x="257"/>
        <item x="438"/>
        <item x="384"/>
        <item x="608"/>
        <item x="593"/>
        <item x="316"/>
        <item x="580"/>
        <item x="350"/>
        <item x="383"/>
        <item x="258"/>
        <item x="296"/>
        <item x="457"/>
        <item x="191"/>
        <item x="611"/>
        <item x="423"/>
        <item x="235"/>
        <item x="388"/>
        <item x="534"/>
        <item x="544"/>
        <item x="145"/>
        <item x="653"/>
        <item x="374"/>
        <item x="633"/>
        <item x="418"/>
        <item x="294"/>
        <item x="575"/>
        <item x="255"/>
        <item x="567"/>
        <item x="66"/>
        <item x="346"/>
        <item x="259"/>
        <item x="63"/>
        <item x="667"/>
        <item x="174"/>
        <item x="678"/>
        <item x="548"/>
        <item x="471"/>
        <item x="411"/>
        <item x="431"/>
        <item x="628"/>
        <item x="476"/>
        <item x="270"/>
        <item x="199"/>
        <item x="568"/>
        <item x="586"/>
        <item x="40"/>
        <item x="545"/>
        <item x="634"/>
        <item x="155"/>
        <item x="489"/>
        <item x="467"/>
        <item x="491"/>
        <item x="149"/>
        <item x="460"/>
        <item x="91"/>
        <item x="273"/>
        <item x="672"/>
        <item x="120"/>
        <item x="478"/>
        <item x="130"/>
        <item x="674"/>
        <item x="227"/>
        <item x="440"/>
        <item x="266"/>
        <item x="299"/>
        <item x="631"/>
        <item x="329"/>
        <item x="307"/>
        <item x="488"/>
        <item x="685"/>
        <item x="573"/>
        <item x="50"/>
        <item x="286"/>
        <item x="48"/>
        <item x="532"/>
        <item x="281"/>
        <item x="15"/>
        <item x="61"/>
        <item x="67"/>
        <item x="599"/>
        <item x="558"/>
        <item x="75"/>
        <item x="55"/>
        <item x="680"/>
        <item x="684"/>
        <item x="344"/>
        <item x="52"/>
        <item x="419"/>
        <item x="232"/>
        <item x="134"/>
        <item x="572"/>
        <item x="455"/>
        <item x="171"/>
        <item x="661"/>
        <item x="524"/>
        <item x="416"/>
        <item x="219"/>
        <item x="196"/>
        <item x="36"/>
        <item x="420"/>
        <item x="100"/>
        <item x="574"/>
        <item x="601"/>
        <item x="6"/>
        <item x="562"/>
        <item x="625"/>
        <item x="590"/>
        <item x="253"/>
        <item x="148"/>
        <item x="569"/>
        <item x="335"/>
        <item x="492"/>
        <item x="526"/>
        <item x="439"/>
        <item x="252"/>
        <item x="16"/>
        <item x="166"/>
        <item x="204"/>
        <item x="425"/>
        <item x="137"/>
        <item x="490"/>
        <item x="564"/>
        <item x="60"/>
        <item x="319"/>
        <item x="256"/>
        <item x="676"/>
        <item x="559"/>
        <item x="222"/>
        <item x="81"/>
        <item x="666"/>
        <item x="484"/>
        <item x="605"/>
        <item x="546"/>
        <item x="453"/>
        <item x="170"/>
        <item x="164"/>
        <item x="17"/>
        <item x="509"/>
        <item x="584"/>
        <item x="291"/>
        <item x="282"/>
        <item x="262"/>
        <item x="236"/>
        <item x="656"/>
        <item x="324"/>
        <item x="35"/>
        <item x="645"/>
        <item x="343"/>
        <item x="618"/>
        <item x="434"/>
        <item x="245"/>
        <item x="298"/>
        <item x="264"/>
        <item x="359"/>
        <item x="213"/>
        <item x="13"/>
        <item x="12"/>
        <item x="34"/>
        <item x="485"/>
        <item x="360"/>
        <item x="177"/>
        <item x="293"/>
        <item x="368"/>
        <item x="396"/>
        <item x="132"/>
        <item x="516"/>
        <item x="261"/>
        <item x="357"/>
        <item x="531"/>
        <item x="263"/>
        <item x="518"/>
        <item x="444"/>
        <item x="45"/>
        <item x="19"/>
        <item x="97"/>
        <item x="486"/>
        <item x="312"/>
        <item x="216"/>
        <item x="330"/>
        <item x="292"/>
        <item x="18"/>
        <item x="328"/>
        <item x="14"/>
        <item x="664"/>
        <item x="96"/>
        <item x="686"/>
        <item x="308"/>
        <item x="225"/>
        <item x="553"/>
        <item x="366"/>
        <item x="73"/>
        <item x="515"/>
        <item x="42"/>
        <item x="125"/>
        <item x="295"/>
        <item x="415"/>
        <item x="549"/>
        <item x="30"/>
        <item x="381"/>
        <item x="146"/>
        <item x="22"/>
        <item x="84"/>
        <item x="126"/>
        <item x="508"/>
        <item x="127"/>
        <item x="571"/>
        <item x="373"/>
        <item x="11"/>
        <item x="10"/>
        <item x="161"/>
        <item x="385"/>
        <item x="115"/>
        <item x="345"/>
        <item x="188"/>
        <item x="9"/>
        <item x="507"/>
        <item x="675"/>
        <item x="677"/>
        <item x="622"/>
        <item x="31"/>
        <item x="322"/>
        <item x="429"/>
        <item x="554"/>
        <item x="29"/>
        <item x="401"/>
        <item x="173"/>
        <item x="409"/>
        <item x="288"/>
        <item x="105"/>
        <item x="65"/>
        <item x="53"/>
        <item x="51"/>
        <item x="629"/>
        <item x="443"/>
        <item x="610"/>
        <item x="135"/>
        <item x="500"/>
        <item x="560"/>
        <item x="523"/>
        <item x="1"/>
        <item x="499"/>
        <item x="587"/>
        <item x="114"/>
        <item x="543"/>
        <item x="483"/>
        <item x="494"/>
        <item x="407"/>
        <item x="495"/>
        <item x="449"/>
        <item x="602"/>
        <item x="369"/>
        <item x="206"/>
        <item x="122"/>
        <item x="313"/>
        <item x="556"/>
        <item x="426"/>
        <item x="670"/>
        <item x="361"/>
        <item x="272"/>
        <item x="442"/>
        <item x="179"/>
        <item x="46"/>
        <item x="657"/>
        <item x="86"/>
        <item x="637"/>
        <item x="473"/>
        <item x="72"/>
        <item x="104"/>
        <item x="70"/>
        <item x="300"/>
        <item x="432"/>
        <item x="302"/>
        <item x="595"/>
        <item x="212"/>
        <item x="607"/>
        <item x="688"/>
        <item x="169"/>
        <item x="160"/>
        <item x="406"/>
        <item x="436"/>
        <item x="627"/>
        <item x="632"/>
        <item x="446"/>
        <item x="185"/>
        <item x="591"/>
        <item x="152"/>
        <item x="537"/>
        <item x="3"/>
        <item x="95"/>
        <item x="93"/>
        <item x="306"/>
        <item x="5"/>
        <item x="445"/>
        <item x="481"/>
        <item x="159"/>
        <item x="244"/>
        <item x="458"/>
        <item x="87"/>
        <item x="585"/>
        <item x="669"/>
        <item x="636"/>
        <item x="557"/>
        <item x="143"/>
        <item x="517"/>
        <item x="630"/>
        <item x="211"/>
        <item x="635"/>
        <item x="395"/>
        <item x="136"/>
        <item x="142"/>
        <item x="408"/>
        <item x="33"/>
        <item x="589"/>
        <item x="47"/>
        <item x="594"/>
        <item x="138"/>
        <item x="412"/>
        <item x="224"/>
        <item x="162"/>
        <item x="341"/>
        <item x="192"/>
        <item x="615"/>
        <item x="340"/>
        <item x="679"/>
        <item x="323"/>
        <item x="372"/>
        <item x="89"/>
        <item x="77"/>
        <item x="38"/>
        <item x="276"/>
        <item x="427"/>
        <item x="83"/>
        <item x="673"/>
        <item x="116"/>
        <item x="539"/>
        <item x="203"/>
        <item x="141"/>
        <item x="687"/>
        <item x="463"/>
        <item x="184"/>
        <item x="338"/>
        <item x="367"/>
        <item x="497"/>
        <item x="552"/>
        <item x="349"/>
        <item x="647"/>
        <item x="354"/>
        <item x="352"/>
        <item x="277"/>
        <item x="561"/>
        <item x="275"/>
        <item x="371"/>
        <item x="616"/>
        <item x="378"/>
        <item x="403"/>
        <item x="461"/>
        <item x="410"/>
        <item x="218"/>
        <item x="284"/>
        <item x="482"/>
        <item x="278"/>
        <item x="21"/>
        <item x="242"/>
        <item x="157"/>
        <item x="131"/>
        <item x="297"/>
        <item x="59"/>
        <item x="27"/>
        <item x="186"/>
        <item x="311"/>
        <item x="85"/>
        <item x="379"/>
        <item x="158"/>
        <item x="183"/>
        <item x="305"/>
        <item x="428"/>
        <item x="519"/>
        <item x="399"/>
        <item x="640"/>
        <item x="326"/>
        <item x="124"/>
        <item x="437"/>
        <item x="200"/>
        <item x="334"/>
        <item x="606"/>
        <item x="303"/>
        <item x="623"/>
        <item x="4"/>
        <item x="147"/>
        <item x="71"/>
        <item x="325"/>
        <item x="190"/>
        <item x="99"/>
        <item x="382"/>
        <item x="655"/>
        <item x="156"/>
        <item x="592"/>
        <item x="583"/>
        <item x="417"/>
        <item x="535"/>
        <item x="542"/>
        <item x="249"/>
        <item x="90"/>
        <item x="58"/>
        <item x="180"/>
        <item x="274"/>
        <item x="479"/>
        <item x="163"/>
        <item x="318"/>
        <item x="337"/>
        <item x="68"/>
        <item x="234"/>
        <item x="113"/>
        <item x="551"/>
        <item x="128"/>
        <item x="336"/>
        <item x="414"/>
        <item x="626"/>
        <item x="150"/>
        <item x="620"/>
        <item x="220"/>
        <item x="502"/>
        <item x="450"/>
        <item x="465"/>
        <item x="550"/>
        <item x="671"/>
        <item x="404"/>
        <item x="487"/>
        <item x="290"/>
        <item x="641"/>
        <item x="119"/>
        <item x="215"/>
        <item x="54"/>
        <item x="74"/>
        <item x="541"/>
        <item x="251"/>
        <item x="309"/>
        <item x="57"/>
        <item x="304"/>
        <item x="82"/>
        <item x="247"/>
        <item x="178"/>
        <item x="646"/>
        <item x="504"/>
        <item x="314"/>
        <item x="69"/>
        <item x="510"/>
        <item x="392"/>
        <item x="76"/>
        <item x="496"/>
        <item x="168"/>
        <item x="24"/>
        <item x="32"/>
        <item x="217"/>
        <item x="240"/>
        <item x="621"/>
        <item x="394"/>
        <item x="468"/>
        <item x="470"/>
        <item x="139"/>
        <item x="581"/>
        <item x="331"/>
        <item x="260"/>
        <item x="289"/>
        <item x="28"/>
        <item x="393"/>
        <item x="332"/>
        <item x="596"/>
        <item x="358"/>
        <item x="267"/>
        <item x="121"/>
        <item x="214"/>
        <item x="451"/>
        <item x="466"/>
        <item x="355"/>
        <item x="98"/>
        <item x="165"/>
        <item x="527"/>
        <item x="536"/>
        <item x="480"/>
        <item x="248"/>
        <item x="658"/>
        <item x="23"/>
        <item x="512"/>
        <item x="287"/>
        <item x="448"/>
        <item x="198"/>
        <item x="682"/>
        <item x="365"/>
        <item x="424"/>
        <item x="44"/>
        <item x="639"/>
        <item x="348"/>
        <item x="239"/>
        <item x="650"/>
        <item x="347"/>
        <item x="193"/>
        <item x="402"/>
        <item x="578"/>
        <item x="525"/>
        <item x="370"/>
        <item x="614"/>
        <item x="167"/>
        <item x="570"/>
        <item x="547"/>
        <item x="398"/>
        <item x="642"/>
        <item x="503"/>
        <item x="617"/>
        <item x="78"/>
        <item x="380"/>
        <item x="597"/>
        <item x="441"/>
        <item x="386"/>
        <item x="464"/>
        <item x="356"/>
        <item x="237"/>
        <item x="413"/>
        <item x="301"/>
        <item x="280"/>
        <item x="530"/>
        <item x="223"/>
        <item x="333"/>
        <item x="202"/>
        <item x="663"/>
        <item x="506"/>
        <item x="269"/>
        <item x="342"/>
        <item x="111"/>
        <item x="577"/>
        <item x="201"/>
        <item x="123"/>
        <item x="452"/>
        <item x="377"/>
        <item x="221"/>
        <item x="612"/>
        <item x="7"/>
        <item x="513"/>
        <item x="376"/>
        <item x="228"/>
        <item x="265"/>
        <item x="565"/>
        <item x="187"/>
        <item x="454"/>
        <item x="529"/>
        <item x="609"/>
        <item x="521"/>
        <item x="668"/>
        <item x="176"/>
        <item x="579"/>
        <item x="175"/>
        <item x="133"/>
        <item x="644"/>
        <item x="0"/>
        <item x="101"/>
        <item x="659"/>
        <item x="140"/>
        <item x="210"/>
        <item x="41"/>
        <item x="246"/>
        <item x="26"/>
        <item x="472"/>
        <item x="511"/>
        <item x="117"/>
        <item x="62"/>
        <item x="387"/>
        <item x="317"/>
        <item x="205"/>
        <item x="315"/>
        <item x="538"/>
        <item x="310"/>
        <item x="652"/>
        <item x="613"/>
        <item x="197"/>
        <item x="189"/>
        <item x="582"/>
        <item x="268"/>
        <item x="493"/>
        <item x="681"/>
        <item x="153"/>
        <item x="208"/>
        <item x="405"/>
        <item x="576"/>
        <item x="563"/>
        <item x="80"/>
        <item x="49"/>
        <item x="285"/>
        <item x="651"/>
        <item x="528"/>
        <item x="459"/>
        <item x="25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items count="5">
        <item x="3"/>
        <item x="1"/>
        <item x="0"/>
        <item x="2"/>
        <item t="default"/>
      </items>
    </pivotField>
    <pivotField compact="0" numFmtId="167" outline="0" showAll="0"/>
    <pivotField dataField="1" compact="0" numFmtId="167" outline="0" showAll="0"/>
    <pivotField axis="axisCol" compact="0" outline="0" showAll="0">
      <items count="5">
        <item x="2"/>
        <item x="3"/>
        <item x="1"/>
        <item x="0"/>
        <item t="default"/>
      </items>
    </pivotField>
    <pivotField compact="0" outline="0" showAll="0">
      <items count="4">
        <item x="0"/>
        <item x="1"/>
        <item x="2"/>
        <item t="default"/>
      </items>
    </pivotField>
    <pivotField compact="0" outline="0" showAll="0">
      <items count="3">
        <item x="1"/>
        <item x="0"/>
        <item t="default"/>
      </items>
    </pivotField>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5">
        <item x="0"/>
        <item x="1"/>
        <item x="2"/>
        <item x="3"/>
        <item x="4"/>
        <item x="5"/>
        <item x="6"/>
        <item x="7"/>
        <item x="8"/>
        <item x="9"/>
        <item x="10"/>
        <item x="11"/>
        <item x="12"/>
        <item x="13"/>
        <item t="default"/>
      </items>
    </pivotField>
    <pivotField axis="axisRow" compact="0" outline="0" showAll="0">
      <items count="7">
        <item x="0"/>
        <item sd="0" x="1"/>
        <item sd="0" x="2"/>
        <item sd="0" x="3"/>
        <item sd="0" x="4"/>
        <item x="5"/>
        <item t="default"/>
      </items>
    </pivotField>
    <pivotField compact="0" outline="0" dragToRow="0" dragToCol="0" dragToPage="0" showAll="0" defaultSubtotal="0"/>
    <pivotField compact="0" outline="0" dragToRow="0" dragToCol="0" dragToPage="0" showAll="0" defaultSubtotal="0"/>
    <pivotField compact="0" outline="0" dragToRow="0" dragToCol="0" dragToPage="0" showAll="0" defaultSubtotal="0"/>
    <pivotField compact="0" outline="0" dragToRow="0" dragToCol="0" dragToPage="0" showAll="0" defaultSubtotal="0"/>
  </pivotFields>
  <rowFields count="2">
    <field x="29"/>
    <field x="28"/>
  </rowFields>
  <rowItems count="5">
    <i>
      <x v="1"/>
    </i>
    <i>
      <x v="2"/>
    </i>
    <i>
      <x v="3"/>
    </i>
    <i>
      <x v="4"/>
    </i>
    <i t="grand">
      <x/>
    </i>
  </rowItems>
  <colFields count="1">
    <field x="13"/>
  </colFields>
  <colItems count="5">
    <i>
      <x/>
    </i>
    <i>
      <x v="1"/>
    </i>
    <i>
      <x v="2"/>
    </i>
    <i>
      <x v="3"/>
    </i>
    <i t="grand">
      <x/>
    </i>
  </colItems>
  <dataFields count="1">
    <dataField name="Sum of Sales" fld="12" baseField="0" baseItem="0" numFmtId="168"/>
  </dataFields>
  <formats count="1">
    <format dxfId="2">
      <pivotArea outline="0" collapsedLevelsAreSubtotals="1" fieldPosition="0"/>
    </format>
  </formats>
  <chartFormats count="4">
    <chartFormat chart="4" format="17" series="1">
      <pivotArea type="data" outline="0" fieldPosition="0">
        <references count="2">
          <reference field="4294967294" count="1" selected="0">
            <x v="0"/>
          </reference>
          <reference field="13" count="1" selected="0">
            <x v="0"/>
          </reference>
        </references>
      </pivotArea>
    </chartFormat>
    <chartFormat chart="4" format="18" series="1">
      <pivotArea type="data" outline="0" fieldPosition="0">
        <references count="2">
          <reference field="4294967294" count="1" selected="0">
            <x v="0"/>
          </reference>
          <reference field="13" count="1" selected="0">
            <x v="1"/>
          </reference>
        </references>
      </pivotArea>
    </chartFormat>
    <chartFormat chart="4" format="19" series="1">
      <pivotArea type="data" outline="0" fieldPosition="0">
        <references count="2">
          <reference field="4294967294" count="1" selected="0">
            <x v="0"/>
          </reference>
          <reference field="13" count="1" selected="0">
            <x v="2"/>
          </reference>
        </references>
      </pivotArea>
    </chartFormat>
    <chartFormat chart="4" format="20"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E1B43E3-2A2C-4741-8226-1730A1552D0B}" name="ProductMixPivo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9">
  <location ref="D65:I70" firstHeaderRow="1" firstDataRow="2" firstDataCol="1"/>
  <pivotFields count="34">
    <pivotField showAll="0"/>
    <pivotField numFmtId="165" showAll="0">
      <items count="690">
        <item x="94"/>
        <item x="283"/>
        <item x="107"/>
        <item x="555"/>
        <item x="327"/>
        <item x="209"/>
        <item x="172"/>
        <item x="2"/>
        <item x="238"/>
        <item x="39"/>
        <item x="230"/>
        <item x="433"/>
        <item x="243"/>
        <item x="129"/>
        <item x="154"/>
        <item x="474"/>
        <item x="624"/>
        <item x="110"/>
        <item x="321"/>
        <item x="25"/>
        <item x="435"/>
        <item x="151"/>
        <item x="181"/>
        <item x="56"/>
        <item x="505"/>
        <item x="363"/>
        <item x="254"/>
        <item x="108"/>
        <item x="182"/>
        <item x="649"/>
        <item x="79"/>
        <item x="604"/>
        <item x="514"/>
        <item x="498"/>
        <item x="375"/>
        <item x="233"/>
        <item x="566"/>
        <item x="43"/>
        <item x="665"/>
        <item x="88"/>
        <item x="598"/>
        <item x="421"/>
        <item x="520"/>
        <item x="320"/>
        <item x="279"/>
        <item x="102"/>
        <item x="194"/>
        <item x="456"/>
        <item x="118"/>
        <item x="648"/>
        <item x="64"/>
        <item x="533"/>
        <item x="501"/>
        <item x="422"/>
        <item x="8"/>
        <item x="353"/>
        <item x="103"/>
        <item x="195"/>
        <item x="339"/>
        <item x="643"/>
        <item x="654"/>
        <item x="271"/>
        <item x="389"/>
        <item x="475"/>
        <item x="522"/>
        <item x="20"/>
        <item x="144"/>
        <item x="462"/>
        <item x="397"/>
        <item x="588"/>
        <item x="229"/>
        <item x="469"/>
        <item x="400"/>
        <item x="391"/>
        <item x="683"/>
        <item x="603"/>
        <item x="660"/>
        <item x="447"/>
        <item x="207"/>
        <item x="619"/>
        <item x="351"/>
        <item x="638"/>
        <item x="662"/>
        <item x="390"/>
        <item x="477"/>
        <item x="112"/>
        <item x="226"/>
        <item x="364"/>
        <item x="600"/>
        <item x="109"/>
        <item x="231"/>
        <item x="241"/>
        <item x="92"/>
        <item x="106"/>
        <item x="362"/>
        <item x="430"/>
        <item x="37"/>
        <item x="540"/>
        <item x="257"/>
        <item x="438"/>
        <item x="384"/>
        <item x="608"/>
        <item x="593"/>
        <item x="316"/>
        <item x="580"/>
        <item x="350"/>
        <item x="383"/>
        <item x="258"/>
        <item x="296"/>
        <item x="457"/>
        <item x="191"/>
        <item x="611"/>
        <item x="423"/>
        <item x="235"/>
        <item x="388"/>
        <item x="534"/>
        <item x="544"/>
        <item x="145"/>
        <item x="653"/>
        <item x="374"/>
        <item x="633"/>
        <item x="418"/>
        <item x="294"/>
        <item x="575"/>
        <item x="255"/>
        <item x="567"/>
        <item x="66"/>
        <item x="346"/>
        <item x="259"/>
        <item x="63"/>
        <item x="667"/>
        <item x="174"/>
        <item x="678"/>
        <item x="548"/>
        <item x="471"/>
        <item x="411"/>
        <item x="431"/>
        <item x="628"/>
        <item x="476"/>
        <item x="270"/>
        <item x="199"/>
        <item x="568"/>
        <item x="586"/>
        <item x="40"/>
        <item x="545"/>
        <item x="634"/>
        <item x="155"/>
        <item x="489"/>
        <item x="467"/>
        <item x="491"/>
        <item x="149"/>
        <item x="460"/>
        <item x="91"/>
        <item x="273"/>
        <item x="672"/>
        <item x="120"/>
        <item x="478"/>
        <item x="130"/>
        <item x="674"/>
        <item x="227"/>
        <item x="440"/>
        <item x="266"/>
        <item x="299"/>
        <item x="631"/>
        <item x="329"/>
        <item x="307"/>
        <item x="488"/>
        <item x="685"/>
        <item x="573"/>
        <item x="50"/>
        <item x="286"/>
        <item x="48"/>
        <item x="532"/>
        <item x="281"/>
        <item x="15"/>
        <item x="61"/>
        <item x="67"/>
        <item x="599"/>
        <item x="558"/>
        <item x="75"/>
        <item x="55"/>
        <item x="680"/>
        <item x="684"/>
        <item x="344"/>
        <item x="52"/>
        <item x="419"/>
        <item x="232"/>
        <item x="134"/>
        <item x="572"/>
        <item x="455"/>
        <item x="171"/>
        <item x="661"/>
        <item x="524"/>
        <item x="416"/>
        <item x="219"/>
        <item x="196"/>
        <item x="36"/>
        <item x="420"/>
        <item x="100"/>
        <item x="574"/>
        <item x="601"/>
        <item x="6"/>
        <item x="562"/>
        <item x="625"/>
        <item x="590"/>
        <item x="253"/>
        <item x="148"/>
        <item x="569"/>
        <item x="335"/>
        <item x="492"/>
        <item x="526"/>
        <item x="439"/>
        <item x="252"/>
        <item x="16"/>
        <item x="166"/>
        <item x="204"/>
        <item x="425"/>
        <item x="137"/>
        <item x="490"/>
        <item x="564"/>
        <item x="60"/>
        <item x="319"/>
        <item x="256"/>
        <item x="676"/>
        <item x="559"/>
        <item x="222"/>
        <item x="81"/>
        <item x="666"/>
        <item x="484"/>
        <item x="605"/>
        <item x="546"/>
        <item x="453"/>
        <item x="170"/>
        <item x="164"/>
        <item x="17"/>
        <item x="509"/>
        <item x="584"/>
        <item x="291"/>
        <item x="282"/>
        <item x="262"/>
        <item x="236"/>
        <item x="656"/>
        <item x="324"/>
        <item x="35"/>
        <item x="645"/>
        <item x="343"/>
        <item x="618"/>
        <item x="434"/>
        <item x="245"/>
        <item x="298"/>
        <item x="264"/>
        <item x="359"/>
        <item x="213"/>
        <item x="13"/>
        <item x="12"/>
        <item x="34"/>
        <item x="485"/>
        <item x="360"/>
        <item x="177"/>
        <item x="293"/>
        <item x="368"/>
        <item x="396"/>
        <item x="132"/>
        <item x="516"/>
        <item x="261"/>
        <item x="357"/>
        <item x="531"/>
        <item x="263"/>
        <item x="518"/>
        <item x="444"/>
        <item x="45"/>
        <item x="19"/>
        <item x="97"/>
        <item x="486"/>
        <item x="312"/>
        <item x="216"/>
        <item x="330"/>
        <item x="292"/>
        <item x="18"/>
        <item x="328"/>
        <item x="14"/>
        <item x="664"/>
        <item x="96"/>
        <item x="686"/>
        <item x="308"/>
        <item x="225"/>
        <item x="553"/>
        <item x="366"/>
        <item x="73"/>
        <item x="515"/>
        <item x="42"/>
        <item x="125"/>
        <item x="295"/>
        <item x="415"/>
        <item x="549"/>
        <item x="30"/>
        <item x="381"/>
        <item x="146"/>
        <item x="22"/>
        <item x="84"/>
        <item x="126"/>
        <item x="508"/>
        <item x="127"/>
        <item x="571"/>
        <item x="373"/>
        <item x="11"/>
        <item x="10"/>
        <item x="161"/>
        <item x="385"/>
        <item x="115"/>
        <item x="345"/>
        <item x="188"/>
        <item x="9"/>
        <item x="507"/>
        <item x="675"/>
        <item x="677"/>
        <item x="622"/>
        <item x="31"/>
        <item x="322"/>
        <item x="429"/>
        <item x="554"/>
        <item x="29"/>
        <item x="401"/>
        <item x="173"/>
        <item x="409"/>
        <item x="288"/>
        <item x="105"/>
        <item x="65"/>
        <item x="53"/>
        <item x="51"/>
        <item x="629"/>
        <item x="443"/>
        <item x="610"/>
        <item x="135"/>
        <item x="500"/>
        <item x="560"/>
        <item x="523"/>
        <item x="1"/>
        <item x="499"/>
        <item x="587"/>
        <item x="114"/>
        <item x="543"/>
        <item x="483"/>
        <item x="494"/>
        <item x="407"/>
        <item x="495"/>
        <item x="449"/>
        <item x="602"/>
        <item x="369"/>
        <item x="206"/>
        <item x="122"/>
        <item x="313"/>
        <item x="556"/>
        <item x="426"/>
        <item x="670"/>
        <item x="361"/>
        <item x="272"/>
        <item x="442"/>
        <item x="179"/>
        <item x="46"/>
        <item x="657"/>
        <item x="86"/>
        <item x="637"/>
        <item x="473"/>
        <item x="72"/>
        <item x="104"/>
        <item x="70"/>
        <item x="300"/>
        <item x="432"/>
        <item x="302"/>
        <item x="595"/>
        <item x="212"/>
        <item x="607"/>
        <item x="688"/>
        <item x="169"/>
        <item x="160"/>
        <item x="406"/>
        <item x="436"/>
        <item x="627"/>
        <item x="632"/>
        <item x="446"/>
        <item x="185"/>
        <item x="591"/>
        <item x="152"/>
        <item x="537"/>
        <item x="3"/>
        <item x="95"/>
        <item x="93"/>
        <item x="306"/>
        <item x="5"/>
        <item x="445"/>
        <item x="481"/>
        <item x="159"/>
        <item x="244"/>
        <item x="458"/>
        <item x="87"/>
        <item x="585"/>
        <item x="669"/>
        <item x="636"/>
        <item x="557"/>
        <item x="143"/>
        <item x="517"/>
        <item x="630"/>
        <item x="211"/>
        <item x="635"/>
        <item x="395"/>
        <item x="136"/>
        <item x="142"/>
        <item x="408"/>
        <item x="33"/>
        <item x="589"/>
        <item x="47"/>
        <item x="594"/>
        <item x="138"/>
        <item x="412"/>
        <item x="224"/>
        <item x="162"/>
        <item x="341"/>
        <item x="192"/>
        <item x="615"/>
        <item x="340"/>
        <item x="679"/>
        <item x="323"/>
        <item x="372"/>
        <item x="89"/>
        <item x="77"/>
        <item x="38"/>
        <item x="276"/>
        <item x="427"/>
        <item x="83"/>
        <item x="673"/>
        <item x="116"/>
        <item x="539"/>
        <item x="203"/>
        <item x="141"/>
        <item x="687"/>
        <item x="463"/>
        <item x="184"/>
        <item x="338"/>
        <item x="367"/>
        <item x="497"/>
        <item x="552"/>
        <item x="349"/>
        <item x="647"/>
        <item x="354"/>
        <item x="352"/>
        <item x="277"/>
        <item x="561"/>
        <item x="275"/>
        <item x="371"/>
        <item x="616"/>
        <item x="378"/>
        <item x="403"/>
        <item x="461"/>
        <item x="410"/>
        <item x="218"/>
        <item x="284"/>
        <item x="482"/>
        <item x="278"/>
        <item x="21"/>
        <item x="242"/>
        <item x="157"/>
        <item x="131"/>
        <item x="297"/>
        <item x="59"/>
        <item x="27"/>
        <item x="186"/>
        <item x="311"/>
        <item x="85"/>
        <item x="379"/>
        <item x="158"/>
        <item x="183"/>
        <item x="305"/>
        <item x="428"/>
        <item x="519"/>
        <item x="399"/>
        <item x="640"/>
        <item x="326"/>
        <item x="124"/>
        <item x="437"/>
        <item x="200"/>
        <item x="334"/>
        <item x="606"/>
        <item x="303"/>
        <item x="623"/>
        <item x="4"/>
        <item x="147"/>
        <item x="71"/>
        <item x="325"/>
        <item x="190"/>
        <item x="99"/>
        <item x="382"/>
        <item x="655"/>
        <item x="156"/>
        <item x="592"/>
        <item x="583"/>
        <item x="417"/>
        <item x="535"/>
        <item x="542"/>
        <item x="249"/>
        <item x="90"/>
        <item x="58"/>
        <item x="180"/>
        <item x="274"/>
        <item x="479"/>
        <item x="163"/>
        <item x="318"/>
        <item x="337"/>
        <item x="68"/>
        <item x="234"/>
        <item x="113"/>
        <item x="551"/>
        <item x="128"/>
        <item x="336"/>
        <item x="414"/>
        <item x="626"/>
        <item x="150"/>
        <item x="620"/>
        <item x="220"/>
        <item x="502"/>
        <item x="450"/>
        <item x="465"/>
        <item x="550"/>
        <item x="671"/>
        <item x="404"/>
        <item x="487"/>
        <item x="290"/>
        <item x="641"/>
        <item x="119"/>
        <item x="215"/>
        <item x="54"/>
        <item x="74"/>
        <item x="541"/>
        <item x="251"/>
        <item x="309"/>
        <item x="57"/>
        <item x="304"/>
        <item x="82"/>
        <item x="247"/>
        <item x="178"/>
        <item x="646"/>
        <item x="504"/>
        <item x="314"/>
        <item x="69"/>
        <item x="510"/>
        <item x="392"/>
        <item x="76"/>
        <item x="496"/>
        <item x="168"/>
        <item x="24"/>
        <item x="32"/>
        <item x="217"/>
        <item x="240"/>
        <item x="621"/>
        <item x="394"/>
        <item x="468"/>
        <item x="470"/>
        <item x="139"/>
        <item x="581"/>
        <item x="331"/>
        <item x="260"/>
        <item x="289"/>
        <item x="28"/>
        <item x="393"/>
        <item x="332"/>
        <item x="596"/>
        <item x="358"/>
        <item x="267"/>
        <item x="121"/>
        <item x="214"/>
        <item x="451"/>
        <item x="466"/>
        <item x="355"/>
        <item x="98"/>
        <item x="165"/>
        <item x="527"/>
        <item x="536"/>
        <item x="480"/>
        <item x="248"/>
        <item x="658"/>
        <item x="23"/>
        <item x="512"/>
        <item x="287"/>
        <item x="448"/>
        <item x="198"/>
        <item x="682"/>
        <item x="365"/>
        <item x="424"/>
        <item x="44"/>
        <item x="639"/>
        <item x="348"/>
        <item x="239"/>
        <item x="650"/>
        <item x="347"/>
        <item x="193"/>
        <item x="402"/>
        <item x="578"/>
        <item x="525"/>
        <item x="370"/>
        <item x="614"/>
        <item x="167"/>
        <item x="570"/>
        <item x="547"/>
        <item x="398"/>
        <item x="642"/>
        <item x="503"/>
        <item x="617"/>
        <item x="78"/>
        <item x="380"/>
        <item x="597"/>
        <item x="441"/>
        <item x="386"/>
        <item x="464"/>
        <item x="356"/>
        <item x="237"/>
        <item x="413"/>
        <item x="301"/>
        <item x="280"/>
        <item x="530"/>
        <item x="223"/>
        <item x="333"/>
        <item x="202"/>
        <item x="663"/>
        <item x="506"/>
        <item x="269"/>
        <item x="342"/>
        <item x="111"/>
        <item x="577"/>
        <item x="201"/>
        <item x="123"/>
        <item x="452"/>
        <item x="377"/>
        <item x="221"/>
        <item x="612"/>
        <item x="7"/>
        <item x="513"/>
        <item x="376"/>
        <item x="228"/>
        <item x="265"/>
        <item x="565"/>
        <item x="187"/>
        <item x="454"/>
        <item x="529"/>
        <item x="609"/>
        <item x="521"/>
        <item x="668"/>
        <item x="176"/>
        <item x="579"/>
        <item x="175"/>
        <item x="133"/>
        <item x="644"/>
        <item x="0"/>
        <item x="101"/>
        <item x="659"/>
        <item x="140"/>
        <item x="210"/>
        <item x="41"/>
        <item x="246"/>
        <item x="26"/>
        <item x="472"/>
        <item x="511"/>
        <item x="117"/>
        <item x="62"/>
        <item x="387"/>
        <item x="317"/>
        <item x="205"/>
        <item x="315"/>
        <item x="538"/>
        <item x="310"/>
        <item x="652"/>
        <item x="613"/>
        <item x="197"/>
        <item x="189"/>
        <item x="582"/>
        <item x="268"/>
        <item x="493"/>
        <item x="681"/>
        <item x="153"/>
        <item x="208"/>
        <item x="405"/>
        <item x="576"/>
        <item x="563"/>
        <item x="80"/>
        <item x="49"/>
        <item x="285"/>
        <item x="651"/>
        <item x="528"/>
        <item x="459"/>
        <item x="250"/>
        <item t="default"/>
      </items>
    </pivotField>
    <pivotField showAll="0"/>
    <pivotField showAll="0"/>
    <pivotField showAll="0"/>
    <pivotField showAll="0"/>
    <pivotField showAll="0"/>
    <pivotField showAll="0"/>
    <pivotField showAll="0"/>
    <pivotField showAll="0"/>
    <pivotField numFmtId="166" showAll="0"/>
    <pivotField numFmtId="167" showAll="0"/>
    <pivotField dataField="1" numFmtId="167" showAll="0"/>
    <pivotField axis="axisCol" showAll="0">
      <items count="5">
        <item x="2"/>
        <item x="3"/>
        <item x="1"/>
        <item x="0"/>
        <item t="default"/>
      </items>
    </pivotField>
    <pivotField showAll="0"/>
    <pivotField showAll="0">
      <items count="3">
        <item x="1"/>
        <item x="0"/>
        <item t="default"/>
      </items>
    </pivotField>
    <pivotField showAll="0"/>
    <pivotField numFmtId="2" showAll="0"/>
    <pivotField axis="axisRow" showAll="0" sortType="ascending">
      <items count="7">
        <item m="1" x="3"/>
        <item m="1" x="5"/>
        <item m="1" x="4"/>
        <item x="1"/>
        <item x="0"/>
        <item x="2"/>
        <item t="default"/>
      </items>
    </pivotField>
    <pivotField showAll="0"/>
    <pivotField showAll="0"/>
    <pivotField showAll="0"/>
    <pivotField showAll="0"/>
    <pivotField showAll="0"/>
    <pivotField showAll="0"/>
    <pivotField showAll="0"/>
    <pivotField showAll="0"/>
    <pivotField showAll="0"/>
    <pivotField showAll="0" defaultSubtotal="0"/>
    <pivotField showAll="0" defaultSubtotal="0">
      <items count="6">
        <item x="0"/>
        <item x="1"/>
        <item x="2"/>
        <item x="3"/>
        <item x="4"/>
        <item x="5"/>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18"/>
  </rowFields>
  <rowItems count="4">
    <i>
      <x v="3"/>
    </i>
    <i>
      <x v="4"/>
    </i>
    <i>
      <x v="5"/>
    </i>
    <i t="grand">
      <x/>
    </i>
  </rowItems>
  <colFields count="1">
    <field x="13"/>
  </colFields>
  <colItems count="5">
    <i>
      <x/>
    </i>
    <i>
      <x v="1"/>
    </i>
    <i>
      <x v="2"/>
    </i>
    <i>
      <x v="3"/>
    </i>
    <i t="grand">
      <x/>
    </i>
  </colItems>
  <dataFields count="1">
    <dataField name="Average Sales (AS)" fld="12" subtotal="average" baseField="13" baseItem="0" numFmtId="167"/>
  </dataFields>
  <formats count="3">
    <format dxfId="5">
      <pivotArea outline="0" collapsedLevelsAreSubtotals="1" fieldPosition="0"/>
    </format>
    <format dxfId="4">
      <pivotArea dataOnly="0" labelOnly="1" fieldPosition="0">
        <references count="1">
          <reference field="18" count="0"/>
        </references>
      </pivotArea>
    </format>
    <format dxfId="3">
      <pivotArea dataOnly="0" labelOnly="1" grandCol="1" outline="0" fieldPosition="0"/>
    </format>
  </formats>
  <chartFormats count="4">
    <chartFormat chart="7" format="12" series="1">
      <pivotArea type="data" outline="0" fieldPosition="0">
        <references count="2">
          <reference field="4294967294" count="1" selected="0">
            <x v="0"/>
          </reference>
          <reference field="13" count="1" selected="0">
            <x v="0"/>
          </reference>
        </references>
      </pivotArea>
    </chartFormat>
    <chartFormat chart="7" format="13" series="1">
      <pivotArea type="data" outline="0" fieldPosition="0">
        <references count="2">
          <reference field="4294967294" count="1" selected="0">
            <x v="0"/>
          </reference>
          <reference field="13" count="1" selected="0">
            <x v="1"/>
          </reference>
        </references>
      </pivotArea>
    </chartFormat>
    <chartFormat chart="7" format="14" series="1">
      <pivotArea type="data" outline="0" fieldPosition="0">
        <references count="2">
          <reference field="4294967294" count="1" selected="0">
            <x v="0"/>
          </reference>
          <reference field="13" count="1" selected="0">
            <x v="2"/>
          </reference>
        </references>
      </pivotArea>
    </chartFormat>
    <chartFormat chart="7" format="15"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8BBC1C2-F549-458A-9CF7-B4BE499FC852}"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8">
  <location ref="I1:J5" firstHeaderRow="1" firstDataRow="1" firstDataCol="1"/>
  <pivotFields count="34">
    <pivotField showAll="0"/>
    <pivotField numFmtId="165" showAll="0">
      <items count="690">
        <item x="94"/>
        <item x="283"/>
        <item x="107"/>
        <item x="555"/>
        <item x="327"/>
        <item x="209"/>
        <item x="172"/>
        <item x="2"/>
        <item x="238"/>
        <item x="39"/>
        <item x="230"/>
        <item x="433"/>
        <item x="243"/>
        <item x="129"/>
        <item x="154"/>
        <item x="474"/>
        <item x="624"/>
        <item x="110"/>
        <item x="321"/>
        <item x="25"/>
        <item x="435"/>
        <item x="151"/>
        <item x="181"/>
        <item x="56"/>
        <item x="505"/>
        <item x="363"/>
        <item x="254"/>
        <item x="108"/>
        <item x="182"/>
        <item x="649"/>
        <item x="79"/>
        <item x="604"/>
        <item x="514"/>
        <item x="498"/>
        <item x="375"/>
        <item x="233"/>
        <item x="566"/>
        <item x="43"/>
        <item x="665"/>
        <item x="88"/>
        <item x="598"/>
        <item x="421"/>
        <item x="520"/>
        <item x="320"/>
        <item x="279"/>
        <item x="102"/>
        <item x="194"/>
        <item x="456"/>
        <item x="118"/>
        <item x="648"/>
        <item x="64"/>
        <item x="533"/>
        <item x="501"/>
        <item x="422"/>
        <item x="8"/>
        <item x="353"/>
        <item x="103"/>
        <item x="195"/>
        <item x="339"/>
        <item x="643"/>
        <item x="654"/>
        <item x="271"/>
        <item x="389"/>
        <item x="475"/>
        <item x="522"/>
        <item x="20"/>
        <item x="144"/>
        <item x="462"/>
        <item x="397"/>
        <item x="588"/>
        <item x="229"/>
        <item x="469"/>
        <item x="400"/>
        <item x="391"/>
        <item x="683"/>
        <item x="603"/>
        <item x="660"/>
        <item x="447"/>
        <item x="207"/>
        <item x="619"/>
        <item x="351"/>
        <item x="638"/>
        <item x="662"/>
        <item x="390"/>
        <item x="477"/>
        <item x="112"/>
        <item x="226"/>
        <item x="364"/>
        <item x="600"/>
        <item x="109"/>
        <item x="231"/>
        <item x="241"/>
        <item x="92"/>
        <item x="106"/>
        <item x="362"/>
        <item x="430"/>
        <item x="37"/>
        <item x="540"/>
        <item x="257"/>
        <item x="438"/>
        <item x="384"/>
        <item x="608"/>
        <item x="593"/>
        <item x="316"/>
        <item x="580"/>
        <item x="350"/>
        <item x="383"/>
        <item x="258"/>
        <item x="296"/>
        <item x="457"/>
        <item x="191"/>
        <item x="611"/>
        <item x="423"/>
        <item x="235"/>
        <item x="388"/>
        <item x="534"/>
        <item x="544"/>
        <item x="145"/>
        <item x="653"/>
        <item x="374"/>
        <item x="633"/>
        <item x="418"/>
        <item x="294"/>
        <item x="575"/>
        <item x="255"/>
        <item x="567"/>
        <item x="66"/>
        <item x="346"/>
        <item x="259"/>
        <item x="63"/>
        <item x="667"/>
        <item x="174"/>
        <item x="678"/>
        <item x="548"/>
        <item x="471"/>
        <item x="411"/>
        <item x="431"/>
        <item x="628"/>
        <item x="476"/>
        <item x="270"/>
        <item x="199"/>
        <item x="568"/>
        <item x="586"/>
        <item x="40"/>
        <item x="545"/>
        <item x="634"/>
        <item x="155"/>
        <item x="489"/>
        <item x="467"/>
        <item x="491"/>
        <item x="149"/>
        <item x="460"/>
        <item x="91"/>
        <item x="273"/>
        <item x="672"/>
        <item x="120"/>
        <item x="478"/>
        <item x="130"/>
        <item x="674"/>
        <item x="227"/>
        <item x="440"/>
        <item x="266"/>
        <item x="299"/>
        <item x="631"/>
        <item x="329"/>
        <item x="307"/>
        <item x="488"/>
        <item x="685"/>
        <item x="573"/>
        <item x="50"/>
        <item x="286"/>
        <item x="48"/>
        <item x="532"/>
        <item x="281"/>
        <item x="15"/>
        <item x="61"/>
        <item x="67"/>
        <item x="599"/>
        <item x="558"/>
        <item x="75"/>
        <item x="55"/>
        <item x="680"/>
        <item x="684"/>
        <item x="344"/>
        <item x="52"/>
        <item x="419"/>
        <item x="232"/>
        <item x="134"/>
        <item x="572"/>
        <item x="455"/>
        <item x="171"/>
        <item x="661"/>
        <item x="524"/>
        <item x="416"/>
        <item x="219"/>
        <item x="196"/>
        <item x="36"/>
        <item x="420"/>
        <item x="100"/>
        <item x="574"/>
        <item x="601"/>
        <item x="6"/>
        <item x="562"/>
        <item x="625"/>
        <item x="590"/>
        <item x="253"/>
        <item x="148"/>
        <item x="569"/>
        <item x="335"/>
        <item x="492"/>
        <item x="526"/>
        <item x="439"/>
        <item x="252"/>
        <item x="16"/>
        <item x="166"/>
        <item x="204"/>
        <item x="425"/>
        <item x="137"/>
        <item x="490"/>
        <item x="564"/>
        <item x="60"/>
        <item x="319"/>
        <item x="256"/>
        <item x="676"/>
        <item x="559"/>
        <item x="222"/>
        <item x="81"/>
        <item x="666"/>
        <item x="484"/>
        <item x="605"/>
        <item x="546"/>
        <item x="453"/>
        <item x="170"/>
        <item x="164"/>
        <item x="17"/>
        <item x="509"/>
        <item x="584"/>
        <item x="291"/>
        <item x="282"/>
        <item x="262"/>
        <item x="236"/>
        <item x="656"/>
        <item x="324"/>
        <item x="35"/>
        <item x="645"/>
        <item x="343"/>
        <item x="618"/>
        <item x="434"/>
        <item x="245"/>
        <item x="298"/>
        <item x="264"/>
        <item x="359"/>
        <item x="213"/>
        <item x="13"/>
        <item x="12"/>
        <item x="34"/>
        <item x="485"/>
        <item x="360"/>
        <item x="177"/>
        <item x="293"/>
        <item x="368"/>
        <item x="396"/>
        <item x="132"/>
        <item x="516"/>
        <item x="261"/>
        <item x="357"/>
        <item x="531"/>
        <item x="263"/>
        <item x="518"/>
        <item x="444"/>
        <item x="45"/>
        <item x="19"/>
        <item x="97"/>
        <item x="486"/>
        <item x="312"/>
        <item x="216"/>
        <item x="330"/>
        <item x="292"/>
        <item x="18"/>
        <item x="328"/>
        <item x="14"/>
        <item x="664"/>
        <item x="96"/>
        <item x="686"/>
        <item x="308"/>
        <item x="225"/>
        <item x="553"/>
        <item x="366"/>
        <item x="73"/>
        <item x="515"/>
        <item x="42"/>
        <item x="125"/>
        <item x="295"/>
        <item x="415"/>
        <item x="549"/>
        <item x="30"/>
        <item x="381"/>
        <item x="146"/>
        <item x="22"/>
        <item x="84"/>
        <item x="126"/>
        <item x="508"/>
        <item x="127"/>
        <item x="571"/>
        <item x="373"/>
        <item x="11"/>
        <item x="10"/>
        <item x="161"/>
        <item x="385"/>
        <item x="115"/>
        <item x="345"/>
        <item x="188"/>
        <item x="9"/>
        <item x="507"/>
        <item x="675"/>
        <item x="677"/>
        <item x="622"/>
        <item x="31"/>
        <item x="322"/>
        <item x="429"/>
        <item x="554"/>
        <item x="29"/>
        <item x="401"/>
        <item x="173"/>
        <item x="409"/>
        <item x="288"/>
        <item x="105"/>
        <item x="65"/>
        <item x="53"/>
        <item x="51"/>
        <item x="629"/>
        <item x="443"/>
        <item x="610"/>
        <item x="135"/>
        <item x="500"/>
        <item x="560"/>
        <item x="523"/>
        <item x="1"/>
        <item x="499"/>
        <item x="587"/>
        <item x="114"/>
        <item x="543"/>
        <item x="483"/>
        <item x="494"/>
        <item x="407"/>
        <item x="495"/>
        <item x="449"/>
        <item x="602"/>
        <item x="369"/>
        <item x="206"/>
        <item x="122"/>
        <item x="313"/>
        <item x="556"/>
        <item x="426"/>
        <item x="670"/>
        <item x="361"/>
        <item x="272"/>
        <item x="442"/>
        <item x="179"/>
        <item x="46"/>
        <item x="657"/>
        <item x="86"/>
        <item x="637"/>
        <item x="473"/>
        <item x="72"/>
        <item x="104"/>
        <item x="70"/>
        <item x="300"/>
        <item x="432"/>
        <item x="302"/>
        <item x="595"/>
        <item x="212"/>
        <item x="607"/>
        <item x="688"/>
        <item x="169"/>
        <item x="160"/>
        <item x="406"/>
        <item x="436"/>
        <item x="627"/>
        <item x="632"/>
        <item x="446"/>
        <item x="185"/>
        <item x="591"/>
        <item x="152"/>
        <item x="537"/>
        <item x="3"/>
        <item x="95"/>
        <item x="93"/>
        <item x="306"/>
        <item x="5"/>
        <item x="445"/>
        <item x="481"/>
        <item x="159"/>
        <item x="244"/>
        <item x="458"/>
        <item x="87"/>
        <item x="585"/>
        <item x="669"/>
        <item x="636"/>
        <item x="557"/>
        <item x="143"/>
        <item x="517"/>
        <item x="630"/>
        <item x="211"/>
        <item x="635"/>
        <item x="395"/>
        <item x="136"/>
        <item x="142"/>
        <item x="408"/>
        <item x="33"/>
        <item x="589"/>
        <item x="47"/>
        <item x="594"/>
        <item x="138"/>
        <item x="412"/>
        <item x="224"/>
        <item x="162"/>
        <item x="341"/>
        <item x="192"/>
        <item x="615"/>
        <item x="340"/>
        <item x="679"/>
        <item x="323"/>
        <item x="372"/>
        <item x="89"/>
        <item x="77"/>
        <item x="38"/>
        <item x="276"/>
        <item x="427"/>
        <item x="83"/>
        <item x="673"/>
        <item x="116"/>
        <item x="539"/>
        <item x="203"/>
        <item x="141"/>
        <item x="687"/>
        <item x="463"/>
        <item x="184"/>
        <item x="338"/>
        <item x="367"/>
        <item x="497"/>
        <item x="552"/>
        <item x="349"/>
        <item x="647"/>
        <item x="354"/>
        <item x="352"/>
        <item x="277"/>
        <item x="561"/>
        <item x="275"/>
        <item x="371"/>
        <item x="616"/>
        <item x="378"/>
        <item x="403"/>
        <item x="461"/>
        <item x="410"/>
        <item x="218"/>
        <item x="284"/>
        <item x="482"/>
        <item x="278"/>
        <item x="21"/>
        <item x="242"/>
        <item x="157"/>
        <item x="131"/>
        <item x="297"/>
        <item x="59"/>
        <item x="27"/>
        <item x="186"/>
        <item x="311"/>
        <item x="85"/>
        <item x="379"/>
        <item x="158"/>
        <item x="183"/>
        <item x="305"/>
        <item x="428"/>
        <item x="519"/>
        <item x="399"/>
        <item x="640"/>
        <item x="326"/>
        <item x="124"/>
        <item x="437"/>
        <item x="200"/>
        <item x="334"/>
        <item x="606"/>
        <item x="303"/>
        <item x="623"/>
        <item x="4"/>
        <item x="147"/>
        <item x="71"/>
        <item x="325"/>
        <item x="190"/>
        <item x="99"/>
        <item x="382"/>
        <item x="655"/>
        <item x="156"/>
        <item x="592"/>
        <item x="583"/>
        <item x="417"/>
        <item x="535"/>
        <item x="542"/>
        <item x="249"/>
        <item x="90"/>
        <item x="58"/>
        <item x="180"/>
        <item x="274"/>
        <item x="479"/>
        <item x="163"/>
        <item x="318"/>
        <item x="337"/>
        <item x="68"/>
        <item x="234"/>
        <item x="113"/>
        <item x="551"/>
        <item x="128"/>
        <item x="336"/>
        <item x="414"/>
        <item x="626"/>
        <item x="150"/>
        <item x="620"/>
        <item x="220"/>
        <item x="502"/>
        <item x="450"/>
        <item x="465"/>
        <item x="550"/>
        <item x="671"/>
        <item x="404"/>
        <item x="487"/>
        <item x="290"/>
        <item x="641"/>
        <item x="119"/>
        <item x="215"/>
        <item x="54"/>
        <item x="74"/>
        <item x="541"/>
        <item x="251"/>
        <item x="309"/>
        <item x="57"/>
        <item x="304"/>
        <item x="82"/>
        <item x="247"/>
        <item x="178"/>
        <item x="646"/>
        <item x="504"/>
        <item x="314"/>
        <item x="69"/>
        <item x="510"/>
        <item x="392"/>
        <item x="76"/>
        <item x="496"/>
        <item x="168"/>
        <item x="24"/>
        <item x="32"/>
        <item x="217"/>
        <item x="240"/>
        <item x="621"/>
        <item x="394"/>
        <item x="468"/>
        <item x="470"/>
        <item x="139"/>
        <item x="581"/>
        <item x="331"/>
        <item x="260"/>
        <item x="289"/>
        <item x="28"/>
        <item x="393"/>
        <item x="332"/>
        <item x="596"/>
        <item x="358"/>
        <item x="267"/>
        <item x="121"/>
        <item x="214"/>
        <item x="451"/>
        <item x="466"/>
        <item x="355"/>
        <item x="98"/>
        <item x="165"/>
        <item x="527"/>
        <item x="536"/>
        <item x="480"/>
        <item x="248"/>
        <item x="658"/>
        <item x="23"/>
        <item x="512"/>
        <item x="287"/>
        <item x="448"/>
        <item x="198"/>
        <item x="682"/>
        <item x="365"/>
        <item x="424"/>
        <item x="44"/>
        <item x="639"/>
        <item x="348"/>
        <item x="239"/>
        <item x="650"/>
        <item x="347"/>
        <item x="193"/>
        <item x="402"/>
        <item x="578"/>
        <item x="525"/>
        <item x="370"/>
        <item x="614"/>
        <item x="167"/>
        <item x="570"/>
        <item x="547"/>
        <item x="398"/>
        <item x="642"/>
        <item x="503"/>
        <item x="617"/>
        <item x="78"/>
        <item x="380"/>
        <item x="597"/>
        <item x="441"/>
        <item x="386"/>
        <item x="464"/>
        <item x="356"/>
        <item x="237"/>
        <item x="413"/>
        <item x="301"/>
        <item x="280"/>
        <item x="530"/>
        <item x="223"/>
        <item x="333"/>
        <item x="202"/>
        <item x="663"/>
        <item x="506"/>
        <item x="269"/>
        <item x="342"/>
        <item x="111"/>
        <item x="577"/>
        <item x="201"/>
        <item x="123"/>
        <item x="452"/>
        <item x="377"/>
        <item x="221"/>
        <item x="612"/>
        <item x="7"/>
        <item x="513"/>
        <item x="376"/>
        <item x="228"/>
        <item x="265"/>
        <item x="565"/>
        <item x="187"/>
        <item x="454"/>
        <item x="529"/>
        <item x="609"/>
        <item x="521"/>
        <item x="668"/>
        <item x="176"/>
        <item x="579"/>
        <item x="175"/>
        <item x="133"/>
        <item x="644"/>
        <item x="0"/>
        <item x="101"/>
        <item x="659"/>
        <item x="140"/>
        <item x="210"/>
        <item x="41"/>
        <item x="246"/>
        <item x="26"/>
        <item x="472"/>
        <item x="511"/>
        <item x="117"/>
        <item x="62"/>
        <item x="387"/>
        <item x="317"/>
        <item x="205"/>
        <item x="315"/>
        <item x="538"/>
        <item x="310"/>
        <item x="652"/>
        <item x="613"/>
        <item x="197"/>
        <item x="189"/>
        <item x="582"/>
        <item x="268"/>
        <item x="493"/>
        <item x="681"/>
        <item x="153"/>
        <item x="208"/>
        <item x="405"/>
        <item x="576"/>
        <item x="563"/>
        <item x="80"/>
        <item x="49"/>
        <item x="285"/>
        <item x="651"/>
        <item x="528"/>
        <item x="459"/>
        <item x="250"/>
        <item t="default"/>
      </items>
    </pivotField>
    <pivotField showAll="0"/>
    <pivotField showAll="0"/>
    <pivotField showAll="0"/>
    <pivotField showAll="0"/>
    <pivotField showAll="0"/>
    <pivotField axis="axisRow" showAll="0" sortType="ascending">
      <items count="4">
        <item x="1"/>
        <item x="2"/>
        <item x="0"/>
        <item t="default"/>
      </items>
      <autoSortScope>
        <pivotArea dataOnly="0" outline="0" fieldPosition="0">
          <references count="1">
            <reference field="4294967294" count="1" selected="0">
              <x v="0"/>
            </reference>
          </references>
        </pivotArea>
      </autoSortScope>
    </pivotField>
    <pivotField showAll="0"/>
    <pivotField showAll="0"/>
    <pivotField numFmtId="166" showAll="0">
      <items count="5">
        <item x="3"/>
        <item x="1"/>
        <item x="0"/>
        <item x="2"/>
        <item t="default"/>
      </items>
    </pivotField>
    <pivotField numFmtId="167" showAll="0"/>
    <pivotField dataField="1" numFmtId="167" showAll="0"/>
    <pivotField showAll="0"/>
    <pivotField showAll="0">
      <items count="4">
        <item x="0"/>
        <item x="1"/>
        <item x="2"/>
        <item t="default"/>
      </items>
    </pivotField>
    <pivotField showAll="0">
      <items count="3">
        <item x="1"/>
        <item x="0"/>
        <item t="default"/>
      </items>
    </pivotField>
    <pivotField showAll="0"/>
    <pivotField numFmtId="2" showAll="0"/>
    <pivotField showAll="0"/>
    <pivotField showAll="0"/>
    <pivotField showAll="0"/>
    <pivotField showAll="0"/>
    <pivotField showAll="0"/>
    <pivotField showAll="0"/>
    <pivotField showAll="0"/>
    <pivotField showAll="0"/>
    <pivotField showAll="0"/>
    <pivotField showAll="0"/>
    <pivotField showAll="0" defaultSubtotal="0"/>
    <pivotField showAll="0" defaultSubtotal="0">
      <items count="6">
        <item x="0"/>
        <item x="1"/>
        <item x="2"/>
        <item x="3"/>
        <item x="4"/>
        <item x="5"/>
      </items>
    </pivotField>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7"/>
  </rowFields>
  <rowItems count="4">
    <i>
      <x v="1"/>
    </i>
    <i>
      <x/>
    </i>
    <i>
      <x v="2"/>
    </i>
    <i t="grand">
      <x/>
    </i>
  </rowItems>
  <colItems count="1">
    <i/>
  </colItems>
  <dataFields count="1">
    <dataField name="Sum of Sales" fld="12" baseField="0" baseItem="0" numFmtId="168"/>
  </dataFields>
  <formats count="1">
    <format dxfId="6">
      <pivotArea outline="0" collapsedLevelsAreSubtotals="1" fieldPosition="0"/>
    </format>
  </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B600E827-0C64-4A92-9B66-B7B2280117EF}" sourceName="Country">
  <pivotTables>
    <pivotTable tabId="20" name="TopQuantity"/>
    <pivotTable tabId="20" name="SalesVSQuantity"/>
    <pivotTable tabId="20" name="TopSales"/>
  </pivotTables>
  <data>
    <tabular pivotCacheId="1077507503">
      <items count="3">
        <i x="1" s="1"/>
        <i x="2"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ffee_Type_Name" xr10:uid="{21C42E7C-1D2D-42D5-93E0-D7607544E93F}" sourceName="Coffee Type Name">
  <pivotTables>
    <pivotTable tabId="20" name="SalesVSQuantity"/>
    <pivotTable tabId="20" name="TopQuantity"/>
    <pivotTable tabId="20" name="TopSales"/>
  </pivotTables>
  <data>
    <tabular pivotCacheId="1077507503">
      <items count="4">
        <i x="2" s="1"/>
        <i x="3"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Segment" xr10:uid="{6CA3FDD4-0333-4B5A-B9A0-CB8363E6F1D9}" sourceName="Customer Segment">
  <pivotTables>
    <pivotTable tabId="20" name="AverageOrderSizeVSFrequency"/>
  </pivotTables>
  <data>
    <tabular pivotCacheId="1077507503">
      <items count="3">
        <i x="2" s="1"/>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1" xr10:uid="{265A310E-EFB0-4AF6-BBE6-844926C70F35}" sourceName="Loyalty Card">
  <pivotTables>
    <pivotTable tabId="20" name="ProductMixPivot"/>
    <pivotTable tabId="20" name="CustomerSpendDist"/>
    <pivotTable tabId="20" name="PivotTable4"/>
  </pivotTables>
  <data>
    <tabular pivotCacheId="1077507503">
      <items count="2">
        <i x="1"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1" xr10:uid="{7788B2AB-F6A6-4A05-9DA5-E0AFD01A310A}" sourceName="Size">
  <pivotTables>
    <pivotTable tabId="20" name="PriceVSQuantity"/>
    <pivotTable tabId="20" name="PriceVSVolumePivot"/>
  </pivotTables>
  <data>
    <tabular pivotCacheId="1077507503">
      <items count="4">
        <i x="3" s="1"/>
        <i x="1" s="1"/>
        <i x="0" s="1"/>
        <i x="2"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1" xr10:uid="{639B506C-0DAF-4379-BFBA-EB707A340066}" sourceName="Roast Type Name">
  <pivotTables>
    <pivotTable tabId="20" name="PriceVSQuantity"/>
    <pivotTable tabId="20" name="PackSizePerformance"/>
    <pivotTable tabId="20" name="PriceVSVolumePivot"/>
  </pivotTables>
  <data>
    <tabular pivotCacheId="1077507503">
      <items count="3">
        <i x="0" s="1"/>
        <i x="1"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untry" xr10:uid="{5603DED3-476A-4CF0-B1DE-C2C7D1CBB20D}" cache="Slicer_Country" caption="Country" columnCount="3" rowHeight="241300"/>
  <slicer name="Coffee Type Name" xr10:uid="{EEB46A37-2873-4C84-9232-CF20CD1E820E}" cache="Slicer_Coffee_Type_Name" caption="Coffee Type Name" columnCount="4" rowHeight="241300"/>
  <slicer name="Customer Segment" xr10:uid="{79D11FE8-9BCF-4282-BA20-E870791B6F23}" cache="Slicer_Customer_Segment" caption="Customer Segment" rowHeight="241300"/>
  <slicer name="Loyalty Card 1" xr10:uid="{E5FEE891-32EB-41B7-8CFD-6A7CC35CCA9E}" cache="Slicer_Loyalty_Card1" caption="Loyalty Card" rowHeight="241300"/>
  <slicer name="Size 1" xr10:uid="{3DFCD841-D184-42CF-B5F3-77B350A980A5}" cache="Slicer_Size1" caption="Size" columnCount="4" rowHeight="241300"/>
  <slicer name="Roast Type Name 1" xr10:uid="{D049AE14-EE20-457B-976A-5F8EA9C8E356}" cache="Slicer_Roast_Type_Name1" caption="Roast Type Name" columnCount="3"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7069C04-837F-4A77-8C2B-6113472BE46C}" name="Orders" displayName="Orders" ref="A1:AB1001" totalsRowShown="0" headerRowDxfId="30">
  <autoFilter ref="A1:AB1001" xr:uid="{57069C04-837F-4A77-8C2B-6113472BE46C}"/>
  <tableColumns count="28">
    <tableColumn id="1" xr3:uid="{B4AC4F42-E4A6-48A7-91F4-312014F40FC3}" name="Order ID" dataDxfId="29"/>
    <tableColumn id="2" xr3:uid="{750A250C-348F-428B-A96B-DDA409049EE5}" name="Order Date" dataDxfId="28"/>
    <tableColumn id="3" xr3:uid="{E292AB45-97A9-4CE1-8468-70412CB5DC45}" name="Customer ID" dataDxfId="27"/>
    <tableColumn id="4" xr3:uid="{A167200D-9135-4397-A01F-EC7936285B66}" name="Product ID"/>
    <tableColumn id="5" xr3:uid="{CDBAC01B-922C-472F-B168-A43D18EEBCE9}" name="Quantity" dataDxfId="26"/>
    <tableColumn id="6" xr3:uid="{69BE86A8-249E-4F5D-9D97-D713BB49535F}" name="Customer Name" dataDxfId="25">
      <calculatedColumnFormula>_xlfn.XLOOKUP(C2,customers!$A$1:$A$1001,customers!$B$1:$B$1001,,0)</calculatedColumnFormula>
    </tableColumn>
    <tableColumn id="7" xr3:uid="{D1C72C08-E1CE-4F76-8848-018C4F1AA45A}" name="Email" dataDxfId="24">
      <calculatedColumnFormula>IF(_xlfn.XLOOKUP(C2,customers!$A$1:$A$1001,customers!$C$1:$C$1001,,0)=0,"",_xlfn.XLOOKUP(C2,customers!$A$1:$A$1001,customers!$C$1:$C$1001,,0))</calculatedColumnFormula>
    </tableColumn>
    <tableColumn id="8" xr3:uid="{040CDBCB-6291-4E4F-835E-9D25A0152D94}" name="Country" dataDxfId="23">
      <calculatedColumnFormula>_xlfn.XLOOKUP(C2,customers!$A$1:$A$1001,customers!$G$1:$G$1001,,0)</calculatedColumnFormula>
    </tableColumn>
    <tableColumn id="9" xr3:uid="{EA0A90ED-C2C0-4804-B9BB-FFC8E1D1090E}" name="Coffee Type">
      <calculatedColumnFormula>INDEX(products!$A$1:$G$49, MATCH(orders!$D2,products!$A$1:$A49,0), MATCH(orders!I$1,products!$A$1:$G$1,0))</calculatedColumnFormula>
    </tableColumn>
    <tableColumn id="10" xr3:uid="{F65CFE4C-E7C6-4863-85E3-47F5A6E37713}" name="Roast Type">
      <calculatedColumnFormula>INDEX(products!$A$1:$G$49, MATCH(orders!$D2,products!$A$1:$A49,0), MATCH(orders!J$1,products!$A$1:$G$1,0))</calculatedColumnFormula>
    </tableColumn>
    <tableColumn id="11" xr3:uid="{56A3BBAD-B01A-47F9-917C-416471DF32A8}" name="Size" dataDxfId="22">
      <calculatedColumnFormula>INDEX(products!$A$1:$G$49, MATCH(orders!$D2,products!$A$1:$A49,0), MATCH(orders!K$1,products!$A$1:$G$1,0))</calculatedColumnFormula>
    </tableColumn>
    <tableColumn id="12" xr3:uid="{5AA55DDB-FF6D-47CD-BAA6-0EF4B4D6072A}" name="Unit Price" dataDxfId="21">
      <calculatedColumnFormula>INDEX(products!$A$1:$G$49, MATCH(orders!$D2,products!$A$1:$A49,0), MATCH(orders!L$1,products!$A$1:$G$1,0))</calculatedColumnFormula>
    </tableColumn>
    <tableColumn id="13" xr3:uid="{76F4A1FE-9406-4AF7-9B87-FC5EB980DAD5}" name="Sales" dataDxfId="20">
      <calculatedColumnFormula>L2*E2</calculatedColumnFormula>
    </tableColumn>
    <tableColumn id="14" xr3:uid="{4596D167-3E59-4F57-921C-5AA81A7844BB}" name="Coffee Type Name">
      <calculatedColumnFormula>IF(I2="Rob", "Robusta", IF(I2="Exc", "Excelsa", IF(I2="Ara","Arabica", IF(I2="Lib", "Liberica",""))))</calculatedColumnFormula>
    </tableColumn>
    <tableColumn id="15" xr3:uid="{F4CD5D97-1412-4EE9-AF90-2EA56F47597D}" name="Roast Type Name">
      <calculatedColumnFormula>IF(J2="M", "Medium", IF(J2="L", "Light", IF(J2="D", "Dark", "")))</calculatedColumnFormula>
    </tableColumn>
    <tableColumn id="16" xr3:uid="{A21E3318-8384-4747-B9D9-A06C92149580}" name="Loyalty Card" dataDxfId="19">
      <calculatedColumnFormula>_xlfn.XLOOKUP(Orders[[#This Row],[Customer ID]],customers!$A$1:$A$1001,customers!$I$1:$I$1001,,0)</calculatedColumnFormula>
    </tableColumn>
    <tableColumn id="17" xr3:uid="{260F9206-AF59-4C6C-9FE4-F3C1938A8A8F}" name="Order Frequency" dataDxfId="18">
      <calculatedColumnFormula>COUNTIF(Orders[Order ID],Orders[[#This Row],[Order ID]])</calculatedColumnFormula>
    </tableColumn>
    <tableColumn id="18" xr3:uid="{9A264CB4-CCA1-4245-B58B-1DC5A68FF57F}" name="Average Order Cost" dataDxfId="17">
      <calculatedColumnFormula>SUMIF(Orders[Order ID], Orders[[#This Row],[Order ID]],Orders[Sales])/Orders[[#This Row],[Order Frequency]]</calculatedColumnFormula>
    </tableColumn>
    <tableColumn id="19" xr3:uid="{EBB659E7-DC08-43F7-B91E-B22656D8C217}" name="Frequency Group" dataDxfId="16">
      <calculatedColumnFormula>IF(Orders[[#This Row],[Order Frequency]]&gt;4, "More than 4", IF(AND(Orders[[#This Row],[Order Frequency]]&lt;=4,Orders[[#This Row],[Order Frequency]]&gt;=2), "Between 4 and 2", "Less than 2"))</calculatedColumnFormula>
    </tableColumn>
    <tableColumn id="20" xr3:uid="{7A6A974D-6E66-4F9A-9C2A-6287CA5F0326}" name="Customer Segment" dataDxfId="15">
      <calculatedColumnFormula>IF(Orders[[#This Row],[Frequency Group]]="less than 2", "Low Value", IF(Orders[[#This Row],[Frequency Group]]="between 4 and 2", "Medium Value", "High Value"))</calculatedColumnFormula>
    </tableColumn>
    <tableColumn id="21" xr3:uid="{E701C691-70F0-426A-BD55-97E16038909C}" name="Spend Distribution" dataDxfId="14">
      <calculatedColumnFormula>IF(Orders[[#This Row],[Sales]]&lt;50, "$0-50", IF(AND(Orders[[#This Row],[Sales]]&gt;=50,Orders[[#This Row],[Sales]]&lt;=100), "$50-100", IF(AND(Orders[[#This Row],[Sales]]&gt;100,Orders[[#This Row],[Sales]]&lt;=150), "$101-150", "$150+")))</calculatedColumnFormula>
    </tableColumn>
    <tableColumn id="22" xr3:uid="{142F043E-CBBA-49A0-985F-D2E105355B61}" name="Sales Tier" dataDxfId="13">
      <calculatedColumnFormula>IF(Orders[[#This Row],[Sales]]&gt;MEDIAN(M:M), "High Price", "Low Price")</calculatedColumnFormula>
    </tableColumn>
    <tableColumn id="23" xr3:uid="{B5043BDF-5A55-41EF-903F-C97F43485C8D}" name="Quantity Tier" dataDxfId="12">
      <calculatedColumnFormula>IF(Orders[[#This Row],[Quantity]]&gt;MEDIAN(E:E), "High Volume", "Low Volume")</calculatedColumnFormula>
    </tableColumn>
    <tableColumn id="24" xr3:uid="{61524EA2-138E-42F9-A6FF-AD4C01ECA87A}" name="Quadrant Label" dataDxfId="11">
      <calculatedColumnFormula>Orders[[#This Row],[Sales Tier]] &amp; "-" &amp; Orders[[#This Row],[Quantity Tier]]</calculatedColumnFormula>
    </tableColumn>
    <tableColumn id="25" xr3:uid="{FFF43C04-B15E-4687-B334-6143925A2B2A}" name="Month" dataDxfId="10">
      <calculatedColumnFormula>TEXT(Orders[[#This Row],[Order Date]], "mmmm")</calculatedColumnFormula>
    </tableColumn>
    <tableColumn id="26" xr3:uid="{55C5047E-2CC1-42E3-B848-03E65110EDCB}" name="Quarter" dataDxfId="9">
      <calculatedColumnFormula>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calculatedColumnFormula>
    </tableColumn>
    <tableColumn id="27" xr3:uid="{D831DA60-6DAD-4DA5-A2C1-4701959167F8}" name="Coffee-Roast" dataDxfId="8">
      <calculatedColumnFormula>Orders[[#This Row],[Coffee Type Name]] &amp; "-" &amp; Orders[[#This Row],[Roast Type Name]]</calculatedColumnFormula>
    </tableColumn>
    <tableColumn id="28" xr3:uid="{39E90123-930A-47BE-AF46-F57B6EEDB378}" name="Season" dataDxfId="7">
      <calculatedColumnFormula>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calculatedColumnFormula>
    </tableColumn>
  </tableColumns>
  <tableStyleInfo name="TableStyleLight20"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50910863-DA63-4704-9C1B-A8C0E8C28429}" sourceName="Order Date">
  <pivotTables>
    <pivotTable tabId="20" name="TotalSales"/>
    <pivotTable tabId="20" name="PivotTable1"/>
    <pivotTable tabId="20" name="PivotTable3"/>
    <pivotTable tabId="20" name="SalesOverTime"/>
    <pivotTable tabId="20" name="GrowthRateTable"/>
    <pivotTable tabId="20" name="QuarterlyTable"/>
    <pivotTable tabId="20" name="SeasonalTable"/>
  </pivotTables>
  <state minimalRefreshVersion="6" lastRefreshVersion="6" pivotCacheId="1077507503"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1" xr10:uid="{0176C6B6-A875-41DC-974D-CF71FB763ED9}" cache="NativeTimeline_Order_Date" caption="Order Date" level="2" selectionLevel="2" scrollPosition="2019-01-01T00:00:00" style="Purple Timeline Style"/>
</timeline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6.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M1001"/>
  <sheetViews>
    <sheetView zoomScale="115" zoomScaleNormal="115" workbookViewId="0">
      <selection activeCell="O18" sqref="O18"/>
    </sheetView>
  </sheetViews>
  <sheetFormatPr defaultRowHeight="15" x14ac:dyDescent="0.25"/>
  <cols>
    <col min="1" max="1" width="16.5703125" bestFit="1" customWidth="1"/>
    <col min="2" max="2" width="11.85546875" bestFit="1" customWidth="1"/>
    <col min="3" max="3" width="17.42578125" bestFit="1" customWidth="1"/>
    <col min="4" max="4" width="10.140625" bestFit="1" customWidth="1"/>
    <col min="5" max="5" width="8.7109375" bestFit="1" customWidth="1"/>
    <col min="6" max="6" width="15.42578125" bestFit="1" customWidth="1"/>
    <col min="7" max="7" width="5.85546875" bestFit="1" customWidth="1"/>
    <col min="8" max="8" width="8.140625" bestFit="1" customWidth="1"/>
    <col min="9" max="9" width="11.7109375" bestFit="1" customWidth="1"/>
    <col min="10" max="10" width="10.5703125" bestFit="1" customWidth="1"/>
    <col min="11" max="11" width="4.5703125" bestFit="1" customWidth="1"/>
    <col min="12" max="12" width="9.5703125" bestFit="1" customWidth="1"/>
    <col min="13" max="13" width="5.5703125" bestFit="1" customWidth="1"/>
  </cols>
  <sheetData>
    <row r="1" spans="1:13" x14ac:dyDescent="0.25">
      <c r="A1" s="2" t="s">
        <v>0</v>
      </c>
      <c r="B1" s="2" t="s">
        <v>1</v>
      </c>
      <c r="C1" s="2" t="s">
        <v>3</v>
      </c>
      <c r="D1" s="2" t="s">
        <v>11</v>
      </c>
      <c r="E1" s="2" t="s">
        <v>14</v>
      </c>
      <c r="F1" s="2" t="s">
        <v>4</v>
      </c>
      <c r="G1" s="2" t="s">
        <v>2</v>
      </c>
      <c r="H1" s="2" t="s">
        <v>7</v>
      </c>
      <c r="I1" s="2" t="s">
        <v>9</v>
      </c>
      <c r="J1" s="2" t="s">
        <v>10</v>
      </c>
      <c r="K1" s="2" t="s">
        <v>12</v>
      </c>
      <c r="L1" s="2" t="s">
        <v>13</v>
      </c>
      <c r="M1" s="2" t="s">
        <v>15</v>
      </c>
    </row>
    <row r="2" spans="1:13" x14ac:dyDescent="0.25">
      <c r="A2" s="2" t="s">
        <v>490</v>
      </c>
      <c r="B2" s="3">
        <v>43713</v>
      </c>
      <c r="C2" s="2" t="s">
        <v>491</v>
      </c>
      <c r="D2" t="s">
        <v>6138</v>
      </c>
      <c r="E2" s="2">
        <v>2</v>
      </c>
      <c r="F2" s="2"/>
      <c r="G2" s="2"/>
      <c r="H2" s="2"/>
    </row>
    <row r="3" spans="1:13" x14ac:dyDescent="0.25">
      <c r="A3" s="2" t="s">
        <v>490</v>
      </c>
      <c r="B3" s="3">
        <v>43713</v>
      </c>
      <c r="C3" s="2" t="s">
        <v>491</v>
      </c>
      <c r="D3" t="s">
        <v>6139</v>
      </c>
      <c r="E3" s="2">
        <v>5</v>
      </c>
      <c r="F3" s="2"/>
      <c r="G3" s="2"/>
      <c r="H3" s="2"/>
    </row>
    <row r="4" spans="1:13" x14ac:dyDescent="0.25">
      <c r="A4" s="2" t="s">
        <v>501</v>
      </c>
      <c r="B4" s="3">
        <v>44364</v>
      </c>
      <c r="C4" s="2" t="s">
        <v>502</v>
      </c>
      <c r="D4" t="s">
        <v>6140</v>
      </c>
      <c r="E4" s="2">
        <v>1</v>
      </c>
      <c r="F4" s="2"/>
      <c r="G4" s="2"/>
      <c r="H4" s="2"/>
    </row>
    <row r="5" spans="1:13" x14ac:dyDescent="0.25">
      <c r="A5" s="2" t="s">
        <v>512</v>
      </c>
      <c r="B5" s="3">
        <v>44392</v>
      </c>
      <c r="C5" s="2" t="s">
        <v>513</v>
      </c>
      <c r="D5" t="s">
        <v>6141</v>
      </c>
      <c r="E5" s="2">
        <v>2</v>
      </c>
      <c r="F5" s="2"/>
      <c r="G5" s="2"/>
      <c r="H5" s="2"/>
    </row>
    <row r="6" spans="1:13" x14ac:dyDescent="0.25">
      <c r="A6" s="2" t="s">
        <v>512</v>
      </c>
      <c r="B6" s="3">
        <v>44392</v>
      </c>
      <c r="C6" s="2" t="s">
        <v>513</v>
      </c>
      <c r="D6" t="s">
        <v>6142</v>
      </c>
      <c r="E6" s="2">
        <v>2</v>
      </c>
      <c r="F6" s="2"/>
      <c r="G6" s="2"/>
      <c r="H6" s="2"/>
    </row>
    <row r="7" spans="1:13" x14ac:dyDescent="0.25">
      <c r="A7" s="2" t="s">
        <v>519</v>
      </c>
      <c r="B7" s="3">
        <v>44412</v>
      </c>
      <c r="C7" s="2" t="s">
        <v>520</v>
      </c>
      <c r="D7" t="s">
        <v>6143</v>
      </c>
      <c r="E7" s="2">
        <v>3</v>
      </c>
      <c r="F7" s="2"/>
      <c r="G7" s="2"/>
      <c r="H7" s="2"/>
    </row>
    <row r="8" spans="1:13" x14ac:dyDescent="0.25">
      <c r="A8" s="2" t="s">
        <v>524</v>
      </c>
      <c r="B8" s="3">
        <v>44582</v>
      </c>
      <c r="C8" s="2" t="s">
        <v>525</v>
      </c>
      <c r="D8" t="s">
        <v>6144</v>
      </c>
      <c r="E8" s="2">
        <v>3</v>
      </c>
      <c r="F8" s="2"/>
      <c r="G8" s="2"/>
      <c r="H8" s="2"/>
    </row>
    <row r="9" spans="1:13" x14ac:dyDescent="0.25">
      <c r="A9" s="2" t="s">
        <v>530</v>
      </c>
      <c r="B9" s="3">
        <v>44701</v>
      </c>
      <c r="C9" s="2" t="s">
        <v>531</v>
      </c>
      <c r="D9" t="s">
        <v>6145</v>
      </c>
      <c r="E9" s="2">
        <v>1</v>
      </c>
      <c r="F9" s="2"/>
      <c r="G9" s="2"/>
      <c r="H9" s="2"/>
    </row>
    <row r="10" spans="1:13" x14ac:dyDescent="0.25">
      <c r="A10" s="2" t="s">
        <v>535</v>
      </c>
      <c r="B10" s="3">
        <v>43467</v>
      </c>
      <c r="C10" s="2" t="s">
        <v>536</v>
      </c>
      <c r="D10" t="s">
        <v>6146</v>
      </c>
      <c r="E10" s="2">
        <v>3</v>
      </c>
      <c r="F10" s="2"/>
      <c r="G10" s="2"/>
      <c r="H10" s="2"/>
    </row>
    <row r="11" spans="1:13" x14ac:dyDescent="0.25">
      <c r="A11" s="2" t="s">
        <v>541</v>
      </c>
      <c r="B11" s="3">
        <v>43713</v>
      </c>
      <c r="C11" s="2" t="s">
        <v>542</v>
      </c>
      <c r="D11" t="s">
        <v>6146</v>
      </c>
      <c r="E11" s="2">
        <v>1</v>
      </c>
      <c r="F11" s="2"/>
      <c r="G11" s="2"/>
      <c r="H11" s="2"/>
    </row>
    <row r="12" spans="1:13" x14ac:dyDescent="0.25">
      <c r="A12" s="2" t="s">
        <v>547</v>
      </c>
      <c r="B12" s="3">
        <v>44263</v>
      </c>
      <c r="C12" s="2" t="s">
        <v>548</v>
      </c>
      <c r="D12" t="s">
        <v>6147</v>
      </c>
      <c r="E12" s="2">
        <v>4</v>
      </c>
      <c r="F12" s="2"/>
      <c r="G12" s="2"/>
      <c r="H12" s="2"/>
    </row>
    <row r="13" spans="1:13" x14ac:dyDescent="0.25">
      <c r="A13" s="2" t="s">
        <v>553</v>
      </c>
      <c r="B13" s="3">
        <v>44132</v>
      </c>
      <c r="C13" s="2" t="s">
        <v>554</v>
      </c>
      <c r="D13" t="s">
        <v>6148</v>
      </c>
      <c r="E13" s="2">
        <v>5</v>
      </c>
      <c r="F13" s="2"/>
      <c r="G13" s="2"/>
      <c r="H13" s="2"/>
    </row>
    <row r="14" spans="1:13" x14ac:dyDescent="0.25">
      <c r="A14" s="2" t="s">
        <v>559</v>
      </c>
      <c r="B14" s="3">
        <v>44744</v>
      </c>
      <c r="C14" s="2" t="s">
        <v>560</v>
      </c>
      <c r="D14" t="s">
        <v>6138</v>
      </c>
      <c r="E14" s="2">
        <v>5</v>
      </c>
      <c r="F14" s="2"/>
      <c r="G14" s="2"/>
      <c r="H14" s="2"/>
    </row>
    <row r="15" spans="1:13" x14ac:dyDescent="0.25">
      <c r="A15" s="2" t="s">
        <v>565</v>
      </c>
      <c r="B15" s="3">
        <v>43973</v>
      </c>
      <c r="C15" s="2" t="s">
        <v>566</v>
      </c>
      <c r="D15" t="s">
        <v>6149</v>
      </c>
      <c r="E15" s="2">
        <v>2</v>
      </c>
      <c r="F15" s="2"/>
      <c r="G15" s="2"/>
      <c r="H15" s="2"/>
    </row>
    <row r="16" spans="1:13" x14ac:dyDescent="0.25">
      <c r="A16" s="2" t="s">
        <v>570</v>
      </c>
      <c r="B16" s="3">
        <v>44656</v>
      </c>
      <c r="C16" s="2" t="s">
        <v>571</v>
      </c>
      <c r="D16" t="s">
        <v>6150</v>
      </c>
      <c r="E16" s="2">
        <v>3</v>
      </c>
      <c r="F16" s="2"/>
      <c r="G16" s="2"/>
      <c r="H16" s="2"/>
    </row>
    <row r="17" spans="1:8" x14ac:dyDescent="0.25">
      <c r="A17" s="2" t="s">
        <v>576</v>
      </c>
      <c r="B17" s="3">
        <v>44719</v>
      </c>
      <c r="C17" s="2" t="s">
        <v>577</v>
      </c>
      <c r="D17" t="s">
        <v>6151</v>
      </c>
      <c r="E17" s="2">
        <v>5</v>
      </c>
      <c r="F17" s="2"/>
      <c r="G17" s="2"/>
      <c r="H17" s="2"/>
    </row>
    <row r="18" spans="1:8" x14ac:dyDescent="0.25">
      <c r="A18" s="2" t="s">
        <v>581</v>
      </c>
      <c r="B18" s="3">
        <v>43544</v>
      </c>
      <c r="C18" s="2" t="s">
        <v>582</v>
      </c>
      <c r="D18" t="s">
        <v>6152</v>
      </c>
      <c r="E18" s="2">
        <v>6</v>
      </c>
      <c r="F18" s="2"/>
      <c r="G18" s="2"/>
      <c r="H18" s="2"/>
    </row>
    <row r="19" spans="1:8" x14ac:dyDescent="0.25">
      <c r="A19" s="2" t="s">
        <v>587</v>
      </c>
      <c r="B19" s="3">
        <v>43757</v>
      </c>
      <c r="C19" s="2" t="s">
        <v>588</v>
      </c>
      <c r="D19" t="s">
        <v>6140</v>
      </c>
      <c r="E19" s="2">
        <v>6</v>
      </c>
      <c r="F19" s="2"/>
      <c r="G19" s="2"/>
      <c r="H19" s="2"/>
    </row>
    <row r="20" spans="1:8" x14ac:dyDescent="0.25">
      <c r="A20" s="2" t="s">
        <v>593</v>
      </c>
      <c r="B20" s="3">
        <v>43629</v>
      </c>
      <c r="C20" s="2" t="s">
        <v>594</v>
      </c>
      <c r="D20" t="s">
        <v>6149</v>
      </c>
      <c r="E20" s="2">
        <v>4</v>
      </c>
      <c r="F20" s="2"/>
      <c r="G20" s="2"/>
      <c r="H20" s="2"/>
    </row>
    <row r="21" spans="1:8" x14ac:dyDescent="0.25">
      <c r="A21" s="2" t="s">
        <v>598</v>
      </c>
      <c r="B21" s="3">
        <v>44169</v>
      </c>
      <c r="C21" s="2" t="s">
        <v>599</v>
      </c>
      <c r="D21" t="s">
        <v>6152</v>
      </c>
      <c r="E21" s="2">
        <v>5</v>
      </c>
      <c r="F21" s="2"/>
      <c r="G21" s="2"/>
      <c r="H21" s="2"/>
    </row>
    <row r="22" spans="1:8" x14ac:dyDescent="0.25">
      <c r="A22" s="2" t="s">
        <v>598</v>
      </c>
      <c r="B22" s="3">
        <v>44169</v>
      </c>
      <c r="C22" s="2" t="s">
        <v>599</v>
      </c>
      <c r="D22" t="s">
        <v>6153</v>
      </c>
      <c r="E22" s="2">
        <v>4</v>
      </c>
      <c r="F22" s="2"/>
      <c r="G22" s="2"/>
      <c r="H22" s="2"/>
    </row>
    <row r="23" spans="1:8" x14ac:dyDescent="0.25">
      <c r="A23" s="2" t="s">
        <v>608</v>
      </c>
      <c r="B23" s="3">
        <v>44169</v>
      </c>
      <c r="C23" s="2" t="s">
        <v>609</v>
      </c>
      <c r="D23" t="s">
        <v>6154</v>
      </c>
      <c r="E23" s="2">
        <v>6</v>
      </c>
      <c r="F23" s="2"/>
      <c r="G23" s="2"/>
      <c r="H23" s="2"/>
    </row>
    <row r="24" spans="1:8" x14ac:dyDescent="0.25">
      <c r="A24" s="2" t="s">
        <v>614</v>
      </c>
      <c r="B24" s="3">
        <v>44218</v>
      </c>
      <c r="C24" s="2" t="s">
        <v>615</v>
      </c>
      <c r="D24" t="s">
        <v>6151</v>
      </c>
      <c r="E24" s="2">
        <v>4</v>
      </c>
      <c r="F24" s="2"/>
      <c r="G24" s="2"/>
      <c r="H24" s="2"/>
    </row>
    <row r="25" spans="1:8" x14ac:dyDescent="0.25">
      <c r="A25" s="2" t="s">
        <v>620</v>
      </c>
      <c r="B25" s="3">
        <v>44603</v>
      </c>
      <c r="C25" s="2" t="s">
        <v>621</v>
      </c>
      <c r="D25" t="s">
        <v>6154</v>
      </c>
      <c r="E25" s="2">
        <v>4</v>
      </c>
      <c r="F25" s="2"/>
      <c r="G25" s="2"/>
      <c r="H25" s="2"/>
    </row>
    <row r="26" spans="1:8" x14ac:dyDescent="0.25">
      <c r="A26" s="2" t="s">
        <v>626</v>
      </c>
      <c r="B26" s="3">
        <v>44454</v>
      </c>
      <c r="C26" s="2" t="s">
        <v>627</v>
      </c>
      <c r="D26" t="s">
        <v>6155</v>
      </c>
      <c r="E26" s="2">
        <v>1</v>
      </c>
      <c r="F26" s="2"/>
      <c r="G26" s="2"/>
      <c r="H26" s="2"/>
    </row>
    <row r="27" spans="1:8" x14ac:dyDescent="0.25">
      <c r="A27" s="2" t="s">
        <v>632</v>
      </c>
      <c r="B27" s="3">
        <v>44128</v>
      </c>
      <c r="C27" s="2" t="s">
        <v>633</v>
      </c>
      <c r="D27" t="s">
        <v>6156</v>
      </c>
      <c r="E27" s="2">
        <v>3</v>
      </c>
      <c r="F27" s="2"/>
      <c r="G27" s="2"/>
      <c r="H27" s="2"/>
    </row>
    <row r="28" spans="1:8" x14ac:dyDescent="0.25">
      <c r="A28" s="2" t="s">
        <v>637</v>
      </c>
      <c r="B28" s="3">
        <v>43516</v>
      </c>
      <c r="C28" s="2" t="s">
        <v>638</v>
      </c>
      <c r="D28" t="s">
        <v>6157</v>
      </c>
      <c r="E28" s="2">
        <v>4</v>
      </c>
      <c r="F28" s="2"/>
      <c r="G28" s="2"/>
      <c r="H28" s="2"/>
    </row>
    <row r="29" spans="1:8" x14ac:dyDescent="0.25">
      <c r="A29" s="2" t="s">
        <v>643</v>
      </c>
      <c r="B29" s="3">
        <v>43746</v>
      </c>
      <c r="C29" s="2" t="s">
        <v>644</v>
      </c>
      <c r="D29" t="s">
        <v>6152</v>
      </c>
      <c r="E29" s="2">
        <v>5</v>
      </c>
      <c r="F29" s="2"/>
      <c r="G29" s="2"/>
      <c r="H29" s="2"/>
    </row>
    <row r="30" spans="1:8" x14ac:dyDescent="0.25">
      <c r="A30" s="2" t="s">
        <v>649</v>
      </c>
      <c r="B30" s="3">
        <v>44775</v>
      </c>
      <c r="C30" s="2" t="s">
        <v>650</v>
      </c>
      <c r="D30" t="s">
        <v>6158</v>
      </c>
      <c r="E30" s="2">
        <v>3</v>
      </c>
      <c r="F30" s="2"/>
      <c r="G30" s="2"/>
      <c r="H30" s="2"/>
    </row>
    <row r="31" spans="1:8" x14ac:dyDescent="0.25">
      <c r="A31" s="2" t="s">
        <v>655</v>
      </c>
      <c r="B31" s="3">
        <v>43516</v>
      </c>
      <c r="C31" s="2" t="s">
        <v>656</v>
      </c>
      <c r="D31" t="s">
        <v>6147</v>
      </c>
      <c r="E31" s="2">
        <v>4</v>
      </c>
      <c r="F31" s="2"/>
      <c r="G31" s="2"/>
      <c r="H31" s="2"/>
    </row>
    <row r="32" spans="1:8" x14ac:dyDescent="0.25">
      <c r="A32" s="2" t="s">
        <v>661</v>
      </c>
      <c r="B32" s="3">
        <v>44464</v>
      </c>
      <c r="C32" s="2" t="s">
        <v>662</v>
      </c>
      <c r="D32" t="s">
        <v>6159</v>
      </c>
      <c r="E32" s="2">
        <v>5</v>
      </c>
      <c r="F32" s="2"/>
      <c r="G32" s="2"/>
      <c r="H32" s="2"/>
    </row>
    <row r="33" spans="1:8" x14ac:dyDescent="0.25">
      <c r="A33" s="2" t="s">
        <v>661</v>
      </c>
      <c r="B33" s="3">
        <v>44464</v>
      </c>
      <c r="C33" s="2" t="s">
        <v>662</v>
      </c>
      <c r="D33" t="s">
        <v>6158</v>
      </c>
      <c r="E33" s="2">
        <v>6</v>
      </c>
      <c r="F33" s="2"/>
      <c r="G33" s="2"/>
      <c r="H33" s="2"/>
    </row>
    <row r="34" spans="1:8" x14ac:dyDescent="0.25">
      <c r="A34" s="2" t="s">
        <v>661</v>
      </c>
      <c r="B34" s="3">
        <v>44464</v>
      </c>
      <c r="C34" s="2" t="s">
        <v>662</v>
      </c>
      <c r="D34" t="s">
        <v>6160</v>
      </c>
      <c r="E34" s="2">
        <v>6</v>
      </c>
      <c r="F34" s="2"/>
      <c r="G34" s="2"/>
      <c r="H34" s="2"/>
    </row>
    <row r="35" spans="1:8" x14ac:dyDescent="0.25">
      <c r="A35" s="2" t="s">
        <v>676</v>
      </c>
      <c r="B35" s="3">
        <v>44394</v>
      </c>
      <c r="C35" s="2" t="s">
        <v>677</v>
      </c>
      <c r="D35" t="s">
        <v>6145</v>
      </c>
      <c r="E35" s="2">
        <v>5</v>
      </c>
      <c r="F35" s="2"/>
      <c r="G35" s="2"/>
      <c r="H35" s="2"/>
    </row>
    <row r="36" spans="1:8" x14ac:dyDescent="0.25">
      <c r="A36" s="2" t="s">
        <v>681</v>
      </c>
      <c r="B36" s="3">
        <v>44011</v>
      </c>
      <c r="C36" s="2" t="s">
        <v>682</v>
      </c>
      <c r="D36" t="s">
        <v>6161</v>
      </c>
      <c r="E36" s="2">
        <v>6</v>
      </c>
      <c r="F36" s="2"/>
      <c r="G36" s="2"/>
      <c r="H36" s="2"/>
    </row>
    <row r="37" spans="1:8" x14ac:dyDescent="0.25">
      <c r="A37" s="2" t="s">
        <v>687</v>
      </c>
      <c r="B37" s="3">
        <v>44348</v>
      </c>
      <c r="C37" s="2" t="s">
        <v>688</v>
      </c>
      <c r="D37" t="s">
        <v>6158</v>
      </c>
      <c r="E37" s="2">
        <v>6</v>
      </c>
      <c r="F37" s="2"/>
      <c r="G37" s="2"/>
      <c r="H37" s="2"/>
    </row>
    <row r="38" spans="1:8" x14ac:dyDescent="0.25">
      <c r="A38" s="2" t="s">
        <v>693</v>
      </c>
      <c r="B38" s="3">
        <v>44233</v>
      </c>
      <c r="C38" s="2" t="s">
        <v>694</v>
      </c>
      <c r="D38" t="s">
        <v>6159</v>
      </c>
      <c r="E38" s="2">
        <v>2</v>
      </c>
      <c r="F38" s="2"/>
      <c r="G38" s="2"/>
      <c r="H38" s="2"/>
    </row>
    <row r="39" spans="1:8" x14ac:dyDescent="0.25">
      <c r="A39" s="2" t="s">
        <v>699</v>
      </c>
      <c r="B39" s="3">
        <v>43580</v>
      </c>
      <c r="C39" s="2" t="s">
        <v>700</v>
      </c>
      <c r="D39" t="s">
        <v>6161</v>
      </c>
      <c r="E39" s="2">
        <v>3</v>
      </c>
      <c r="F39" s="2"/>
      <c r="G39" s="2"/>
      <c r="H39" s="2"/>
    </row>
    <row r="40" spans="1:8" x14ac:dyDescent="0.25">
      <c r="A40" s="2" t="s">
        <v>705</v>
      </c>
      <c r="B40" s="3">
        <v>43946</v>
      </c>
      <c r="C40" s="2" t="s">
        <v>706</v>
      </c>
      <c r="D40" t="s">
        <v>6151</v>
      </c>
      <c r="E40" s="2">
        <v>5</v>
      </c>
      <c r="F40" s="2"/>
      <c r="G40" s="2"/>
      <c r="H40" s="2"/>
    </row>
    <row r="41" spans="1:8" x14ac:dyDescent="0.25">
      <c r="A41" s="2" t="s">
        <v>711</v>
      </c>
      <c r="B41" s="3">
        <v>44524</v>
      </c>
      <c r="C41" s="2" t="s">
        <v>712</v>
      </c>
      <c r="D41" t="s">
        <v>6138</v>
      </c>
      <c r="E41" s="2">
        <v>6</v>
      </c>
      <c r="F41" s="2"/>
      <c r="G41" s="2"/>
      <c r="H41" s="2"/>
    </row>
    <row r="42" spans="1:8" x14ac:dyDescent="0.25">
      <c r="A42" s="2" t="s">
        <v>715</v>
      </c>
      <c r="B42" s="3">
        <v>44305</v>
      </c>
      <c r="C42" s="2" t="s">
        <v>716</v>
      </c>
      <c r="D42" t="s">
        <v>6162</v>
      </c>
      <c r="E42" s="2">
        <v>3</v>
      </c>
      <c r="F42" s="2"/>
      <c r="G42" s="2"/>
      <c r="H42" s="2"/>
    </row>
    <row r="43" spans="1:8" x14ac:dyDescent="0.25">
      <c r="A43" s="2" t="s">
        <v>720</v>
      </c>
      <c r="B43" s="3">
        <v>44749</v>
      </c>
      <c r="C43" s="2" t="s">
        <v>721</v>
      </c>
      <c r="D43" t="s">
        <v>6153</v>
      </c>
      <c r="E43" s="2">
        <v>2</v>
      </c>
      <c r="F43" s="2"/>
      <c r="G43" s="2"/>
      <c r="H43" s="2"/>
    </row>
    <row r="44" spans="1:8" x14ac:dyDescent="0.25">
      <c r="A44" s="2" t="s">
        <v>726</v>
      </c>
      <c r="B44" s="3">
        <v>43607</v>
      </c>
      <c r="C44" s="2" t="s">
        <v>727</v>
      </c>
      <c r="D44" t="s">
        <v>6163</v>
      </c>
      <c r="E44" s="2">
        <v>3</v>
      </c>
      <c r="F44" s="2"/>
      <c r="G44" s="2"/>
      <c r="H44" s="2"/>
    </row>
    <row r="45" spans="1:8" x14ac:dyDescent="0.25">
      <c r="A45" s="2" t="s">
        <v>733</v>
      </c>
      <c r="B45" s="3">
        <v>44473</v>
      </c>
      <c r="C45" s="2" t="s">
        <v>734</v>
      </c>
      <c r="D45" t="s">
        <v>6164</v>
      </c>
      <c r="E45" s="2">
        <v>2</v>
      </c>
      <c r="F45" s="2"/>
      <c r="G45" s="2"/>
      <c r="H45" s="2"/>
    </row>
    <row r="46" spans="1:8" x14ac:dyDescent="0.25">
      <c r="A46" s="2" t="s">
        <v>738</v>
      </c>
      <c r="B46" s="3">
        <v>43932</v>
      </c>
      <c r="C46" s="2" t="s">
        <v>739</v>
      </c>
      <c r="D46" t="s">
        <v>6139</v>
      </c>
      <c r="E46" s="2">
        <v>2</v>
      </c>
      <c r="F46" s="2"/>
      <c r="G46" s="2"/>
      <c r="H46" s="2"/>
    </row>
    <row r="47" spans="1:8" x14ac:dyDescent="0.25">
      <c r="A47" s="2" t="s">
        <v>744</v>
      </c>
      <c r="B47" s="3">
        <v>44592</v>
      </c>
      <c r="C47" s="2" t="s">
        <v>745</v>
      </c>
      <c r="D47" t="s">
        <v>6165</v>
      </c>
      <c r="E47" s="2">
        <v>6</v>
      </c>
      <c r="F47" s="2"/>
      <c r="G47" s="2"/>
      <c r="H47" s="2"/>
    </row>
    <row r="48" spans="1:8" x14ac:dyDescent="0.25">
      <c r="A48" s="2" t="s">
        <v>750</v>
      </c>
      <c r="B48" s="3">
        <v>43776</v>
      </c>
      <c r="C48" s="2" t="s">
        <v>751</v>
      </c>
      <c r="D48" t="s">
        <v>6166</v>
      </c>
      <c r="E48" s="2">
        <v>2</v>
      </c>
      <c r="F48" s="2"/>
      <c r="G48" s="2"/>
      <c r="H48" s="2"/>
    </row>
    <row r="49" spans="1:8" x14ac:dyDescent="0.25">
      <c r="A49" s="2" t="s">
        <v>755</v>
      </c>
      <c r="B49" s="3">
        <v>43644</v>
      </c>
      <c r="C49" s="2" t="s">
        <v>756</v>
      </c>
      <c r="D49" t="s">
        <v>6167</v>
      </c>
      <c r="E49" s="2">
        <v>2</v>
      </c>
      <c r="F49" s="2"/>
      <c r="G49" s="2"/>
      <c r="H49" s="2"/>
    </row>
    <row r="50" spans="1:8" x14ac:dyDescent="0.25">
      <c r="A50" s="2" t="s">
        <v>761</v>
      </c>
      <c r="B50" s="3">
        <v>44085</v>
      </c>
      <c r="C50" s="2" t="s">
        <v>762</v>
      </c>
      <c r="D50" t="s">
        <v>6168</v>
      </c>
      <c r="E50" s="2">
        <v>4</v>
      </c>
      <c r="F50" s="2"/>
      <c r="G50" s="2"/>
      <c r="H50" s="2"/>
    </row>
    <row r="51" spans="1:8" x14ac:dyDescent="0.25">
      <c r="A51" s="2" t="s">
        <v>766</v>
      </c>
      <c r="B51" s="3">
        <v>44790</v>
      </c>
      <c r="C51" s="2" t="s">
        <v>767</v>
      </c>
      <c r="D51" t="s">
        <v>6140</v>
      </c>
      <c r="E51" s="2">
        <v>3</v>
      </c>
      <c r="F51" s="2"/>
      <c r="G51" s="2"/>
      <c r="H51" s="2"/>
    </row>
    <row r="52" spans="1:8" x14ac:dyDescent="0.25">
      <c r="A52" s="2" t="s">
        <v>772</v>
      </c>
      <c r="B52" s="3">
        <v>44792</v>
      </c>
      <c r="C52" s="2" t="s">
        <v>773</v>
      </c>
      <c r="D52" t="s">
        <v>6169</v>
      </c>
      <c r="E52" s="2">
        <v>2</v>
      </c>
      <c r="F52" s="2"/>
      <c r="G52" s="2"/>
      <c r="H52" s="2"/>
    </row>
    <row r="53" spans="1:8" x14ac:dyDescent="0.25">
      <c r="A53" s="2" t="s">
        <v>778</v>
      </c>
      <c r="B53" s="3">
        <v>43600</v>
      </c>
      <c r="C53" s="2" t="s">
        <v>779</v>
      </c>
      <c r="D53" t="s">
        <v>6164</v>
      </c>
      <c r="E53" s="2">
        <v>4</v>
      </c>
      <c r="F53" s="2"/>
      <c r="G53" s="2"/>
      <c r="H53" s="2"/>
    </row>
    <row r="54" spans="1:8" x14ac:dyDescent="0.25">
      <c r="A54" s="2" t="s">
        <v>784</v>
      </c>
      <c r="B54" s="3">
        <v>43719</v>
      </c>
      <c r="C54" s="2" t="s">
        <v>785</v>
      </c>
      <c r="D54" t="s">
        <v>6146</v>
      </c>
      <c r="E54" s="2">
        <v>5</v>
      </c>
      <c r="F54" s="2"/>
      <c r="G54" s="2"/>
      <c r="H54" s="2"/>
    </row>
    <row r="55" spans="1:8" x14ac:dyDescent="0.25">
      <c r="A55" s="2" t="s">
        <v>784</v>
      </c>
      <c r="B55" s="3">
        <v>43719</v>
      </c>
      <c r="C55" s="2" t="s">
        <v>785</v>
      </c>
      <c r="D55" t="s">
        <v>6164</v>
      </c>
      <c r="E55" s="2">
        <v>2</v>
      </c>
      <c r="F55" s="2"/>
      <c r="G55" s="2"/>
      <c r="H55" s="2"/>
    </row>
    <row r="56" spans="1:8" x14ac:dyDescent="0.25">
      <c r="A56" s="2" t="s">
        <v>794</v>
      </c>
      <c r="B56" s="3">
        <v>44271</v>
      </c>
      <c r="C56" s="2" t="s">
        <v>795</v>
      </c>
      <c r="D56" t="s">
        <v>6162</v>
      </c>
      <c r="E56" s="2">
        <v>5</v>
      </c>
      <c r="F56" s="2"/>
      <c r="G56" s="2"/>
      <c r="H56" s="2"/>
    </row>
    <row r="57" spans="1:8" x14ac:dyDescent="0.25">
      <c r="A57" s="2" t="s">
        <v>800</v>
      </c>
      <c r="B57" s="3">
        <v>44168</v>
      </c>
      <c r="C57" s="2" t="s">
        <v>801</v>
      </c>
      <c r="D57" t="s">
        <v>6170</v>
      </c>
      <c r="E57" s="2">
        <v>3</v>
      </c>
      <c r="F57" s="2"/>
      <c r="G57" s="2"/>
      <c r="H57" s="2"/>
    </row>
    <row r="58" spans="1:8" x14ac:dyDescent="0.25">
      <c r="A58" s="2" t="s">
        <v>805</v>
      </c>
      <c r="B58" s="3">
        <v>43857</v>
      </c>
      <c r="C58" s="2" t="s">
        <v>806</v>
      </c>
      <c r="D58" t="s">
        <v>6153</v>
      </c>
      <c r="E58" s="2">
        <v>3</v>
      </c>
      <c r="F58" s="2"/>
      <c r="G58" s="2"/>
      <c r="H58" s="2"/>
    </row>
    <row r="59" spans="1:8" x14ac:dyDescent="0.25">
      <c r="A59" s="2" t="s">
        <v>811</v>
      </c>
      <c r="B59" s="3">
        <v>44759</v>
      </c>
      <c r="C59" s="2" t="s">
        <v>812</v>
      </c>
      <c r="D59" t="s">
        <v>6171</v>
      </c>
      <c r="E59" s="2">
        <v>4</v>
      </c>
      <c r="F59" s="2"/>
      <c r="G59" s="2"/>
      <c r="H59" s="2"/>
    </row>
    <row r="60" spans="1:8" x14ac:dyDescent="0.25">
      <c r="A60" s="2" t="s">
        <v>817</v>
      </c>
      <c r="B60" s="3">
        <v>44624</v>
      </c>
      <c r="C60" s="2" t="s">
        <v>818</v>
      </c>
      <c r="D60" t="s">
        <v>6165</v>
      </c>
      <c r="E60" s="2">
        <v>3</v>
      </c>
      <c r="F60" s="2"/>
      <c r="G60" s="2"/>
      <c r="H60" s="2"/>
    </row>
    <row r="61" spans="1:8" x14ac:dyDescent="0.25">
      <c r="A61" s="2" t="s">
        <v>822</v>
      </c>
      <c r="B61" s="3">
        <v>44537</v>
      </c>
      <c r="C61" s="2" t="s">
        <v>823</v>
      </c>
      <c r="D61" t="s">
        <v>6160</v>
      </c>
      <c r="E61" s="2">
        <v>3</v>
      </c>
      <c r="F61" s="2"/>
      <c r="G61" s="2"/>
      <c r="H61" s="2"/>
    </row>
    <row r="62" spans="1:8" x14ac:dyDescent="0.25">
      <c r="A62" s="2" t="s">
        <v>827</v>
      </c>
      <c r="B62" s="3">
        <v>44252</v>
      </c>
      <c r="C62" s="2" t="s">
        <v>828</v>
      </c>
      <c r="D62" t="s">
        <v>6168</v>
      </c>
      <c r="E62" s="2">
        <v>5</v>
      </c>
      <c r="F62" s="2"/>
      <c r="G62" s="2"/>
      <c r="H62" s="2"/>
    </row>
    <row r="63" spans="1:8" x14ac:dyDescent="0.25">
      <c r="A63" s="2" t="s">
        <v>833</v>
      </c>
      <c r="B63" s="3">
        <v>43521</v>
      </c>
      <c r="C63" s="2" t="s">
        <v>834</v>
      </c>
      <c r="D63" t="s">
        <v>6172</v>
      </c>
      <c r="E63" s="2">
        <v>5</v>
      </c>
      <c r="F63" s="2"/>
      <c r="G63" s="2"/>
      <c r="H63" s="2"/>
    </row>
    <row r="64" spans="1:8" x14ac:dyDescent="0.25">
      <c r="A64" s="2" t="s">
        <v>838</v>
      </c>
      <c r="B64" s="3">
        <v>43505</v>
      </c>
      <c r="C64" s="2" t="s">
        <v>839</v>
      </c>
      <c r="D64" t="s">
        <v>6145</v>
      </c>
      <c r="E64" s="2">
        <v>5</v>
      </c>
      <c r="F64" s="2"/>
      <c r="G64" s="2"/>
      <c r="H64" s="2"/>
    </row>
    <row r="65" spans="1:8" x14ac:dyDescent="0.25">
      <c r="A65" s="2" t="s">
        <v>843</v>
      </c>
      <c r="B65" s="3">
        <v>43868</v>
      </c>
      <c r="C65" s="2" t="s">
        <v>844</v>
      </c>
      <c r="D65" t="s">
        <v>6157</v>
      </c>
      <c r="E65" s="2">
        <v>1</v>
      </c>
      <c r="F65" s="2"/>
      <c r="G65" s="2"/>
      <c r="H65" s="2"/>
    </row>
    <row r="66" spans="1:8" x14ac:dyDescent="0.25">
      <c r="A66" s="2" t="s">
        <v>849</v>
      </c>
      <c r="B66" s="3">
        <v>43913</v>
      </c>
      <c r="C66" s="2" t="s">
        <v>850</v>
      </c>
      <c r="D66" t="s">
        <v>6146</v>
      </c>
      <c r="E66" s="2">
        <v>6</v>
      </c>
      <c r="F66" s="2"/>
      <c r="G66" s="2"/>
      <c r="H66" s="2"/>
    </row>
    <row r="67" spans="1:8" x14ac:dyDescent="0.25">
      <c r="A67" s="2" t="s">
        <v>854</v>
      </c>
      <c r="B67" s="3">
        <v>44626</v>
      </c>
      <c r="C67" s="2" t="s">
        <v>855</v>
      </c>
      <c r="D67" t="s">
        <v>6149</v>
      </c>
      <c r="E67" s="2">
        <v>4</v>
      </c>
      <c r="F67" s="2"/>
      <c r="G67" s="2"/>
      <c r="H67" s="2"/>
    </row>
    <row r="68" spans="1:8" x14ac:dyDescent="0.25">
      <c r="A68" s="2" t="s">
        <v>860</v>
      </c>
      <c r="B68" s="3">
        <v>44666</v>
      </c>
      <c r="C68" s="2" t="s">
        <v>861</v>
      </c>
      <c r="D68" t="s">
        <v>6173</v>
      </c>
      <c r="E68" s="2">
        <v>1</v>
      </c>
      <c r="F68" s="2"/>
      <c r="G68" s="2"/>
      <c r="H68" s="2"/>
    </row>
    <row r="69" spans="1:8" x14ac:dyDescent="0.25">
      <c r="A69" s="2" t="s">
        <v>866</v>
      </c>
      <c r="B69" s="3">
        <v>44519</v>
      </c>
      <c r="C69" s="2" t="s">
        <v>867</v>
      </c>
      <c r="D69" t="s">
        <v>6145</v>
      </c>
      <c r="E69" s="2">
        <v>2</v>
      </c>
      <c r="F69" s="2"/>
      <c r="G69" s="2"/>
      <c r="H69" s="2"/>
    </row>
    <row r="70" spans="1:8" x14ac:dyDescent="0.25">
      <c r="A70" s="2" t="s">
        <v>872</v>
      </c>
      <c r="B70" s="3">
        <v>43754</v>
      </c>
      <c r="C70" s="2" t="s">
        <v>873</v>
      </c>
      <c r="D70" t="s">
        <v>6174</v>
      </c>
      <c r="E70" s="2">
        <v>1</v>
      </c>
      <c r="F70" s="2"/>
      <c r="G70" s="2"/>
      <c r="H70" s="2"/>
    </row>
    <row r="71" spans="1:8" x14ac:dyDescent="0.25">
      <c r="A71" s="2" t="s">
        <v>878</v>
      </c>
      <c r="B71" s="3">
        <v>43795</v>
      </c>
      <c r="C71" s="2" t="s">
        <v>879</v>
      </c>
      <c r="D71" t="s">
        <v>6138</v>
      </c>
      <c r="E71" s="2">
        <v>6</v>
      </c>
      <c r="F71" s="2"/>
      <c r="G71" s="2"/>
      <c r="H71" s="2"/>
    </row>
    <row r="72" spans="1:8" x14ac:dyDescent="0.25">
      <c r="A72" s="2" t="s">
        <v>885</v>
      </c>
      <c r="B72" s="3">
        <v>43646</v>
      </c>
      <c r="C72" s="2" t="s">
        <v>886</v>
      </c>
      <c r="D72" t="s">
        <v>6148</v>
      </c>
      <c r="E72" s="2">
        <v>4</v>
      </c>
      <c r="F72" s="2"/>
      <c r="G72" s="2"/>
      <c r="H72" s="2"/>
    </row>
    <row r="73" spans="1:8" x14ac:dyDescent="0.25">
      <c r="A73" s="2" t="s">
        <v>891</v>
      </c>
      <c r="B73" s="3">
        <v>44200</v>
      </c>
      <c r="C73" s="2" t="s">
        <v>892</v>
      </c>
      <c r="D73" t="s">
        <v>6145</v>
      </c>
      <c r="E73" s="2">
        <v>2</v>
      </c>
      <c r="F73" s="2"/>
      <c r="G73" s="2"/>
      <c r="H73" s="2"/>
    </row>
    <row r="74" spans="1:8" x14ac:dyDescent="0.25">
      <c r="A74" s="2" t="s">
        <v>897</v>
      </c>
      <c r="B74" s="3">
        <v>44131</v>
      </c>
      <c r="C74" s="2" t="s">
        <v>898</v>
      </c>
      <c r="D74" t="s">
        <v>6175</v>
      </c>
      <c r="E74" s="2">
        <v>3</v>
      </c>
      <c r="F74" s="2"/>
      <c r="G74" s="2"/>
      <c r="H74" s="2"/>
    </row>
    <row r="75" spans="1:8" x14ac:dyDescent="0.25">
      <c r="A75" s="2" t="s">
        <v>902</v>
      </c>
      <c r="B75" s="3">
        <v>44362</v>
      </c>
      <c r="C75" s="2" t="s">
        <v>903</v>
      </c>
      <c r="D75" t="s">
        <v>6159</v>
      </c>
      <c r="E75" s="2">
        <v>5</v>
      </c>
      <c r="F75" s="2"/>
      <c r="G75" s="2"/>
      <c r="H75" s="2"/>
    </row>
    <row r="76" spans="1:8" x14ac:dyDescent="0.25">
      <c r="A76" s="2" t="s">
        <v>907</v>
      </c>
      <c r="B76" s="3">
        <v>44396</v>
      </c>
      <c r="C76" s="2" t="s">
        <v>908</v>
      </c>
      <c r="D76" t="s">
        <v>6176</v>
      </c>
      <c r="E76" s="2">
        <v>2</v>
      </c>
      <c r="F76" s="2"/>
      <c r="G76" s="2"/>
      <c r="H76" s="2"/>
    </row>
    <row r="77" spans="1:8" x14ac:dyDescent="0.25">
      <c r="A77" s="2" t="s">
        <v>913</v>
      </c>
      <c r="B77" s="3">
        <v>44400</v>
      </c>
      <c r="C77" s="2" t="s">
        <v>914</v>
      </c>
      <c r="D77" t="s">
        <v>6177</v>
      </c>
      <c r="E77" s="2">
        <v>6</v>
      </c>
      <c r="F77" s="2"/>
      <c r="G77" s="2"/>
      <c r="H77" s="2"/>
    </row>
    <row r="78" spans="1:8" x14ac:dyDescent="0.25">
      <c r="A78" s="2" t="s">
        <v>919</v>
      </c>
      <c r="B78" s="3">
        <v>43855</v>
      </c>
      <c r="C78" s="2" t="s">
        <v>920</v>
      </c>
      <c r="D78" t="s">
        <v>6178</v>
      </c>
      <c r="E78" s="2">
        <v>1</v>
      </c>
      <c r="F78" s="2"/>
      <c r="G78" s="2"/>
      <c r="H78" s="2"/>
    </row>
    <row r="79" spans="1:8" x14ac:dyDescent="0.25">
      <c r="A79" s="2" t="s">
        <v>924</v>
      </c>
      <c r="B79" s="3">
        <v>43594</v>
      </c>
      <c r="C79" s="2" t="s">
        <v>925</v>
      </c>
      <c r="D79" t="s">
        <v>6153</v>
      </c>
      <c r="E79" s="2">
        <v>2</v>
      </c>
      <c r="F79" s="2"/>
      <c r="G79" s="2"/>
      <c r="H79" s="2"/>
    </row>
    <row r="80" spans="1:8" x14ac:dyDescent="0.25">
      <c r="A80" s="2" t="s">
        <v>930</v>
      </c>
      <c r="B80" s="3">
        <v>43920</v>
      </c>
      <c r="C80" s="2" t="s">
        <v>931</v>
      </c>
      <c r="D80" t="s">
        <v>6157</v>
      </c>
      <c r="E80" s="2">
        <v>6</v>
      </c>
      <c r="F80" s="2"/>
      <c r="G80" s="2"/>
      <c r="H80" s="2"/>
    </row>
    <row r="81" spans="1:8" x14ac:dyDescent="0.25">
      <c r="A81" s="2" t="s">
        <v>936</v>
      </c>
      <c r="B81" s="3">
        <v>44633</v>
      </c>
      <c r="C81" s="2" t="s">
        <v>937</v>
      </c>
      <c r="D81" t="s">
        <v>6179</v>
      </c>
      <c r="E81" s="2">
        <v>4</v>
      </c>
      <c r="F81" s="2"/>
      <c r="G81" s="2"/>
      <c r="H81" s="2"/>
    </row>
    <row r="82" spans="1:8" x14ac:dyDescent="0.25">
      <c r="A82" s="2" t="s">
        <v>942</v>
      </c>
      <c r="B82" s="3">
        <v>43572</v>
      </c>
      <c r="C82" s="2" t="s">
        <v>943</v>
      </c>
      <c r="D82" t="s">
        <v>6180</v>
      </c>
      <c r="E82" s="2">
        <v>5</v>
      </c>
      <c r="F82" s="2"/>
      <c r="G82" s="2"/>
      <c r="H82" s="2"/>
    </row>
    <row r="83" spans="1:8" x14ac:dyDescent="0.25">
      <c r="A83" s="2" t="s">
        <v>948</v>
      </c>
      <c r="B83" s="3">
        <v>43763</v>
      </c>
      <c r="C83" s="2" t="s">
        <v>949</v>
      </c>
      <c r="D83" t="s">
        <v>6164</v>
      </c>
      <c r="E83" s="2">
        <v>3</v>
      </c>
      <c r="F83" s="2"/>
      <c r="G83" s="2"/>
      <c r="H83" s="2"/>
    </row>
    <row r="84" spans="1:8" x14ac:dyDescent="0.25">
      <c r="A84" s="2" t="s">
        <v>954</v>
      </c>
      <c r="B84" s="3">
        <v>43721</v>
      </c>
      <c r="C84" s="2" t="s">
        <v>955</v>
      </c>
      <c r="D84" t="s">
        <v>6181</v>
      </c>
      <c r="E84" s="2">
        <v>3</v>
      </c>
      <c r="F84" s="2"/>
      <c r="G84" s="2"/>
      <c r="H84" s="2"/>
    </row>
    <row r="85" spans="1:8" x14ac:dyDescent="0.25">
      <c r="A85" s="2" t="s">
        <v>960</v>
      </c>
      <c r="B85" s="3">
        <v>43933</v>
      </c>
      <c r="C85" s="2" t="s">
        <v>961</v>
      </c>
      <c r="D85" t="s">
        <v>6149</v>
      </c>
      <c r="E85" s="2">
        <v>4</v>
      </c>
      <c r="F85" s="2"/>
      <c r="G85" s="2"/>
      <c r="H85" s="2"/>
    </row>
    <row r="86" spans="1:8" x14ac:dyDescent="0.25">
      <c r="A86" s="2" t="s">
        <v>965</v>
      </c>
      <c r="B86" s="3">
        <v>43783</v>
      </c>
      <c r="C86" s="2" t="s">
        <v>966</v>
      </c>
      <c r="D86" t="s">
        <v>6161</v>
      </c>
      <c r="E86" s="2">
        <v>1</v>
      </c>
      <c r="F86" s="2"/>
      <c r="G86" s="2"/>
      <c r="H86" s="2"/>
    </row>
    <row r="87" spans="1:8" x14ac:dyDescent="0.25">
      <c r="A87" s="2" t="s">
        <v>971</v>
      </c>
      <c r="B87" s="3">
        <v>43664</v>
      </c>
      <c r="C87" s="2" t="s">
        <v>972</v>
      </c>
      <c r="D87" t="s">
        <v>6182</v>
      </c>
      <c r="E87" s="2">
        <v>3</v>
      </c>
      <c r="F87" s="2"/>
      <c r="G87" s="2"/>
      <c r="H87" s="2"/>
    </row>
    <row r="88" spans="1:8" x14ac:dyDescent="0.25">
      <c r="A88" s="2" t="s">
        <v>971</v>
      </c>
      <c r="B88" s="3">
        <v>43664</v>
      </c>
      <c r="C88" s="2" t="s">
        <v>972</v>
      </c>
      <c r="D88" t="s">
        <v>6154</v>
      </c>
      <c r="E88" s="2">
        <v>4</v>
      </c>
      <c r="F88" s="2"/>
      <c r="G88" s="2"/>
      <c r="H88" s="2"/>
    </row>
    <row r="89" spans="1:8" x14ac:dyDescent="0.25">
      <c r="A89" s="2" t="s">
        <v>980</v>
      </c>
      <c r="B89" s="3">
        <v>44289</v>
      </c>
      <c r="C89" s="2" t="s">
        <v>981</v>
      </c>
      <c r="D89" t="s">
        <v>6155</v>
      </c>
      <c r="E89" s="2">
        <v>3</v>
      </c>
      <c r="F89" s="2"/>
      <c r="G89" s="2"/>
      <c r="H89" s="2"/>
    </row>
    <row r="90" spans="1:8" x14ac:dyDescent="0.25">
      <c r="A90" s="2" t="s">
        <v>985</v>
      </c>
      <c r="B90" s="3">
        <v>44284</v>
      </c>
      <c r="C90" s="2" t="s">
        <v>986</v>
      </c>
      <c r="D90" t="s">
        <v>6179</v>
      </c>
      <c r="E90" s="2">
        <v>3</v>
      </c>
      <c r="F90" s="2"/>
      <c r="G90" s="2"/>
      <c r="H90" s="2"/>
    </row>
    <row r="91" spans="1:8" x14ac:dyDescent="0.25">
      <c r="A91" s="2" t="s">
        <v>990</v>
      </c>
      <c r="B91" s="3">
        <v>44545</v>
      </c>
      <c r="C91" s="2" t="s">
        <v>991</v>
      </c>
      <c r="D91" t="s">
        <v>6140</v>
      </c>
      <c r="E91" s="2">
        <v>6</v>
      </c>
      <c r="F91" s="2"/>
      <c r="G91" s="2"/>
      <c r="H91" s="2"/>
    </row>
    <row r="92" spans="1:8" x14ac:dyDescent="0.25">
      <c r="A92" s="2" t="s">
        <v>996</v>
      </c>
      <c r="B92" s="3">
        <v>43971</v>
      </c>
      <c r="C92" s="2" t="s">
        <v>997</v>
      </c>
      <c r="D92" t="s">
        <v>6140</v>
      </c>
      <c r="E92" s="2">
        <v>4</v>
      </c>
      <c r="F92" s="2"/>
      <c r="G92" s="2"/>
      <c r="H92" s="2"/>
    </row>
    <row r="93" spans="1:8" x14ac:dyDescent="0.25">
      <c r="A93" s="2" t="s">
        <v>1001</v>
      </c>
      <c r="B93" s="3">
        <v>44137</v>
      </c>
      <c r="C93" s="2" t="s">
        <v>1002</v>
      </c>
      <c r="D93" t="s">
        <v>6175</v>
      </c>
      <c r="E93" s="2">
        <v>4</v>
      </c>
      <c r="F93" s="2"/>
      <c r="G93" s="2"/>
      <c r="H93" s="2"/>
    </row>
    <row r="94" spans="1:8" x14ac:dyDescent="0.25">
      <c r="A94" s="2" t="s">
        <v>1007</v>
      </c>
      <c r="B94" s="3">
        <v>44037</v>
      </c>
      <c r="C94" s="2" t="s">
        <v>1008</v>
      </c>
      <c r="D94" t="s">
        <v>6171</v>
      </c>
      <c r="E94" s="2">
        <v>3</v>
      </c>
      <c r="F94" s="2"/>
      <c r="G94" s="2"/>
      <c r="H94" s="2"/>
    </row>
    <row r="95" spans="1:8" x14ac:dyDescent="0.25">
      <c r="A95" s="2" t="s">
        <v>1012</v>
      </c>
      <c r="B95" s="3">
        <v>43538</v>
      </c>
      <c r="C95" s="2" t="s">
        <v>1013</v>
      </c>
      <c r="D95" t="s">
        <v>6176</v>
      </c>
      <c r="E95" s="2">
        <v>4</v>
      </c>
      <c r="F95" s="2"/>
      <c r="G95" s="2"/>
      <c r="H95" s="2"/>
    </row>
    <row r="96" spans="1:8" x14ac:dyDescent="0.25">
      <c r="A96" s="2" t="s">
        <v>1018</v>
      </c>
      <c r="B96" s="3">
        <v>44014</v>
      </c>
      <c r="C96" s="2" t="s">
        <v>1019</v>
      </c>
      <c r="D96" t="s">
        <v>6154</v>
      </c>
      <c r="E96" s="2">
        <v>6</v>
      </c>
      <c r="F96" s="2"/>
      <c r="G96" s="2"/>
      <c r="H96" s="2"/>
    </row>
    <row r="97" spans="1:8" x14ac:dyDescent="0.25">
      <c r="A97" s="2" t="s">
        <v>1022</v>
      </c>
      <c r="B97" s="3">
        <v>43816</v>
      </c>
      <c r="C97" s="2" t="s">
        <v>1023</v>
      </c>
      <c r="D97" t="s">
        <v>6175</v>
      </c>
      <c r="E97" s="2">
        <v>6</v>
      </c>
      <c r="F97" s="2"/>
      <c r="G97" s="2"/>
      <c r="H97" s="2"/>
    </row>
    <row r="98" spans="1:8" x14ac:dyDescent="0.25">
      <c r="A98" s="2" t="s">
        <v>1027</v>
      </c>
      <c r="B98" s="3">
        <v>44171</v>
      </c>
      <c r="C98" s="2" t="s">
        <v>1028</v>
      </c>
      <c r="D98" t="s">
        <v>6154</v>
      </c>
      <c r="E98" s="2">
        <v>2</v>
      </c>
      <c r="F98" s="2"/>
      <c r="G98" s="2"/>
      <c r="H98" s="2"/>
    </row>
    <row r="99" spans="1:8" x14ac:dyDescent="0.25">
      <c r="A99" s="2" t="s">
        <v>1032</v>
      </c>
      <c r="B99" s="3">
        <v>44259</v>
      </c>
      <c r="C99" s="2" t="s">
        <v>1033</v>
      </c>
      <c r="D99" t="s">
        <v>6157</v>
      </c>
      <c r="E99" s="2">
        <v>2</v>
      </c>
      <c r="F99" s="2"/>
      <c r="G99" s="2"/>
      <c r="H99" s="2"/>
    </row>
    <row r="100" spans="1:8" x14ac:dyDescent="0.25">
      <c r="A100" s="2" t="s">
        <v>1038</v>
      </c>
      <c r="B100" s="3">
        <v>44394</v>
      </c>
      <c r="C100" s="2" t="s">
        <v>1039</v>
      </c>
      <c r="D100" t="s">
        <v>6154</v>
      </c>
      <c r="E100" s="2">
        <v>1</v>
      </c>
      <c r="F100" s="2"/>
      <c r="G100" s="2"/>
      <c r="H100" s="2"/>
    </row>
    <row r="101" spans="1:8" x14ac:dyDescent="0.25">
      <c r="A101" s="2" t="s">
        <v>1043</v>
      </c>
      <c r="B101" s="3">
        <v>44139</v>
      </c>
      <c r="C101" s="2" t="s">
        <v>1044</v>
      </c>
      <c r="D101" t="s">
        <v>6159</v>
      </c>
      <c r="E101" s="2">
        <v>3</v>
      </c>
      <c r="F101" s="2"/>
      <c r="G101" s="2"/>
      <c r="H101" s="2"/>
    </row>
    <row r="102" spans="1:8" x14ac:dyDescent="0.25">
      <c r="A102" s="2" t="s">
        <v>1048</v>
      </c>
      <c r="B102" s="3">
        <v>44291</v>
      </c>
      <c r="C102" s="2" t="s">
        <v>1049</v>
      </c>
      <c r="D102" t="s">
        <v>6167</v>
      </c>
      <c r="E102" s="2">
        <v>2</v>
      </c>
      <c r="F102" s="2"/>
      <c r="G102" s="2"/>
      <c r="H102" s="2"/>
    </row>
    <row r="103" spans="1:8" x14ac:dyDescent="0.25">
      <c r="A103" s="2" t="s">
        <v>1053</v>
      </c>
      <c r="B103" s="3">
        <v>43891</v>
      </c>
      <c r="C103" s="2" t="s">
        <v>1054</v>
      </c>
      <c r="D103" t="s">
        <v>6165</v>
      </c>
      <c r="E103" s="2">
        <v>5</v>
      </c>
      <c r="F103" s="2"/>
      <c r="G103" s="2"/>
      <c r="H103" s="2"/>
    </row>
    <row r="104" spans="1:8" x14ac:dyDescent="0.25">
      <c r="A104" s="2" t="s">
        <v>1059</v>
      </c>
      <c r="B104" s="3">
        <v>44488</v>
      </c>
      <c r="C104" s="2" t="s">
        <v>1060</v>
      </c>
      <c r="D104" t="s">
        <v>6143</v>
      </c>
      <c r="E104" s="2">
        <v>3</v>
      </c>
      <c r="F104" s="2"/>
      <c r="G104" s="2"/>
      <c r="H104" s="2"/>
    </row>
    <row r="105" spans="1:8" x14ac:dyDescent="0.25">
      <c r="A105" s="2" t="s">
        <v>1065</v>
      </c>
      <c r="B105" s="3">
        <v>44750</v>
      </c>
      <c r="C105" s="2" t="s">
        <v>1066</v>
      </c>
      <c r="D105" t="s">
        <v>6174</v>
      </c>
      <c r="E105" s="2">
        <v>4</v>
      </c>
      <c r="F105" s="2"/>
      <c r="G105" s="2"/>
      <c r="H105" s="2"/>
    </row>
    <row r="106" spans="1:8" x14ac:dyDescent="0.25">
      <c r="A106" s="2" t="s">
        <v>1071</v>
      </c>
      <c r="B106" s="3">
        <v>43694</v>
      </c>
      <c r="C106" s="2" t="s">
        <v>1072</v>
      </c>
      <c r="D106" t="s">
        <v>6162</v>
      </c>
      <c r="E106" s="2">
        <v>6</v>
      </c>
      <c r="F106" s="2"/>
      <c r="G106" s="2"/>
      <c r="H106" s="2"/>
    </row>
    <row r="107" spans="1:8" x14ac:dyDescent="0.25">
      <c r="A107" s="2" t="s">
        <v>1077</v>
      </c>
      <c r="B107" s="3">
        <v>43982</v>
      </c>
      <c r="C107" s="2" t="s">
        <v>1078</v>
      </c>
      <c r="D107" t="s">
        <v>6157</v>
      </c>
      <c r="E107" s="2">
        <v>6</v>
      </c>
      <c r="F107" s="2"/>
      <c r="G107" s="2"/>
      <c r="H107" s="2"/>
    </row>
    <row r="108" spans="1:8" x14ac:dyDescent="0.25">
      <c r="A108" s="2" t="s">
        <v>1083</v>
      </c>
      <c r="B108" s="3">
        <v>43956</v>
      </c>
      <c r="C108" s="2" t="s">
        <v>1084</v>
      </c>
      <c r="D108" t="s">
        <v>6183</v>
      </c>
      <c r="E108" s="2">
        <v>2</v>
      </c>
      <c r="F108" s="2"/>
      <c r="G108" s="2"/>
      <c r="H108" s="2"/>
    </row>
    <row r="109" spans="1:8" x14ac:dyDescent="0.25">
      <c r="A109" s="2" t="s">
        <v>1089</v>
      </c>
      <c r="B109" s="3">
        <v>43569</v>
      </c>
      <c r="C109" s="2" t="s">
        <v>1090</v>
      </c>
      <c r="D109" t="s">
        <v>6146</v>
      </c>
      <c r="E109" s="2">
        <v>3</v>
      </c>
      <c r="F109" s="2"/>
      <c r="G109" s="2"/>
      <c r="H109" s="2"/>
    </row>
    <row r="110" spans="1:8" x14ac:dyDescent="0.25">
      <c r="A110" s="2" t="s">
        <v>1095</v>
      </c>
      <c r="B110" s="3">
        <v>44041</v>
      </c>
      <c r="C110" s="2" t="s">
        <v>1096</v>
      </c>
      <c r="D110" t="s">
        <v>6157</v>
      </c>
      <c r="E110" s="2">
        <v>4</v>
      </c>
      <c r="F110" s="2"/>
      <c r="G110" s="2"/>
      <c r="H110" s="2"/>
    </row>
    <row r="111" spans="1:8" x14ac:dyDescent="0.25">
      <c r="A111" s="2" t="s">
        <v>1100</v>
      </c>
      <c r="B111" s="3">
        <v>43811</v>
      </c>
      <c r="C111" s="2" t="s">
        <v>1101</v>
      </c>
      <c r="D111" t="s">
        <v>6169</v>
      </c>
      <c r="E111" s="2">
        <v>1</v>
      </c>
      <c r="F111" s="2"/>
      <c r="G111" s="2"/>
      <c r="H111" s="2"/>
    </row>
    <row r="112" spans="1:8" x14ac:dyDescent="0.25">
      <c r="A112" s="2" t="s">
        <v>1106</v>
      </c>
      <c r="B112" s="3">
        <v>44727</v>
      </c>
      <c r="C112" s="2" t="s">
        <v>1107</v>
      </c>
      <c r="D112" t="s">
        <v>6184</v>
      </c>
      <c r="E112" s="2">
        <v>3</v>
      </c>
      <c r="F112" s="2"/>
      <c r="G112" s="2"/>
      <c r="H112" s="2"/>
    </row>
    <row r="113" spans="1:8" x14ac:dyDescent="0.25">
      <c r="A113" s="2" t="s">
        <v>1112</v>
      </c>
      <c r="B113" s="3">
        <v>43642</v>
      </c>
      <c r="C113" s="2" t="s">
        <v>1113</v>
      </c>
      <c r="D113" t="s">
        <v>6172</v>
      </c>
      <c r="E113" s="2">
        <v>5</v>
      </c>
      <c r="F113" s="2"/>
      <c r="G113" s="2"/>
      <c r="H113" s="2"/>
    </row>
    <row r="114" spans="1:8" x14ac:dyDescent="0.25">
      <c r="A114" s="2" t="s">
        <v>1117</v>
      </c>
      <c r="B114" s="3">
        <v>44481</v>
      </c>
      <c r="C114" s="2" t="s">
        <v>1118</v>
      </c>
      <c r="D114" t="s">
        <v>6155</v>
      </c>
      <c r="E114" s="2">
        <v>1</v>
      </c>
      <c r="F114" s="2"/>
      <c r="G114" s="2"/>
      <c r="H114" s="2"/>
    </row>
    <row r="115" spans="1:8" x14ac:dyDescent="0.25">
      <c r="A115" s="2" t="s">
        <v>1123</v>
      </c>
      <c r="B115" s="3">
        <v>43556</v>
      </c>
      <c r="C115" s="2" t="s">
        <v>1124</v>
      </c>
      <c r="D115" t="s">
        <v>6162</v>
      </c>
      <c r="E115" s="2">
        <v>1</v>
      </c>
      <c r="F115" s="2"/>
      <c r="G115" s="2"/>
      <c r="H115" s="2"/>
    </row>
    <row r="116" spans="1:8" x14ac:dyDescent="0.25">
      <c r="A116" s="2" t="s">
        <v>1129</v>
      </c>
      <c r="B116" s="3">
        <v>44265</v>
      </c>
      <c r="C116" s="2" t="s">
        <v>1130</v>
      </c>
      <c r="D116" t="s">
        <v>6178</v>
      </c>
      <c r="E116" s="2">
        <v>4</v>
      </c>
      <c r="F116" s="2"/>
      <c r="G116" s="2"/>
      <c r="H116" s="2"/>
    </row>
    <row r="117" spans="1:8" x14ac:dyDescent="0.25">
      <c r="A117" s="2" t="s">
        <v>1134</v>
      </c>
      <c r="B117" s="3">
        <v>43693</v>
      </c>
      <c r="C117" s="2" t="s">
        <v>1135</v>
      </c>
      <c r="D117" t="s">
        <v>6170</v>
      </c>
      <c r="E117" s="2">
        <v>1</v>
      </c>
      <c r="F117" s="2"/>
      <c r="G117" s="2"/>
      <c r="H117" s="2"/>
    </row>
    <row r="118" spans="1:8" x14ac:dyDescent="0.25">
      <c r="A118" s="2" t="s">
        <v>1140</v>
      </c>
      <c r="B118" s="3">
        <v>44054</v>
      </c>
      <c r="C118" s="2" t="s">
        <v>1141</v>
      </c>
      <c r="D118" t="s">
        <v>6145</v>
      </c>
      <c r="E118" s="2">
        <v>4</v>
      </c>
      <c r="F118" s="2"/>
      <c r="G118" s="2"/>
      <c r="H118" s="2"/>
    </row>
    <row r="119" spans="1:8" x14ac:dyDescent="0.25">
      <c r="A119" s="2" t="s">
        <v>1146</v>
      </c>
      <c r="B119" s="3">
        <v>44656</v>
      </c>
      <c r="C119" s="2" t="s">
        <v>1147</v>
      </c>
      <c r="D119" t="s">
        <v>6161</v>
      </c>
      <c r="E119" s="2">
        <v>4</v>
      </c>
      <c r="F119" s="2"/>
      <c r="G119" s="2"/>
      <c r="H119" s="2"/>
    </row>
    <row r="120" spans="1:8" x14ac:dyDescent="0.25">
      <c r="A120" s="2" t="s">
        <v>1152</v>
      </c>
      <c r="B120" s="3">
        <v>43760</v>
      </c>
      <c r="C120" s="2" t="s">
        <v>1153</v>
      </c>
      <c r="D120" t="s">
        <v>6144</v>
      </c>
      <c r="E120" s="2">
        <v>3</v>
      </c>
      <c r="F120" s="2"/>
      <c r="G120" s="2"/>
      <c r="H120" s="2"/>
    </row>
    <row r="121" spans="1:8" x14ac:dyDescent="0.25">
      <c r="A121" s="2" t="s">
        <v>1158</v>
      </c>
      <c r="B121" s="3">
        <v>44471</v>
      </c>
      <c r="C121" s="2" t="s">
        <v>1159</v>
      </c>
      <c r="D121" t="s">
        <v>6156</v>
      </c>
      <c r="E121" s="2">
        <v>1</v>
      </c>
      <c r="F121" s="2"/>
      <c r="G121" s="2"/>
      <c r="H121" s="2"/>
    </row>
    <row r="122" spans="1:8" x14ac:dyDescent="0.25">
      <c r="A122" s="2" t="s">
        <v>1158</v>
      </c>
      <c r="B122" s="3">
        <v>44471</v>
      </c>
      <c r="C122" s="2" t="s">
        <v>1159</v>
      </c>
      <c r="D122" t="s">
        <v>6167</v>
      </c>
      <c r="E122" s="2">
        <v>1</v>
      </c>
      <c r="F122" s="2"/>
      <c r="G122" s="2"/>
      <c r="H122" s="2"/>
    </row>
    <row r="123" spans="1:8" x14ac:dyDescent="0.25">
      <c r="A123" s="2" t="s">
        <v>1158</v>
      </c>
      <c r="B123" s="3">
        <v>44471</v>
      </c>
      <c r="C123" s="2" t="s">
        <v>1159</v>
      </c>
      <c r="D123" t="s">
        <v>6141</v>
      </c>
      <c r="E123" s="2">
        <v>5</v>
      </c>
      <c r="F123" s="2"/>
      <c r="G123" s="2"/>
      <c r="H123" s="2"/>
    </row>
    <row r="124" spans="1:8" x14ac:dyDescent="0.25">
      <c r="A124" s="2" t="s">
        <v>1174</v>
      </c>
      <c r="B124" s="3">
        <v>44268</v>
      </c>
      <c r="C124" s="2" t="s">
        <v>1175</v>
      </c>
      <c r="D124" t="s">
        <v>6158</v>
      </c>
      <c r="E124" s="2">
        <v>4</v>
      </c>
      <c r="F124" s="2"/>
      <c r="G124" s="2"/>
      <c r="H124" s="2"/>
    </row>
    <row r="125" spans="1:8" x14ac:dyDescent="0.25">
      <c r="A125" s="2" t="s">
        <v>1180</v>
      </c>
      <c r="B125" s="3">
        <v>44724</v>
      </c>
      <c r="C125" s="2" t="s">
        <v>1181</v>
      </c>
      <c r="D125" t="s">
        <v>6164</v>
      </c>
      <c r="E125" s="2">
        <v>4</v>
      </c>
      <c r="F125" s="2"/>
      <c r="G125" s="2"/>
      <c r="H125" s="2"/>
    </row>
    <row r="126" spans="1:8" x14ac:dyDescent="0.25">
      <c r="A126" s="2" t="s">
        <v>1186</v>
      </c>
      <c r="B126" s="3">
        <v>43582</v>
      </c>
      <c r="C126" s="2" t="s">
        <v>1187</v>
      </c>
      <c r="D126" t="s">
        <v>6159</v>
      </c>
      <c r="E126" s="2">
        <v>5</v>
      </c>
      <c r="F126" s="2"/>
      <c r="G126" s="2"/>
      <c r="H126" s="2"/>
    </row>
    <row r="127" spans="1:8" x14ac:dyDescent="0.25">
      <c r="A127" s="2" t="s">
        <v>1192</v>
      </c>
      <c r="B127" s="3">
        <v>43608</v>
      </c>
      <c r="C127" s="2" t="s">
        <v>1193</v>
      </c>
      <c r="D127" t="s">
        <v>6160</v>
      </c>
      <c r="E127" s="2">
        <v>3</v>
      </c>
      <c r="F127" s="2"/>
      <c r="G127" s="2"/>
      <c r="H127" s="2"/>
    </row>
    <row r="128" spans="1:8" x14ac:dyDescent="0.25">
      <c r="A128" s="2" t="s">
        <v>1198</v>
      </c>
      <c r="B128" s="3">
        <v>44026</v>
      </c>
      <c r="C128" s="2" t="s">
        <v>1199</v>
      </c>
      <c r="D128" t="s">
        <v>6155</v>
      </c>
      <c r="E128" s="2">
        <v>1</v>
      </c>
      <c r="F128" s="2"/>
      <c r="G128" s="2"/>
      <c r="H128" s="2"/>
    </row>
    <row r="129" spans="1:8" x14ac:dyDescent="0.25">
      <c r="A129" s="2" t="s">
        <v>1204</v>
      </c>
      <c r="B129" s="3">
        <v>44510</v>
      </c>
      <c r="C129" s="2" t="s">
        <v>1205</v>
      </c>
      <c r="D129" t="s">
        <v>6143</v>
      </c>
      <c r="E129" s="2">
        <v>6</v>
      </c>
      <c r="F129" s="2"/>
      <c r="G129" s="2"/>
      <c r="H129" s="2"/>
    </row>
    <row r="130" spans="1:8" x14ac:dyDescent="0.25">
      <c r="A130" s="2" t="s">
        <v>1210</v>
      </c>
      <c r="B130" s="3">
        <v>44439</v>
      </c>
      <c r="C130" s="2" t="s">
        <v>1211</v>
      </c>
      <c r="D130" t="s">
        <v>6157</v>
      </c>
      <c r="E130" s="2">
        <v>1</v>
      </c>
      <c r="F130" s="2"/>
      <c r="G130" s="2"/>
      <c r="H130" s="2"/>
    </row>
    <row r="131" spans="1:8" x14ac:dyDescent="0.25">
      <c r="A131" s="2" t="s">
        <v>1216</v>
      </c>
      <c r="B131" s="3">
        <v>43652</v>
      </c>
      <c r="C131" s="2" t="s">
        <v>1217</v>
      </c>
      <c r="D131" t="s">
        <v>6183</v>
      </c>
      <c r="E131" s="2">
        <v>1</v>
      </c>
      <c r="F131" s="2"/>
      <c r="G131" s="2"/>
      <c r="H131" s="2"/>
    </row>
    <row r="132" spans="1:8" x14ac:dyDescent="0.25">
      <c r="A132" s="2" t="s">
        <v>1222</v>
      </c>
      <c r="B132" s="3">
        <v>44624</v>
      </c>
      <c r="C132" s="2" t="s">
        <v>1223</v>
      </c>
      <c r="D132" t="s">
        <v>6182</v>
      </c>
      <c r="E132" s="2">
        <v>5</v>
      </c>
      <c r="F132" s="2"/>
      <c r="G132" s="2"/>
      <c r="H132" s="2"/>
    </row>
    <row r="133" spans="1:8" x14ac:dyDescent="0.25">
      <c r="A133" s="2" t="s">
        <v>1227</v>
      </c>
      <c r="B133" s="3">
        <v>44196</v>
      </c>
      <c r="C133" s="2" t="s">
        <v>1228</v>
      </c>
      <c r="D133" t="s">
        <v>6144</v>
      </c>
      <c r="E133" s="2">
        <v>2</v>
      </c>
      <c r="F133" s="2"/>
      <c r="G133" s="2"/>
      <c r="H133" s="2"/>
    </row>
    <row r="134" spans="1:8" x14ac:dyDescent="0.25">
      <c r="A134" s="2" t="s">
        <v>1233</v>
      </c>
      <c r="B134" s="3">
        <v>44043</v>
      </c>
      <c r="C134" s="2" t="s">
        <v>1234</v>
      </c>
      <c r="D134" t="s">
        <v>6182</v>
      </c>
      <c r="E134" s="2">
        <v>5</v>
      </c>
      <c r="F134" s="2"/>
      <c r="G134" s="2"/>
      <c r="H134" s="2"/>
    </row>
    <row r="135" spans="1:8" x14ac:dyDescent="0.25">
      <c r="A135" s="2" t="s">
        <v>1239</v>
      </c>
      <c r="B135" s="3">
        <v>44340</v>
      </c>
      <c r="C135" s="2" t="s">
        <v>1240</v>
      </c>
      <c r="D135" t="s">
        <v>6143</v>
      </c>
      <c r="E135" s="2">
        <v>1</v>
      </c>
      <c r="F135" s="2"/>
      <c r="G135" s="2"/>
      <c r="H135" s="2"/>
    </row>
    <row r="136" spans="1:8" x14ac:dyDescent="0.25">
      <c r="A136" s="2" t="s">
        <v>1245</v>
      </c>
      <c r="B136" s="3">
        <v>44758</v>
      </c>
      <c r="C136" s="2" t="s">
        <v>1246</v>
      </c>
      <c r="D136" t="s">
        <v>6166</v>
      </c>
      <c r="E136" s="2">
        <v>3</v>
      </c>
      <c r="F136" s="2"/>
      <c r="G136" s="2"/>
      <c r="H136" s="2"/>
    </row>
    <row r="137" spans="1:8" x14ac:dyDescent="0.25">
      <c r="A137" s="2" t="s">
        <v>1249</v>
      </c>
      <c r="B137" s="3">
        <v>44232</v>
      </c>
      <c r="C137" s="2" t="s">
        <v>976</v>
      </c>
      <c r="D137" t="s">
        <v>6180</v>
      </c>
      <c r="E137" s="2">
        <v>5</v>
      </c>
      <c r="F137" s="2"/>
      <c r="G137" s="2"/>
      <c r="H137" s="2"/>
    </row>
    <row r="138" spans="1:8" x14ac:dyDescent="0.25">
      <c r="A138" s="2" t="s">
        <v>1255</v>
      </c>
      <c r="B138" s="3">
        <v>44406</v>
      </c>
      <c r="C138" s="2" t="s">
        <v>1256</v>
      </c>
      <c r="D138" t="s">
        <v>6154</v>
      </c>
      <c r="E138" s="2">
        <v>4</v>
      </c>
      <c r="F138" s="2"/>
      <c r="G138" s="2"/>
      <c r="H138" s="2"/>
    </row>
    <row r="139" spans="1:8" x14ac:dyDescent="0.25">
      <c r="A139" s="2" t="s">
        <v>1261</v>
      </c>
      <c r="B139" s="3">
        <v>44637</v>
      </c>
      <c r="C139" s="2" t="s">
        <v>1262</v>
      </c>
      <c r="D139" t="s">
        <v>6148</v>
      </c>
      <c r="E139" s="2">
        <v>3</v>
      </c>
      <c r="F139" s="2"/>
      <c r="G139" s="2"/>
      <c r="H139" s="2"/>
    </row>
    <row r="140" spans="1:8" x14ac:dyDescent="0.25">
      <c r="A140" s="2" t="s">
        <v>1266</v>
      </c>
      <c r="B140" s="3">
        <v>44238</v>
      </c>
      <c r="C140" s="2" t="s">
        <v>1267</v>
      </c>
      <c r="D140" t="s">
        <v>6183</v>
      </c>
      <c r="E140" s="2">
        <v>4</v>
      </c>
      <c r="F140" s="2"/>
      <c r="G140" s="2"/>
      <c r="H140" s="2"/>
    </row>
    <row r="141" spans="1:8" x14ac:dyDescent="0.25">
      <c r="A141" s="2" t="s">
        <v>1271</v>
      </c>
      <c r="B141" s="3">
        <v>43509</v>
      </c>
      <c r="C141" s="2" t="s">
        <v>1272</v>
      </c>
      <c r="D141" t="s">
        <v>6143</v>
      </c>
      <c r="E141" s="2">
        <v>6</v>
      </c>
      <c r="F141" s="2"/>
      <c r="G141" s="2"/>
      <c r="H141" s="2"/>
    </row>
    <row r="142" spans="1:8" x14ac:dyDescent="0.25">
      <c r="A142" s="2" t="s">
        <v>1276</v>
      </c>
      <c r="B142" s="3">
        <v>44694</v>
      </c>
      <c r="C142" s="2" t="s">
        <v>1277</v>
      </c>
      <c r="D142" t="s">
        <v>6165</v>
      </c>
      <c r="E142" s="2">
        <v>1</v>
      </c>
      <c r="F142" s="2"/>
      <c r="G142" s="2"/>
      <c r="H142" s="2"/>
    </row>
    <row r="143" spans="1:8" x14ac:dyDescent="0.25">
      <c r="A143" s="2" t="s">
        <v>1283</v>
      </c>
      <c r="B143" s="3">
        <v>43970</v>
      </c>
      <c r="C143" s="2" t="s">
        <v>1284</v>
      </c>
      <c r="D143" t="s">
        <v>6167</v>
      </c>
      <c r="E143" s="2">
        <v>4</v>
      </c>
      <c r="F143" s="2"/>
      <c r="G143" s="2"/>
      <c r="H143" s="2"/>
    </row>
    <row r="144" spans="1:8" x14ac:dyDescent="0.25">
      <c r="A144" s="2" t="s">
        <v>1289</v>
      </c>
      <c r="B144" s="3">
        <v>44678</v>
      </c>
      <c r="C144" s="2" t="s">
        <v>1290</v>
      </c>
      <c r="D144" t="s">
        <v>6148</v>
      </c>
      <c r="E144" s="2">
        <v>4</v>
      </c>
      <c r="F144" s="2"/>
      <c r="G144" s="2"/>
      <c r="H144" s="2"/>
    </row>
    <row r="145" spans="1:8" x14ac:dyDescent="0.25">
      <c r="A145" s="2" t="s">
        <v>1293</v>
      </c>
      <c r="B145" s="3">
        <v>44083</v>
      </c>
      <c r="C145" s="2" t="s">
        <v>1294</v>
      </c>
      <c r="D145" t="s">
        <v>6160</v>
      </c>
      <c r="E145" s="2">
        <v>2</v>
      </c>
      <c r="F145" s="2"/>
      <c r="G145" s="2"/>
      <c r="H145" s="2"/>
    </row>
    <row r="146" spans="1:8" x14ac:dyDescent="0.25">
      <c r="A146" s="2" t="s">
        <v>1299</v>
      </c>
      <c r="B146" s="3">
        <v>44265</v>
      </c>
      <c r="C146" s="2" t="s">
        <v>1300</v>
      </c>
      <c r="D146" t="s">
        <v>6148</v>
      </c>
      <c r="E146" s="2">
        <v>2</v>
      </c>
      <c r="F146" s="2"/>
      <c r="G146" s="2"/>
      <c r="H146" s="2"/>
    </row>
    <row r="147" spans="1:8" x14ac:dyDescent="0.25">
      <c r="A147" s="2" t="s">
        <v>1305</v>
      </c>
      <c r="B147" s="3">
        <v>43562</v>
      </c>
      <c r="C147" s="2" t="s">
        <v>1306</v>
      </c>
      <c r="D147" t="s">
        <v>6159</v>
      </c>
      <c r="E147" s="2">
        <v>4</v>
      </c>
      <c r="F147" s="2"/>
      <c r="G147" s="2"/>
      <c r="H147" s="2"/>
    </row>
    <row r="148" spans="1:8" x14ac:dyDescent="0.25">
      <c r="A148" s="2" t="s">
        <v>1311</v>
      </c>
      <c r="B148" s="3">
        <v>44024</v>
      </c>
      <c r="C148" s="2" t="s">
        <v>1312</v>
      </c>
      <c r="D148" t="s">
        <v>6162</v>
      </c>
      <c r="E148" s="2">
        <v>3</v>
      </c>
      <c r="F148" s="2"/>
      <c r="G148" s="2"/>
      <c r="H148" s="2"/>
    </row>
    <row r="149" spans="1:8" x14ac:dyDescent="0.25">
      <c r="A149" s="2" t="s">
        <v>1311</v>
      </c>
      <c r="B149" s="3">
        <v>44024</v>
      </c>
      <c r="C149" s="2" t="s">
        <v>1312</v>
      </c>
      <c r="D149" t="s">
        <v>6141</v>
      </c>
      <c r="E149" s="2">
        <v>2</v>
      </c>
      <c r="F149" s="2"/>
      <c r="G149" s="2"/>
      <c r="H149" s="2"/>
    </row>
    <row r="150" spans="1:8" x14ac:dyDescent="0.25">
      <c r="A150" s="2" t="s">
        <v>1322</v>
      </c>
      <c r="B150" s="3">
        <v>44551</v>
      </c>
      <c r="C150" s="2" t="s">
        <v>1323</v>
      </c>
      <c r="D150" t="s">
        <v>6153</v>
      </c>
      <c r="E150" s="2">
        <v>5</v>
      </c>
      <c r="F150" s="2"/>
      <c r="G150" s="2"/>
      <c r="H150" s="2"/>
    </row>
    <row r="151" spans="1:8" x14ac:dyDescent="0.25">
      <c r="A151" s="2" t="s">
        <v>1328</v>
      </c>
      <c r="B151" s="3">
        <v>44108</v>
      </c>
      <c r="C151" s="2" t="s">
        <v>1329</v>
      </c>
      <c r="D151" t="s">
        <v>6175</v>
      </c>
      <c r="E151" s="2">
        <v>2</v>
      </c>
      <c r="F151" s="2"/>
      <c r="G151" s="2"/>
      <c r="H151" s="2"/>
    </row>
    <row r="152" spans="1:8" x14ac:dyDescent="0.25">
      <c r="A152" s="2" t="s">
        <v>1333</v>
      </c>
      <c r="B152" s="3">
        <v>44051</v>
      </c>
      <c r="C152" s="2" t="s">
        <v>1334</v>
      </c>
      <c r="D152" t="s">
        <v>6143</v>
      </c>
      <c r="E152" s="2">
        <v>1</v>
      </c>
      <c r="F152" s="2"/>
      <c r="G152" s="2"/>
      <c r="H152" s="2"/>
    </row>
    <row r="153" spans="1:8" x14ac:dyDescent="0.25">
      <c r="A153" s="2" t="s">
        <v>1339</v>
      </c>
      <c r="B153" s="3">
        <v>44115</v>
      </c>
      <c r="C153" s="2" t="s">
        <v>1340</v>
      </c>
      <c r="D153" t="s">
        <v>6155</v>
      </c>
      <c r="E153" s="2">
        <v>3</v>
      </c>
      <c r="F153" s="2"/>
      <c r="G153" s="2"/>
      <c r="H153" s="2"/>
    </row>
    <row r="154" spans="1:8" x14ac:dyDescent="0.25">
      <c r="A154" s="2" t="s">
        <v>1344</v>
      </c>
      <c r="B154" s="3">
        <v>44510</v>
      </c>
      <c r="C154" s="2" t="s">
        <v>1345</v>
      </c>
      <c r="D154" t="s">
        <v>6151</v>
      </c>
      <c r="E154" s="2">
        <v>3</v>
      </c>
      <c r="F154" s="2"/>
      <c r="G154" s="2"/>
      <c r="H154" s="2"/>
    </row>
    <row r="155" spans="1:8" x14ac:dyDescent="0.25">
      <c r="A155" s="2" t="s">
        <v>1350</v>
      </c>
      <c r="B155" s="3">
        <v>44367</v>
      </c>
      <c r="C155" s="2" t="s">
        <v>1351</v>
      </c>
      <c r="D155" t="s">
        <v>6163</v>
      </c>
      <c r="E155" s="2">
        <v>1</v>
      </c>
      <c r="F155" s="2"/>
      <c r="G155" s="2"/>
      <c r="H155" s="2"/>
    </row>
    <row r="156" spans="1:8" x14ac:dyDescent="0.25">
      <c r="A156" s="2" t="s">
        <v>1355</v>
      </c>
      <c r="B156" s="3">
        <v>44473</v>
      </c>
      <c r="C156" s="2" t="s">
        <v>1356</v>
      </c>
      <c r="D156" t="s">
        <v>6168</v>
      </c>
      <c r="E156" s="2">
        <v>5</v>
      </c>
      <c r="F156" s="2"/>
      <c r="G156" s="2"/>
      <c r="H156" s="2"/>
    </row>
    <row r="157" spans="1:8" x14ac:dyDescent="0.25">
      <c r="A157" s="2" t="s">
        <v>1361</v>
      </c>
      <c r="B157" s="3">
        <v>43640</v>
      </c>
      <c r="C157" s="2" t="s">
        <v>1362</v>
      </c>
      <c r="D157" t="s">
        <v>6175</v>
      </c>
      <c r="E157" s="2">
        <v>6</v>
      </c>
      <c r="F157" s="2"/>
      <c r="G157" s="2"/>
      <c r="H157" s="2"/>
    </row>
    <row r="158" spans="1:8" x14ac:dyDescent="0.25">
      <c r="A158" s="2" t="s">
        <v>1367</v>
      </c>
      <c r="B158" s="3">
        <v>43764</v>
      </c>
      <c r="C158" s="2" t="s">
        <v>1368</v>
      </c>
      <c r="D158" t="s">
        <v>6175</v>
      </c>
      <c r="E158" s="2">
        <v>3</v>
      </c>
      <c r="F158" s="2"/>
      <c r="G158" s="2"/>
      <c r="H158" s="2"/>
    </row>
    <row r="159" spans="1:8" x14ac:dyDescent="0.25">
      <c r="A159" s="2" t="s">
        <v>1373</v>
      </c>
      <c r="B159" s="3">
        <v>44374</v>
      </c>
      <c r="C159" s="2" t="s">
        <v>1374</v>
      </c>
      <c r="D159" t="s">
        <v>6149</v>
      </c>
      <c r="E159" s="2">
        <v>3</v>
      </c>
      <c r="F159" s="2"/>
      <c r="G159" s="2"/>
      <c r="H159" s="2"/>
    </row>
    <row r="160" spans="1:8" x14ac:dyDescent="0.25">
      <c r="A160" s="2" t="s">
        <v>1379</v>
      </c>
      <c r="B160" s="3">
        <v>43714</v>
      </c>
      <c r="C160" s="2" t="s">
        <v>1380</v>
      </c>
      <c r="D160" t="s">
        <v>6149</v>
      </c>
      <c r="E160" s="2">
        <v>6</v>
      </c>
      <c r="F160" s="2"/>
      <c r="G160" s="2"/>
      <c r="H160" s="2"/>
    </row>
    <row r="161" spans="1:8" x14ac:dyDescent="0.25">
      <c r="A161" s="2" t="s">
        <v>1384</v>
      </c>
      <c r="B161" s="3">
        <v>44316</v>
      </c>
      <c r="C161" s="2" t="s">
        <v>1385</v>
      </c>
      <c r="D161" t="s">
        <v>6164</v>
      </c>
      <c r="E161" s="2">
        <v>6</v>
      </c>
      <c r="F161" s="2"/>
      <c r="G161" s="2"/>
      <c r="H161" s="2"/>
    </row>
    <row r="162" spans="1:8" x14ac:dyDescent="0.25">
      <c r="A162" s="2" t="s">
        <v>1389</v>
      </c>
      <c r="B162" s="3">
        <v>43837</v>
      </c>
      <c r="C162" s="2" t="s">
        <v>1390</v>
      </c>
      <c r="D162" t="s">
        <v>6139</v>
      </c>
      <c r="E162" s="2">
        <v>4</v>
      </c>
      <c r="F162" s="2"/>
      <c r="G162" s="2"/>
      <c r="H162" s="2"/>
    </row>
    <row r="163" spans="1:8" x14ac:dyDescent="0.25">
      <c r="A163" s="2" t="s">
        <v>1395</v>
      </c>
      <c r="B163" s="3">
        <v>44207</v>
      </c>
      <c r="C163" s="2" t="s">
        <v>1396</v>
      </c>
      <c r="D163" t="s">
        <v>6180</v>
      </c>
      <c r="E163" s="2">
        <v>3</v>
      </c>
      <c r="F163" s="2"/>
      <c r="G163" s="2"/>
      <c r="H163" s="2"/>
    </row>
    <row r="164" spans="1:8" x14ac:dyDescent="0.25">
      <c r="A164" s="2" t="s">
        <v>1401</v>
      </c>
      <c r="B164" s="3">
        <v>44515</v>
      </c>
      <c r="C164" s="2" t="s">
        <v>1402</v>
      </c>
      <c r="D164" t="s">
        <v>6144</v>
      </c>
      <c r="E164" s="2">
        <v>3</v>
      </c>
      <c r="F164" s="2"/>
      <c r="G164" s="2"/>
      <c r="H164" s="2"/>
    </row>
    <row r="165" spans="1:8" x14ac:dyDescent="0.25">
      <c r="A165" s="2" t="s">
        <v>1407</v>
      </c>
      <c r="B165" s="3">
        <v>43619</v>
      </c>
      <c r="C165" s="2" t="s">
        <v>1408</v>
      </c>
      <c r="D165" t="s">
        <v>6163</v>
      </c>
      <c r="E165" s="2">
        <v>6</v>
      </c>
      <c r="F165" s="2"/>
      <c r="G165" s="2"/>
      <c r="H165" s="2"/>
    </row>
    <row r="166" spans="1:8" x14ac:dyDescent="0.25">
      <c r="A166" s="2" t="s">
        <v>1413</v>
      </c>
      <c r="B166" s="3">
        <v>44182</v>
      </c>
      <c r="C166" s="2" t="s">
        <v>1414</v>
      </c>
      <c r="D166" t="s">
        <v>6144</v>
      </c>
      <c r="E166" s="2">
        <v>4</v>
      </c>
      <c r="F166" s="2"/>
      <c r="G166" s="2"/>
      <c r="H166" s="2"/>
    </row>
    <row r="167" spans="1:8" x14ac:dyDescent="0.25">
      <c r="A167" s="2" t="s">
        <v>1420</v>
      </c>
      <c r="B167" s="3">
        <v>44234</v>
      </c>
      <c r="C167" s="2" t="s">
        <v>1421</v>
      </c>
      <c r="D167" t="s">
        <v>6177</v>
      </c>
      <c r="E167" s="2">
        <v>6</v>
      </c>
      <c r="F167" s="2"/>
      <c r="G167" s="2"/>
      <c r="H167" s="2"/>
    </row>
    <row r="168" spans="1:8" x14ac:dyDescent="0.25">
      <c r="A168" s="2" t="s">
        <v>1425</v>
      </c>
      <c r="B168" s="3">
        <v>44270</v>
      </c>
      <c r="C168" s="2" t="s">
        <v>1426</v>
      </c>
      <c r="D168" t="s">
        <v>6172</v>
      </c>
      <c r="E168" s="2">
        <v>5</v>
      </c>
      <c r="F168" s="2"/>
      <c r="G168" s="2"/>
      <c r="H168" s="2"/>
    </row>
    <row r="169" spans="1:8" x14ac:dyDescent="0.25">
      <c r="A169" s="2" t="s">
        <v>1430</v>
      </c>
      <c r="B169" s="3">
        <v>44777</v>
      </c>
      <c r="C169" s="2" t="s">
        <v>1431</v>
      </c>
      <c r="D169" t="s">
        <v>6139</v>
      </c>
      <c r="E169" s="2">
        <v>5</v>
      </c>
      <c r="F169" s="2"/>
      <c r="G169" s="2"/>
      <c r="H169" s="2"/>
    </row>
    <row r="170" spans="1:8" x14ac:dyDescent="0.25">
      <c r="A170" s="2" t="s">
        <v>1436</v>
      </c>
      <c r="B170" s="3">
        <v>43484</v>
      </c>
      <c r="C170" s="2" t="s">
        <v>1437</v>
      </c>
      <c r="D170" t="s">
        <v>6157</v>
      </c>
      <c r="E170" s="2">
        <v>6</v>
      </c>
      <c r="F170" s="2"/>
      <c r="G170" s="2"/>
      <c r="H170" s="2"/>
    </row>
    <row r="171" spans="1:8" x14ac:dyDescent="0.25">
      <c r="A171" s="2" t="s">
        <v>1441</v>
      </c>
      <c r="B171" s="3">
        <v>44643</v>
      </c>
      <c r="C171" s="2" t="s">
        <v>1442</v>
      </c>
      <c r="D171" t="s">
        <v>6177</v>
      </c>
      <c r="E171" s="2">
        <v>2</v>
      </c>
      <c r="F171" s="2"/>
      <c r="G171" s="2"/>
      <c r="H171" s="2"/>
    </row>
    <row r="172" spans="1:8" x14ac:dyDescent="0.25">
      <c r="A172" s="2" t="s">
        <v>1448</v>
      </c>
      <c r="B172" s="3">
        <v>44476</v>
      </c>
      <c r="C172" s="2" t="s">
        <v>1449</v>
      </c>
      <c r="D172" t="s">
        <v>6148</v>
      </c>
      <c r="E172" s="2">
        <v>2</v>
      </c>
      <c r="F172" s="2"/>
      <c r="G172" s="2"/>
      <c r="H172" s="2"/>
    </row>
    <row r="173" spans="1:8" x14ac:dyDescent="0.25">
      <c r="A173" s="2" t="s">
        <v>1453</v>
      </c>
      <c r="B173" s="3">
        <v>43544</v>
      </c>
      <c r="C173" s="2" t="s">
        <v>1454</v>
      </c>
      <c r="D173" t="s">
        <v>6166</v>
      </c>
      <c r="E173" s="2">
        <v>2</v>
      </c>
      <c r="F173" s="2"/>
      <c r="G173" s="2"/>
      <c r="H173" s="2"/>
    </row>
    <row r="174" spans="1:8" x14ac:dyDescent="0.25">
      <c r="A174" s="2" t="s">
        <v>1459</v>
      </c>
      <c r="B174" s="3">
        <v>44545</v>
      </c>
      <c r="C174" s="2" t="s">
        <v>1460</v>
      </c>
      <c r="D174" t="s">
        <v>6144</v>
      </c>
      <c r="E174" s="2">
        <v>3</v>
      </c>
      <c r="F174" s="2"/>
      <c r="G174" s="2"/>
      <c r="H174" s="2"/>
    </row>
    <row r="175" spans="1:8" x14ac:dyDescent="0.25">
      <c r="A175" s="2" t="s">
        <v>1464</v>
      </c>
      <c r="B175" s="3">
        <v>44720</v>
      </c>
      <c r="C175" s="2" t="s">
        <v>1465</v>
      </c>
      <c r="D175" t="s">
        <v>6151</v>
      </c>
      <c r="E175" s="2">
        <v>4</v>
      </c>
      <c r="F175" s="2"/>
      <c r="G175" s="2"/>
      <c r="H175" s="2"/>
    </row>
    <row r="176" spans="1:8" x14ac:dyDescent="0.25">
      <c r="A176" s="2" t="s">
        <v>1470</v>
      </c>
      <c r="B176" s="3">
        <v>43813</v>
      </c>
      <c r="C176" s="2" t="s">
        <v>1471</v>
      </c>
      <c r="D176" t="s">
        <v>6148</v>
      </c>
      <c r="E176" s="2">
        <v>6</v>
      </c>
      <c r="F176" s="2"/>
      <c r="G176" s="2"/>
      <c r="H176" s="2"/>
    </row>
    <row r="177" spans="1:8" x14ac:dyDescent="0.25">
      <c r="A177" s="2" t="s">
        <v>1475</v>
      </c>
      <c r="B177" s="3">
        <v>44296</v>
      </c>
      <c r="C177" s="2" t="s">
        <v>1476</v>
      </c>
      <c r="D177" t="s">
        <v>6166</v>
      </c>
      <c r="E177" s="2">
        <v>2</v>
      </c>
      <c r="F177" s="2"/>
      <c r="G177" s="2"/>
      <c r="H177" s="2"/>
    </row>
    <row r="178" spans="1:8" x14ac:dyDescent="0.25">
      <c r="A178" s="2" t="s">
        <v>1481</v>
      </c>
      <c r="B178" s="3">
        <v>43900</v>
      </c>
      <c r="C178" s="2" t="s">
        <v>1482</v>
      </c>
      <c r="D178" t="s">
        <v>6148</v>
      </c>
      <c r="E178" s="2">
        <v>1</v>
      </c>
      <c r="F178" s="2"/>
      <c r="G178" s="2"/>
      <c r="H178" s="2"/>
    </row>
    <row r="179" spans="1:8" x14ac:dyDescent="0.25">
      <c r="A179" s="2" t="s">
        <v>1487</v>
      </c>
      <c r="B179" s="3">
        <v>44120</v>
      </c>
      <c r="C179" s="2" t="s">
        <v>1488</v>
      </c>
      <c r="D179" t="s">
        <v>6142</v>
      </c>
      <c r="E179" s="2">
        <v>4</v>
      </c>
      <c r="F179" s="2"/>
      <c r="G179" s="2"/>
      <c r="H179" s="2"/>
    </row>
    <row r="180" spans="1:8" x14ac:dyDescent="0.25">
      <c r="A180" s="2" t="s">
        <v>1492</v>
      </c>
      <c r="B180" s="3">
        <v>43746</v>
      </c>
      <c r="C180" s="2" t="s">
        <v>1493</v>
      </c>
      <c r="D180" t="s">
        <v>6140</v>
      </c>
      <c r="E180" s="2">
        <v>2</v>
      </c>
      <c r="F180" s="2"/>
      <c r="G180" s="2"/>
      <c r="H180" s="2"/>
    </row>
    <row r="181" spans="1:8" x14ac:dyDescent="0.25">
      <c r="A181" s="2" t="s">
        <v>1498</v>
      </c>
      <c r="B181" s="3">
        <v>43830</v>
      </c>
      <c r="C181" s="2" t="s">
        <v>1499</v>
      </c>
      <c r="D181" t="s">
        <v>6154</v>
      </c>
      <c r="E181" s="2">
        <v>1</v>
      </c>
      <c r="F181" s="2"/>
      <c r="G181" s="2"/>
      <c r="H181" s="2"/>
    </row>
    <row r="182" spans="1:8" x14ac:dyDescent="0.25">
      <c r="A182" s="2" t="s">
        <v>1503</v>
      </c>
      <c r="B182" s="3">
        <v>43910</v>
      </c>
      <c r="C182" s="2" t="s">
        <v>1504</v>
      </c>
      <c r="D182" t="s">
        <v>6184</v>
      </c>
      <c r="E182" s="2">
        <v>5</v>
      </c>
      <c r="F182" s="2"/>
      <c r="G182" s="2"/>
      <c r="H182" s="2"/>
    </row>
    <row r="183" spans="1:8" x14ac:dyDescent="0.25">
      <c r="A183" s="2" t="s">
        <v>1503</v>
      </c>
      <c r="B183" s="3">
        <v>43910</v>
      </c>
      <c r="C183" s="2" t="s">
        <v>1504</v>
      </c>
      <c r="D183" t="s">
        <v>6158</v>
      </c>
      <c r="E183" s="2">
        <v>5</v>
      </c>
      <c r="F183" s="2"/>
      <c r="G183" s="2"/>
      <c r="H183" s="2"/>
    </row>
    <row r="184" spans="1:8" x14ac:dyDescent="0.25">
      <c r="A184" s="2" t="s">
        <v>1514</v>
      </c>
      <c r="B184" s="3">
        <v>44284</v>
      </c>
      <c r="C184" s="2" t="s">
        <v>1515</v>
      </c>
      <c r="D184" t="s">
        <v>6172</v>
      </c>
      <c r="E184" s="2">
        <v>6</v>
      </c>
      <c r="F184" s="2"/>
      <c r="G184" s="2"/>
      <c r="H184" s="2"/>
    </row>
    <row r="185" spans="1:8" x14ac:dyDescent="0.25">
      <c r="A185" s="2" t="s">
        <v>1520</v>
      </c>
      <c r="B185" s="3">
        <v>44512</v>
      </c>
      <c r="C185" s="2" t="s">
        <v>1521</v>
      </c>
      <c r="D185" t="s">
        <v>6156</v>
      </c>
      <c r="E185" s="2">
        <v>2</v>
      </c>
      <c r="F185" s="2"/>
      <c r="G185" s="2"/>
      <c r="H185" s="2"/>
    </row>
    <row r="186" spans="1:8" x14ac:dyDescent="0.25">
      <c r="A186" s="2" t="s">
        <v>1526</v>
      </c>
      <c r="B186" s="3">
        <v>44397</v>
      </c>
      <c r="C186" s="2" t="s">
        <v>1527</v>
      </c>
      <c r="D186" t="s">
        <v>6180</v>
      </c>
      <c r="E186" s="2">
        <v>4</v>
      </c>
      <c r="F186" s="2"/>
      <c r="G186" s="2"/>
      <c r="H186" s="2"/>
    </row>
    <row r="187" spans="1:8" x14ac:dyDescent="0.25">
      <c r="A187" s="2" t="s">
        <v>1532</v>
      </c>
      <c r="B187" s="3">
        <v>43483</v>
      </c>
      <c r="C187" s="2" t="s">
        <v>1533</v>
      </c>
      <c r="D187" t="s">
        <v>6144</v>
      </c>
      <c r="E187" s="2">
        <v>5</v>
      </c>
      <c r="F187" s="2"/>
      <c r="G187" s="2"/>
      <c r="H187" s="2"/>
    </row>
    <row r="188" spans="1:8" x14ac:dyDescent="0.25">
      <c r="A188" s="2" t="s">
        <v>1538</v>
      </c>
      <c r="B188" s="3">
        <v>43684</v>
      </c>
      <c r="C188" s="2" t="s">
        <v>1539</v>
      </c>
      <c r="D188" t="s">
        <v>6151</v>
      </c>
      <c r="E188" s="2">
        <v>3</v>
      </c>
      <c r="F188" s="2"/>
      <c r="G188" s="2"/>
      <c r="H188" s="2"/>
    </row>
    <row r="189" spans="1:8" x14ac:dyDescent="0.25">
      <c r="A189" s="2" t="s">
        <v>1544</v>
      </c>
      <c r="B189" s="3">
        <v>44633</v>
      </c>
      <c r="C189" s="2" t="s">
        <v>1545</v>
      </c>
      <c r="D189" t="s">
        <v>6160</v>
      </c>
      <c r="E189" s="2">
        <v>5</v>
      </c>
      <c r="F189" s="2"/>
      <c r="G189" s="2"/>
      <c r="H189" s="2"/>
    </row>
    <row r="190" spans="1:8" x14ac:dyDescent="0.25">
      <c r="A190" s="2" t="s">
        <v>1549</v>
      </c>
      <c r="B190" s="3">
        <v>44698</v>
      </c>
      <c r="C190" s="2" t="s">
        <v>1550</v>
      </c>
      <c r="D190" t="s">
        <v>6184</v>
      </c>
      <c r="E190" s="2">
        <v>1</v>
      </c>
      <c r="F190" s="2"/>
      <c r="G190" s="2"/>
      <c r="H190" s="2"/>
    </row>
    <row r="191" spans="1:8" x14ac:dyDescent="0.25">
      <c r="A191" s="2" t="s">
        <v>1555</v>
      </c>
      <c r="B191" s="3">
        <v>43813</v>
      </c>
      <c r="C191" s="2" t="s">
        <v>1556</v>
      </c>
      <c r="D191" t="s">
        <v>6162</v>
      </c>
      <c r="E191" s="2">
        <v>3</v>
      </c>
      <c r="F191" s="2"/>
      <c r="G191" s="2"/>
      <c r="H191" s="2"/>
    </row>
    <row r="192" spans="1:8" x14ac:dyDescent="0.25">
      <c r="A192" s="2" t="s">
        <v>1561</v>
      </c>
      <c r="B192" s="3">
        <v>43845</v>
      </c>
      <c r="C192" s="2" t="s">
        <v>1562</v>
      </c>
      <c r="D192" t="s">
        <v>6181</v>
      </c>
      <c r="E192" s="2">
        <v>1</v>
      </c>
      <c r="F192" s="2"/>
      <c r="G192" s="2"/>
      <c r="H192" s="2"/>
    </row>
    <row r="193" spans="1:8" x14ac:dyDescent="0.25">
      <c r="A193" s="2" t="s">
        <v>1567</v>
      </c>
      <c r="B193" s="3">
        <v>43567</v>
      </c>
      <c r="C193" s="2" t="s">
        <v>1568</v>
      </c>
      <c r="D193" t="s">
        <v>6150</v>
      </c>
      <c r="E193" s="2">
        <v>5</v>
      </c>
      <c r="F193" s="2"/>
      <c r="G193" s="2"/>
      <c r="H193" s="2"/>
    </row>
    <row r="194" spans="1:8" x14ac:dyDescent="0.25">
      <c r="A194" s="2" t="s">
        <v>1573</v>
      </c>
      <c r="B194" s="3">
        <v>43919</v>
      </c>
      <c r="C194" s="2" t="s">
        <v>1574</v>
      </c>
      <c r="D194" t="s">
        <v>6183</v>
      </c>
      <c r="E194" s="2">
        <v>6</v>
      </c>
      <c r="F194" s="2"/>
      <c r="G194" s="2"/>
      <c r="H194" s="2"/>
    </row>
    <row r="195" spans="1:8" x14ac:dyDescent="0.25">
      <c r="A195" s="2" t="s">
        <v>1579</v>
      </c>
      <c r="B195" s="3">
        <v>44644</v>
      </c>
      <c r="C195" s="2" t="s">
        <v>1580</v>
      </c>
      <c r="D195" t="s">
        <v>6171</v>
      </c>
      <c r="E195" s="2">
        <v>3</v>
      </c>
      <c r="F195" s="2"/>
      <c r="G195" s="2"/>
      <c r="H195" s="2"/>
    </row>
    <row r="196" spans="1:8" x14ac:dyDescent="0.25">
      <c r="A196" s="2" t="s">
        <v>1584</v>
      </c>
      <c r="B196" s="3">
        <v>44398</v>
      </c>
      <c r="C196" s="2" t="s">
        <v>1585</v>
      </c>
      <c r="D196" t="s">
        <v>6144</v>
      </c>
      <c r="E196" s="2">
        <v>5</v>
      </c>
      <c r="F196" s="2"/>
      <c r="G196" s="2"/>
      <c r="H196" s="2"/>
    </row>
    <row r="197" spans="1:8" x14ac:dyDescent="0.25">
      <c r="A197" s="2" t="s">
        <v>1590</v>
      </c>
      <c r="B197" s="3">
        <v>43683</v>
      </c>
      <c r="C197" s="2" t="s">
        <v>1591</v>
      </c>
      <c r="D197" t="s">
        <v>6140</v>
      </c>
      <c r="E197" s="2">
        <v>3</v>
      </c>
      <c r="F197" s="2"/>
      <c r="G197" s="2"/>
      <c r="H197" s="2"/>
    </row>
    <row r="198" spans="1:8" x14ac:dyDescent="0.25">
      <c r="A198" s="2" t="s">
        <v>1596</v>
      </c>
      <c r="B198" s="3">
        <v>44339</v>
      </c>
      <c r="C198" s="2" t="s">
        <v>1597</v>
      </c>
      <c r="D198" t="s">
        <v>6176</v>
      </c>
      <c r="E198" s="2">
        <v>6</v>
      </c>
      <c r="F198" s="2"/>
      <c r="G198" s="2"/>
      <c r="H198" s="2"/>
    </row>
    <row r="199" spans="1:8" x14ac:dyDescent="0.25">
      <c r="A199" s="2" t="s">
        <v>1596</v>
      </c>
      <c r="B199" s="3">
        <v>44339</v>
      </c>
      <c r="C199" s="2" t="s">
        <v>1597</v>
      </c>
      <c r="D199" t="s">
        <v>6165</v>
      </c>
      <c r="E199" s="2">
        <v>2</v>
      </c>
      <c r="F199" s="2"/>
      <c r="G199" s="2"/>
      <c r="H199" s="2"/>
    </row>
    <row r="200" spans="1:8" x14ac:dyDescent="0.25">
      <c r="A200" s="2" t="s">
        <v>1596</v>
      </c>
      <c r="B200" s="3">
        <v>44339</v>
      </c>
      <c r="C200" s="2" t="s">
        <v>1597</v>
      </c>
      <c r="D200" t="s">
        <v>6165</v>
      </c>
      <c r="E200" s="2">
        <v>3</v>
      </c>
      <c r="F200" s="2"/>
      <c r="G200" s="2"/>
      <c r="H200" s="2"/>
    </row>
    <row r="201" spans="1:8" x14ac:dyDescent="0.25">
      <c r="A201" s="2" t="s">
        <v>1596</v>
      </c>
      <c r="B201" s="3">
        <v>44339</v>
      </c>
      <c r="C201" s="2" t="s">
        <v>1597</v>
      </c>
      <c r="D201" t="s">
        <v>6161</v>
      </c>
      <c r="E201" s="2">
        <v>4</v>
      </c>
      <c r="F201" s="2"/>
      <c r="G201" s="2"/>
      <c r="H201" s="2"/>
    </row>
    <row r="202" spans="1:8" x14ac:dyDescent="0.25">
      <c r="A202" s="2" t="s">
        <v>1596</v>
      </c>
      <c r="B202" s="3">
        <v>44339</v>
      </c>
      <c r="C202" s="2" t="s">
        <v>1597</v>
      </c>
      <c r="D202" t="s">
        <v>6141</v>
      </c>
      <c r="E202" s="2">
        <v>3</v>
      </c>
      <c r="F202" s="2"/>
      <c r="G202" s="2"/>
      <c r="H202" s="2"/>
    </row>
    <row r="203" spans="1:8" x14ac:dyDescent="0.25">
      <c r="A203" s="2" t="s">
        <v>1621</v>
      </c>
      <c r="B203" s="3">
        <v>44294</v>
      </c>
      <c r="C203" s="2" t="s">
        <v>1622</v>
      </c>
      <c r="D203" t="s">
        <v>6161</v>
      </c>
      <c r="E203" s="2">
        <v>6</v>
      </c>
      <c r="F203" s="2"/>
      <c r="G203" s="2"/>
      <c r="H203" s="2"/>
    </row>
    <row r="204" spans="1:8" x14ac:dyDescent="0.25">
      <c r="A204" s="2" t="s">
        <v>1626</v>
      </c>
      <c r="B204" s="3">
        <v>44486</v>
      </c>
      <c r="C204" s="2" t="s">
        <v>1627</v>
      </c>
      <c r="D204" t="s">
        <v>6165</v>
      </c>
      <c r="E204" s="2">
        <v>6</v>
      </c>
      <c r="F204" s="2"/>
      <c r="G204" s="2"/>
      <c r="H204" s="2"/>
    </row>
    <row r="205" spans="1:8" x14ac:dyDescent="0.25">
      <c r="A205" s="2" t="s">
        <v>1632</v>
      </c>
      <c r="B205" s="3">
        <v>44608</v>
      </c>
      <c r="C205" s="2" t="s">
        <v>1633</v>
      </c>
      <c r="D205" t="s">
        <v>6145</v>
      </c>
      <c r="E205" s="2">
        <v>1</v>
      </c>
      <c r="F205" s="2"/>
      <c r="G205" s="2"/>
      <c r="H205" s="2"/>
    </row>
    <row r="206" spans="1:8" x14ac:dyDescent="0.25">
      <c r="A206" s="2" t="s">
        <v>1638</v>
      </c>
      <c r="B206" s="3">
        <v>44027</v>
      </c>
      <c r="C206" s="2" t="s">
        <v>1639</v>
      </c>
      <c r="D206" t="s">
        <v>6141</v>
      </c>
      <c r="E206" s="2">
        <v>6</v>
      </c>
      <c r="F206" s="2"/>
      <c r="G206" s="2"/>
      <c r="H206" s="2"/>
    </row>
    <row r="207" spans="1:8" x14ac:dyDescent="0.25">
      <c r="A207" s="2" t="s">
        <v>1643</v>
      </c>
      <c r="B207" s="3">
        <v>43883</v>
      </c>
      <c r="C207" s="2" t="s">
        <v>1644</v>
      </c>
      <c r="D207" t="s">
        <v>6163</v>
      </c>
      <c r="E207" s="2">
        <v>3</v>
      </c>
      <c r="F207" s="2"/>
      <c r="G207" s="2"/>
      <c r="H207" s="2"/>
    </row>
    <row r="208" spans="1:8" x14ac:dyDescent="0.25">
      <c r="A208" s="2" t="s">
        <v>1648</v>
      </c>
      <c r="B208" s="3">
        <v>44211</v>
      </c>
      <c r="C208" s="2" t="s">
        <v>1649</v>
      </c>
      <c r="D208" t="s">
        <v>6155</v>
      </c>
      <c r="E208" s="2">
        <v>2</v>
      </c>
      <c r="F208" s="2"/>
      <c r="G208" s="2"/>
      <c r="H208" s="2"/>
    </row>
    <row r="209" spans="1:8" x14ac:dyDescent="0.25">
      <c r="A209" s="2" t="s">
        <v>1653</v>
      </c>
      <c r="B209" s="3">
        <v>44207</v>
      </c>
      <c r="C209" s="2" t="s">
        <v>1654</v>
      </c>
      <c r="D209" t="s">
        <v>6157</v>
      </c>
      <c r="E209" s="2">
        <v>6</v>
      </c>
      <c r="F209" s="2"/>
      <c r="G209" s="2"/>
      <c r="H209" s="2"/>
    </row>
    <row r="210" spans="1:8" x14ac:dyDescent="0.25">
      <c r="A210" s="2" t="s">
        <v>1659</v>
      </c>
      <c r="B210" s="3">
        <v>44659</v>
      </c>
      <c r="C210" s="2" t="s">
        <v>1660</v>
      </c>
      <c r="D210" t="s">
        <v>6144</v>
      </c>
      <c r="E210" s="2">
        <v>4</v>
      </c>
      <c r="F210" s="2"/>
      <c r="G210" s="2"/>
      <c r="H210" s="2"/>
    </row>
    <row r="211" spans="1:8" x14ac:dyDescent="0.25">
      <c r="A211" s="2" t="s">
        <v>1665</v>
      </c>
      <c r="B211" s="3">
        <v>44105</v>
      </c>
      <c r="C211" s="2" t="s">
        <v>1666</v>
      </c>
      <c r="D211" t="s">
        <v>6157</v>
      </c>
      <c r="E211" s="2">
        <v>1</v>
      </c>
      <c r="F211" s="2"/>
      <c r="G211" s="2"/>
      <c r="H211" s="2"/>
    </row>
    <row r="212" spans="1:8" x14ac:dyDescent="0.25">
      <c r="A212" s="2" t="s">
        <v>1671</v>
      </c>
      <c r="B212" s="3">
        <v>43766</v>
      </c>
      <c r="C212" s="2" t="s">
        <v>1672</v>
      </c>
      <c r="D212" t="s">
        <v>6143</v>
      </c>
      <c r="E212" s="2">
        <v>4</v>
      </c>
      <c r="F212" s="2"/>
      <c r="G212" s="2"/>
      <c r="H212" s="2"/>
    </row>
    <row r="213" spans="1:8" x14ac:dyDescent="0.25">
      <c r="A213" s="2" t="s">
        <v>1677</v>
      </c>
      <c r="B213" s="3">
        <v>44283</v>
      </c>
      <c r="C213" s="2" t="s">
        <v>1678</v>
      </c>
      <c r="D213" t="s">
        <v>6176</v>
      </c>
      <c r="E213" s="2">
        <v>6</v>
      </c>
      <c r="F213" s="2"/>
      <c r="G213" s="2"/>
      <c r="H213" s="2"/>
    </row>
    <row r="214" spans="1:8" x14ac:dyDescent="0.25">
      <c r="A214" s="2" t="s">
        <v>1682</v>
      </c>
      <c r="B214" s="3">
        <v>43921</v>
      </c>
      <c r="C214" s="2" t="s">
        <v>1683</v>
      </c>
      <c r="D214" t="s">
        <v>6153</v>
      </c>
      <c r="E214" s="2">
        <v>4</v>
      </c>
      <c r="F214" s="2"/>
      <c r="G214" s="2"/>
      <c r="H214" s="2"/>
    </row>
    <row r="215" spans="1:8" x14ac:dyDescent="0.25">
      <c r="A215" s="2" t="s">
        <v>1688</v>
      </c>
      <c r="B215" s="3">
        <v>44646</v>
      </c>
      <c r="C215" s="2" t="s">
        <v>1689</v>
      </c>
      <c r="D215" t="s">
        <v>6149</v>
      </c>
      <c r="E215" s="2">
        <v>1</v>
      </c>
      <c r="F215" s="2"/>
      <c r="G215" s="2"/>
      <c r="H215" s="2"/>
    </row>
    <row r="216" spans="1:8" x14ac:dyDescent="0.25">
      <c r="A216" s="2" t="s">
        <v>1694</v>
      </c>
      <c r="B216" s="3">
        <v>43775</v>
      </c>
      <c r="C216" s="2" t="s">
        <v>1695</v>
      </c>
      <c r="D216" t="s">
        <v>6170</v>
      </c>
      <c r="E216" s="2">
        <v>2</v>
      </c>
      <c r="F216" s="2"/>
      <c r="G216" s="2"/>
      <c r="H216" s="2"/>
    </row>
    <row r="217" spans="1:8" x14ac:dyDescent="0.25">
      <c r="A217" s="2" t="s">
        <v>1701</v>
      </c>
      <c r="B217" s="3">
        <v>43829</v>
      </c>
      <c r="C217" s="2" t="s">
        <v>1702</v>
      </c>
      <c r="D217" t="s">
        <v>6150</v>
      </c>
      <c r="E217" s="2">
        <v>6</v>
      </c>
      <c r="F217" s="2"/>
      <c r="G217" s="2"/>
      <c r="H217" s="2"/>
    </row>
    <row r="218" spans="1:8" x14ac:dyDescent="0.25">
      <c r="A218" s="2" t="s">
        <v>1707</v>
      </c>
      <c r="B218" s="3">
        <v>44470</v>
      </c>
      <c r="C218" s="2" t="s">
        <v>1708</v>
      </c>
      <c r="D218" t="s">
        <v>6162</v>
      </c>
      <c r="E218" s="2">
        <v>4</v>
      </c>
      <c r="F218" s="2"/>
      <c r="G218" s="2"/>
      <c r="H218" s="2"/>
    </row>
    <row r="219" spans="1:8" x14ac:dyDescent="0.25">
      <c r="A219" s="2" t="s">
        <v>1713</v>
      </c>
      <c r="B219" s="3">
        <v>44174</v>
      </c>
      <c r="C219" s="2" t="s">
        <v>1714</v>
      </c>
      <c r="D219" t="s">
        <v>6176</v>
      </c>
      <c r="E219" s="2">
        <v>4</v>
      </c>
      <c r="F219" s="2"/>
      <c r="G219" s="2"/>
      <c r="H219" s="2"/>
    </row>
    <row r="220" spans="1:8" x14ac:dyDescent="0.25">
      <c r="A220" s="2" t="s">
        <v>1719</v>
      </c>
      <c r="B220" s="3">
        <v>44317</v>
      </c>
      <c r="C220" s="2" t="s">
        <v>1720</v>
      </c>
      <c r="D220" t="s">
        <v>6155</v>
      </c>
      <c r="E220" s="2">
        <v>5</v>
      </c>
      <c r="F220" s="2"/>
      <c r="G220" s="2"/>
      <c r="H220" s="2"/>
    </row>
    <row r="221" spans="1:8" x14ac:dyDescent="0.25">
      <c r="A221" s="2" t="s">
        <v>1725</v>
      </c>
      <c r="B221" s="3">
        <v>44777</v>
      </c>
      <c r="C221" s="2" t="s">
        <v>1726</v>
      </c>
      <c r="D221" t="s">
        <v>6178</v>
      </c>
      <c r="E221" s="2">
        <v>3</v>
      </c>
      <c r="F221" s="2"/>
      <c r="G221" s="2"/>
      <c r="H221" s="2"/>
    </row>
    <row r="222" spans="1:8" x14ac:dyDescent="0.25">
      <c r="A222" s="2" t="s">
        <v>1725</v>
      </c>
      <c r="B222" s="3">
        <v>44777</v>
      </c>
      <c r="C222" s="2" t="s">
        <v>1726</v>
      </c>
      <c r="D222" t="s">
        <v>6174</v>
      </c>
      <c r="E222" s="2">
        <v>5</v>
      </c>
      <c r="F222" s="2"/>
      <c r="G222" s="2"/>
      <c r="H222" s="2"/>
    </row>
    <row r="223" spans="1:8" x14ac:dyDescent="0.25">
      <c r="A223" s="2" t="s">
        <v>1736</v>
      </c>
      <c r="B223" s="3">
        <v>44513</v>
      </c>
      <c r="C223" s="2" t="s">
        <v>1737</v>
      </c>
      <c r="D223" t="s">
        <v>6140</v>
      </c>
      <c r="E223" s="2">
        <v>6</v>
      </c>
      <c r="F223" s="2"/>
      <c r="G223" s="2"/>
      <c r="H223" s="2"/>
    </row>
    <row r="224" spans="1:8" x14ac:dyDescent="0.25">
      <c r="A224" s="2" t="s">
        <v>1742</v>
      </c>
      <c r="B224" s="3">
        <v>44090</v>
      </c>
      <c r="C224" s="2" t="s">
        <v>1743</v>
      </c>
      <c r="D224" t="s">
        <v>6169</v>
      </c>
      <c r="E224" s="2">
        <v>3</v>
      </c>
      <c r="F224" s="2"/>
      <c r="G224" s="2"/>
      <c r="H224" s="2"/>
    </row>
    <row r="225" spans="1:8" x14ac:dyDescent="0.25">
      <c r="A225" s="2" t="s">
        <v>1748</v>
      </c>
      <c r="B225" s="3">
        <v>44109</v>
      </c>
      <c r="C225" s="2" t="s">
        <v>1749</v>
      </c>
      <c r="D225" t="s">
        <v>6171</v>
      </c>
      <c r="E225" s="2">
        <v>4</v>
      </c>
      <c r="F225" s="2"/>
      <c r="G225" s="2"/>
      <c r="H225" s="2"/>
    </row>
    <row r="226" spans="1:8" x14ac:dyDescent="0.25">
      <c r="A226" s="2" t="s">
        <v>1753</v>
      </c>
      <c r="B226" s="3">
        <v>43836</v>
      </c>
      <c r="C226" s="2" t="s">
        <v>1754</v>
      </c>
      <c r="D226" t="s">
        <v>6165</v>
      </c>
      <c r="E226" s="2">
        <v>4</v>
      </c>
      <c r="F226" s="2"/>
      <c r="G226" s="2"/>
      <c r="H226" s="2"/>
    </row>
    <row r="227" spans="1:8" x14ac:dyDescent="0.25">
      <c r="A227" s="2" t="s">
        <v>1759</v>
      </c>
      <c r="B227" s="3">
        <v>44337</v>
      </c>
      <c r="C227" s="2" t="s">
        <v>1760</v>
      </c>
      <c r="D227" t="s">
        <v>6178</v>
      </c>
      <c r="E227" s="2">
        <v>4</v>
      </c>
      <c r="F227" s="2"/>
      <c r="G227" s="2"/>
      <c r="H227" s="2"/>
    </row>
    <row r="228" spans="1:8" x14ac:dyDescent="0.25">
      <c r="A228" s="2" t="s">
        <v>1765</v>
      </c>
      <c r="B228" s="3">
        <v>43887</v>
      </c>
      <c r="C228" s="2" t="s">
        <v>1766</v>
      </c>
      <c r="D228" t="s">
        <v>6175</v>
      </c>
      <c r="E228" s="2">
        <v>5</v>
      </c>
      <c r="F228" s="2"/>
      <c r="G228" s="2"/>
      <c r="H228" s="2"/>
    </row>
    <row r="229" spans="1:8" x14ac:dyDescent="0.25">
      <c r="A229" s="2" t="s">
        <v>1771</v>
      </c>
      <c r="B229" s="3">
        <v>43880</v>
      </c>
      <c r="C229" s="2" t="s">
        <v>1772</v>
      </c>
      <c r="D229" t="s">
        <v>6163</v>
      </c>
      <c r="E229" s="2">
        <v>6</v>
      </c>
      <c r="F229" s="2"/>
      <c r="G229" s="2"/>
      <c r="H229" s="2"/>
    </row>
    <row r="230" spans="1:8" x14ac:dyDescent="0.25">
      <c r="A230" s="2" t="s">
        <v>1777</v>
      </c>
      <c r="B230" s="3">
        <v>44376</v>
      </c>
      <c r="C230" s="2" t="s">
        <v>1778</v>
      </c>
      <c r="D230" t="s">
        <v>6178</v>
      </c>
      <c r="E230" s="2">
        <v>5</v>
      </c>
      <c r="F230" s="2"/>
      <c r="G230" s="2"/>
      <c r="H230" s="2"/>
    </row>
    <row r="231" spans="1:8" x14ac:dyDescent="0.25">
      <c r="A231" s="2" t="s">
        <v>1783</v>
      </c>
      <c r="B231" s="3">
        <v>44282</v>
      </c>
      <c r="C231" s="2" t="s">
        <v>1784</v>
      </c>
      <c r="D231" t="s">
        <v>6159</v>
      </c>
      <c r="E231" s="2">
        <v>2</v>
      </c>
      <c r="F231" s="2"/>
      <c r="G231" s="2"/>
      <c r="H231" s="2"/>
    </row>
    <row r="232" spans="1:8" x14ac:dyDescent="0.25">
      <c r="A232" s="2" t="s">
        <v>1789</v>
      </c>
      <c r="B232" s="3">
        <v>44496</v>
      </c>
      <c r="C232" s="2" t="s">
        <v>1790</v>
      </c>
      <c r="D232" t="s">
        <v>6175</v>
      </c>
      <c r="E232" s="2">
        <v>2</v>
      </c>
      <c r="F232" s="2"/>
      <c r="G232" s="2"/>
      <c r="H232" s="2"/>
    </row>
    <row r="233" spans="1:8" x14ac:dyDescent="0.25">
      <c r="A233" s="2" t="s">
        <v>1795</v>
      </c>
      <c r="B233" s="3">
        <v>43628</v>
      </c>
      <c r="C233" s="2" t="s">
        <v>1796</v>
      </c>
      <c r="D233" t="s">
        <v>6159</v>
      </c>
      <c r="E233" s="2">
        <v>2</v>
      </c>
      <c r="F233" s="2"/>
      <c r="G233" s="2"/>
      <c r="H233" s="2"/>
    </row>
    <row r="234" spans="1:8" x14ac:dyDescent="0.25">
      <c r="A234" s="2" t="s">
        <v>1800</v>
      </c>
      <c r="B234" s="3">
        <v>44010</v>
      </c>
      <c r="C234" s="2" t="s">
        <v>1801</v>
      </c>
      <c r="D234" t="s">
        <v>6145</v>
      </c>
      <c r="E234" s="2">
        <v>5</v>
      </c>
      <c r="F234" s="2"/>
      <c r="G234" s="2"/>
      <c r="H234" s="2"/>
    </row>
    <row r="235" spans="1:8" x14ac:dyDescent="0.25">
      <c r="A235" s="2" t="s">
        <v>1806</v>
      </c>
      <c r="B235" s="3">
        <v>44278</v>
      </c>
      <c r="C235" s="2" t="s">
        <v>1807</v>
      </c>
      <c r="D235" t="s">
        <v>6156</v>
      </c>
      <c r="E235" s="2">
        <v>5</v>
      </c>
      <c r="F235" s="2"/>
      <c r="G235" s="2"/>
      <c r="H235" s="2"/>
    </row>
    <row r="236" spans="1:8" x14ac:dyDescent="0.25">
      <c r="A236" s="2" t="s">
        <v>1812</v>
      </c>
      <c r="B236" s="3">
        <v>44602</v>
      </c>
      <c r="C236" s="2" t="s">
        <v>1813</v>
      </c>
      <c r="D236" t="s">
        <v>6164</v>
      </c>
      <c r="E236" s="2">
        <v>1</v>
      </c>
      <c r="F236" s="2"/>
      <c r="G236" s="2"/>
      <c r="H236" s="2"/>
    </row>
    <row r="237" spans="1:8" x14ac:dyDescent="0.25">
      <c r="A237" s="2" t="s">
        <v>1818</v>
      </c>
      <c r="B237" s="3">
        <v>43571</v>
      </c>
      <c r="C237" s="2" t="s">
        <v>1819</v>
      </c>
      <c r="D237" t="s">
        <v>6164</v>
      </c>
      <c r="E237" s="2">
        <v>5</v>
      </c>
      <c r="F237" s="2"/>
      <c r="G237" s="2"/>
      <c r="H237" s="2"/>
    </row>
    <row r="238" spans="1:8" x14ac:dyDescent="0.25">
      <c r="A238" s="2" t="s">
        <v>1822</v>
      </c>
      <c r="B238" s="3">
        <v>43873</v>
      </c>
      <c r="C238" s="2" t="s">
        <v>1823</v>
      </c>
      <c r="D238" t="s">
        <v>6165</v>
      </c>
      <c r="E238" s="2">
        <v>3</v>
      </c>
      <c r="F238" s="2"/>
      <c r="G238" s="2"/>
      <c r="H238" s="2"/>
    </row>
    <row r="239" spans="1:8" x14ac:dyDescent="0.25">
      <c r="A239" s="2" t="s">
        <v>1828</v>
      </c>
      <c r="B239" s="3">
        <v>44563</v>
      </c>
      <c r="C239" s="2" t="s">
        <v>1829</v>
      </c>
      <c r="D239" t="s">
        <v>6178</v>
      </c>
      <c r="E239" s="2">
        <v>1</v>
      </c>
      <c r="F239" s="2"/>
      <c r="G239" s="2"/>
      <c r="H239" s="2"/>
    </row>
    <row r="240" spans="1:8" x14ac:dyDescent="0.25">
      <c r="A240" s="2" t="s">
        <v>1833</v>
      </c>
      <c r="B240" s="3">
        <v>44172</v>
      </c>
      <c r="C240" s="2" t="s">
        <v>1834</v>
      </c>
      <c r="D240" t="s">
        <v>6151</v>
      </c>
      <c r="E240" s="2">
        <v>2</v>
      </c>
      <c r="F240" s="2"/>
      <c r="G240" s="2"/>
      <c r="H240" s="2"/>
    </row>
    <row r="241" spans="1:8" x14ac:dyDescent="0.25">
      <c r="A241" s="2" t="s">
        <v>1839</v>
      </c>
      <c r="B241" s="3">
        <v>43881</v>
      </c>
      <c r="C241" s="2" t="s">
        <v>1840</v>
      </c>
      <c r="D241" t="s">
        <v>6171</v>
      </c>
      <c r="E241" s="2">
        <v>4</v>
      </c>
      <c r="F241" s="2"/>
      <c r="G241" s="2"/>
      <c r="H241" s="2"/>
    </row>
    <row r="242" spans="1:8" x14ac:dyDescent="0.25">
      <c r="A242" s="2" t="s">
        <v>1845</v>
      </c>
      <c r="B242" s="3">
        <v>43993</v>
      </c>
      <c r="C242" s="2" t="s">
        <v>1846</v>
      </c>
      <c r="D242" t="s">
        <v>6175</v>
      </c>
      <c r="E242" s="2">
        <v>6</v>
      </c>
      <c r="F242" s="2"/>
      <c r="G242" s="2"/>
      <c r="H242" s="2"/>
    </row>
    <row r="243" spans="1:8" x14ac:dyDescent="0.25">
      <c r="A243" s="2" t="s">
        <v>1849</v>
      </c>
      <c r="B243" s="3">
        <v>44082</v>
      </c>
      <c r="C243" s="2" t="s">
        <v>1850</v>
      </c>
      <c r="D243" t="s">
        <v>6151</v>
      </c>
      <c r="E243" s="2">
        <v>2</v>
      </c>
      <c r="F243" s="2"/>
      <c r="G243" s="2"/>
      <c r="H243" s="2"/>
    </row>
    <row r="244" spans="1:8" x14ac:dyDescent="0.25">
      <c r="A244" s="2" t="s">
        <v>1854</v>
      </c>
      <c r="B244" s="3">
        <v>43918</v>
      </c>
      <c r="C244" s="2" t="s">
        <v>1855</v>
      </c>
      <c r="D244" t="s">
        <v>6183</v>
      </c>
      <c r="E244" s="2">
        <v>3</v>
      </c>
      <c r="F244" s="2"/>
      <c r="G244" s="2"/>
      <c r="H244" s="2"/>
    </row>
    <row r="245" spans="1:8" x14ac:dyDescent="0.25">
      <c r="A245" s="2" t="s">
        <v>1860</v>
      </c>
      <c r="B245" s="3">
        <v>44114</v>
      </c>
      <c r="C245" s="2" t="s">
        <v>1861</v>
      </c>
      <c r="D245" t="s">
        <v>6144</v>
      </c>
      <c r="E245" s="2">
        <v>4</v>
      </c>
      <c r="F245" s="2"/>
      <c r="G245" s="2"/>
      <c r="H245" s="2"/>
    </row>
    <row r="246" spans="1:8" x14ac:dyDescent="0.25">
      <c r="A246" s="2" t="s">
        <v>1866</v>
      </c>
      <c r="B246" s="3">
        <v>44702</v>
      </c>
      <c r="C246" s="2" t="s">
        <v>1867</v>
      </c>
      <c r="D246" t="s">
        <v>6181</v>
      </c>
      <c r="E246" s="2">
        <v>4</v>
      </c>
      <c r="F246" s="2"/>
      <c r="G246" s="2"/>
      <c r="H246" s="2"/>
    </row>
    <row r="247" spans="1:8" x14ac:dyDescent="0.25">
      <c r="A247" s="2" t="s">
        <v>1872</v>
      </c>
      <c r="B247" s="3">
        <v>43951</v>
      </c>
      <c r="C247" s="2" t="s">
        <v>1873</v>
      </c>
      <c r="D247" t="s">
        <v>6145</v>
      </c>
      <c r="E247" s="2">
        <v>5</v>
      </c>
      <c r="F247" s="2"/>
      <c r="G247" s="2"/>
      <c r="H247" s="2"/>
    </row>
    <row r="248" spans="1:8" x14ac:dyDescent="0.25">
      <c r="A248" s="2" t="s">
        <v>1878</v>
      </c>
      <c r="B248" s="3">
        <v>44542</v>
      </c>
      <c r="C248" s="2" t="s">
        <v>1879</v>
      </c>
      <c r="D248" t="s">
        <v>6143</v>
      </c>
      <c r="E248" s="2">
        <v>3</v>
      </c>
      <c r="F248" s="2"/>
      <c r="G248" s="2"/>
      <c r="H248" s="2"/>
    </row>
    <row r="249" spans="1:8" x14ac:dyDescent="0.25">
      <c r="A249" s="2" t="s">
        <v>1884</v>
      </c>
      <c r="B249" s="3">
        <v>44131</v>
      </c>
      <c r="C249" s="2" t="s">
        <v>1885</v>
      </c>
      <c r="D249" t="s">
        <v>6178</v>
      </c>
      <c r="E249" s="2">
        <v>6</v>
      </c>
      <c r="F249" s="2"/>
      <c r="G249" s="2"/>
      <c r="H249" s="2"/>
    </row>
    <row r="250" spans="1:8" x14ac:dyDescent="0.25">
      <c r="A250" s="2" t="s">
        <v>1889</v>
      </c>
      <c r="B250" s="3">
        <v>44019</v>
      </c>
      <c r="C250" s="2" t="s">
        <v>1890</v>
      </c>
      <c r="D250" t="s">
        <v>6147</v>
      </c>
      <c r="E250" s="2">
        <v>1</v>
      </c>
      <c r="F250" s="2"/>
      <c r="G250" s="2"/>
      <c r="H250" s="2"/>
    </row>
    <row r="251" spans="1:8" x14ac:dyDescent="0.25">
      <c r="A251" s="2" t="s">
        <v>1895</v>
      </c>
      <c r="B251" s="3">
        <v>43861</v>
      </c>
      <c r="C251" s="2" t="s">
        <v>1935</v>
      </c>
      <c r="D251" t="s">
        <v>6170</v>
      </c>
      <c r="E251" s="2">
        <v>1</v>
      </c>
      <c r="F251" s="2"/>
      <c r="G251" s="2"/>
      <c r="H251" s="2"/>
    </row>
    <row r="252" spans="1:8" x14ac:dyDescent="0.25">
      <c r="A252" s="2" t="s">
        <v>1900</v>
      </c>
      <c r="B252" s="3">
        <v>43879</v>
      </c>
      <c r="C252" s="2" t="s">
        <v>1901</v>
      </c>
      <c r="D252" t="s">
        <v>6174</v>
      </c>
      <c r="E252" s="2">
        <v>1</v>
      </c>
      <c r="F252" s="2"/>
      <c r="G252" s="2"/>
      <c r="H252" s="2"/>
    </row>
    <row r="253" spans="1:8" x14ac:dyDescent="0.25">
      <c r="A253" s="2" t="s">
        <v>1906</v>
      </c>
      <c r="B253" s="3">
        <v>44360</v>
      </c>
      <c r="C253" s="2" t="s">
        <v>1907</v>
      </c>
      <c r="D253" t="s">
        <v>6141</v>
      </c>
      <c r="E253" s="2">
        <v>5</v>
      </c>
      <c r="F253" s="2"/>
      <c r="G253" s="2"/>
      <c r="H253" s="2"/>
    </row>
    <row r="254" spans="1:8" x14ac:dyDescent="0.25">
      <c r="A254" s="2" t="s">
        <v>1912</v>
      </c>
      <c r="B254" s="3">
        <v>44779</v>
      </c>
      <c r="C254" s="2" t="s">
        <v>1913</v>
      </c>
      <c r="D254" t="s">
        <v>6147</v>
      </c>
      <c r="E254" s="2">
        <v>3</v>
      </c>
      <c r="F254" s="2"/>
      <c r="G254" s="2"/>
      <c r="H254" s="2"/>
    </row>
    <row r="255" spans="1:8" x14ac:dyDescent="0.25">
      <c r="A255" s="2" t="s">
        <v>1917</v>
      </c>
      <c r="B255" s="3">
        <v>44523</v>
      </c>
      <c r="C255" s="2" t="s">
        <v>1918</v>
      </c>
      <c r="D255" t="s">
        <v>6162</v>
      </c>
      <c r="E255" s="2">
        <v>4</v>
      </c>
      <c r="F255" s="2"/>
      <c r="G255" s="2"/>
      <c r="H255" s="2"/>
    </row>
    <row r="256" spans="1:8" x14ac:dyDescent="0.25">
      <c r="A256" s="2" t="s">
        <v>1923</v>
      </c>
      <c r="B256" s="3">
        <v>44482</v>
      </c>
      <c r="C256" s="2" t="s">
        <v>1924</v>
      </c>
      <c r="D256" t="s">
        <v>6173</v>
      </c>
      <c r="E256" s="2">
        <v>4</v>
      </c>
      <c r="F256" s="2"/>
      <c r="G256" s="2"/>
      <c r="H256" s="2"/>
    </row>
    <row r="257" spans="1:8" x14ac:dyDescent="0.25">
      <c r="A257" s="2" t="s">
        <v>1928</v>
      </c>
      <c r="B257" s="3">
        <v>44439</v>
      </c>
      <c r="C257" s="2" t="s">
        <v>1929</v>
      </c>
      <c r="D257" t="s">
        <v>6173</v>
      </c>
      <c r="E257" s="2">
        <v>3</v>
      </c>
      <c r="F257" s="2"/>
      <c r="G257" s="2"/>
      <c r="H257" s="2"/>
    </row>
    <row r="258" spans="1:8" x14ac:dyDescent="0.25">
      <c r="A258" s="2" t="s">
        <v>1934</v>
      </c>
      <c r="B258" s="3">
        <v>43846</v>
      </c>
      <c r="C258" s="2" t="s">
        <v>1935</v>
      </c>
      <c r="D258" t="s">
        <v>6160</v>
      </c>
      <c r="E258" s="2">
        <v>2</v>
      </c>
      <c r="F258" s="2"/>
      <c r="G258" s="2"/>
      <c r="H258" s="2"/>
    </row>
    <row r="259" spans="1:8" x14ac:dyDescent="0.25">
      <c r="A259" s="2" t="s">
        <v>1940</v>
      </c>
      <c r="B259" s="3">
        <v>44676</v>
      </c>
      <c r="C259" s="2" t="s">
        <v>1941</v>
      </c>
      <c r="D259" t="s">
        <v>6185</v>
      </c>
      <c r="E259" s="2">
        <v>1</v>
      </c>
      <c r="F259" s="2"/>
      <c r="G259" s="2"/>
      <c r="H259" s="2"/>
    </row>
    <row r="260" spans="1:8" x14ac:dyDescent="0.25">
      <c r="A260" s="2" t="s">
        <v>1946</v>
      </c>
      <c r="B260" s="3">
        <v>44513</v>
      </c>
      <c r="C260" s="2" t="s">
        <v>1947</v>
      </c>
      <c r="D260" t="s">
        <v>6185</v>
      </c>
      <c r="E260" s="2">
        <v>5</v>
      </c>
      <c r="F260" s="2"/>
      <c r="G260" s="2"/>
      <c r="H260" s="2"/>
    </row>
    <row r="261" spans="1:8" x14ac:dyDescent="0.25">
      <c r="A261" s="2" t="s">
        <v>1952</v>
      </c>
      <c r="B261" s="3">
        <v>44355</v>
      </c>
      <c r="C261" s="2" t="s">
        <v>1953</v>
      </c>
      <c r="D261" t="s">
        <v>6174</v>
      </c>
      <c r="E261" s="2">
        <v>2</v>
      </c>
      <c r="F261" s="2"/>
      <c r="G261" s="2"/>
      <c r="H261" s="2"/>
    </row>
    <row r="262" spans="1:8" x14ac:dyDescent="0.25">
      <c r="A262" s="2" t="s">
        <v>1958</v>
      </c>
      <c r="B262" s="3">
        <v>44156</v>
      </c>
      <c r="C262" s="2" t="s">
        <v>1959</v>
      </c>
      <c r="D262" t="s">
        <v>6142</v>
      </c>
      <c r="E262" s="2">
        <v>1</v>
      </c>
      <c r="F262" s="2"/>
      <c r="G262" s="2"/>
      <c r="H262" s="2"/>
    </row>
    <row r="263" spans="1:8" x14ac:dyDescent="0.25">
      <c r="A263" s="2" t="s">
        <v>1963</v>
      </c>
      <c r="B263" s="3">
        <v>43538</v>
      </c>
      <c r="C263" s="2" t="s">
        <v>1964</v>
      </c>
      <c r="D263" t="s">
        <v>6179</v>
      </c>
      <c r="E263" s="2">
        <v>5</v>
      </c>
      <c r="F263" s="2"/>
      <c r="G263" s="2"/>
      <c r="H263" s="2"/>
    </row>
    <row r="264" spans="1:8" x14ac:dyDescent="0.25">
      <c r="A264" s="2" t="s">
        <v>1969</v>
      </c>
      <c r="B264" s="3">
        <v>43693</v>
      </c>
      <c r="C264" s="2" t="s">
        <v>1970</v>
      </c>
      <c r="D264" t="s">
        <v>6141</v>
      </c>
      <c r="E264" s="2">
        <v>3</v>
      </c>
      <c r="F264" s="2"/>
      <c r="G264" s="2"/>
      <c r="H264" s="2"/>
    </row>
    <row r="265" spans="1:8" x14ac:dyDescent="0.25">
      <c r="A265" s="2" t="s">
        <v>1975</v>
      </c>
      <c r="B265" s="3">
        <v>43577</v>
      </c>
      <c r="C265" s="2" t="s">
        <v>1976</v>
      </c>
      <c r="D265" t="s">
        <v>6181</v>
      </c>
      <c r="E265" s="2">
        <v>4</v>
      </c>
      <c r="F265" s="2"/>
      <c r="G265" s="2"/>
      <c r="H265" s="2"/>
    </row>
    <row r="266" spans="1:8" x14ac:dyDescent="0.25">
      <c r="A266" s="2" t="s">
        <v>1980</v>
      </c>
      <c r="B266" s="3">
        <v>44683</v>
      </c>
      <c r="C266" s="2" t="s">
        <v>1981</v>
      </c>
      <c r="D266" t="s">
        <v>6179</v>
      </c>
      <c r="E266" s="2">
        <v>5</v>
      </c>
      <c r="F266" s="2"/>
      <c r="G266" s="2"/>
      <c r="H266" s="2"/>
    </row>
    <row r="267" spans="1:8" x14ac:dyDescent="0.25">
      <c r="A267" s="2" t="s">
        <v>1986</v>
      </c>
      <c r="B267" s="3">
        <v>43872</v>
      </c>
      <c r="C267" s="2" t="s">
        <v>1987</v>
      </c>
      <c r="D267" t="s">
        <v>6158</v>
      </c>
      <c r="E267" s="2">
        <v>1</v>
      </c>
      <c r="F267" s="2"/>
      <c r="G267" s="2"/>
      <c r="H267" s="2"/>
    </row>
    <row r="268" spans="1:8" x14ac:dyDescent="0.25">
      <c r="A268" s="2" t="s">
        <v>1992</v>
      </c>
      <c r="B268" s="3">
        <v>44283</v>
      </c>
      <c r="C268" s="2" t="s">
        <v>1993</v>
      </c>
      <c r="D268" t="s">
        <v>6183</v>
      </c>
      <c r="E268" s="2">
        <v>2</v>
      </c>
      <c r="F268" s="2"/>
      <c r="G268" s="2"/>
      <c r="H268" s="2"/>
    </row>
    <row r="269" spans="1:8" x14ac:dyDescent="0.25">
      <c r="A269" s="2" t="s">
        <v>1998</v>
      </c>
      <c r="B269" s="3">
        <v>44324</v>
      </c>
      <c r="C269" s="2" t="s">
        <v>1999</v>
      </c>
      <c r="D269" t="s">
        <v>6153</v>
      </c>
      <c r="E269" s="2">
        <v>6</v>
      </c>
      <c r="F269" s="2"/>
      <c r="G269" s="2"/>
      <c r="H269" s="2"/>
    </row>
    <row r="270" spans="1:8" x14ac:dyDescent="0.25">
      <c r="A270" s="2" t="s">
        <v>2004</v>
      </c>
      <c r="B270" s="3">
        <v>43790</v>
      </c>
      <c r="C270" s="2" t="s">
        <v>1672</v>
      </c>
      <c r="D270" t="s">
        <v>6147</v>
      </c>
      <c r="E270" s="2">
        <v>2</v>
      </c>
      <c r="F270" s="2"/>
      <c r="G270" s="2"/>
      <c r="H270" s="2"/>
    </row>
    <row r="271" spans="1:8" x14ac:dyDescent="0.25">
      <c r="A271" s="2" t="s">
        <v>2009</v>
      </c>
      <c r="B271" s="3">
        <v>44333</v>
      </c>
      <c r="C271" s="2" t="s">
        <v>2010</v>
      </c>
      <c r="D271" t="s">
        <v>6154</v>
      </c>
      <c r="E271" s="2">
        <v>2</v>
      </c>
      <c r="F271" s="2"/>
      <c r="G271" s="2"/>
      <c r="H271" s="2"/>
    </row>
    <row r="272" spans="1:8" x14ac:dyDescent="0.25">
      <c r="A272" s="2" t="s">
        <v>2015</v>
      </c>
      <c r="B272" s="3">
        <v>43655</v>
      </c>
      <c r="C272" s="2" t="s">
        <v>2016</v>
      </c>
      <c r="D272" t="s">
        <v>6144</v>
      </c>
      <c r="E272" s="2">
        <v>1</v>
      </c>
      <c r="F272" s="2"/>
      <c r="G272" s="2"/>
      <c r="H272" s="2"/>
    </row>
    <row r="273" spans="1:8" x14ac:dyDescent="0.25">
      <c r="A273" s="2" t="s">
        <v>2019</v>
      </c>
      <c r="B273" s="3">
        <v>43971</v>
      </c>
      <c r="C273" s="2" t="s">
        <v>2020</v>
      </c>
      <c r="D273" t="s">
        <v>6154</v>
      </c>
      <c r="E273" s="2">
        <v>4</v>
      </c>
      <c r="F273" s="2"/>
      <c r="G273" s="2"/>
      <c r="H273" s="2"/>
    </row>
    <row r="274" spans="1:8" x14ac:dyDescent="0.25">
      <c r="A274" s="2" t="s">
        <v>2025</v>
      </c>
      <c r="B274" s="3">
        <v>44435</v>
      </c>
      <c r="C274" s="2" t="s">
        <v>2026</v>
      </c>
      <c r="D274" t="s">
        <v>6179</v>
      </c>
      <c r="E274" s="2">
        <v>6</v>
      </c>
      <c r="F274" s="2"/>
      <c r="G274" s="2"/>
      <c r="H274" s="2"/>
    </row>
    <row r="275" spans="1:8" x14ac:dyDescent="0.25">
      <c r="A275" s="2" t="s">
        <v>2032</v>
      </c>
      <c r="B275" s="3">
        <v>44681</v>
      </c>
      <c r="C275" s="2" t="s">
        <v>2033</v>
      </c>
      <c r="D275" t="s">
        <v>6167</v>
      </c>
      <c r="E275" s="2">
        <v>2</v>
      </c>
      <c r="F275" s="2"/>
      <c r="G275" s="2"/>
      <c r="H275" s="2"/>
    </row>
    <row r="276" spans="1:8" x14ac:dyDescent="0.25">
      <c r="A276" s="2" t="s">
        <v>2038</v>
      </c>
      <c r="B276" s="3">
        <v>43985</v>
      </c>
      <c r="C276" s="2" t="s">
        <v>2039</v>
      </c>
      <c r="D276" t="s">
        <v>6175</v>
      </c>
      <c r="E276" s="2">
        <v>1</v>
      </c>
      <c r="F276" s="2"/>
      <c r="G276" s="2"/>
      <c r="H276" s="2"/>
    </row>
    <row r="277" spans="1:8" x14ac:dyDescent="0.25">
      <c r="A277" s="2" t="s">
        <v>2044</v>
      </c>
      <c r="B277" s="3">
        <v>44725</v>
      </c>
      <c r="C277" s="2" t="s">
        <v>2045</v>
      </c>
      <c r="D277" t="s">
        <v>6148</v>
      </c>
      <c r="E277" s="2">
        <v>6</v>
      </c>
      <c r="F277" s="2"/>
      <c r="G277" s="2"/>
      <c r="H277" s="2"/>
    </row>
    <row r="278" spans="1:8" x14ac:dyDescent="0.25">
      <c r="A278" s="2" t="s">
        <v>2050</v>
      </c>
      <c r="B278" s="3">
        <v>43992</v>
      </c>
      <c r="C278" s="2" t="s">
        <v>2051</v>
      </c>
      <c r="D278" t="s">
        <v>6142</v>
      </c>
      <c r="E278" s="2">
        <v>4</v>
      </c>
      <c r="F278" s="2"/>
      <c r="G278" s="2"/>
      <c r="H278" s="2"/>
    </row>
    <row r="279" spans="1:8" x14ac:dyDescent="0.25">
      <c r="A279" s="2" t="s">
        <v>2056</v>
      </c>
      <c r="B279" s="3">
        <v>44183</v>
      </c>
      <c r="C279" s="2" t="s">
        <v>2057</v>
      </c>
      <c r="D279" t="s">
        <v>6171</v>
      </c>
      <c r="E279" s="2">
        <v>6</v>
      </c>
      <c r="F279" s="2"/>
      <c r="G279" s="2"/>
      <c r="H279" s="2"/>
    </row>
    <row r="280" spans="1:8" x14ac:dyDescent="0.25">
      <c r="A280" s="2" t="s">
        <v>2062</v>
      </c>
      <c r="B280" s="3">
        <v>43708</v>
      </c>
      <c r="C280" s="2" t="s">
        <v>2063</v>
      </c>
      <c r="D280" t="s">
        <v>6167</v>
      </c>
      <c r="E280" s="2">
        <v>2</v>
      </c>
      <c r="F280" s="2"/>
      <c r="G280" s="2"/>
      <c r="H280" s="2"/>
    </row>
    <row r="281" spans="1:8" x14ac:dyDescent="0.25">
      <c r="A281" s="2" t="s">
        <v>2068</v>
      </c>
      <c r="B281" s="3">
        <v>43521</v>
      </c>
      <c r="C281" s="2" t="s">
        <v>2069</v>
      </c>
      <c r="D281" t="s">
        <v>6181</v>
      </c>
      <c r="E281" s="2">
        <v>1</v>
      </c>
      <c r="F281" s="2"/>
      <c r="G281" s="2"/>
      <c r="H281" s="2"/>
    </row>
    <row r="282" spans="1:8" x14ac:dyDescent="0.25">
      <c r="A282" s="2" t="s">
        <v>2074</v>
      </c>
      <c r="B282" s="3">
        <v>44234</v>
      </c>
      <c r="C282" s="2" t="s">
        <v>2075</v>
      </c>
      <c r="D282" t="s">
        <v>6139</v>
      </c>
      <c r="E282" s="2">
        <v>5</v>
      </c>
      <c r="F282" s="2"/>
      <c r="G282" s="2"/>
      <c r="H282" s="2"/>
    </row>
    <row r="283" spans="1:8" x14ac:dyDescent="0.25">
      <c r="A283" s="2" t="s">
        <v>2079</v>
      </c>
      <c r="B283" s="3">
        <v>44210</v>
      </c>
      <c r="C283" s="2" t="s">
        <v>2080</v>
      </c>
      <c r="D283" t="s">
        <v>6171</v>
      </c>
      <c r="E283" s="2">
        <v>4</v>
      </c>
      <c r="F283" s="2"/>
      <c r="G283" s="2"/>
      <c r="H283" s="2"/>
    </row>
    <row r="284" spans="1:8" x14ac:dyDescent="0.25">
      <c r="A284" s="2" t="s">
        <v>2085</v>
      </c>
      <c r="B284" s="3">
        <v>43520</v>
      </c>
      <c r="C284" s="2" t="s">
        <v>2086</v>
      </c>
      <c r="D284" t="s">
        <v>6180</v>
      </c>
      <c r="E284" s="2">
        <v>1</v>
      </c>
      <c r="F284" s="2"/>
      <c r="G284" s="2"/>
      <c r="H284" s="2"/>
    </row>
    <row r="285" spans="1:8" x14ac:dyDescent="0.25">
      <c r="A285" s="2" t="s">
        <v>2091</v>
      </c>
      <c r="B285" s="3">
        <v>43639</v>
      </c>
      <c r="C285" s="2" t="s">
        <v>2092</v>
      </c>
      <c r="D285" t="s">
        <v>6172</v>
      </c>
      <c r="E285" s="2">
        <v>1</v>
      </c>
      <c r="F285" s="2"/>
      <c r="G285" s="2"/>
      <c r="H285" s="2"/>
    </row>
    <row r="286" spans="1:8" x14ac:dyDescent="0.25">
      <c r="A286" s="2" t="s">
        <v>2097</v>
      </c>
      <c r="B286" s="3">
        <v>43960</v>
      </c>
      <c r="C286" s="2" t="s">
        <v>2098</v>
      </c>
      <c r="D286" t="s">
        <v>6166</v>
      </c>
      <c r="E286" s="2">
        <v>3</v>
      </c>
      <c r="F286" s="2"/>
      <c r="G286" s="2"/>
      <c r="H286" s="2"/>
    </row>
    <row r="287" spans="1:8" x14ac:dyDescent="0.25">
      <c r="A287" s="2" t="s">
        <v>2102</v>
      </c>
      <c r="B287" s="3">
        <v>44030</v>
      </c>
      <c r="C287" s="2" t="s">
        <v>2103</v>
      </c>
      <c r="D287" t="s">
        <v>6164</v>
      </c>
      <c r="E287" s="2">
        <v>1</v>
      </c>
      <c r="F287" s="2"/>
      <c r="G287" s="2"/>
      <c r="H287" s="2"/>
    </row>
    <row r="288" spans="1:8" x14ac:dyDescent="0.25">
      <c r="A288" s="2" t="s">
        <v>2107</v>
      </c>
      <c r="B288" s="3">
        <v>43755</v>
      </c>
      <c r="C288" s="2" t="s">
        <v>2108</v>
      </c>
      <c r="D288" t="s">
        <v>6152</v>
      </c>
      <c r="E288" s="2">
        <v>4</v>
      </c>
      <c r="F288" s="2"/>
      <c r="G288" s="2"/>
      <c r="H288" s="2"/>
    </row>
    <row r="289" spans="1:8" x14ac:dyDescent="0.25">
      <c r="A289" s="2" t="s">
        <v>2112</v>
      </c>
      <c r="B289" s="3">
        <v>44697</v>
      </c>
      <c r="C289" s="2" t="s">
        <v>2113</v>
      </c>
      <c r="D289" t="s">
        <v>6178</v>
      </c>
      <c r="E289" s="2">
        <v>4</v>
      </c>
      <c r="F289" s="2"/>
      <c r="G289" s="2"/>
      <c r="H289" s="2"/>
    </row>
    <row r="290" spans="1:8" x14ac:dyDescent="0.25">
      <c r="A290" s="2" t="s">
        <v>2118</v>
      </c>
      <c r="B290" s="3">
        <v>44279</v>
      </c>
      <c r="C290" s="2" t="s">
        <v>2119</v>
      </c>
      <c r="D290" t="s">
        <v>6139</v>
      </c>
      <c r="E290" s="2">
        <v>1</v>
      </c>
      <c r="F290" s="2"/>
      <c r="G290" s="2"/>
      <c r="H290" s="2"/>
    </row>
    <row r="291" spans="1:8" x14ac:dyDescent="0.25">
      <c r="A291" s="2" t="s">
        <v>2123</v>
      </c>
      <c r="B291" s="3">
        <v>43772</v>
      </c>
      <c r="C291" s="2" t="s">
        <v>2124</v>
      </c>
      <c r="D291" t="s">
        <v>6163</v>
      </c>
      <c r="E291" s="2">
        <v>5</v>
      </c>
      <c r="F291" s="2"/>
      <c r="G291" s="2"/>
      <c r="H291" s="2"/>
    </row>
    <row r="292" spans="1:8" x14ac:dyDescent="0.25">
      <c r="A292" s="2" t="s">
        <v>2127</v>
      </c>
      <c r="B292" s="3">
        <v>44497</v>
      </c>
      <c r="C292" s="2" t="s">
        <v>2128</v>
      </c>
      <c r="D292" t="s">
        <v>6147</v>
      </c>
      <c r="E292" s="2">
        <v>5</v>
      </c>
      <c r="F292" s="2"/>
      <c r="G292" s="2"/>
      <c r="H292" s="2"/>
    </row>
    <row r="293" spans="1:8" x14ac:dyDescent="0.25">
      <c r="A293" s="2" t="s">
        <v>2133</v>
      </c>
      <c r="B293" s="3">
        <v>44181</v>
      </c>
      <c r="C293" s="2" t="s">
        <v>2134</v>
      </c>
      <c r="D293" t="s">
        <v>6139</v>
      </c>
      <c r="E293" s="2">
        <v>2</v>
      </c>
      <c r="F293" s="2"/>
      <c r="G293" s="2"/>
      <c r="H293" s="2"/>
    </row>
    <row r="294" spans="1:8" x14ac:dyDescent="0.25">
      <c r="A294" s="2" t="s">
        <v>2137</v>
      </c>
      <c r="B294" s="3">
        <v>44529</v>
      </c>
      <c r="C294" s="2" t="s">
        <v>2138</v>
      </c>
      <c r="D294" t="s">
        <v>6158</v>
      </c>
      <c r="E294" s="2">
        <v>3</v>
      </c>
      <c r="F294" s="2"/>
      <c r="G294" s="2"/>
      <c r="H294" s="2"/>
    </row>
    <row r="295" spans="1:8" x14ac:dyDescent="0.25">
      <c r="A295" s="2" t="s">
        <v>2142</v>
      </c>
      <c r="B295" s="3">
        <v>44275</v>
      </c>
      <c r="C295" s="2" t="s">
        <v>2143</v>
      </c>
      <c r="D295" t="s">
        <v>6158</v>
      </c>
      <c r="E295" s="2">
        <v>5</v>
      </c>
      <c r="F295" s="2"/>
      <c r="G295" s="2"/>
      <c r="H295" s="2"/>
    </row>
    <row r="296" spans="1:8" x14ac:dyDescent="0.25">
      <c r="A296" s="2" t="s">
        <v>2148</v>
      </c>
      <c r="B296" s="3">
        <v>44659</v>
      </c>
      <c r="C296" s="2" t="s">
        <v>2149</v>
      </c>
      <c r="D296" t="s">
        <v>6171</v>
      </c>
      <c r="E296" s="2">
        <v>3</v>
      </c>
      <c r="F296" s="2"/>
      <c r="G296" s="2"/>
      <c r="H296" s="2"/>
    </row>
    <row r="297" spans="1:8" x14ac:dyDescent="0.25">
      <c r="A297" s="2" t="s">
        <v>2153</v>
      </c>
      <c r="B297" s="3">
        <v>44057</v>
      </c>
      <c r="C297" s="2" t="s">
        <v>2154</v>
      </c>
      <c r="D297" t="s">
        <v>6141</v>
      </c>
      <c r="E297" s="2">
        <v>2</v>
      </c>
      <c r="F297" s="2"/>
      <c r="G297" s="2"/>
      <c r="H297" s="2"/>
    </row>
    <row r="298" spans="1:8" x14ac:dyDescent="0.25">
      <c r="A298" s="2" t="s">
        <v>2157</v>
      </c>
      <c r="B298" s="3">
        <v>43597</v>
      </c>
      <c r="C298" s="2" t="s">
        <v>2158</v>
      </c>
      <c r="D298" t="s">
        <v>6146</v>
      </c>
      <c r="E298" s="2">
        <v>6</v>
      </c>
      <c r="F298" s="2"/>
      <c r="G298" s="2"/>
      <c r="H298" s="2"/>
    </row>
    <row r="299" spans="1:8" x14ac:dyDescent="0.25">
      <c r="A299" s="2" t="s">
        <v>2163</v>
      </c>
      <c r="B299" s="3">
        <v>44258</v>
      </c>
      <c r="C299" s="2" t="s">
        <v>2164</v>
      </c>
      <c r="D299" t="s">
        <v>6172</v>
      </c>
      <c r="E299" s="2">
        <v>3</v>
      </c>
      <c r="F299" s="2"/>
      <c r="G299" s="2"/>
      <c r="H299" s="2"/>
    </row>
    <row r="300" spans="1:8" x14ac:dyDescent="0.25">
      <c r="A300" s="2" t="s">
        <v>2169</v>
      </c>
      <c r="B300" s="3">
        <v>43872</v>
      </c>
      <c r="C300" s="2" t="s">
        <v>2170</v>
      </c>
      <c r="D300" t="s">
        <v>6184</v>
      </c>
      <c r="E300" s="2">
        <v>6</v>
      </c>
      <c r="F300" s="2"/>
      <c r="G300" s="2"/>
      <c r="H300" s="2"/>
    </row>
    <row r="301" spans="1:8" x14ac:dyDescent="0.25">
      <c r="A301" s="2" t="s">
        <v>2175</v>
      </c>
      <c r="B301" s="3">
        <v>43582</v>
      </c>
      <c r="C301" s="2" t="s">
        <v>2176</v>
      </c>
      <c r="D301" t="s">
        <v>6148</v>
      </c>
      <c r="E301" s="2">
        <v>6</v>
      </c>
      <c r="F301" s="2"/>
      <c r="G301" s="2"/>
      <c r="H301" s="2"/>
    </row>
    <row r="302" spans="1:8" x14ac:dyDescent="0.25">
      <c r="A302" s="2" t="s">
        <v>2181</v>
      </c>
      <c r="B302" s="3">
        <v>44646</v>
      </c>
      <c r="C302" s="2" t="s">
        <v>2182</v>
      </c>
      <c r="D302" t="s">
        <v>6140</v>
      </c>
      <c r="E302" s="2">
        <v>3</v>
      </c>
      <c r="F302" s="2"/>
      <c r="G302" s="2"/>
      <c r="H302" s="2"/>
    </row>
    <row r="303" spans="1:8" x14ac:dyDescent="0.25">
      <c r="A303" s="2" t="s">
        <v>2187</v>
      </c>
      <c r="B303" s="3">
        <v>44102</v>
      </c>
      <c r="C303" s="2" t="s">
        <v>2188</v>
      </c>
      <c r="D303" t="s">
        <v>6150</v>
      </c>
      <c r="E303" s="2">
        <v>4</v>
      </c>
      <c r="F303" s="2"/>
      <c r="G303" s="2"/>
      <c r="H303" s="2"/>
    </row>
    <row r="304" spans="1:8" x14ac:dyDescent="0.25">
      <c r="A304" s="2" t="s">
        <v>2193</v>
      </c>
      <c r="B304" s="3">
        <v>43762</v>
      </c>
      <c r="C304" s="2" t="s">
        <v>2194</v>
      </c>
      <c r="D304" t="s">
        <v>6157</v>
      </c>
      <c r="E304" s="2">
        <v>1</v>
      </c>
      <c r="F304" s="2"/>
      <c r="G304" s="2"/>
      <c r="H304" s="2"/>
    </row>
    <row r="305" spans="1:8" x14ac:dyDescent="0.25">
      <c r="A305" s="2" t="s">
        <v>2199</v>
      </c>
      <c r="B305" s="3">
        <v>44412</v>
      </c>
      <c r="C305" s="2" t="s">
        <v>2200</v>
      </c>
      <c r="D305" t="s">
        <v>6185</v>
      </c>
      <c r="E305" s="2">
        <v>4</v>
      </c>
      <c r="F305" s="2"/>
      <c r="G305" s="2"/>
      <c r="H305" s="2"/>
    </row>
    <row r="306" spans="1:8" x14ac:dyDescent="0.25">
      <c r="A306" s="2" t="s">
        <v>2204</v>
      </c>
      <c r="B306" s="3">
        <v>43828</v>
      </c>
      <c r="C306" s="2" t="s">
        <v>2245</v>
      </c>
      <c r="D306" t="s">
        <v>6167</v>
      </c>
      <c r="E306" s="2">
        <v>1</v>
      </c>
      <c r="F306" s="2"/>
      <c r="G306" s="2"/>
      <c r="H306" s="2"/>
    </row>
    <row r="307" spans="1:8" x14ac:dyDescent="0.25">
      <c r="A307" s="2" t="s">
        <v>2209</v>
      </c>
      <c r="B307" s="3">
        <v>43796</v>
      </c>
      <c r="C307" s="2" t="s">
        <v>2210</v>
      </c>
      <c r="D307" t="s">
        <v>6159</v>
      </c>
      <c r="E307" s="2">
        <v>5</v>
      </c>
      <c r="F307" s="2"/>
      <c r="G307" s="2"/>
      <c r="H307" s="2"/>
    </row>
    <row r="308" spans="1:8" x14ac:dyDescent="0.25">
      <c r="A308" s="2" t="s">
        <v>2215</v>
      </c>
      <c r="B308" s="3">
        <v>43890</v>
      </c>
      <c r="C308" s="2" t="s">
        <v>2216</v>
      </c>
      <c r="D308" t="s">
        <v>6174</v>
      </c>
      <c r="E308" s="2">
        <v>5</v>
      </c>
      <c r="F308" s="2"/>
      <c r="G308" s="2"/>
      <c r="H308" s="2"/>
    </row>
    <row r="309" spans="1:8" x14ac:dyDescent="0.25">
      <c r="A309" s="2" t="s">
        <v>2221</v>
      </c>
      <c r="B309" s="3">
        <v>44227</v>
      </c>
      <c r="C309" s="2" t="s">
        <v>2222</v>
      </c>
      <c r="D309" t="s">
        <v>6155</v>
      </c>
      <c r="E309" s="2">
        <v>3</v>
      </c>
      <c r="F309" s="2"/>
      <c r="G309" s="2"/>
      <c r="H309" s="2"/>
    </row>
    <row r="310" spans="1:8" x14ac:dyDescent="0.25">
      <c r="A310" s="2" t="s">
        <v>2227</v>
      </c>
      <c r="B310" s="3">
        <v>44729</v>
      </c>
      <c r="C310" s="2" t="s">
        <v>2228</v>
      </c>
      <c r="D310" t="s">
        <v>6155</v>
      </c>
      <c r="E310" s="2">
        <v>3</v>
      </c>
      <c r="F310" s="2"/>
      <c r="G310" s="2"/>
      <c r="H310" s="2"/>
    </row>
    <row r="311" spans="1:8" x14ac:dyDescent="0.25">
      <c r="A311" s="2" t="s">
        <v>2232</v>
      </c>
      <c r="B311" s="3">
        <v>43864</v>
      </c>
      <c r="C311" s="2" t="s">
        <v>2233</v>
      </c>
      <c r="D311" t="s">
        <v>6159</v>
      </c>
      <c r="E311" s="2">
        <v>6</v>
      </c>
      <c r="F311" s="2"/>
      <c r="G311" s="2"/>
      <c r="H311" s="2"/>
    </row>
    <row r="312" spans="1:8" x14ac:dyDescent="0.25">
      <c r="A312" s="2" t="s">
        <v>2238</v>
      </c>
      <c r="B312" s="3">
        <v>44586</v>
      </c>
      <c r="C312" s="2" t="s">
        <v>2239</v>
      </c>
      <c r="D312" t="s">
        <v>6171</v>
      </c>
      <c r="E312" s="2">
        <v>1</v>
      </c>
      <c r="F312" s="2"/>
      <c r="G312" s="2"/>
      <c r="H312" s="2"/>
    </row>
    <row r="313" spans="1:8" x14ac:dyDescent="0.25">
      <c r="A313" s="2" t="s">
        <v>2244</v>
      </c>
      <c r="B313" s="3">
        <v>43951</v>
      </c>
      <c r="C313" s="2" t="s">
        <v>2245</v>
      </c>
      <c r="D313" t="s">
        <v>6166</v>
      </c>
      <c r="E313" s="2">
        <v>6</v>
      </c>
      <c r="F313" s="2"/>
      <c r="G313" s="2"/>
      <c r="H313" s="2"/>
    </row>
    <row r="314" spans="1:8" x14ac:dyDescent="0.25">
      <c r="A314" s="2" t="s">
        <v>2250</v>
      </c>
      <c r="B314" s="3">
        <v>44317</v>
      </c>
      <c r="C314" s="2" t="s">
        <v>2251</v>
      </c>
      <c r="D314" t="s">
        <v>6146</v>
      </c>
      <c r="E314" s="2">
        <v>1</v>
      </c>
      <c r="F314" s="2"/>
      <c r="G314" s="2"/>
      <c r="H314" s="2"/>
    </row>
    <row r="315" spans="1:8" x14ac:dyDescent="0.25">
      <c r="A315" s="2" t="s">
        <v>2256</v>
      </c>
      <c r="B315" s="3">
        <v>44497</v>
      </c>
      <c r="C315" s="2" t="s">
        <v>2257</v>
      </c>
      <c r="D315" t="s">
        <v>6138</v>
      </c>
      <c r="E315" s="2">
        <v>3</v>
      </c>
      <c r="F315" s="2"/>
      <c r="G315" s="2"/>
      <c r="H315" s="2"/>
    </row>
    <row r="316" spans="1:8" x14ac:dyDescent="0.25">
      <c r="A316" s="2" t="s">
        <v>2262</v>
      </c>
      <c r="B316" s="3">
        <v>44437</v>
      </c>
      <c r="C316" s="2" t="s">
        <v>2263</v>
      </c>
      <c r="D316" t="s">
        <v>6177</v>
      </c>
      <c r="E316" s="2">
        <v>5</v>
      </c>
      <c r="F316" s="2"/>
      <c r="G316" s="2"/>
      <c r="H316" s="2"/>
    </row>
    <row r="317" spans="1:8" x14ac:dyDescent="0.25">
      <c r="A317" s="2" t="s">
        <v>2267</v>
      </c>
      <c r="B317" s="3">
        <v>43826</v>
      </c>
      <c r="C317" s="2" t="s">
        <v>2268</v>
      </c>
      <c r="D317" t="s">
        <v>6148</v>
      </c>
      <c r="E317" s="2">
        <v>1</v>
      </c>
      <c r="F317" s="2"/>
      <c r="G317" s="2"/>
      <c r="H317" s="2"/>
    </row>
    <row r="318" spans="1:8" x14ac:dyDescent="0.25">
      <c r="A318" s="2" t="s">
        <v>2273</v>
      </c>
      <c r="B318" s="3">
        <v>43641</v>
      </c>
      <c r="C318" s="2" t="s">
        <v>2274</v>
      </c>
      <c r="D318" t="s">
        <v>6148</v>
      </c>
      <c r="E318" s="2">
        <v>6</v>
      </c>
      <c r="F318" s="2"/>
      <c r="G318" s="2"/>
      <c r="H318" s="2"/>
    </row>
    <row r="319" spans="1:8" x14ac:dyDescent="0.25">
      <c r="A319" s="2" t="s">
        <v>2279</v>
      </c>
      <c r="B319" s="3">
        <v>43526</v>
      </c>
      <c r="C319" s="2" t="s">
        <v>2280</v>
      </c>
      <c r="D319" t="s">
        <v>6144</v>
      </c>
      <c r="E319" s="2">
        <v>3</v>
      </c>
      <c r="F319" s="2"/>
      <c r="G319" s="2"/>
      <c r="H319" s="2"/>
    </row>
    <row r="320" spans="1:8" x14ac:dyDescent="0.25">
      <c r="A320" s="2" t="s">
        <v>2285</v>
      </c>
      <c r="B320" s="3">
        <v>44563</v>
      </c>
      <c r="C320" s="2" t="s">
        <v>2286</v>
      </c>
      <c r="D320" t="s">
        <v>6175</v>
      </c>
      <c r="E320" s="2">
        <v>2</v>
      </c>
      <c r="F320" s="2"/>
      <c r="G320" s="2"/>
      <c r="H320" s="2"/>
    </row>
    <row r="321" spans="1:8" x14ac:dyDescent="0.25">
      <c r="A321" s="2" t="s">
        <v>2291</v>
      </c>
      <c r="B321" s="3">
        <v>43676</v>
      </c>
      <c r="C321" s="2" t="s">
        <v>2292</v>
      </c>
      <c r="D321" t="s">
        <v>6156</v>
      </c>
      <c r="E321" s="2">
        <v>2</v>
      </c>
      <c r="F321" s="2"/>
      <c r="G321" s="2"/>
      <c r="H321" s="2"/>
    </row>
    <row r="322" spans="1:8" x14ac:dyDescent="0.25">
      <c r="A322" s="2" t="s">
        <v>2291</v>
      </c>
      <c r="B322" s="3">
        <v>43676</v>
      </c>
      <c r="C322" s="2" t="s">
        <v>2292</v>
      </c>
      <c r="D322" t="s">
        <v>6167</v>
      </c>
      <c r="E322" s="2">
        <v>5</v>
      </c>
      <c r="F322" s="2"/>
      <c r="G322" s="2"/>
      <c r="H322" s="2"/>
    </row>
    <row r="323" spans="1:8" x14ac:dyDescent="0.25">
      <c r="A323" s="2" t="s">
        <v>2301</v>
      </c>
      <c r="B323" s="3">
        <v>44170</v>
      </c>
      <c r="C323" s="2" t="s">
        <v>2302</v>
      </c>
      <c r="D323" t="s">
        <v>6152</v>
      </c>
      <c r="E323" s="2">
        <v>6</v>
      </c>
      <c r="F323" s="2"/>
      <c r="G323" s="2"/>
      <c r="H323" s="2"/>
    </row>
    <row r="324" spans="1:8" x14ac:dyDescent="0.25">
      <c r="A324" s="2" t="s">
        <v>2307</v>
      </c>
      <c r="B324" s="3">
        <v>44182</v>
      </c>
      <c r="C324" s="2" t="s">
        <v>2308</v>
      </c>
      <c r="D324" t="s">
        <v>6169</v>
      </c>
      <c r="E324" s="2">
        <v>3</v>
      </c>
      <c r="F324" s="2"/>
      <c r="G324" s="2"/>
      <c r="H324" s="2"/>
    </row>
    <row r="325" spans="1:8" x14ac:dyDescent="0.25">
      <c r="A325" s="2" t="s">
        <v>2313</v>
      </c>
      <c r="B325" s="3">
        <v>44373</v>
      </c>
      <c r="C325" s="2" t="s">
        <v>2314</v>
      </c>
      <c r="D325" t="s">
        <v>6153</v>
      </c>
      <c r="E325" s="2">
        <v>5</v>
      </c>
      <c r="F325" s="2"/>
      <c r="G325" s="2"/>
      <c r="H325" s="2"/>
    </row>
    <row r="326" spans="1:8" x14ac:dyDescent="0.25">
      <c r="A326" s="2" t="s">
        <v>2319</v>
      </c>
      <c r="B326" s="3">
        <v>43666</v>
      </c>
      <c r="C326" s="2" t="s">
        <v>2320</v>
      </c>
      <c r="D326" t="s">
        <v>6141</v>
      </c>
      <c r="E326" s="2">
        <v>1</v>
      </c>
      <c r="F326" s="2"/>
      <c r="G326" s="2"/>
      <c r="H326" s="2"/>
    </row>
    <row r="327" spans="1:8" x14ac:dyDescent="0.25">
      <c r="A327" s="2" t="s">
        <v>2324</v>
      </c>
      <c r="B327" s="3">
        <v>44756</v>
      </c>
      <c r="C327" s="2" t="s">
        <v>2325</v>
      </c>
      <c r="D327" t="s">
        <v>6182</v>
      </c>
      <c r="E327" s="2">
        <v>1</v>
      </c>
      <c r="F327" s="2"/>
      <c r="G327" s="2"/>
      <c r="H327" s="2"/>
    </row>
    <row r="328" spans="1:8" x14ac:dyDescent="0.25">
      <c r="A328" s="2" t="s">
        <v>2330</v>
      </c>
      <c r="B328" s="3">
        <v>44057</v>
      </c>
      <c r="C328" s="2" t="s">
        <v>2331</v>
      </c>
      <c r="D328" t="s">
        <v>6177</v>
      </c>
      <c r="E328" s="2">
        <v>5</v>
      </c>
      <c r="F328" s="2"/>
      <c r="G328" s="2"/>
      <c r="H328" s="2"/>
    </row>
    <row r="329" spans="1:8" x14ac:dyDescent="0.25">
      <c r="A329" s="2" t="s">
        <v>2335</v>
      </c>
      <c r="B329" s="3">
        <v>43579</v>
      </c>
      <c r="C329" s="2" t="s">
        <v>2336</v>
      </c>
      <c r="D329" t="s">
        <v>6177</v>
      </c>
      <c r="E329" s="2">
        <v>5</v>
      </c>
      <c r="F329" s="2"/>
      <c r="G329" s="2"/>
      <c r="H329" s="2"/>
    </row>
    <row r="330" spans="1:8" x14ac:dyDescent="0.25">
      <c r="A330" s="2" t="s">
        <v>2341</v>
      </c>
      <c r="B330" s="3">
        <v>43620</v>
      </c>
      <c r="C330" s="2" t="s">
        <v>2342</v>
      </c>
      <c r="D330" t="s">
        <v>6161</v>
      </c>
      <c r="E330" s="2">
        <v>4</v>
      </c>
      <c r="F330" s="2"/>
      <c r="G330" s="2"/>
      <c r="H330" s="2"/>
    </row>
    <row r="331" spans="1:8" x14ac:dyDescent="0.25">
      <c r="A331" s="2" t="s">
        <v>2346</v>
      </c>
      <c r="B331" s="3">
        <v>44781</v>
      </c>
      <c r="C331" s="2" t="s">
        <v>2347</v>
      </c>
      <c r="D331" t="s">
        <v>6172</v>
      </c>
      <c r="E331" s="2">
        <v>4</v>
      </c>
      <c r="F331" s="2"/>
      <c r="G331" s="2"/>
      <c r="H331" s="2"/>
    </row>
    <row r="332" spans="1:8" x14ac:dyDescent="0.25">
      <c r="A332" s="2" t="s">
        <v>2351</v>
      </c>
      <c r="B332" s="3">
        <v>43782</v>
      </c>
      <c r="C332" s="2" t="s">
        <v>2280</v>
      </c>
      <c r="D332" t="s">
        <v>6172</v>
      </c>
      <c r="E332" s="2">
        <v>3</v>
      </c>
      <c r="F332" s="2"/>
      <c r="G332" s="2"/>
      <c r="H332" s="2"/>
    </row>
    <row r="333" spans="1:8" x14ac:dyDescent="0.25">
      <c r="A333" s="2" t="s">
        <v>2357</v>
      </c>
      <c r="B333" s="3">
        <v>43989</v>
      </c>
      <c r="C333" s="2" t="s">
        <v>2358</v>
      </c>
      <c r="D333" t="s">
        <v>6151</v>
      </c>
      <c r="E333" s="2">
        <v>1</v>
      </c>
      <c r="F333" s="2"/>
      <c r="G333" s="2"/>
      <c r="H333" s="2"/>
    </row>
    <row r="334" spans="1:8" x14ac:dyDescent="0.25">
      <c r="A334" s="2" t="s">
        <v>2363</v>
      </c>
      <c r="B334" s="3">
        <v>43689</v>
      </c>
      <c r="C334" s="2" t="s">
        <v>2364</v>
      </c>
      <c r="D334" t="s">
        <v>6158</v>
      </c>
      <c r="E334" s="2">
        <v>3</v>
      </c>
      <c r="F334" s="2"/>
      <c r="G334" s="2"/>
      <c r="H334" s="2"/>
    </row>
    <row r="335" spans="1:8" x14ac:dyDescent="0.25">
      <c r="A335" s="2" t="s">
        <v>2369</v>
      </c>
      <c r="B335" s="3">
        <v>43712</v>
      </c>
      <c r="C335" s="2" t="s">
        <v>2370</v>
      </c>
      <c r="D335" t="s">
        <v>6146</v>
      </c>
      <c r="E335" s="2">
        <v>4</v>
      </c>
      <c r="F335" s="2"/>
      <c r="G335" s="2"/>
      <c r="H335" s="2"/>
    </row>
    <row r="336" spans="1:8" x14ac:dyDescent="0.25">
      <c r="A336" s="2" t="s">
        <v>2375</v>
      </c>
      <c r="B336" s="3">
        <v>43742</v>
      </c>
      <c r="C336" s="2" t="s">
        <v>2376</v>
      </c>
      <c r="D336" t="s">
        <v>6179</v>
      </c>
      <c r="E336" s="2">
        <v>5</v>
      </c>
      <c r="F336" s="2"/>
      <c r="G336" s="2"/>
      <c r="H336" s="2"/>
    </row>
    <row r="337" spans="1:8" x14ac:dyDescent="0.25">
      <c r="A337" s="2" t="s">
        <v>2379</v>
      </c>
      <c r="B337" s="3">
        <v>43885</v>
      </c>
      <c r="C337" s="2" t="s">
        <v>2380</v>
      </c>
      <c r="D337" t="s">
        <v>6145</v>
      </c>
      <c r="E337" s="2">
        <v>6</v>
      </c>
      <c r="F337" s="2"/>
      <c r="G337" s="2"/>
      <c r="H337" s="2"/>
    </row>
    <row r="338" spans="1:8" x14ac:dyDescent="0.25">
      <c r="A338" s="2" t="s">
        <v>2385</v>
      </c>
      <c r="B338" s="3">
        <v>44434</v>
      </c>
      <c r="C338" s="2" t="s">
        <v>2386</v>
      </c>
      <c r="D338" t="s">
        <v>6155</v>
      </c>
      <c r="E338" s="2">
        <v>4</v>
      </c>
      <c r="F338" s="2"/>
      <c r="G338" s="2"/>
      <c r="H338" s="2"/>
    </row>
    <row r="339" spans="1:8" x14ac:dyDescent="0.25">
      <c r="A339" s="2" t="s">
        <v>2391</v>
      </c>
      <c r="B339" s="3">
        <v>44472</v>
      </c>
      <c r="C339" s="2" t="s">
        <v>2331</v>
      </c>
      <c r="D339" t="s">
        <v>6185</v>
      </c>
      <c r="E339" s="2">
        <v>2</v>
      </c>
      <c r="F339" s="2"/>
      <c r="G339" s="2"/>
      <c r="H339" s="2"/>
    </row>
    <row r="340" spans="1:8" x14ac:dyDescent="0.25">
      <c r="A340" s="2" t="s">
        <v>2396</v>
      </c>
      <c r="B340" s="3">
        <v>43995</v>
      </c>
      <c r="C340" s="2" t="s">
        <v>2397</v>
      </c>
      <c r="D340" t="s">
        <v>6171</v>
      </c>
      <c r="E340" s="2">
        <v>4</v>
      </c>
      <c r="F340" s="2"/>
      <c r="G340" s="2"/>
      <c r="H340" s="2"/>
    </row>
    <row r="341" spans="1:8" x14ac:dyDescent="0.25">
      <c r="A341" s="2" t="s">
        <v>2402</v>
      </c>
      <c r="B341" s="3">
        <v>44256</v>
      </c>
      <c r="C341" s="2" t="s">
        <v>2403</v>
      </c>
      <c r="D341" t="s">
        <v>6153</v>
      </c>
      <c r="E341" s="2">
        <v>2</v>
      </c>
      <c r="F341" s="2"/>
      <c r="G341" s="2"/>
      <c r="H341" s="2"/>
    </row>
    <row r="342" spans="1:8" x14ac:dyDescent="0.25">
      <c r="A342" s="2" t="s">
        <v>2408</v>
      </c>
      <c r="B342" s="3">
        <v>43528</v>
      </c>
      <c r="C342" s="2" t="s">
        <v>2409</v>
      </c>
      <c r="D342" t="s">
        <v>6144</v>
      </c>
      <c r="E342" s="2">
        <v>1</v>
      </c>
      <c r="F342" s="2"/>
      <c r="G342" s="2"/>
      <c r="H342" s="2"/>
    </row>
    <row r="343" spans="1:8" x14ac:dyDescent="0.25">
      <c r="A343" s="2" t="s">
        <v>2414</v>
      </c>
      <c r="B343" s="3">
        <v>43751</v>
      </c>
      <c r="C343" s="2" t="s">
        <v>2415</v>
      </c>
      <c r="D343" t="s">
        <v>6176</v>
      </c>
      <c r="E343" s="2">
        <v>2</v>
      </c>
      <c r="F343" s="2"/>
      <c r="G343" s="2"/>
      <c r="H343" s="2"/>
    </row>
    <row r="344" spans="1:8" x14ac:dyDescent="0.25">
      <c r="A344" s="2" t="s">
        <v>2414</v>
      </c>
      <c r="B344" s="3">
        <v>43751</v>
      </c>
      <c r="C344" s="2" t="s">
        <v>2415</v>
      </c>
      <c r="D344" t="s">
        <v>6169</v>
      </c>
      <c r="E344" s="2">
        <v>5</v>
      </c>
      <c r="F344" s="2"/>
      <c r="G344" s="2"/>
      <c r="H344" s="2"/>
    </row>
    <row r="345" spans="1:8" x14ac:dyDescent="0.25">
      <c r="A345" s="2" t="s">
        <v>2424</v>
      </c>
      <c r="B345" s="3">
        <v>43692</v>
      </c>
      <c r="C345" s="2" t="s">
        <v>2425</v>
      </c>
      <c r="D345" t="s">
        <v>6172</v>
      </c>
      <c r="E345" s="2">
        <v>6</v>
      </c>
      <c r="F345" s="2"/>
      <c r="G345" s="2"/>
      <c r="H345" s="2"/>
    </row>
    <row r="346" spans="1:8" x14ac:dyDescent="0.25">
      <c r="A346" s="2" t="s">
        <v>2429</v>
      </c>
      <c r="B346" s="3">
        <v>44529</v>
      </c>
      <c r="C346" s="2" t="s">
        <v>2430</v>
      </c>
      <c r="D346" t="s">
        <v>6138</v>
      </c>
      <c r="E346" s="2">
        <v>2</v>
      </c>
      <c r="F346" s="2"/>
      <c r="G346" s="2"/>
      <c r="H346" s="2"/>
    </row>
    <row r="347" spans="1:8" x14ac:dyDescent="0.25">
      <c r="A347" s="2" t="s">
        <v>2434</v>
      </c>
      <c r="B347" s="3">
        <v>43849</v>
      </c>
      <c r="C347" s="2" t="s">
        <v>2435</v>
      </c>
      <c r="D347" t="s">
        <v>6179</v>
      </c>
      <c r="E347" s="2">
        <v>5</v>
      </c>
      <c r="F347" s="2"/>
      <c r="G347" s="2"/>
      <c r="H347" s="2"/>
    </row>
    <row r="348" spans="1:8" x14ac:dyDescent="0.25">
      <c r="A348" s="2" t="s">
        <v>2440</v>
      </c>
      <c r="B348" s="3">
        <v>44344</v>
      </c>
      <c r="C348" s="2" t="s">
        <v>2441</v>
      </c>
      <c r="D348" t="s">
        <v>6180</v>
      </c>
      <c r="E348" s="2">
        <v>3</v>
      </c>
      <c r="F348" s="2"/>
      <c r="G348" s="2"/>
      <c r="H348" s="2"/>
    </row>
    <row r="349" spans="1:8" x14ac:dyDescent="0.25">
      <c r="A349" s="2" t="s">
        <v>2446</v>
      </c>
      <c r="B349" s="3">
        <v>44576</v>
      </c>
      <c r="C349" s="2" t="s">
        <v>2447</v>
      </c>
      <c r="D349" t="s">
        <v>6162</v>
      </c>
      <c r="E349" s="2">
        <v>3</v>
      </c>
      <c r="F349" s="2"/>
      <c r="G349" s="2"/>
      <c r="H349" s="2"/>
    </row>
    <row r="350" spans="1:8" x14ac:dyDescent="0.25">
      <c r="A350" s="2" t="s">
        <v>2452</v>
      </c>
      <c r="B350" s="3">
        <v>43803</v>
      </c>
      <c r="C350" s="2" t="s">
        <v>2453</v>
      </c>
      <c r="D350" t="s">
        <v>6148</v>
      </c>
      <c r="E350" s="2">
        <v>6</v>
      </c>
      <c r="F350" s="2"/>
      <c r="G350" s="2"/>
      <c r="H350" s="2"/>
    </row>
    <row r="351" spans="1:8" x14ac:dyDescent="0.25">
      <c r="A351" s="2" t="s">
        <v>2458</v>
      </c>
      <c r="B351" s="3">
        <v>44743</v>
      </c>
      <c r="C351" s="2" t="s">
        <v>2459</v>
      </c>
      <c r="D351" t="s">
        <v>6178</v>
      </c>
      <c r="E351" s="2">
        <v>4</v>
      </c>
      <c r="F351" s="2"/>
      <c r="G351" s="2"/>
      <c r="H351" s="2"/>
    </row>
    <row r="352" spans="1:8" x14ac:dyDescent="0.25">
      <c r="A352" s="2" t="s">
        <v>2464</v>
      </c>
      <c r="B352" s="3">
        <v>43592</v>
      </c>
      <c r="C352" s="2" t="s">
        <v>2465</v>
      </c>
      <c r="D352" t="s">
        <v>6158</v>
      </c>
      <c r="E352" s="2">
        <v>4</v>
      </c>
      <c r="F352" s="2"/>
      <c r="G352" s="2"/>
      <c r="H352" s="2"/>
    </row>
    <row r="353" spans="1:8" x14ac:dyDescent="0.25">
      <c r="A353" s="2" t="s">
        <v>2470</v>
      </c>
      <c r="B353" s="3">
        <v>44066</v>
      </c>
      <c r="C353" s="2" t="s">
        <v>2471</v>
      </c>
      <c r="D353" t="s">
        <v>6155</v>
      </c>
      <c r="E353" s="2">
        <v>2</v>
      </c>
      <c r="F353" s="2"/>
      <c r="G353" s="2"/>
      <c r="H353" s="2"/>
    </row>
    <row r="354" spans="1:8" x14ac:dyDescent="0.25">
      <c r="A354" s="2" t="s">
        <v>2476</v>
      </c>
      <c r="B354" s="3">
        <v>43984</v>
      </c>
      <c r="C354" s="2" t="s">
        <v>2331</v>
      </c>
      <c r="D354" t="s">
        <v>6144</v>
      </c>
      <c r="E354" s="2">
        <v>5</v>
      </c>
      <c r="F354" s="2"/>
      <c r="G354" s="2"/>
      <c r="H354" s="2"/>
    </row>
    <row r="355" spans="1:8" x14ac:dyDescent="0.25">
      <c r="A355" s="2" t="s">
        <v>2482</v>
      </c>
      <c r="B355" s="3">
        <v>43860</v>
      </c>
      <c r="C355" s="2" t="s">
        <v>2483</v>
      </c>
      <c r="D355" t="s">
        <v>6157</v>
      </c>
      <c r="E355" s="2">
        <v>4</v>
      </c>
      <c r="F355" s="2"/>
      <c r="G355" s="2"/>
      <c r="H355" s="2"/>
    </row>
    <row r="356" spans="1:8" x14ac:dyDescent="0.25">
      <c r="A356" s="2" t="s">
        <v>2487</v>
      </c>
      <c r="B356" s="3">
        <v>43876</v>
      </c>
      <c r="C356" s="2" t="s">
        <v>2488</v>
      </c>
      <c r="D356" t="s">
        <v>6175</v>
      </c>
      <c r="E356" s="2">
        <v>6</v>
      </c>
      <c r="F356" s="2"/>
      <c r="G356" s="2"/>
      <c r="H356" s="2"/>
    </row>
    <row r="357" spans="1:8" x14ac:dyDescent="0.25">
      <c r="A357" s="2" t="s">
        <v>2492</v>
      </c>
      <c r="B357" s="3">
        <v>44358</v>
      </c>
      <c r="C357" s="2" t="s">
        <v>2493</v>
      </c>
      <c r="D357" t="s">
        <v>6168</v>
      </c>
      <c r="E357" s="2">
        <v>5</v>
      </c>
      <c r="F357" s="2"/>
      <c r="G357" s="2"/>
      <c r="H357" s="2"/>
    </row>
    <row r="358" spans="1:8" x14ac:dyDescent="0.25">
      <c r="A358" s="2" t="s">
        <v>2498</v>
      </c>
      <c r="B358" s="3">
        <v>44631</v>
      </c>
      <c r="C358" s="2" t="s">
        <v>2499</v>
      </c>
      <c r="D358" t="s">
        <v>6143</v>
      </c>
      <c r="E358" s="2">
        <v>4</v>
      </c>
      <c r="F358" s="2"/>
      <c r="G358" s="2"/>
      <c r="H358" s="2"/>
    </row>
    <row r="359" spans="1:8" x14ac:dyDescent="0.25">
      <c r="A359" s="2" t="s">
        <v>2504</v>
      </c>
      <c r="B359" s="3">
        <v>44448</v>
      </c>
      <c r="C359" s="2" t="s">
        <v>2505</v>
      </c>
      <c r="D359" t="s">
        <v>6175</v>
      </c>
      <c r="E359" s="2">
        <v>6</v>
      </c>
      <c r="F359" s="2"/>
      <c r="G359" s="2"/>
      <c r="H359" s="2"/>
    </row>
    <row r="360" spans="1:8" x14ac:dyDescent="0.25">
      <c r="A360" s="2" t="s">
        <v>2509</v>
      </c>
      <c r="B360" s="3">
        <v>43599</v>
      </c>
      <c r="C360" s="2" t="s">
        <v>2510</v>
      </c>
      <c r="D360" t="s">
        <v>6182</v>
      </c>
      <c r="E360" s="2">
        <v>1</v>
      </c>
      <c r="F360" s="2"/>
      <c r="G360" s="2"/>
      <c r="H360" s="2"/>
    </row>
    <row r="361" spans="1:8" x14ac:dyDescent="0.25">
      <c r="A361" s="2" t="s">
        <v>2515</v>
      </c>
      <c r="B361" s="3">
        <v>43563</v>
      </c>
      <c r="C361" s="2" t="s">
        <v>2516</v>
      </c>
      <c r="D361" t="s">
        <v>6178</v>
      </c>
      <c r="E361" s="2">
        <v>6</v>
      </c>
      <c r="F361" s="2"/>
      <c r="G361" s="2"/>
      <c r="H361" s="2"/>
    </row>
    <row r="362" spans="1:8" x14ac:dyDescent="0.25">
      <c r="A362" s="2" t="s">
        <v>2521</v>
      </c>
      <c r="B362" s="3">
        <v>44058</v>
      </c>
      <c r="C362" s="2" t="s">
        <v>2522</v>
      </c>
      <c r="D362" t="s">
        <v>6149</v>
      </c>
      <c r="E362" s="2">
        <v>2</v>
      </c>
      <c r="F362" s="2"/>
      <c r="G362" s="2"/>
      <c r="H362" s="2"/>
    </row>
    <row r="363" spans="1:8" x14ac:dyDescent="0.25">
      <c r="A363" s="2" t="s">
        <v>2521</v>
      </c>
      <c r="B363" s="3">
        <v>44058</v>
      </c>
      <c r="C363" s="2" t="s">
        <v>2522</v>
      </c>
      <c r="D363" t="s">
        <v>6146</v>
      </c>
      <c r="E363" s="2">
        <v>1</v>
      </c>
      <c r="F363" s="2"/>
      <c r="G363" s="2"/>
      <c r="H363" s="2"/>
    </row>
    <row r="364" spans="1:8" x14ac:dyDescent="0.25">
      <c r="A364" s="2" t="s">
        <v>2532</v>
      </c>
      <c r="B364" s="3">
        <v>44686</v>
      </c>
      <c r="C364" s="2" t="s">
        <v>2533</v>
      </c>
      <c r="D364" t="s">
        <v>6171</v>
      </c>
      <c r="E364" s="2">
        <v>5</v>
      </c>
      <c r="F364" s="2"/>
      <c r="G364" s="2"/>
      <c r="H364" s="2"/>
    </row>
    <row r="365" spans="1:8" x14ac:dyDescent="0.25">
      <c r="A365" s="2" t="s">
        <v>2538</v>
      </c>
      <c r="B365" s="3">
        <v>44282</v>
      </c>
      <c r="C365" s="2" t="s">
        <v>2539</v>
      </c>
      <c r="D365" t="s">
        <v>6162</v>
      </c>
      <c r="E365" s="2">
        <v>6</v>
      </c>
      <c r="F365" s="2"/>
      <c r="G365" s="2"/>
      <c r="H365" s="2"/>
    </row>
    <row r="366" spans="1:8" x14ac:dyDescent="0.25">
      <c r="A366" s="2" t="s">
        <v>2543</v>
      </c>
      <c r="B366" s="3">
        <v>43582</v>
      </c>
      <c r="C366" s="2" t="s">
        <v>2544</v>
      </c>
      <c r="D366" t="s">
        <v>6183</v>
      </c>
      <c r="E366" s="2">
        <v>6</v>
      </c>
      <c r="F366" s="2"/>
      <c r="G366" s="2"/>
      <c r="H366" s="2"/>
    </row>
    <row r="367" spans="1:8" x14ac:dyDescent="0.25">
      <c r="A367" s="2" t="s">
        <v>2549</v>
      </c>
      <c r="B367" s="3">
        <v>44464</v>
      </c>
      <c r="C367" s="2" t="s">
        <v>2550</v>
      </c>
      <c r="D367" t="s">
        <v>6169</v>
      </c>
      <c r="E367" s="2">
        <v>1</v>
      </c>
      <c r="F367" s="2"/>
      <c r="G367" s="2"/>
      <c r="H367" s="2"/>
    </row>
    <row r="368" spans="1:8" x14ac:dyDescent="0.25">
      <c r="A368" s="2" t="s">
        <v>2554</v>
      </c>
      <c r="B368" s="3">
        <v>43874</v>
      </c>
      <c r="C368" s="2" t="s">
        <v>2555</v>
      </c>
      <c r="D368" t="s">
        <v>6144</v>
      </c>
      <c r="E368" s="2">
        <v>6</v>
      </c>
      <c r="F368" s="2"/>
      <c r="G368" s="2"/>
      <c r="H368" s="2"/>
    </row>
    <row r="369" spans="1:8" x14ac:dyDescent="0.25">
      <c r="A369" s="2" t="s">
        <v>2559</v>
      </c>
      <c r="B369" s="3">
        <v>44393</v>
      </c>
      <c r="C369" s="2" t="s">
        <v>2560</v>
      </c>
      <c r="D369" t="s">
        <v>6159</v>
      </c>
      <c r="E369" s="2">
        <v>2</v>
      </c>
      <c r="F369" s="2"/>
      <c r="G369" s="2"/>
      <c r="H369" s="2"/>
    </row>
    <row r="370" spans="1:8" x14ac:dyDescent="0.25">
      <c r="A370" s="2" t="s">
        <v>2563</v>
      </c>
      <c r="B370" s="3">
        <v>44692</v>
      </c>
      <c r="C370" s="2" t="s">
        <v>2564</v>
      </c>
      <c r="D370" t="s">
        <v>6166</v>
      </c>
      <c r="E370" s="2">
        <v>2</v>
      </c>
      <c r="F370" s="2"/>
      <c r="G370" s="2"/>
      <c r="H370" s="2"/>
    </row>
    <row r="371" spans="1:8" x14ac:dyDescent="0.25">
      <c r="A371" s="2" t="s">
        <v>2569</v>
      </c>
      <c r="B371" s="3">
        <v>43500</v>
      </c>
      <c r="C371" s="2" t="s">
        <v>2570</v>
      </c>
      <c r="D371" t="s">
        <v>6176</v>
      </c>
      <c r="E371" s="2">
        <v>1</v>
      </c>
      <c r="F371" s="2"/>
      <c r="G371" s="2"/>
      <c r="H371" s="2"/>
    </row>
    <row r="372" spans="1:8" x14ac:dyDescent="0.25">
      <c r="A372" s="2" t="s">
        <v>2573</v>
      </c>
      <c r="B372" s="3">
        <v>43501</v>
      </c>
      <c r="C372" s="2" t="s">
        <v>2574</v>
      </c>
      <c r="D372" t="s">
        <v>6183</v>
      </c>
      <c r="E372" s="2">
        <v>2</v>
      </c>
      <c r="F372" s="2"/>
      <c r="G372" s="2"/>
      <c r="H372" s="2"/>
    </row>
    <row r="373" spans="1:8" x14ac:dyDescent="0.25">
      <c r="A373" s="2" t="s">
        <v>2579</v>
      </c>
      <c r="B373" s="3">
        <v>44705</v>
      </c>
      <c r="C373" s="2" t="s">
        <v>2580</v>
      </c>
      <c r="D373" t="s">
        <v>6180</v>
      </c>
      <c r="E373" s="2">
        <v>6</v>
      </c>
      <c r="F373" s="2"/>
      <c r="G373" s="2"/>
      <c r="H373" s="2"/>
    </row>
    <row r="374" spans="1:8" x14ac:dyDescent="0.25">
      <c r="A374" s="2" t="s">
        <v>2585</v>
      </c>
      <c r="B374" s="3">
        <v>44108</v>
      </c>
      <c r="C374" s="2" t="s">
        <v>2586</v>
      </c>
      <c r="D374" t="s">
        <v>6173</v>
      </c>
      <c r="E374" s="2">
        <v>6</v>
      </c>
      <c r="F374" s="2"/>
      <c r="G374" s="2"/>
      <c r="H374" s="2"/>
    </row>
    <row r="375" spans="1:8" x14ac:dyDescent="0.25">
      <c r="A375" s="2" t="s">
        <v>2591</v>
      </c>
      <c r="B375" s="3">
        <v>44742</v>
      </c>
      <c r="C375" s="2" t="s">
        <v>2592</v>
      </c>
      <c r="D375" t="s">
        <v>6158</v>
      </c>
      <c r="E375" s="2">
        <v>3</v>
      </c>
      <c r="F375" s="2"/>
      <c r="G375" s="2"/>
      <c r="H375" s="2"/>
    </row>
    <row r="376" spans="1:8" x14ac:dyDescent="0.25">
      <c r="A376" s="2" t="s">
        <v>2597</v>
      </c>
      <c r="B376" s="3">
        <v>44125</v>
      </c>
      <c r="C376" s="2" t="s">
        <v>2598</v>
      </c>
      <c r="D376" t="s">
        <v>6161</v>
      </c>
      <c r="E376" s="2">
        <v>4</v>
      </c>
      <c r="F376" s="2"/>
      <c r="G376" s="2"/>
      <c r="H376" s="2"/>
    </row>
    <row r="377" spans="1:8" x14ac:dyDescent="0.25">
      <c r="A377" s="2" t="s">
        <v>2603</v>
      </c>
      <c r="B377" s="3">
        <v>44120</v>
      </c>
      <c r="C377" s="2" t="s">
        <v>2604</v>
      </c>
      <c r="D377" t="s">
        <v>6152</v>
      </c>
      <c r="E377" s="2">
        <v>2</v>
      </c>
      <c r="F377" s="2"/>
      <c r="G377" s="2"/>
      <c r="H377" s="2"/>
    </row>
    <row r="378" spans="1:8" x14ac:dyDescent="0.25">
      <c r="A378" s="2" t="s">
        <v>2609</v>
      </c>
      <c r="B378" s="3">
        <v>44097</v>
      </c>
      <c r="C378" s="2" t="s">
        <v>2610</v>
      </c>
      <c r="D378" t="s">
        <v>6146</v>
      </c>
      <c r="E378" s="2">
        <v>1</v>
      </c>
      <c r="F378" s="2"/>
      <c r="G378" s="2"/>
      <c r="H378" s="2"/>
    </row>
    <row r="379" spans="1:8" x14ac:dyDescent="0.25">
      <c r="A379" s="2" t="s">
        <v>2615</v>
      </c>
      <c r="B379" s="3">
        <v>43532</v>
      </c>
      <c r="C379" s="2" t="s">
        <v>2616</v>
      </c>
      <c r="D379" t="s">
        <v>6163</v>
      </c>
      <c r="E379" s="2">
        <v>3</v>
      </c>
      <c r="F379" s="2"/>
      <c r="G379" s="2"/>
      <c r="H379" s="2"/>
    </row>
    <row r="380" spans="1:8" x14ac:dyDescent="0.25">
      <c r="A380" s="2" t="s">
        <v>2621</v>
      </c>
      <c r="B380" s="3">
        <v>44377</v>
      </c>
      <c r="C380" s="2" t="s">
        <v>2622</v>
      </c>
      <c r="D380" t="s">
        <v>6180</v>
      </c>
      <c r="E380" s="2">
        <v>3</v>
      </c>
      <c r="F380" s="2"/>
      <c r="G380" s="2"/>
      <c r="H380" s="2"/>
    </row>
    <row r="381" spans="1:8" x14ac:dyDescent="0.25">
      <c r="A381" s="2" t="s">
        <v>2627</v>
      </c>
      <c r="B381" s="3">
        <v>43690</v>
      </c>
      <c r="C381" s="2" t="s">
        <v>2628</v>
      </c>
      <c r="D381" t="s">
        <v>6173</v>
      </c>
      <c r="E381" s="2">
        <v>6</v>
      </c>
      <c r="F381" s="2"/>
      <c r="G381" s="2"/>
      <c r="H381" s="2"/>
    </row>
    <row r="382" spans="1:8" x14ac:dyDescent="0.25">
      <c r="A382" s="2" t="s">
        <v>2632</v>
      </c>
      <c r="B382" s="3">
        <v>44249</v>
      </c>
      <c r="C382" s="2" t="s">
        <v>2331</v>
      </c>
      <c r="D382" t="s">
        <v>6169</v>
      </c>
      <c r="E382" s="2">
        <v>3</v>
      </c>
      <c r="F382" s="2"/>
      <c r="G382" s="2"/>
      <c r="H382" s="2"/>
    </row>
    <row r="383" spans="1:8" x14ac:dyDescent="0.25">
      <c r="A383" s="2" t="s">
        <v>2638</v>
      </c>
      <c r="B383" s="3">
        <v>44646</v>
      </c>
      <c r="C383" s="2" t="s">
        <v>2639</v>
      </c>
      <c r="D383" t="s">
        <v>6154</v>
      </c>
      <c r="E383" s="2">
        <v>5</v>
      </c>
      <c r="F383" s="2"/>
      <c r="G383" s="2"/>
      <c r="H383" s="2"/>
    </row>
    <row r="384" spans="1:8" x14ac:dyDescent="0.25">
      <c r="A384" s="2" t="s">
        <v>2644</v>
      </c>
      <c r="B384" s="3">
        <v>43840</v>
      </c>
      <c r="C384" s="2" t="s">
        <v>2645</v>
      </c>
      <c r="D384" t="s">
        <v>6144</v>
      </c>
      <c r="E384" s="2">
        <v>3</v>
      </c>
      <c r="F384" s="2"/>
      <c r="G384" s="2"/>
      <c r="H384" s="2"/>
    </row>
    <row r="385" spans="1:8" x14ac:dyDescent="0.25">
      <c r="A385" s="2" t="s">
        <v>2650</v>
      </c>
      <c r="B385" s="3">
        <v>43586</v>
      </c>
      <c r="C385" s="2" t="s">
        <v>2651</v>
      </c>
      <c r="D385" t="s">
        <v>6176</v>
      </c>
      <c r="E385" s="2">
        <v>6</v>
      </c>
      <c r="F385" s="2"/>
      <c r="G385" s="2"/>
      <c r="H385" s="2"/>
    </row>
    <row r="386" spans="1:8" x14ac:dyDescent="0.25">
      <c r="A386" s="2" t="s">
        <v>2655</v>
      </c>
      <c r="B386" s="3">
        <v>43870</v>
      </c>
      <c r="C386" s="2" t="s">
        <v>2656</v>
      </c>
      <c r="D386" t="s">
        <v>6182</v>
      </c>
      <c r="E386" s="2">
        <v>4</v>
      </c>
      <c r="F386" s="2"/>
      <c r="G386" s="2"/>
      <c r="H386" s="2"/>
    </row>
    <row r="387" spans="1:8" x14ac:dyDescent="0.25">
      <c r="A387" s="2" t="s">
        <v>2660</v>
      </c>
      <c r="B387" s="3">
        <v>44559</v>
      </c>
      <c r="C387" s="2" t="s">
        <v>2661</v>
      </c>
      <c r="D387" t="s">
        <v>6160</v>
      </c>
      <c r="E387" s="2">
        <v>5</v>
      </c>
      <c r="F387" s="2"/>
      <c r="G387" s="2"/>
      <c r="H387" s="2"/>
    </row>
    <row r="388" spans="1:8" x14ac:dyDescent="0.25">
      <c r="A388" s="2" t="s">
        <v>2666</v>
      </c>
      <c r="B388" s="3">
        <v>44083</v>
      </c>
      <c r="C388" s="2" t="s">
        <v>2667</v>
      </c>
      <c r="D388" t="s">
        <v>6154</v>
      </c>
      <c r="E388" s="2">
        <v>6</v>
      </c>
      <c r="F388" s="2"/>
      <c r="G388" s="2"/>
      <c r="H388" s="2"/>
    </row>
    <row r="389" spans="1:8" x14ac:dyDescent="0.25">
      <c r="A389" s="2" t="s">
        <v>2671</v>
      </c>
      <c r="B389" s="3">
        <v>44455</v>
      </c>
      <c r="C389" s="2" t="s">
        <v>2672</v>
      </c>
      <c r="D389" t="s">
        <v>6171</v>
      </c>
      <c r="E389" s="2">
        <v>5</v>
      </c>
      <c r="F389" s="2"/>
      <c r="G389" s="2"/>
      <c r="H389" s="2"/>
    </row>
    <row r="390" spans="1:8" x14ac:dyDescent="0.25">
      <c r="A390" s="2" t="s">
        <v>2677</v>
      </c>
      <c r="B390" s="3">
        <v>44130</v>
      </c>
      <c r="C390" s="2" t="s">
        <v>2678</v>
      </c>
      <c r="D390" t="s">
        <v>6150</v>
      </c>
      <c r="E390" s="2">
        <v>3</v>
      </c>
      <c r="F390" s="2"/>
      <c r="G390" s="2"/>
      <c r="H390" s="2"/>
    </row>
    <row r="391" spans="1:8" x14ac:dyDescent="0.25">
      <c r="A391" s="2" t="s">
        <v>2683</v>
      </c>
      <c r="B391" s="3">
        <v>43536</v>
      </c>
      <c r="C391" s="2" t="s">
        <v>2684</v>
      </c>
      <c r="D391" t="s">
        <v>6169</v>
      </c>
      <c r="E391" s="2">
        <v>3</v>
      </c>
      <c r="F391" s="2"/>
      <c r="G391" s="2"/>
      <c r="H391" s="2"/>
    </row>
    <row r="392" spans="1:8" x14ac:dyDescent="0.25">
      <c r="A392" s="2" t="s">
        <v>2689</v>
      </c>
      <c r="B392" s="3">
        <v>44245</v>
      </c>
      <c r="C392" s="2" t="s">
        <v>2690</v>
      </c>
      <c r="D392" t="s">
        <v>6144</v>
      </c>
      <c r="E392" s="2">
        <v>2</v>
      </c>
      <c r="F392" s="2"/>
      <c r="G392" s="2"/>
      <c r="H392" s="2"/>
    </row>
    <row r="393" spans="1:8" x14ac:dyDescent="0.25">
      <c r="A393" s="2" t="s">
        <v>2694</v>
      </c>
      <c r="B393" s="3">
        <v>44133</v>
      </c>
      <c r="C393" s="2" t="s">
        <v>2695</v>
      </c>
      <c r="D393" t="s">
        <v>6157</v>
      </c>
      <c r="E393" s="2">
        <v>2</v>
      </c>
      <c r="F393" s="2"/>
      <c r="G393" s="2"/>
      <c r="H393" s="2"/>
    </row>
    <row r="394" spans="1:8" x14ac:dyDescent="0.25">
      <c r="A394" s="2" t="s">
        <v>2699</v>
      </c>
      <c r="B394" s="3">
        <v>44445</v>
      </c>
      <c r="C394" s="2" t="s">
        <v>2700</v>
      </c>
      <c r="D394" t="s">
        <v>6171</v>
      </c>
      <c r="E394" s="2">
        <v>6</v>
      </c>
      <c r="F394" s="2"/>
      <c r="G394" s="2"/>
      <c r="H394" s="2"/>
    </row>
    <row r="395" spans="1:8" x14ac:dyDescent="0.25">
      <c r="A395" s="2" t="s">
        <v>2699</v>
      </c>
      <c r="B395" s="3">
        <v>44445</v>
      </c>
      <c r="C395" s="2" t="s">
        <v>2700</v>
      </c>
      <c r="D395" t="s">
        <v>6167</v>
      </c>
      <c r="E395" s="2">
        <v>1</v>
      </c>
      <c r="F395" s="2"/>
      <c r="G395" s="2"/>
      <c r="H395" s="2"/>
    </row>
    <row r="396" spans="1:8" x14ac:dyDescent="0.25">
      <c r="A396" s="2" t="s">
        <v>2710</v>
      </c>
      <c r="B396" s="3">
        <v>44083</v>
      </c>
      <c r="C396" s="2" t="s">
        <v>2711</v>
      </c>
      <c r="D396" t="s">
        <v>6142</v>
      </c>
      <c r="E396" s="2">
        <v>4</v>
      </c>
      <c r="F396" s="2"/>
      <c r="G396" s="2"/>
      <c r="H396" s="2"/>
    </row>
    <row r="397" spans="1:8" x14ac:dyDescent="0.25">
      <c r="A397" s="2" t="s">
        <v>2716</v>
      </c>
      <c r="B397" s="3">
        <v>44465</v>
      </c>
      <c r="C397" s="2" t="s">
        <v>2717</v>
      </c>
      <c r="D397" t="s">
        <v>6169</v>
      </c>
      <c r="E397" s="2">
        <v>6</v>
      </c>
      <c r="F397" s="2"/>
      <c r="G397" s="2"/>
      <c r="H397" s="2"/>
    </row>
    <row r="398" spans="1:8" x14ac:dyDescent="0.25">
      <c r="A398" s="2" t="s">
        <v>2721</v>
      </c>
      <c r="B398" s="3">
        <v>44140</v>
      </c>
      <c r="C398" s="2" t="s">
        <v>2722</v>
      </c>
      <c r="D398" t="s">
        <v>6180</v>
      </c>
      <c r="E398" s="2">
        <v>5</v>
      </c>
      <c r="F398" s="2"/>
      <c r="G398" s="2"/>
      <c r="H398" s="2"/>
    </row>
    <row r="399" spans="1:8" x14ac:dyDescent="0.25">
      <c r="A399" s="2" t="s">
        <v>2727</v>
      </c>
      <c r="B399" s="3">
        <v>43720</v>
      </c>
      <c r="C399" s="2" t="s">
        <v>2728</v>
      </c>
      <c r="D399" t="s">
        <v>6169</v>
      </c>
      <c r="E399" s="2">
        <v>4</v>
      </c>
      <c r="F399" s="2"/>
      <c r="G399" s="2"/>
      <c r="H399" s="2"/>
    </row>
    <row r="400" spans="1:8" x14ac:dyDescent="0.25">
      <c r="A400" s="2" t="s">
        <v>2733</v>
      </c>
      <c r="B400" s="3">
        <v>43677</v>
      </c>
      <c r="C400" s="2" t="s">
        <v>2734</v>
      </c>
      <c r="D400" t="s">
        <v>6154</v>
      </c>
      <c r="E400" s="2">
        <v>6</v>
      </c>
      <c r="F400" s="2"/>
      <c r="G400" s="2"/>
      <c r="H400" s="2"/>
    </row>
    <row r="401" spans="1:8" x14ac:dyDescent="0.25">
      <c r="A401" s="2" t="s">
        <v>2739</v>
      </c>
      <c r="B401" s="3">
        <v>43539</v>
      </c>
      <c r="C401" s="2" t="s">
        <v>2740</v>
      </c>
      <c r="D401" t="s">
        <v>6185</v>
      </c>
      <c r="E401" s="2">
        <v>6</v>
      </c>
      <c r="F401" s="2"/>
      <c r="G401" s="2"/>
      <c r="H401" s="2"/>
    </row>
    <row r="402" spans="1:8" x14ac:dyDescent="0.25">
      <c r="A402" s="2" t="s">
        <v>2745</v>
      </c>
      <c r="B402" s="3">
        <v>44332</v>
      </c>
      <c r="C402" s="2" t="s">
        <v>2746</v>
      </c>
      <c r="D402" t="s">
        <v>6170</v>
      </c>
      <c r="E402" s="2">
        <v>4</v>
      </c>
      <c r="F402" s="2"/>
      <c r="G402" s="2"/>
      <c r="H402" s="2"/>
    </row>
    <row r="403" spans="1:8" x14ac:dyDescent="0.25">
      <c r="A403" s="2" t="s">
        <v>2751</v>
      </c>
      <c r="B403" s="3">
        <v>43591</v>
      </c>
      <c r="C403" s="2" t="s">
        <v>2752</v>
      </c>
      <c r="D403" t="s">
        <v>6159</v>
      </c>
      <c r="E403" s="2">
        <v>2</v>
      </c>
      <c r="F403" s="2"/>
      <c r="G403" s="2"/>
      <c r="H403" s="2"/>
    </row>
    <row r="404" spans="1:8" x14ac:dyDescent="0.25">
      <c r="A404" s="2" t="s">
        <v>2757</v>
      </c>
      <c r="B404" s="3">
        <v>43502</v>
      </c>
      <c r="C404" s="2" t="s">
        <v>2758</v>
      </c>
      <c r="D404" t="s">
        <v>6177</v>
      </c>
      <c r="E404" s="2">
        <v>3</v>
      </c>
      <c r="F404" s="2"/>
      <c r="G404" s="2"/>
      <c r="H404" s="2"/>
    </row>
    <row r="405" spans="1:8" x14ac:dyDescent="0.25">
      <c r="A405" s="2" t="s">
        <v>2763</v>
      </c>
      <c r="B405" s="3">
        <v>44295</v>
      </c>
      <c r="C405" s="2" t="s">
        <v>2764</v>
      </c>
      <c r="D405" t="s">
        <v>6145</v>
      </c>
      <c r="E405" s="2">
        <v>2</v>
      </c>
      <c r="F405" s="2"/>
      <c r="G405" s="2"/>
      <c r="H405" s="2"/>
    </row>
    <row r="406" spans="1:8" x14ac:dyDescent="0.25">
      <c r="A406" s="2" t="s">
        <v>2769</v>
      </c>
      <c r="B406" s="3">
        <v>43971</v>
      </c>
      <c r="C406" s="2" t="s">
        <v>2770</v>
      </c>
      <c r="D406" t="s">
        <v>6147</v>
      </c>
      <c r="E406" s="2">
        <v>4</v>
      </c>
      <c r="F406" s="2"/>
      <c r="G406" s="2"/>
      <c r="H406" s="2"/>
    </row>
    <row r="407" spans="1:8" x14ac:dyDescent="0.25">
      <c r="A407" s="2" t="s">
        <v>2775</v>
      </c>
      <c r="B407" s="3">
        <v>44167</v>
      </c>
      <c r="C407" s="2" t="s">
        <v>2776</v>
      </c>
      <c r="D407" t="s">
        <v>6139</v>
      </c>
      <c r="E407" s="2">
        <v>3</v>
      </c>
      <c r="F407" s="2"/>
      <c r="G407" s="2"/>
      <c r="H407" s="2"/>
    </row>
    <row r="408" spans="1:8" x14ac:dyDescent="0.25">
      <c r="A408" s="2" t="s">
        <v>2781</v>
      </c>
      <c r="B408" s="3">
        <v>44416</v>
      </c>
      <c r="C408" s="2" t="s">
        <v>2782</v>
      </c>
      <c r="D408" t="s">
        <v>6141</v>
      </c>
      <c r="E408" s="2">
        <v>5</v>
      </c>
      <c r="F408" s="2"/>
      <c r="G408" s="2"/>
      <c r="H408" s="2"/>
    </row>
    <row r="409" spans="1:8" x14ac:dyDescent="0.25">
      <c r="A409" s="2" t="s">
        <v>2787</v>
      </c>
      <c r="B409" s="3">
        <v>44595</v>
      </c>
      <c r="C409" s="2" t="s">
        <v>2788</v>
      </c>
      <c r="D409" t="s">
        <v>6139</v>
      </c>
      <c r="E409" s="2">
        <v>6</v>
      </c>
      <c r="F409" s="2"/>
      <c r="G409" s="2"/>
      <c r="H409" s="2"/>
    </row>
    <row r="410" spans="1:8" x14ac:dyDescent="0.25">
      <c r="A410" s="2" t="s">
        <v>2792</v>
      </c>
      <c r="B410" s="3">
        <v>44659</v>
      </c>
      <c r="C410" s="2" t="s">
        <v>2793</v>
      </c>
      <c r="D410" t="s">
        <v>6175</v>
      </c>
      <c r="E410" s="2">
        <v>2</v>
      </c>
      <c r="F410" s="2"/>
      <c r="G410" s="2"/>
      <c r="H410" s="2"/>
    </row>
    <row r="411" spans="1:8" x14ac:dyDescent="0.25">
      <c r="A411" s="2" t="s">
        <v>2798</v>
      </c>
      <c r="B411" s="3">
        <v>44203</v>
      </c>
      <c r="C411" s="2" t="s">
        <v>2799</v>
      </c>
      <c r="D411" t="s">
        <v>6170</v>
      </c>
      <c r="E411" s="2">
        <v>3</v>
      </c>
      <c r="F411" s="2"/>
      <c r="G411" s="2"/>
      <c r="H411" s="2"/>
    </row>
    <row r="412" spans="1:8" x14ac:dyDescent="0.25">
      <c r="A412" s="2" t="s">
        <v>2803</v>
      </c>
      <c r="B412" s="3">
        <v>44441</v>
      </c>
      <c r="C412" s="2" t="s">
        <v>2804</v>
      </c>
      <c r="D412" t="s">
        <v>6167</v>
      </c>
      <c r="E412" s="2">
        <v>4</v>
      </c>
      <c r="F412" s="2"/>
      <c r="G412" s="2"/>
      <c r="H412" s="2"/>
    </row>
    <row r="413" spans="1:8" x14ac:dyDescent="0.25">
      <c r="A413" s="2" t="s">
        <v>2808</v>
      </c>
      <c r="B413" s="3">
        <v>44504</v>
      </c>
      <c r="C413" s="2" t="s">
        <v>2809</v>
      </c>
      <c r="D413" t="s">
        <v>6162</v>
      </c>
      <c r="E413" s="2">
        <v>6</v>
      </c>
      <c r="F413" s="2"/>
      <c r="G413" s="2"/>
      <c r="H413" s="2"/>
    </row>
    <row r="414" spans="1:8" x14ac:dyDescent="0.25">
      <c r="A414" s="2" t="s">
        <v>2813</v>
      </c>
      <c r="B414" s="3">
        <v>44410</v>
      </c>
      <c r="C414" s="2" t="s">
        <v>2814</v>
      </c>
      <c r="D414" t="s">
        <v>6155</v>
      </c>
      <c r="E414" s="2">
        <v>5</v>
      </c>
      <c r="F414" s="2"/>
      <c r="G414" s="2"/>
      <c r="H414" s="2"/>
    </row>
    <row r="415" spans="1:8" x14ac:dyDescent="0.25">
      <c r="A415" s="2" t="s">
        <v>2818</v>
      </c>
      <c r="B415" s="3">
        <v>43857</v>
      </c>
      <c r="C415" s="2" t="s">
        <v>2819</v>
      </c>
      <c r="D415" t="s">
        <v>6164</v>
      </c>
      <c r="E415" s="2">
        <v>1</v>
      </c>
      <c r="F415" s="2"/>
      <c r="G415" s="2"/>
      <c r="H415" s="2"/>
    </row>
    <row r="416" spans="1:8" x14ac:dyDescent="0.25">
      <c r="A416" s="2" t="s">
        <v>2824</v>
      </c>
      <c r="B416" s="3">
        <v>43802</v>
      </c>
      <c r="C416" s="2" t="s">
        <v>2825</v>
      </c>
      <c r="D416" t="s">
        <v>6178</v>
      </c>
      <c r="E416" s="2">
        <v>3</v>
      </c>
      <c r="F416" s="2"/>
      <c r="G416" s="2"/>
      <c r="H416" s="2"/>
    </row>
    <row r="417" spans="1:8" x14ac:dyDescent="0.25">
      <c r="A417" s="2" t="s">
        <v>2829</v>
      </c>
      <c r="B417" s="3">
        <v>43683</v>
      </c>
      <c r="C417" s="2" t="s">
        <v>2830</v>
      </c>
      <c r="D417" t="s">
        <v>6174</v>
      </c>
      <c r="E417" s="2">
        <v>3</v>
      </c>
      <c r="F417" s="2"/>
      <c r="G417" s="2"/>
      <c r="H417" s="2"/>
    </row>
    <row r="418" spans="1:8" x14ac:dyDescent="0.25">
      <c r="A418" s="2" t="s">
        <v>2834</v>
      </c>
      <c r="B418" s="3">
        <v>43901</v>
      </c>
      <c r="C418" s="2" t="s">
        <v>2835</v>
      </c>
      <c r="D418" t="s">
        <v>6180</v>
      </c>
      <c r="E418" s="2">
        <v>3</v>
      </c>
      <c r="F418" s="2"/>
      <c r="G418" s="2"/>
      <c r="H418" s="2"/>
    </row>
    <row r="419" spans="1:8" x14ac:dyDescent="0.25">
      <c r="A419" s="2" t="s">
        <v>2839</v>
      </c>
      <c r="B419" s="3">
        <v>44457</v>
      </c>
      <c r="C419" s="2" t="s">
        <v>2840</v>
      </c>
      <c r="D419" t="s">
        <v>6182</v>
      </c>
      <c r="E419" s="2">
        <v>1</v>
      </c>
      <c r="F419" s="2"/>
      <c r="G419" s="2"/>
      <c r="H419" s="2"/>
    </row>
    <row r="420" spans="1:8" x14ac:dyDescent="0.25">
      <c r="A420" s="2" t="s">
        <v>2844</v>
      </c>
      <c r="B420" s="3">
        <v>44142</v>
      </c>
      <c r="C420" s="2" t="s">
        <v>2845</v>
      </c>
      <c r="D420" t="s">
        <v>6182</v>
      </c>
      <c r="E420" s="2">
        <v>5</v>
      </c>
      <c r="F420" s="2"/>
      <c r="G420" s="2"/>
      <c r="H420" s="2"/>
    </row>
    <row r="421" spans="1:8" x14ac:dyDescent="0.25">
      <c r="A421" s="2" t="s">
        <v>2849</v>
      </c>
      <c r="B421" s="3">
        <v>44739</v>
      </c>
      <c r="C421" s="2" t="s">
        <v>2850</v>
      </c>
      <c r="D421" t="s">
        <v>6160</v>
      </c>
      <c r="E421" s="2">
        <v>1</v>
      </c>
      <c r="F421" s="2"/>
      <c r="G421" s="2"/>
      <c r="H421" s="2"/>
    </row>
    <row r="422" spans="1:8" x14ac:dyDescent="0.25">
      <c r="A422" s="2" t="s">
        <v>2855</v>
      </c>
      <c r="B422" s="3">
        <v>43866</v>
      </c>
      <c r="C422" s="2" t="s">
        <v>2586</v>
      </c>
      <c r="D422" t="s">
        <v>6169</v>
      </c>
      <c r="E422" s="2">
        <v>4</v>
      </c>
      <c r="F422" s="2"/>
      <c r="G422" s="2"/>
      <c r="H422" s="2"/>
    </row>
    <row r="423" spans="1:8" x14ac:dyDescent="0.25">
      <c r="A423" s="2" t="s">
        <v>2855</v>
      </c>
      <c r="B423" s="3">
        <v>43866</v>
      </c>
      <c r="C423" s="2" t="s">
        <v>2586</v>
      </c>
      <c r="D423" t="s">
        <v>6168</v>
      </c>
      <c r="E423" s="2">
        <v>6</v>
      </c>
      <c r="F423" s="2"/>
      <c r="G423" s="2"/>
      <c r="H423" s="2"/>
    </row>
    <row r="424" spans="1:8" x14ac:dyDescent="0.25">
      <c r="A424" s="2" t="s">
        <v>2866</v>
      </c>
      <c r="B424" s="3">
        <v>43868</v>
      </c>
      <c r="C424" s="2" t="s">
        <v>2867</v>
      </c>
      <c r="D424" t="s">
        <v>6158</v>
      </c>
      <c r="E424" s="2">
        <v>5</v>
      </c>
      <c r="F424" s="2"/>
      <c r="G424" s="2"/>
      <c r="H424" s="2"/>
    </row>
    <row r="425" spans="1:8" x14ac:dyDescent="0.25">
      <c r="A425" s="2" t="s">
        <v>2871</v>
      </c>
      <c r="B425" s="3">
        <v>44183</v>
      </c>
      <c r="C425" s="2" t="s">
        <v>2872</v>
      </c>
      <c r="D425" t="s">
        <v>6146</v>
      </c>
      <c r="E425" s="2">
        <v>3</v>
      </c>
      <c r="F425" s="2"/>
      <c r="G425" s="2"/>
      <c r="H425" s="2"/>
    </row>
    <row r="426" spans="1:8" x14ac:dyDescent="0.25">
      <c r="A426" s="2" t="s">
        <v>2876</v>
      </c>
      <c r="B426" s="3">
        <v>44431</v>
      </c>
      <c r="C426" s="2" t="s">
        <v>2877</v>
      </c>
      <c r="D426" t="s">
        <v>6176</v>
      </c>
      <c r="E426" s="2">
        <v>3</v>
      </c>
      <c r="F426" s="2"/>
      <c r="G426" s="2"/>
      <c r="H426" s="2"/>
    </row>
    <row r="427" spans="1:8" x14ac:dyDescent="0.25">
      <c r="A427" s="2" t="s">
        <v>2882</v>
      </c>
      <c r="B427" s="3">
        <v>44428</v>
      </c>
      <c r="C427" s="2" t="s">
        <v>2883</v>
      </c>
      <c r="D427" t="s">
        <v>6177</v>
      </c>
      <c r="E427" s="2">
        <v>2</v>
      </c>
      <c r="F427" s="2"/>
      <c r="G427" s="2"/>
      <c r="H427" s="2"/>
    </row>
    <row r="428" spans="1:8" x14ac:dyDescent="0.25">
      <c r="A428" s="2" t="s">
        <v>2888</v>
      </c>
      <c r="B428" s="3">
        <v>43556</v>
      </c>
      <c r="C428" s="2" t="s">
        <v>2889</v>
      </c>
      <c r="D428" t="s">
        <v>6178</v>
      </c>
      <c r="E428" s="2">
        <v>4</v>
      </c>
      <c r="F428" s="2"/>
      <c r="G428" s="2"/>
      <c r="H428" s="2"/>
    </row>
    <row r="429" spans="1:8" x14ac:dyDescent="0.25">
      <c r="A429" s="2" t="s">
        <v>2894</v>
      </c>
      <c r="B429" s="3">
        <v>44224</v>
      </c>
      <c r="C429" s="2" t="s">
        <v>2895</v>
      </c>
      <c r="D429" t="s">
        <v>6175</v>
      </c>
      <c r="E429" s="2">
        <v>3</v>
      </c>
      <c r="F429" s="2"/>
      <c r="G429" s="2"/>
      <c r="H429" s="2"/>
    </row>
    <row r="430" spans="1:8" x14ac:dyDescent="0.25">
      <c r="A430" s="2" t="s">
        <v>2899</v>
      </c>
      <c r="B430" s="3">
        <v>43759</v>
      </c>
      <c r="C430" s="2" t="s">
        <v>2900</v>
      </c>
      <c r="D430" t="s">
        <v>6179</v>
      </c>
      <c r="E430" s="2">
        <v>5</v>
      </c>
      <c r="F430" s="2"/>
      <c r="G430" s="2"/>
      <c r="H430" s="2"/>
    </row>
    <row r="431" spans="1:8" x14ac:dyDescent="0.25">
      <c r="A431" s="2" t="s">
        <v>2905</v>
      </c>
      <c r="B431" s="3">
        <v>44367</v>
      </c>
      <c r="C431" s="2" t="s">
        <v>2586</v>
      </c>
      <c r="D431" t="s">
        <v>6140</v>
      </c>
      <c r="E431" s="2">
        <v>6</v>
      </c>
      <c r="F431" s="2"/>
      <c r="G431" s="2"/>
      <c r="H431" s="2"/>
    </row>
    <row r="432" spans="1:8" x14ac:dyDescent="0.25">
      <c r="A432" s="2" t="s">
        <v>2911</v>
      </c>
      <c r="B432" s="3">
        <v>44504</v>
      </c>
      <c r="C432" s="2" t="s">
        <v>2912</v>
      </c>
      <c r="D432" t="s">
        <v>6163</v>
      </c>
      <c r="E432" s="2">
        <v>2</v>
      </c>
      <c r="F432" s="2"/>
      <c r="G432" s="2"/>
      <c r="H432" s="2"/>
    </row>
    <row r="433" spans="1:8" x14ac:dyDescent="0.25">
      <c r="A433" s="2" t="s">
        <v>2917</v>
      </c>
      <c r="B433" s="3">
        <v>44291</v>
      </c>
      <c r="C433" s="2" t="s">
        <v>2918</v>
      </c>
      <c r="D433" t="s">
        <v>6185</v>
      </c>
      <c r="E433" s="2">
        <v>3</v>
      </c>
      <c r="F433" s="2"/>
      <c r="G433" s="2"/>
      <c r="H433" s="2"/>
    </row>
    <row r="434" spans="1:8" x14ac:dyDescent="0.25">
      <c r="A434" s="2" t="s">
        <v>2923</v>
      </c>
      <c r="B434" s="3">
        <v>43808</v>
      </c>
      <c r="C434" s="2" t="s">
        <v>2924</v>
      </c>
      <c r="D434" t="s">
        <v>6155</v>
      </c>
      <c r="E434" s="2">
        <v>2</v>
      </c>
      <c r="F434" s="2"/>
      <c r="G434" s="2"/>
      <c r="H434" s="2"/>
    </row>
    <row r="435" spans="1:8" x14ac:dyDescent="0.25">
      <c r="A435" s="2" t="s">
        <v>2928</v>
      </c>
      <c r="B435" s="3">
        <v>44563</v>
      </c>
      <c r="C435" s="2" t="s">
        <v>2929</v>
      </c>
      <c r="D435" t="s">
        <v>6181</v>
      </c>
      <c r="E435" s="2">
        <v>6</v>
      </c>
      <c r="F435" s="2"/>
      <c r="G435" s="2"/>
      <c r="H435" s="2"/>
    </row>
    <row r="436" spans="1:8" x14ac:dyDescent="0.25">
      <c r="A436" s="2" t="s">
        <v>2934</v>
      </c>
      <c r="B436" s="3">
        <v>43807</v>
      </c>
      <c r="C436" s="2" t="s">
        <v>2935</v>
      </c>
      <c r="D436" t="s">
        <v>6155</v>
      </c>
      <c r="E436" s="2">
        <v>6</v>
      </c>
      <c r="F436" s="2"/>
      <c r="G436" s="2"/>
      <c r="H436" s="2"/>
    </row>
    <row r="437" spans="1:8" x14ac:dyDescent="0.25">
      <c r="A437" s="2" t="s">
        <v>2939</v>
      </c>
      <c r="B437" s="3">
        <v>44528</v>
      </c>
      <c r="C437" s="2" t="s">
        <v>2940</v>
      </c>
      <c r="D437" t="s">
        <v>6139</v>
      </c>
      <c r="E437" s="2">
        <v>1</v>
      </c>
      <c r="F437" s="2"/>
      <c r="G437" s="2"/>
      <c r="H437" s="2"/>
    </row>
    <row r="438" spans="1:8" x14ac:dyDescent="0.25">
      <c r="A438" s="2" t="s">
        <v>2945</v>
      </c>
      <c r="B438" s="3">
        <v>44631</v>
      </c>
      <c r="C438" s="2" t="s">
        <v>2946</v>
      </c>
      <c r="D438" t="s">
        <v>6145</v>
      </c>
      <c r="E438" s="2">
        <v>2</v>
      </c>
      <c r="F438" s="2"/>
      <c r="G438" s="2"/>
      <c r="H438" s="2"/>
    </row>
    <row r="439" spans="1:8" x14ac:dyDescent="0.25">
      <c r="A439" s="2" t="s">
        <v>2951</v>
      </c>
      <c r="B439" s="3">
        <v>44213</v>
      </c>
      <c r="C439" s="2" t="s">
        <v>2952</v>
      </c>
      <c r="D439" t="s">
        <v>6165</v>
      </c>
      <c r="E439" s="2">
        <v>1</v>
      </c>
      <c r="F439" s="2"/>
      <c r="G439" s="2"/>
      <c r="H439" s="2"/>
    </row>
    <row r="440" spans="1:8" x14ac:dyDescent="0.25">
      <c r="A440" s="2" t="s">
        <v>2956</v>
      </c>
      <c r="B440" s="3">
        <v>43483</v>
      </c>
      <c r="C440" s="2" t="s">
        <v>3042</v>
      </c>
      <c r="D440" t="s">
        <v>6169</v>
      </c>
      <c r="E440" s="2">
        <v>2</v>
      </c>
      <c r="F440" s="2"/>
      <c r="G440" s="2"/>
      <c r="H440" s="2"/>
    </row>
    <row r="441" spans="1:8" x14ac:dyDescent="0.25">
      <c r="A441" s="2" t="s">
        <v>2962</v>
      </c>
      <c r="B441" s="3">
        <v>43562</v>
      </c>
      <c r="C441" s="2" t="s">
        <v>2963</v>
      </c>
      <c r="D441" t="s">
        <v>6176</v>
      </c>
      <c r="E441" s="2">
        <v>4</v>
      </c>
      <c r="F441" s="2"/>
      <c r="G441" s="2"/>
      <c r="H441" s="2"/>
    </row>
    <row r="442" spans="1:8" x14ac:dyDescent="0.25">
      <c r="A442" s="2" t="s">
        <v>2968</v>
      </c>
      <c r="B442" s="3">
        <v>44230</v>
      </c>
      <c r="C442" s="2" t="s">
        <v>2969</v>
      </c>
      <c r="D442" t="s">
        <v>6175</v>
      </c>
      <c r="E442" s="2">
        <v>4</v>
      </c>
      <c r="F442" s="2"/>
      <c r="G442" s="2"/>
      <c r="H442" s="2"/>
    </row>
    <row r="443" spans="1:8" x14ac:dyDescent="0.25">
      <c r="A443" s="2" t="s">
        <v>2974</v>
      </c>
      <c r="B443" s="3">
        <v>43573</v>
      </c>
      <c r="C443" s="2" t="s">
        <v>2975</v>
      </c>
      <c r="D443" t="s">
        <v>6183</v>
      </c>
      <c r="E443" s="2">
        <v>3</v>
      </c>
      <c r="F443" s="2"/>
      <c r="G443" s="2"/>
      <c r="H443" s="2"/>
    </row>
    <row r="444" spans="1:8" x14ac:dyDescent="0.25">
      <c r="A444" s="2" t="s">
        <v>2980</v>
      </c>
      <c r="B444" s="3">
        <v>44384</v>
      </c>
      <c r="C444" s="2" t="s">
        <v>2981</v>
      </c>
      <c r="D444" t="s">
        <v>6173</v>
      </c>
      <c r="E444" s="2">
        <v>5</v>
      </c>
      <c r="F444" s="2"/>
      <c r="G444" s="2"/>
      <c r="H444" s="2"/>
    </row>
    <row r="445" spans="1:8" x14ac:dyDescent="0.25">
      <c r="A445" s="2" t="s">
        <v>2986</v>
      </c>
      <c r="B445" s="3">
        <v>44250</v>
      </c>
      <c r="C445" s="2" t="s">
        <v>2987</v>
      </c>
      <c r="D445" t="s">
        <v>6184</v>
      </c>
      <c r="E445" s="2">
        <v>5</v>
      </c>
      <c r="F445" s="2"/>
      <c r="G445" s="2"/>
      <c r="H445" s="2"/>
    </row>
    <row r="446" spans="1:8" x14ac:dyDescent="0.25">
      <c r="A446" s="2" t="s">
        <v>2992</v>
      </c>
      <c r="B446" s="3">
        <v>44418</v>
      </c>
      <c r="C446" s="2" t="s">
        <v>2993</v>
      </c>
      <c r="D446" t="s">
        <v>6156</v>
      </c>
      <c r="E446" s="2">
        <v>6</v>
      </c>
      <c r="F446" s="2"/>
      <c r="G446" s="2"/>
      <c r="H446" s="2"/>
    </row>
    <row r="447" spans="1:8" x14ac:dyDescent="0.25">
      <c r="A447" s="2" t="s">
        <v>2999</v>
      </c>
      <c r="B447" s="3">
        <v>43784</v>
      </c>
      <c r="C447" s="2" t="s">
        <v>3000</v>
      </c>
      <c r="D447" t="s">
        <v>6181</v>
      </c>
      <c r="E447" s="2">
        <v>2</v>
      </c>
      <c r="F447" s="2"/>
      <c r="G447" s="2"/>
      <c r="H447" s="2"/>
    </row>
    <row r="448" spans="1:8" x14ac:dyDescent="0.25">
      <c r="A448" s="2" t="s">
        <v>3004</v>
      </c>
      <c r="B448" s="3">
        <v>43816</v>
      </c>
      <c r="C448" s="2" t="s">
        <v>3005</v>
      </c>
      <c r="D448" t="s">
        <v>6160</v>
      </c>
      <c r="E448" s="2">
        <v>1</v>
      </c>
      <c r="F448" s="2"/>
      <c r="G448" s="2"/>
      <c r="H448" s="2"/>
    </row>
    <row r="449" spans="1:8" x14ac:dyDescent="0.25">
      <c r="A449" s="2" t="s">
        <v>3010</v>
      </c>
      <c r="B449" s="3">
        <v>43908</v>
      </c>
      <c r="C449" s="2" t="s">
        <v>3011</v>
      </c>
      <c r="D449" t="s">
        <v>6146</v>
      </c>
      <c r="E449" s="2">
        <v>3</v>
      </c>
      <c r="F449" s="2"/>
      <c r="G449" s="2"/>
      <c r="H449" s="2"/>
    </row>
    <row r="450" spans="1:8" x14ac:dyDescent="0.25">
      <c r="A450" s="2" t="s">
        <v>3015</v>
      </c>
      <c r="B450" s="3">
        <v>44718</v>
      </c>
      <c r="C450" s="2" t="s">
        <v>3016</v>
      </c>
      <c r="D450" t="s">
        <v>6173</v>
      </c>
      <c r="E450" s="2">
        <v>1</v>
      </c>
      <c r="F450" s="2"/>
      <c r="G450" s="2"/>
      <c r="H450" s="2"/>
    </row>
    <row r="451" spans="1:8" x14ac:dyDescent="0.25">
      <c r="A451" s="2" t="s">
        <v>3021</v>
      </c>
      <c r="B451" s="3">
        <v>44336</v>
      </c>
      <c r="C451" s="2" t="s">
        <v>3022</v>
      </c>
      <c r="D451" t="s">
        <v>6163</v>
      </c>
      <c r="E451" s="2">
        <v>2</v>
      </c>
      <c r="F451" s="2"/>
      <c r="G451" s="2"/>
      <c r="H451" s="2"/>
    </row>
    <row r="452" spans="1:8" x14ac:dyDescent="0.25">
      <c r="A452" s="2" t="s">
        <v>3027</v>
      </c>
      <c r="B452" s="3">
        <v>44207</v>
      </c>
      <c r="C452" s="2" t="s">
        <v>3028</v>
      </c>
      <c r="D452" t="s">
        <v>6145</v>
      </c>
      <c r="E452" s="2">
        <v>5</v>
      </c>
      <c r="F452" s="2"/>
      <c r="G452" s="2"/>
      <c r="H452" s="2"/>
    </row>
    <row r="453" spans="1:8" x14ac:dyDescent="0.25">
      <c r="A453" s="2" t="s">
        <v>3035</v>
      </c>
      <c r="B453" s="3">
        <v>43518</v>
      </c>
      <c r="C453" s="2" t="s">
        <v>3036</v>
      </c>
      <c r="D453" t="s">
        <v>6149</v>
      </c>
      <c r="E453" s="2">
        <v>2</v>
      </c>
      <c r="F453" s="2"/>
      <c r="G453" s="2"/>
      <c r="H453" s="2"/>
    </row>
    <row r="454" spans="1:8" x14ac:dyDescent="0.25">
      <c r="A454" s="2" t="s">
        <v>3041</v>
      </c>
      <c r="B454" s="3">
        <v>44524</v>
      </c>
      <c r="C454" s="2" t="s">
        <v>3042</v>
      </c>
      <c r="D454" t="s">
        <v>6167</v>
      </c>
      <c r="E454" s="2">
        <v>3</v>
      </c>
      <c r="F454" s="2"/>
      <c r="G454" s="2"/>
      <c r="H454" s="2"/>
    </row>
    <row r="455" spans="1:8" x14ac:dyDescent="0.25">
      <c r="A455" s="2" t="s">
        <v>3047</v>
      </c>
      <c r="B455" s="3">
        <v>44579</v>
      </c>
      <c r="C455" s="2" t="s">
        <v>3048</v>
      </c>
      <c r="D455" t="s">
        <v>6161</v>
      </c>
      <c r="E455" s="2">
        <v>4</v>
      </c>
      <c r="F455" s="2"/>
      <c r="G455" s="2"/>
      <c r="H455" s="2"/>
    </row>
    <row r="456" spans="1:8" x14ac:dyDescent="0.25">
      <c r="A456" s="2" t="s">
        <v>3053</v>
      </c>
      <c r="B456" s="3">
        <v>44421</v>
      </c>
      <c r="C456" s="2" t="s">
        <v>3054</v>
      </c>
      <c r="D456" t="s">
        <v>6149</v>
      </c>
      <c r="E456" s="2">
        <v>4</v>
      </c>
      <c r="F456" s="2"/>
      <c r="G456" s="2"/>
      <c r="H456" s="2"/>
    </row>
    <row r="457" spans="1:8" x14ac:dyDescent="0.25">
      <c r="A457" s="2" t="s">
        <v>3058</v>
      </c>
      <c r="B457" s="3">
        <v>43841</v>
      </c>
      <c r="C457" s="2" t="s">
        <v>3059</v>
      </c>
      <c r="D457" t="s">
        <v>6145</v>
      </c>
      <c r="E457" s="2">
        <v>2</v>
      </c>
      <c r="F457" s="2"/>
      <c r="G457" s="2"/>
      <c r="H457" s="2"/>
    </row>
    <row r="458" spans="1:8" x14ac:dyDescent="0.25">
      <c r="A458" s="2" t="s">
        <v>3064</v>
      </c>
      <c r="B458" s="3">
        <v>44017</v>
      </c>
      <c r="C458" s="2" t="s">
        <v>3065</v>
      </c>
      <c r="D458" t="s">
        <v>6149</v>
      </c>
      <c r="E458" s="2">
        <v>2</v>
      </c>
      <c r="F458" s="2"/>
      <c r="G458" s="2"/>
      <c r="H458" s="2"/>
    </row>
    <row r="459" spans="1:8" x14ac:dyDescent="0.25">
      <c r="A459" s="2" t="s">
        <v>3070</v>
      </c>
      <c r="B459" s="3">
        <v>43671</v>
      </c>
      <c r="C459" s="2" t="s">
        <v>3071</v>
      </c>
      <c r="D459" t="s">
        <v>6161</v>
      </c>
      <c r="E459" s="2">
        <v>5</v>
      </c>
      <c r="F459" s="2"/>
      <c r="G459" s="2"/>
      <c r="H459" s="2"/>
    </row>
    <row r="460" spans="1:8" x14ac:dyDescent="0.25">
      <c r="A460" s="2" t="s">
        <v>3076</v>
      </c>
      <c r="B460" s="3">
        <v>44707</v>
      </c>
      <c r="C460" s="2" t="s">
        <v>3077</v>
      </c>
      <c r="D460" t="s">
        <v>6155</v>
      </c>
      <c r="E460" s="2">
        <v>4</v>
      </c>
      <c r="F460" s="2"/>
      <c r="G460" s="2"/>
      <c r="H460" s="2"/>
    </row>
    <row r="461" spans="1:8" x14ac:dyDescent="0.25">
      <c r="A461" s="2" t="s">
        <v>3082</v>
      </c>
      <c r="B461" s="3">
        <v>43840</v>
      </c>
      <c r="C461" s="2" t="s">
        <v>3083</v>
      </c>
      <c r="D461" t="s">
        <v>6145</v>
      </c>
      <c r="E461" s="2">
        <v>5</v>
      </c>
      <c r="F461" s="2"/>
      <c r="G461" s="2"/>
      <c r="H461" s="2"/>
    </row>
    <row r="462" spans="1:8" x14ac:dyDescent="0.25">
      <c r="A462" s="2" t="s">
        <v>3088</v>
      </c>
      <c r="B462" s="3">
        <v>43602</v>
      </c>
      <c r="C462" s="2" t="s">
        <v>3089</v>
      </c>
      <c r="D462" t="s">
        <v>6172</v>
      </c>
      <c r="E462" s="2">
        <v>3</v>
      </c>
      <c r="F462" s="2"/>
      <c r="G462" s="2"/>
      <c r="H462" s="2"/>
    </row>
    <row r="463" spans="1:8" x14ac:dyDescent="0.25">
      <c r="A463" s="2" t="s">
        <v>3094</v>
      </c>
      <c r="B463" s="3">
        <v>44036</v>
      </c>
      <c r="C463" s="2" t="s">
        <v>3095</v>
      </c>
      <c r="D463" t="s">
        <v>6163</v>
      </c>
      <c r="E463" s="2">
        <v>4</v>
      </c>
      <c r="F463" s="2"/>
      <c r="G463" s="2"/>
      <c r="H463" s="2"/>
    </row>
    <row r="464" spans="1:8" x14ac:dyDescent="0.25">
      <c r="A464" s="2" t="s">
        <v>3100</v>
      </c>
      <c r="B464" s="3">
        <v>44124</v>
      </c>
      <c r="C464" s="2" t="s">
        <v>3101</v>
      </c>
      <c r="D464" t="s">
        <v>6147</v>
      </c>
      <c r="E464" s="2">
        <v>5</v>
      </c>
      <c r="F464" s="2"/>
      <c r="G464" s="2"/>
      <c r="H464" s="2"/>
    </row>
    <row r="465" spans="1:8" x14ac:dyDescent="0.25">
      <c r="A465" s="2" t="s">
        <v>3106</v>
      </c>
      <c r="B465" s="3">
        <v>43730</v>
      </c>
      <c r="C465" s="2" t="s">
        <v>3107</v>
      </c>
      <c r="D465" t="s">
        <v>6141</v>
      </c>
      <c r="E465" s="2">
        <v>2</v>
      </c>
      <c r="F465" s="2"/>
      <c r="G465" s="2"/>
      <c r="H465" s="2"/>
    </row>
    <row r="466" spans="1:8" x14ac:dyDescent="0.25">
      <c r="A466" s="2" t="s">
        <v>3112</v>
      </c>
      <c r="B466" s="3">
        <v>43989</v>
      </c>
      <c r="C466" s="2" t="s">
        <v>3113</v>
      </c>
      <c r="D466" t="s">
        <v>6165</v>
      </c>
      <c r="E466" s="2">
        <v>4</v>
      </c>
      <c r="F466" s="2"/>
      <c r="G466" s="2"/>
      <c r="H466" s="2"/>
    </row>
    <row r="467" spans="1:8" x14ac:dyDescent="0.25">
      <c r="A467" s="2" t="s">
        <v>3118</v>
      </c>
      <c r="B467" s="3">
        <v>43814</v>
      </c>
      <c r="C467" s="2" t="s">
        <v>3119</v>
      </c>
      <c r="D467" t="s">
        <v>6149</v>
      </c>
      <c r="E467" s="2">
        <v>1</v>
      </c>
      <c r="F467" s="2"/>
      <c r="G467" s="2"/>
      <c r="H467" s="2"/>
    </row>
    <row r="468" spans="1:8" x14ac:dyDescent="0.25">
      <c r="A468" s="2" t="s">
        <v>3124</v>
      </c>
      <c r="B468" s="3">
        <v>44171</v>
      </c>
      <c r="C468" s="2" t="s">
        <v>3125</v>
      </c>
      <c r="D468" t="s">
        <v>6154</v>
      </c>
      <c r="E468" s="2">
        <v>3</v>
      </c>
      <c r="F468" s="2"/>
      <c r="G468" s="2"/>
      <c r="H468" s="2"/>
    </row>
    <row r="469" spans="1:8" x14ac:dyDescent="0.25">
      <c r="A469" s="2" t="s">
        <v>3130</v>
      </c>
      <c r="B469" s="3">
        <v>44536</v>
      </c>
      <c r="C469" s="2" t="s">
        <v>3131</v>
      </c>
      <c r="D469" t="s">
        <v>6158</v>
      </c>
      <c r="E469" s="2">
        <v>1</v>
      </c>
      <c r="F469" s="2"/>
      <c r="G469" s="2"/>
      <c r="H469" s="2"/>
    </row>
    <row r="470" spans="1:8" x14ac:dyDescent="0.25">
      <c r="A470" s="2" t="s">
        <v>3136</v>
      </c>
      <c r="B470" s="3">
        <v>44023</v>
      </c>
      <c r="C470" s="2" t="s">
        <v>3137</v>
      </c>
      <c r="D470" t="s">
        <v>6141</v>
      </c>
      <c r="E470" s="2">
        <v>3</v>
      </c>
      <c r="F470" s="2"/>
      <c r="G470" s="2"/>
      <c r="H470" s="2"/>
    </row>
    <row r="471" spans="1:8" x14ac:dyDescent="0.25">
      <c r="A471" s="2" t="s">
        <v>3141</v>
      </c>
      <c r="B471" s="3">
        <v>44375</v>
      </c>
      <c r="C471" s="2" t="s">
        <v>3194</v>
      </c>
      <c r="D471" t="s">
        <v>6184</v>
      </c>
      <c r="E471" s="2">
        <v>5</v>
      </c>
      <c r="F471" s="2"/>
      <c r="G471" s="2"/>
      <c r="H471" s="2"/>
    </row>
    <row r="472" spans="1:8" x14ac:dyDescent="0.25">
      <c r="A472" s="2" t="s">
        <v>3147</v>
      </c>
      <c r="B472" s="3">
        <v>44656</v>
      </c>
      <c r="C472" s="2" t="s">
        <v>3148</v>
      </c>
      <c r="D472" t="s">
        <v>6157</v>
      </c>
      <c r="E472" s="2">
        <v>1</v>
      </c>
      <c r="F472" s="2"/>
      <c r="G472" s="2"/>
      <c r="H472" s="2"/>
    </row>
    <row r="473" spans="1:8" x14ac:dyDescent="0.25">
      <c r="A473" s="2" t="s">
        <v>3153</v>
      </c>
      <c r="B473" s="3">
        <v>44644</v>
      </c>
      <c r="C473" s="2" t="s">
        <v>3154</v>
      </c>
      <c r="D473" t="s">
        <v>6181</v>
      </c>
      <c r="E473" s="2">
        <v>4</v>
      </c>
      <c r="F473" s="2"/>
      <c r="G473" s="2"/>
      <c r="H473" s="2"/>
    </row>
    <row r="474" spans="1:8" x14ac:dyDescent="0.25">
      <c r="A474" s="2" t="s">
        <v>3158</v>
      </c>
      <c r="B474" s="3">
        <v>43869</v>
      </c>
      <c r="C474" s="2" t="s">
        <v>3159</v>
      </c>
      <c r="D474" t="s">
        <v>6154</v>
      </c>
      <c r="E474" s="2">
        <v>2</v>
      </c>
      <c r="F474" s="2"/>
      <c r="G474" s="2"/>
      <c r="H474" s="2"/>
    </row>
    <row r="475" spans="1:8" x14ac:dyDescent="0.25">
      <c r="A475" s="2" t="s">
        <v>3164</v>
      </c>
      <c r="B475" s="3">
        <v>44603</v>
      </c>
      <c r="C475" s="2" t="s">
        <v>3165</v>
      </c>
      <c r="D475" t="s">
        <v>6140</v>
      </c>
      <c r="E475" s="2">
        <v>2</v>
      </c>
      <c r="F475" s="2"/>
      <c r="G475" s="2"/>
      <c r="H475" s="2"/>
    </row>
    <row r="476" spans="1:8" x14ac:dyDescent="0.25">
      <c r="A476" s="2" t="s">
        <v>3170</v>
      </c>
      <c r="B476" s="3">
        <v>44014</v>
      </c>
      <c r="C476" s="2" t="s">
        <v>3171</v>
      </c>
      <c r="D476" t="s">
        <v>6166</v>
      </c>
      <c r="E476" s="2">
        <v>1</v>
      </c>
      <c r="F476" s="2"/>
      <c r="G476" s="2"/>
      <c r="H476" s="2"/>
    </row>
    <row r="477" spans="1:8" x14ac:dyDescent="0.25">
      <c r="A477" s="2" t="s">
        <v>3176</v>
      </c>
      <c r="B477" s="3">
        <v>44767</v>
      </c>
      <c r="C477" s="2" t="s">
        <v>3177</v>
      </c>
      <c r="D477" t="s">
        <v>6159</v>
      </c>
      <c r="E477" s="2">
        <v>2</v>
      </c>
      <c r="F477" s="2"/>
      <c r="G477" s="2"/>
      <c r="H477" s="2"/>
    </row>
    <row r="478" spans="1:8" x14ac:dyDescent="0.25">
      <c r="A478" s="2" t="s">
        <v>3181</v>
      </c>
      <c r="B478" s="3">
        <v>44274</v>
      </c>
      <c r="C478" s="2" t="s">
        <v>3182</v>
      </c>
      <c r="D478" t="s">
        <v>6184</v>
      </c>
      <c r="E478" s="2">
        <v>6</v>
      </c>
      <c r="F478" s="2"/>
      <c r="G478" s="2"/>
      <c r="H478" s="2"/>
    </row>
    <row r="479" spans="1:8" x14ac:dyDescent="0.25">
      <c r="A479" s="2" t="s">
        <v>3187</v>
      </c>
      <c r="B479" s="3">
        <v>43962</v>
      </c>
      <c r="C479" s="2" t="s">
        <v>3188</v>
      </c>
      <c r="D479" t="s">
        <v>6159</v>
      </c>
      <c r="E479" s="2">
        <v>6</v>
      </c>
      <c r="F479" s="2"/>
      <c r="G479" s="2"/>
      <c r="H479" s="2"/>
    </row>
    <row r="480" spans="1:8" x14ac:dyDescent="0.25">
      <c r="A480" s="2" t="s">
        <v>3193</v>
      </c>
      <c r="B480" s="3">
        <v>43624</v>
      </c>
      <c r="C480" s="2" t="s">
        <v>3194</v>
      </c>
      <c r="D480" t="s">
        <v>6177</v>
      </c>
      <c r="E480" s="2">
        <v>6</v>
      </c>
      <c r="F480" s="2"/>
      <c r="G480" s="2"/>
      <c r="H480" s="2"/>
    </row>
    <row r="481" spans="1:8" x14ac:dyDescent="0.25">
      <c r="A481" s="2" t="s">
        <v>3193</v>
      </c>
      <c r="B481" s="3">
        <v>43624</v>
      </c>
      <c r="C481" s="2" t="s">
        <v>3194</v>
      </c>
      <c r="D481" t="s">
        <v>6166</v>
      </c>
      <c r="E481" s="2">
        <v>4</v>
      </c>
      <c r="F481" s="2"/>
      <c r="G481" s="2"/>
      <c r="H481" s="2"/>
    </row>
    <row r="482" spans="1:8" x14ac:dyDescent="0.25">
      <c r="A482" s="2" t="s">
        <v>3193</v>
      </c>
      <c r="B482" s="3">
        <v>43624</v>
      </c>
      <c r="C482" s="2" t="s">
        <v>3194</v>
      </c>
      <c r="D482" t="s">
        <v>6156</v>
      </c>
      <c r="E482" s="2">
        <v>1</v>
      </c>
      <c r="F482" s="2"/>
      <c r="G482" s="2"/>
      <c r="H482" s="2"/>
    </row>
    <row r="483" spans="1:8" x14ac:dyDescent="0.25">
      <c r="A483" s="2" t="s">
        <v>3208</v>
      </c>
      <c r="B483" s="3">
        <v>43747</v>
      </c>
      <c r="C483" s="2" t="s">
        <v>3209</v>
      </c>
      <c r="D483" t="s">
        <v>6179</v>
      </c>
      <c r="E483" s="2">
        <v>2</v>
      </c>
      <c r="F483" s="2"/>
      <c r="G483" s="2"/>
      <c r="H483" s="2"/>
    </row>
    <row r="484" spans="1:8" x14ac:dyDescent="0.25">
      <c r="A484" s="2" t="s">
        <v>3214</v>
      </c>
      <c r="B484" s="3">
        <v>44247</v>
      </c>
      <c r="C484" s="2" t="s">
        <v>3215</v>
      </c>
      <c r="D484" t="s">
        <v>6185</v>
      </c>
      <c r="E484" s="2">
        <v>5</v>
      </c>
      <c r="F484" s="2"/>
      <c r="G484" s="2"/>
      <c r="H484" s="2"/>
    </row>
    <row r="485" spans="1:8" x14ac:dyDescent="0.25">
      <c r="A485" s="2" t="s">
        <v>3220</v>
      </c>
      <c r="B485" s="3">
        <v>43790</v>
      </c>
      <c r="C485" s="2" t="s">
        <v>3221</v>
      </c>
      <c r="D485" t="s">
        <v>6165</v>
      </c>
      <c r="E485" s="2">
        <v>2</v>
      </c>
      <c r="F485" s="2"/>
      <c r="G485" s="2"/>
      <c r="H485" s="2"/>
    </row>
    <row r="486" spans="1:8" x14ac:dyDescent="0.25">
      <c r="A486" s="2" t="s">
        <v>3225</v>
      </c>
      <c r="B486" s="3">
        <v>44479</v>
      </c>
      <c r="C486" s="2" t="s">
        <v>3226</v>
      </c>
      <c r="D486" t="s">
        <v>6161</v>
      </c>
      <c r="E486" s="2">
        <v>6</v>
      </c>
      <c r="F486" s="2"/>
      <c r="G486" s="2"/>
      <c r="H486" s="2"/>
    </row>
    <row r="487" spans="1:8" x14ac:dyDescent="0.25">
      <c r="A487" s="2" t="s">
        <v>3230</v>
      </c>
      <c r="B487" s="3">
        <v>44413</v>
      </c>
      <c r="C487" s="2" t="s">
        <v>3231</v>
      </c>
      <c r="D487" t="s">
        <v>6178</v>
      </c>
      <c r="E487" s="2">
        <v>6</v>
      </c>
      <c r="F487" s="2"/>
      <c r="G487" s="2"/>
      <c r="H487" s="2"/>
    </row>
    <row r="488" spans="1:8" x14ac:dyDescent="0.25">
      <c r="A488" s="2" t="s">
        <v>3236</v>
      </c>
      <c r="B488" s="3">
        <v>44043</v>
      </c>
      <c r="C488" s="2" t="s">
        <v>3237</v>
      </c>
      <c r="D488" t="s">
        <v>6160</v>
      </c>
      <c r="E488" s="2">
        <v>6</v>
      </c>
      <c r="F488" s="2"/>
      <c r="G488" s="2"/>
      <c r="H488" s="2"/>
    </row>
    <row r="489" spans="1:8" x14ac:dyDescent="0.25">
      <c r="A489" s="2" t="s">
        <v>3242</v>
      </c>
      <c r="B489" s="3">
        <v>44093</v>
      </c>
      <c r="C489" s="2" t="s">
        <v>3243</v>
      </c>
      <c r="D489" t="s">
        <v>6183</v>
      </c>
      <c r="E489" s="2">
        <v>6</v>
      </c>
      <c r="F489" s="2"/>
      <c r="G489" s="2"/>
      <c r="H489" s="2"/>
    </row>
    <row r="490" spans="1:8" x14ac:dyDescent="0.25">
      <c r="A490" s="2" t="s">
        <v>3248</v>
      </c>
      <c r="B490" s="3">
        <v>43954</v>
      </c>
      <c r="C490" s="2" t="s">
        <v>3249</v>
      </c>
      <c r="D490" t="s">
        <v>6174</v>
      </c>
      <c r="E490" s="2">
        <v>5</v>
      </c>
      <c r="F490" s="2"/>
      <c r="G490" s="2"/>
      <c r="H490" s="2"/>
    </row>
    <row r="491" spans="1:8" x14ac:dyDescent="0.25">
      <c r="A491" s="2" t="s">
        <v>3254</v>
      </c>
      <c r="B491" s="3">
        <v>43654</v>
      </c>
      <c r="C491" s="2" t="s">
        <v>3255</v>
      </c>
      <c r="D491" t="s">
        <v>6170</v>
      </c>
      <c r="E491" s="2">
        <v>6</v>
      </c>
      <c r="F491" s="2"/>
      <c r="G491" s="2"/>
      <c r="H491" s="2"/>
    </row>
    <row r="492" spans="1:8" x14ac:dyDescent="0.25">
      <c r="A492" s="2" t="s">
        <v>3260</v>
      </c>
      <c r="B492" s="3">
        <v>43764</v>
      </c>
      <c r="C492" s="2" t="s">
        <v>3261</v>
      </c>
      <c r="D492" t="s">
        <v>6169</v>
      </c>
      <c r="E492" s="2">
        <v>2</v>
      </c>
      <c r="F492" s="2"/>
      <c r="G492" s="2"/>
      <c r="H492" s="2"/>
    </row>
    <row r="493" spans="1:8" x14ac:dyDescent="0.25">
      <c r="A493" s="2" t="s">
        <v>3266</v>
      </c>
      <c r="B493" s="3">
        <v>44101</v>
      </c>
      <c r="C493" s="2" t="s">
        <v>3267</v>
      </c>
      <c r="D493" t="s">
        <v>6150</v>
      </c>
      <c r="E493" s="2">
        <v>6</v>
      </c>
      <c r="F493" s="2"/>
      <c r="G493" s="2"/>
      <c r="H493" s="2"/>
    </row>
    <row r="494" spans="1:8" x14ac:dyDescent="0.25">
      <c r="A494" s="2" t="s">
        <v>3271</v>
      </c>
      <c r="B494" s="3">
        <v>44620</v>
      </c>
      <c r="C494" s="2" t="s">
        <v>3272</v>
      </c>
      <c r="D494" t="s">
        <v>6156</v>
      </c>
      <c r="E494" s="2">
        <v>1</v>
      </c>
      <c r="F494" s="2"/>
      <c r="G494" s="2"/>
      <c r="H494" s="2"/>
    </row>
    <row r="495" spans="1:8" x14ac:dyDescent="0.25">
      <c r="A495" s="2" t="s">
        <v>3277</v>
      </c>
      <c r="B495" s="3">
        <v>44090</v>
      </c>
      <c r="C495" s="2" t="s">
        <v>3278</v>
      </c>
      <c r="D495" t="s">
        <v>6146</v>
      </c>
      <c r="E495" s="2">
        <v>6</v>
      </c>
      <c r="F495" s="2"/>
      <c r="G495" s="2"/>
      <c r="H495" s="2"/>
    </row>
    <row r="496" spans="1:8" x14ac:dyDescent="0.25">
      <c r="A496" s="2" t="s">
        <v>3283</v>
      </c>
      <c r="B496" s="3">
        <v>44132</v>
      </c>
      <c r="C496" s="2" t="s">
        <v>3284</v>
      </c>
      <c r="D496" t="s">
        <v>6170</v>
      </c>
      <c r="E496" s="2">
        <v>2</v>
      </c>
      <c r="F496" s="2"/>
      <c r="G496" s="2"/>
      <c r="H496" s="2"/>
    </row>
    <row r="497" spans="1:8" x14ac:dyDescent="0.25">
      <c r="A497" s="2" t="s">
        <v>3289</v>
      </c>
      <c r="B497" s="3">
        <v>43710</v>
      </c>
      <c r="C497" s="2" t="s">
        <v>3290</v>
      </c>
      <c r="D497" t="s">
        <v>6170</v>
      </c>
      <c r="E497" s="2">
        <v>5</v>
      </c>
      <c r="F497" s="2"/>
      <c r="G497" s="2"/>
      <c r="H497" s="2"/>
    </row>
    <row r="498" spans="1:8" x14ac:dyDescent="0.25">
      <c r="A498" s="2" t="s">
        <v>3294</v>
      </c>
      <c r="B498" s="3">
        <v>44438</v>
      </c>
      <c r="C498" s="2" t="s">
        <v>3295</v>
      </c>
      <c r="D498" t="s">
        <v>6153</v>
      </c>
      <c r="E498" s="2">
        <v>3</v>
      </c>
      <c r="F498" s="2"/>
      <c r="G498" s="2"/>
      <c r="H498" s="2"/>
    </row>
    <row r="499" spans="1:8" x14ac:dyDescent="0.25">
      <c r="A499" s="2" t="s">
        <v>3300</v>
      </c>
      <c r="B499" s="3">
        <v>44351</v>
      </c>
      <c r="C499" s="2" t="s">
        <v>3301</v>
      </c>
      <c r="D499" t="s">
        <v>6147</v>
      </c>
      <c r="E499" s="2">
        <v>4</v>
      </c>
      <c r="F499" s="2"/>
      <c r="G499" s="2"/>
      <c r="H499" s="2"/>
    </row>
    <row r="500" spans="1:8" x14ac:dyDescent="0.25">
      <c r="A500" s="2" t="s">
        <v>3307</v>
      </c>
      <c r="B500" s="3">
        <v>44159</v>
      </c>
      <c r="C500" s="2" t="s">
        <v>3368</v>
      </c>
      <c r="D500" t="s">
        <v>6138</v>
      </c>
      <c r="E500" s="2">
        <v>5</v>
      </c>
      <c r="F500" s="2"/>
      <c r="G500" s="2"/>
      <c r="H500" s="2"/>
    </row>
    <row r="501" spans="1:8" x14ac:dyDescent="0.25">
      <c r="A501" s="2" t="s">
        <v>3313</v>
      </c>
      <c r="B501" s="3">
        <v>44003</v>
      </c>
      <c r="C501" s="2" t="s">
        <v>3314</v>
      </c>
      <c r="D501" t="s">
        <v>6163</v>
      </c>
      <c r="E501" s="2">
        <v>3</v>
      </c>
      <c r="F501" s="2"/>
      <c r="G501" s="2"/>
      <c r="H501" s="2"/>
    </row>
    <row r="502" spans="1:8" x14ac:dyDescent="0.25">
      <c r="A502" s="2" t="s">
        <v>3318</v>
      </c>
      <c r="B502" s="3">
        <v>44025</v>
      </c>
      <c r="C502" s="2" t="s">
        <v>3319</v>
      </c>
      <c r="D502" t="s">
        <v>6179</v>
      </c>
      <c r="E502" s="2">
        <v>4</v>
      </c>
      <c r="F502" s="2"/>
      <c r="G502" s="2"/>
      <c r="H502" s="2"/>
    </row>
    <row r="503" spans="1:8" x14ac:dyDescent="0.25">
      <c r="A503" s="2" t="s">
        <v>3323</v>
      </c>
      <c r="B503" s="3">
        <v>43467</v>
      </c>
      <c r="C503" s="2" t="s">
        <v>3324</v>
      </c>
      <c r="D503" t="s">
        <v>6174</v>
      </c>
      <c r="E503" s="2">
        <v>4</v>
      </c>
      <c r="F503" s="2"/>
      <c r="G503" s="2"/>
      <c r="H503" s="2"/>
    </row>
    <row r="504" spans="1:8" x14ac:dyDescent="0.25">
      <c r="A504" s="2" t="s">
        <v>3323</v>
      </c>
      <c r="B504" s="3">
        <v>43467</v>
      </c>
      <c r="C504" s="2" t="s">
        <v>3324</v>
      </c>
      <c r="D504" t="s">
        <v>6156</v>
      </c>
      <c r="E504" s="2">
        <v>4</v>
      </c>
      <c r="F504" s="2"/>
      <c r="G504" s="2"/>
      <c r="H504" s="2"/>
    </row>
    <row r="505" spans="1:8" x14ac:dyDescent="0.25">
      <c r="A505" s="2" t="s">
        <v>3323</v>
      </c>
      <c r="B505" s="3">
        <v>43467</v>
      </c>
      <c r="C505" s="2" t="s">
        <v>3324</v>
      </c>
      <c r="D505" t="s">
        <v>6143</v>
      </c>
      <c r="E505" s="2">
        <v>4</v>
      </c>
      <c r="F505" s="2"/>
      <c r="G505" s="2"/>
      <c r="H505" s="2"/>
    </row>
    <row r="506" spans="1:8" x14ac:dyDescent="0.25">
      <c r="A506" s="2" t="s">
        <v>3323</v>
      </c>
      <c r="B506" s="3">
        <v>43467</v>
      </c>
      <c r="C506" s="2" t="s">
        <v>3324</v>
      </c>
      <c r="D506" t="s">
        <v>6145</v>
      </c>
      <c r="E506" s="2">
        <v>3</v>
      </c>
      <c r="F506" s="2"/>
      <c r="G506" s="2"/>
      <c r="H506" s="2"/>
    </row>
    <row r="507" spans="1:8" x14ac:dyDescent="0.25">
      <c r="A507" s="2" t="s">
        <v>3343</v>
      </c>
      <c r="B507" s="3">
        <v>44609</v>
      </c>
      <c r="C507" s="2" t="s">
        <v>3344</v>
      </c>
      <c r="D507" t="s">
        <v>6159</v>
      </c>
      <c r="E507" s="2">
        <v>6</v>
      </c>
      <c r="F507" s="2"/>
      <c r="G507" s="2"/>
      <c r="H507" s="2"/>
    </row>
    <row r="508" spans="1:8" x14ac:dyDescent="0.25">
      <c r="A508" s="2" t="s">
        <v>3349</v>
      </c>
      <c r="B508" s="3">
        <v>44184</v>
      </c>
      <c r="C508" s="2" t="s">
        <v>3350</v>
      </c>
      <c r="D508" t="s">
        <v>6140</v>
      </c>
      <c r="E508" s="2">
        <v>2</v>
      </c>
      <c r="F508" s="2"/>
      <c r="G508" s="2"/>
      <c r="H508" s="2"/>
    </row>
    <row r="509" spans="1:8" x14ac:dyDescent="0.25">
      <c r="A509" s="2" t="s">
        <v>3355</v>
      </c>
      <c r="B509" s="3">
        <v>43516</v>
      </c>
      <c r="C509" s="2" t="s">
        <v>3356</v>
      </c>
      <c r="D509" t="s">
        <v>6182</v>
      </c>
      <c r="E509" s="2">
        <v>3</v>
      </c>
      <c r="F509" s="2"/>
      <c r="G509" s="2"/>
      <c r="H509" s="2"/>
    </row>
    <row r="510" spans="1:8" x14ac:dyDescent="0.25">
      <c r="A510" s="2" t="s">
        <v>3361</v>
      </c>
      <c r="B510" s="3">
        <v>44210</v>
      </c>
      <c r="C510" s="2" t="s">
        <v>3362</v>
      </c>
      <c r="D510" t="s">
        <v>6169</v>
      </c>
      <c r="E510" s="2">
        <v>6</v>
      </c>
      <c r="F510" s="2"/>
      <c r="G510" s="2"/>
      <c r="H510" s="2"/>
    </row>
    <row r="511" spans="1:8" x14ac:dyDescent="0.25">
      <c r="A511" s="2" t="s">
        <v>3367</v>
      </c>
      <c r="B511" s="3">
        <v>43785</v>
      </c>
      <c r="C511" s="2" t="s">
        <v>3368</v>
      </c>
      <c r="D511" t="s">
        <v>6147</v>
      </c>
      <c r="E511" s="2">
        <v>3</v>
      </c>
      <c r="F511" s="2"/>
      <c r="G511" s="2"/>
      <c r="H511" s="2"/>
    </row>
    <row r="512" spans="1:8" x14ac:dyDescent="0.25">
      <c r="A512" s="2" t="s">
        <v>3373</v>
      </c>
      <c r="B512" s="3">
        <v>43803</v>
      </c>
      <c r="C512" s="2" t="s">
        <v>3374</v>
      </c>
      <c r="D512" t="s">
        <v>6178</v>
      </c>
      <c r="E512" s="2">
        <v>3</v>
      </c>
      <c r="F512" s="2"/>
      <c r="G512" s="2"/>
      <c r="H512" s="2"/>
    </row>
    <row r="513" spans="1:8" x14ac:dyDescent="0.25">
      <c r="A513" s="2" t="s">
        <v>3379</v>
      </c>
      <c r="B513" s="3">
        <v>44043</v>
      </c>
      <c r="C513" s="2" t="s">
        <v>3380</v>
      </c>
      <c r="D513" t="s">
        <v>6152</v>
      </c>
      <c r="E513" s="2">
        <v>4</v>
      </c>
      <c r="F513" s="2"/>
      <c r="G513" s="2"/>
      <c r="H513" s="2"/>
    </row>
    <row r="514" spans="1:8" x14ac:dyDescent="0.25">
      <c r="A514" s="2" t="s">
        <v>3385</v>
      </c>
      <c r="B514" s="3">
        <v>43535</v>
      </c>
      <c r="C514" s="2" t="s">
        <v>3386</v>
      </c>
      <c r="D514" t="s">
        <v>6170</v>
      </c>
      <c r="E514" s="2">
        <v>3</v>
      </c>
      <c r="F514" s="2"/>
      <c r="G514" s="2"/>
      <c r="H514" s="2"/>
    </row>
    <row r="515" spans="1:8" x14ac:dyDescent="0.25">
      <c r="A515" s="2" t="s">
        <v>3391</v>
      </c>
      <c r="B515" s="3">
        <v>44691</v>
      </c>
      <c r="C515" s="2" t="s">
        <v>3392</v>
      </c>
      <c r="D515" t="s">
        <v>6170</v>
      </c>
      <c r="E515" s="2">
        <v>5</v>
      </c>
      <c r="F515" s="2"/>
      <c r="G515" s="2"/>
      <c r="H515" s="2"/>
    </row>
    <row r="516" spans="1:8" x14ac:dyDescent="0.25">
      <c r="A516" s="2" t="s">
        <v>3396</v>
      </c>
      <c r="B516" s="3">
        <v>44555</v>
      </c>
      <c r="C516" s="2" t="s">
        <v>3397</v>
      </c>
      <c r="D516" t="s">
        <v>6159</v>
      </c>
      <c r="E516" s="2">
        <v>6</v>
      </c>
      <c r="F516" s="2"/>
      <c r="G516" s="2"/>
      <c r="H516" s="2"/>
    </row>
    <row r="517" spans="1:8" x14ac:dyDescent="0.25">
      <c r="A517" s="2" t="s">
        <v>3402</v>
      </c>
      <c r="B517" s="3">
        <v>44673</v>
      </c>
      <c r="C517" s="2" t="s">
        <v>3403</v>
      </c>
      <c r="D517" t="s">
        <v>6173</v>
      </c>
      <c r="E517" s="2">
        <v>3</v>
      </c>
      <c r="F517" s="2"/>
      <c r="G517" s="2"/>
      <c r="H517" s="2"/>
    </row>
    <row r="518" spans="1:8" x14ac:dyDescent="0.25">
      <c r="A518" s="2" t="s">
        <v>3408</v>
      </c>
      <c r="B518" s="3">
        <v>44723</v>
      </c>
      <c r="C518" s="2" t="s">
        <v>3409</v>
      </c>
      <c r="D518" t="s">
        <v>6149</v>
      </c>
      <c r="E518" s="2">
        <v>5</v>
      </c>
      <c r="F518" s="2"/>
      <c r="G518" s="2"/>
      <c r="H518" s="2"/>
    </row>
    <row r="519" spans="1:8" x14ac:dyDescent="0.25">
      <c r="A519" s="2" t="s">
        <v>3413</v>
      </c>
      <c r="B519" s="3">
        <v>44678</v>
      </c>
      <c r="C519" s="2" t="s">
        <v>3414</v>
      </c>
      <c r="D519" t="s">
        <v>6150</v>
      </c>
      <c r="E519" s="2">
        <v>2</v>
      </c>
      <c r="F519" s="2"/>
      <c r="G519" s="2"/>
      <c r="H519" s="2"/>
    </row>
    <row r="520" spans="1:8" x14ac:dyDescent="0.25">
      <c r="A520" s="2" t="s">
        <v>3418</v>
      </c>
      <c r="B520" s="3">
        <v>44194</v>
      </c>
      <c r="C520" s="2" t="s">
        <v>3419</v>
      </c>
      <c r="D520" t="s">
        <v>6185</v>
      </c>
      <c r="E520" s="2">
        <v>5</v>
      </c>
      <c r="F520" s="2"/>
      <c r="G520" s="2"/>
      <c r="H520" s="2"/>
    </row>
    <row r="521" spans="1:8" x14ac:dyDescent="0.25">
      <c r="A521" s="2" t="s">
        <v>3424</v>
      </c>
      <c r="B521" s="3">
        <v>44026</v>
      </c>
      <c r="C521" s="2" t="s">
        <v>3368</v>
      </c>
      <c r="D521" t="s">
        <v>6158</v>
      </c>
      <c r="E521" s="2">
        <v>2</v>
      </c>
      <c r="F521" s="2"/>
      <c r="G521" s="2"/>
      <c r="H521" s="2"/>
    </row>
    <row r="522" spans="1:8" x14ac:dyDescent="0.25">
      <c r="A522" s="2" t="s">
        <v>3430</v>
      </c>
      <c r="B522" s="3">
        <v>44446</v>
      </c>
      <c r="C522" s="2" t="s">
        <v>3431</v>
      </c>
      <c r="D522" t="s">
        <v>6150</v>
      </c>
      <c r="E522" s="2">
        <v>1</v>
      </c>
      <c r="F522" s="2"/>
      <c r="G522" s="2"/>
      <c r="H522" s="2"/>
    </row>
    <row r="523" spans="1:8" x14ac:dyDescent="0.25">
      <c r="A523" s="2" t="s">
        <v>3430</v>
      </c>
      <c r="B523" s="3">
        <v>44446</v>
      </c>
      <c r="C523" s="2" t="s">
        <v>3431</v>
      </c>
      <c r="D523" t="s">
        <v>6138</v>
      </c>
      <c r="E523" s="2">
        <v>4</v>
      </c>
      <c r="F523" s="2"/>
      <c r="G523" s="2"/>
      <c r="H523" s="2"/>
    </row>
    <row r="524" spans="1:8" x14ac:dyDescent="0.25">
      <c r="A524" s="2" t="s">
        <v>3441</v>
      </c>
      <c r="B524" s="3">
        <v>43625</v>
      </c>
      <c r="C524" s="2" t="s">
        <v>3442</v>
      </c>
      <c r="D524" t="s">
        <v>6146</v>
      </c>
      <c r="E524" s="2">
        <v>5</v>
      </c>
      <c r="F524" s="2"/>
      <c r="G524" s="2"/>
      <c r="H524" s="2"/>
    </row>
    <row r="525" spans="1:8" x14ac:dyDescent="0.25">
      <c r="A525" s="2" t="s">
        <v>3447</v>
      </c>
      <c r="B525" s="3">
        <v>44129</v>
      </c>
      <c r="C525" s="2" t="s">
        <v>3448</v>
      </c>
      <c r="D525" t="s">
        <v>6165</v>
      </c>
      <c r="E525" s="2">
        <v>1</v>
      </c>
      <c r="F525" s="2"/>
      <c r="G525" s="2"/>
      <c r="H525" s="2"/>
    </row>
    <row r="526" spans="1:8" x14ac:dyDescent="0.25">
      <c r="A526" s="2" t="s">
        <v>3453</v>
      </c>
      <c r="B526" s="3">
        <v>44255</v>
      </c>
      <c r="C526" s="2" t="s">
        <v>3454</v>
      </c>
      <c r="D526" t="s">
        <v>6164</v>
      </c>
      <c r="E526" s="2">
        <v>2</v>
      </c>
      <c r="F526" s="2"/>
      <c r="G526" s="2"/>
      <c r="H526" s="2"/>
    </row>
    <row r="527" spans="1:8" x14ac:dyDescent="0.25">
      <c r="A527" s="2" t="s">
        <v>3458</v>
      </c>
      <c r="B527" s="3">
        <v>44038</v>
      </c>
      <c r="C527" s="2" t="s">
        <v>3459</v>
      </c>
      <c r="D527" t="s">
        <v>6163</v>
      </c>
      <c r="E527" s="2">
        <v>5</v>
      </c>
      <c r="F527" s="2"/>
      <c r="G527" s="2"/>
      <c r="H527" s="2"/>
    </row>
    <row r="528" spans="1:8" x14ac:dyDescent="0.25">
      <c r="A528" s="2" t="s">
        <v>3463</v>
      </c>
      <c r="B528" s="3">
        <v>44717</v>
      </c>
      <c r="C528" s="2" t="s">
        <v>3464</v>
      </c>
      <c r="D528" t="s">
        <v>6166</v>
      </c>
      <c r="E528" s="2">
        <v>4</v>
      </c>
      <c r="F528" s="2"/>
      <c r="G528" s="2"/>
      <c r="H528" s="2"/>
    </row>
    <row r="529" spans="1:8" x14ac:dyDescent="0.25">
      <c r="A529" s="2" t="s">
        <v>3469</v>
      </c>
      <c r="B529" s="3">
        <v>43517</v>
      </c>
      <c r="C529" s="2" t="s">
        <v>3470</v>
      </c>
      <c r="D529" t="s">
        <v>6139</v>
      </c>
      <c r="E529" s="2">
        <v>5</v>
      </c>
      <c r="F529" s="2"/>
      <c r="G529" s="2"/>
      <c r="H529" s="2"/>
    </row>
    <row r="530" spans="1:8" x14ac:dyDescent="0.25">
      <c r="A530" s="2" t="s">
        <v>3475</v>
      </c>
      <c r="B530" s="3">
        <v>43926</v>
      </c>
      <c r="C530" s="2" t="s">
        <v>3476</v>
      </c>
      <c r="D530" t="s">
        <v>6176</v>
      </c>
      <c r="E530" s="2">
        <v>6</v>
      </c>
      <c r="F530" s="2"/>
      <c r="G530" s="2"/>
      <c r="H530" s="2"/>
    </row>
    <row r="531" spans="1:8" x14ac:dyDescent="0.25">
      <c r="A531" s="2" t="s">
        <v>3481</v>
      </c>
      <c r="B531" s="3">
        <v>43475</v>
      </c>
      <c r="C531" s="2" t="s">
        <v>3482</v>
      </c>
      <c r="D531" t="s">
        <v>6138</v>
      </c>
      <c r="E531" s="2">
        <v>6</v>
      </c>
      <c r="F531" s="2"/>
      <c r="G531" s="2"/>
      <c r="H531" s="2"/>
    </row>
    <row r="532" spans="1:8" x14ac:dyDescent="0.25">
      <c r="A532" s="2" t="s">
        <v>3487</v>
      </c>
      <c r="B532" s="3">
        <v>44663</v>
      </c>
      <c r="C532" s="2" t="s">
        <v>3488</v>
      </c>
      <c r="D532" t="s">
        <v>6138</v>
      </c>
      <c r="E532" s="2">
        <v>6</v>
      </c>
      <c r="F532" s="2"/>
      <c r="G532" s="2"/>
      <c r="H532" s="2"/>
    </row>
    <row r="533" spans="1:8" x14ac:dyDescent="0.25">
      <c r="A533" s="2" t="s">
        <v>3493</v>
      </c>
      <c r="B533" s="3">
        <v>44591</v>
      </c>
      <c r="C533" s="2" t="s">
        <v>3494</v>
      </c>
      <c r="D533" t="s">
        <v>6177</v>
      </c>
      <c r="E533" s="2">
        <v>5</v>
      </c>
      <c r="F533" s="2"/>
      <c r="G533" s="2"/>
      <c r="H533" s="2"/>
    </row>
    <row r="534" spans="1:8" x14ac:dyDescent="0.25">
      <c r="A534" s="2" t="s">
        <v>3499</v>
      </c>
      <c r="B534" s="3">
        <v>44330</v>
      </c>
      <c r="C534" s="2" t="s">
        <v>3500</v>
      </c>
      <c r="D534" t="s">
        <v>6139</v>
      </c>
      <c r="E534" s="2">
        <v>2</v>
      </c>
      <c r="F534" s="2"/>
      <c r="G534" s="2"/>
      <c r="H534" s="2"/>
    </row>
    <row r="535" spans="1:8" x14ac:dyDescent="0.25">
      <c r="A535" s="2" t="s">
        <v>3505</v>
      </c>
      <c r="B535" s="3">
        <v>44724</v>
      </c>
      <c r="C535" s="2" t="s">
        <v>3506</v>
      </c>
      <c r="D535" t="s">
        <v>6172</v>
      </c>
      <c r="E535" s="2">
        <v>4</v>
      </c>
      <c r="F535" s="2"/>
      <c r="G535" s="2"/>
      <c r="H535" s="2"/>
    </row>
    <row r="536" spans="1:8" x14ac:dyDescent="0.25">
      <c r="A536" s="2" t="s">
        <v>3510</v>
      </c>
      <c r="B536" s="3">
        <v>44563</v>
      </c>
      <c r="C536" s="2" t="s">
        <v>3511</v>
      </c>
      <c r="D536" t="s">
        <v>6151</v>
      </c>
      <c r="E536" s="2">
        <v>2</v>
      </c>
      <c r="F536" s="2"/>
      <c r="G536" s="2"/>
      <c r="H536" s="2"/>
    </row>
    <row r="537" spans="1:8" x14ac:dyDescent="0.25">
      <c r="A537" s="2" t="s">
        <v>3516</v>
      </c>
      <c r="B537" s="3">
        <v>44585</v>
      </c>
      <c r="C537" s="2" t="s">
        <v>3517</v>
      </c>
      <c r="D537" t="s">
        <v>6145</v>
      </c>
      <c r="E537" s="2">
        <v>2</v>
      </c>
      <c r="F537" s="2"/>
      <c r="G537" s="2"/>
      <c r="H537" s="2"/>
    </row>
    <row r="538" spans="1:8" x14ac:dyDescent="0.25">
      <c r="A538" s="2" t="s">
        <v>3521</v>
      </c>
      <c r="B538" s="3">
        <v>43544</v>
      </c>
      <c r="C538" s="2" t="s">
        <v>3368</v>
      </c>
      <c r="D538" t="s">
        <v>6163</v>
      </c>
      <c r="E538" s="2">
        <v>3</v>
      </c>
      <c r="F538" s="2"/>
      <c r="G538" s="2"/>
      <c r="H538" s="2"/>
    </row>
    <row r="539" spans="1:8" x14ac:dyDescent="0.25">
      <c r="A539" s="2" t="s">
        <v>3527</v>
      </c>
      <c r="B539" s="3">
        <v>44156</v>
      </c>
      <c r="C539" s="2" t="s">
        <v>3528</v>
      </c>
      <c r="D539" t="s">
        <v>6185</v>
      </c>
      <c r="E539" s="2">
        <v>4</v>
      </c>
      <c r="F539" s="2"/>
      <c r="G539" s="2"/>
      <c r="H539" s="2"/>
    </row>
    <row r="540" spans="1:8" x14ac:dyDescent="0.25">
      <c r="A540" s="2" t="s">
        <v>3532</v>
      </c>
      <c r="B540" s="3">
        <v>44482</v>
      </c>
      <c r="C540" s="2" t="s">
        <v>3533</v>
      </c>
      <c r="D540" t="s">
        <v>6163</v>
      </c>
      <c r="E540" s="2">
        <v>4</v>
      </c>
      <c r="F540" s="2"/>
      <c r="G540" s="2"/>
      <c r="H540" s="2"/>
    </row>
    <row r="541" spans="1:8" x14ac:dyDescent="0.25">
      <c r="A541" s="2" t="s">
        <v>3537</v>
      </c>
      <c r="B541" s="3">
        <v>44488</v>
      </c>
      <c r="C541" s="2" t="s">
        <v>3538</v>
      </c>
      <c r="D541" t="s">
        <v>6172</v>
      </c>
      <c r="E541" s="2">
        <v>5</v>
      </c>
      <c r="F541" s="2"/>
      <c r="G541" s="2"/>
      <c r="H541" s="2"/>
    </row>
    <row r="542" spans="1:8" x14ac:dyDescent="0.25">
      <c r="A542" s="2" t="s">
        <v>3542</v>
      </c>
      <c r="B542" s="3">
        <v>43584</v>
      </c>
      <c r="C542" s="2" t="s">
        <v>3543</v>
      </c>
      <c r="D542" t="s">
        <v>6170</v>
      </c>
      <c r="E542" s="2">
        <v>4</v>
      </c>
      <c r="F542" s="2"/>
      <c r="G542" s="2"/>
      <c r="H542" s="2"/>
    </row>
    <row r="543" spans="1:8" x14ac:dyDescent="0.25">
      <c r="A543" s="2" t="s">
        <v>3548</v>
      </c>
      <c r="B543" s="3">
        <v>43750</v>
      </c>
      <c r="C543" s="2" t="s">
        <v>3549</v>
      </c>
      <c r="D543" t="s">
        <v>6168</v>
      </c>
      <c r="E543" s="2">
        <v>1</v>
      </c>
      <c r="F543" s="2"/>
      <c r="G543" s="2"/>
      <c r="H543" s="2"/>
    </row>
    <row r="544" spans="1:8" x14ac:dyDescent="0.25">
      <c r="A544" s="2" t="s">
        <v>3553</v>
      </c>
      <c r="B544" s="3">
        <v>44335</v>
      </c>
      <c r="C544" s="2" t="s">
        <v>3554</v>
      </c>
      <c r="D544" t="s">
        <v>6175</v>
      </c>
      <c r="E544" s="2">
        <v>4</v>
      </c>
      <c r="F544" s="2"/>
      <c r="G544" s="2"/>
      <c r="H544" s="2"/>
    </row>
    <row r="545" spans="1:8" x14ac:dyDescent="0.25">
      <c r="A545" s="2" t="s">
        <v>3559</v>
      </c>
      <c r="B545" s="3">
        <v>44380</v>
      </c>
      <c r="C545" s="2" t="s">
        <v>3560</v>
      </c>
      <c r="D545" t="s">
        <v>6142</v>
      </c>
      <c r="E545" s="2">
        <v>2</v>
      </c>
      <c r="F545" s="2"/>
      <c r="G545" s="2"/>
      <c r="H545" s="2"/>
    </row>
    <row r="546" spans="1:8" x14ac:dyDescent="0.25">
      <c r="A546" s="2" t="s">
        <v>3565</v>
      </c>
      <c r="B546" s="3">
        <v>43869</v>
      </c>
      <c r="C546" s="2" t="s">
        <v>3566</v>
      </c>
      <c r="D546" t="s">
        <v>6180</v>
      </c>
      <c r="E546" s="2">
        <v>2</v>
      </c>
      <c r="F546" s="2"/>
      <c r="G546" s="2"/>
      <c r="H546" s="2"/>
    </row>
    <row r="547" spans="1:8" x14ac:dyDescent="0.25">
      <c r="A547" s="2" t="s">
        <v>3571</v>
      </c>
      <c r="B547" s="3">
        <v>44120</v>
      </c>
      <c r="C547" s="2" t="s">
        <v>3572</v>
      </c>
      <c r="D547" t="s">
        <v>6150</v>
      </c>
      <c r="E547" s="2">
        <v>4</v>
      </c>
      <c r="F547" s="2"/>
      <c r="G547" s="2"/>
      <c r="H547" s="2"/>
    </row>
    <row r="548" spans="1:8" x14ac:dyDescent="0.25">
      <c r="A548" s="2" t="s">
        <v>3577</v>
      </c>
      <c r="B548" s="3">
        <v>44127</v>
      </c>
      <c r="C548" s="2" t="s">
        <v>3578</v>
      </c>
      <c r="D548" t="s">
        <v>6185</v>
      </c>
      <c r="E548" s="2">
        <v>3</v>
      </c>
      <c r="F548" s="2"/>
      <c r="G548" s="2"/>
      <c r="H548" s="2"/>
    </row>
    <row r="549" spans="1:8" x14ac:dyDescent="0.25">
      <c r="A549" s="2" t="s">
        <v>3582</v>
      </c>
      <c r="B549" s="3">
        <v>44265</v>
      </c>
      <c r="C549" s="2" t="s">
        <v>3594</v>
      </c>
      <c r="D549" t="s">
        <v>6178</v>
      </c>
      <c r="E549" s="2">
        <v>3</v>
      </c>
      <c r="F549" s="2"/>
      <c r="G549" s="2"/>
      <c r="H549" s="2"/>
    </row>
    <row r="550" spans="1:8" x14ac:dyDescent="0.25">
      <c r="A550" s="2" t="s">
        <v>3587</v>
      </c>
      <c r="B550" s="3">
        <v>44384</v>
      </c>
      <c r="C550" s="2" t="s">
        <v>3588</v>
      </c>
      <c r="D550" t="s">
        <v>6184</v>
      </c>
      <c r="E550" s="2">
        <v>3</v>
      </c>
      <c r="F550" s="2"/>
      <c r="G550" s="2"/>
      <c r="H550" s="2"/>
    </row>
    <row r="551" spans="1:8" x14ac:dyDescent="0.25">
      <c r="A551" s="2" t="s">
        <v>3593</v>
      </c>
      <c r="B551" s="3">
        <v>44232</v>
      </c>
      <c r="C551" s="2" t="s">
        <v>3594</v>
      </c>
      <c r="D551" t="s">
        <v>6184</v>
      </c>
      <c r="E551" s="2">
        <v>4</v>
      </c>
      <c r="F551" s="2"/>
      <c r="G551" s="2"/>
      <c r="H551" s="2"/>
    </row>
    <row r="552" spans="1:8" x14ac:dyDescent="0.25">
      <c r="A552" s="2" t="s">
        <v>3599</v>
      </c>
      <c r="B552" s="3">
        <v>44176</v>
      </c>
      <c r="C552" s="2" t="s">
        <v>3600</v>
      </c>
      <c r="D552" t="s">
        <v>6150</v>
      </c>
      <c r="E552" s="2">
        <v>6</v>
      </c>
      <c r="F552" s="2"/>
      <c r="G552" s="2"/>
      <c r="H552" s="2"/>
    </row>
    <row r="553" spans="1:8" x14ac:dyDescent="0.25">
      <c r="A553" s="2" t="s">
        <v>3605</v>
      </c>
      <c r="B553" s="3">
        <v>44694</v>
      </c>
      <c r="C553" s="2" t="s">
        <v>3606</v>
      </c>
      <c r="D553" t="s">
        <v>6153</v>
      </c>
      <c r="E553" s="2">
        <v>2</v>
      </c>
      <c r="F553" s="2"/>
      <c r="G553" s="2"/>
      <c r="H553" s="2"/>
    </row>
    <row r="554" spans="1:8" x14ac:dyDescent="0.25">
      <c r="A554" s="2" t="s">
        <v>3611</v>
      </c>
      <c r="B554" s="3">
        <v>43761</v>
      </c>
      <c r="C554" s="2" t="s">
        <v>3612</v>
      </c>
      <c r="D554" t="s">
        <v>6184</v>
      </c>
      <c r="E554" s="2">
        <v>4</v>
      </c>
      <c r="F554" s="2"/>
      <c r="G554" s="2"/>
      <c r="H554" s="2"/>
    </row>
    <row r="555" spans="1:8" x14ac:dyDescent="0.25">
      <c r="A555" s="2" t="s">
        <v>3617</v>
      </c>
      <c r="B555" s="3">
        <v>44085</v>
      </c>
      <c r="C555" s="2" t="s">
        <v>3618</v>
      </c>
      <c r="D555" t="s">
        <v>6141</v>
      </c>
      <c r="E555" s="2">
        <v>5</v>
      </c>
      <c r="F555" s="2"/>
      <c r="G555" s="2"/>
      <c r="H555" s="2"/>
    </row>
    <row r="556" spans="1:8" x14ac:dyDescent="0.25">
      <c r="A556" s="2" t="s">
        <v>3622</v>
      </c>
      <c r="B556" s="3">
        <v>43737</v>
      </c>
      <c r="C556" s="2" t="s">
        <v>3623</v>
      </c>
      <c r="D556" t="s">
        <v>6142</v>
      </c>
      <c r="E556" s="2">
        <v>2</v>
      </c>
      <c r="F556" s="2"/>
      <c r="G556" s="2"/>
      <c r="H556" s="2"/>
    </row>
    <row r="557" spans="1:8" x14ac:dyDescent="0.25">
      <c r="A557" s="2" t="s">
        <v>3627</v>
      </c>
      <c r="B557" s="3">
        <v>44258</v>
      </c>
      <c r="C557" s="2" t="s">
        <v>3628</v>
      </c>
      <c r="D557" t="s">
        <v>6141</v>
      </c>
      <c r="E557" s="2">
        <v>6</v>
      </c>
      <c r="F557" s="2"/>
      <c r="G557" s="2"/>
      <c r="H557" s="2"/>
    </row>
    <row r="558" spans="1:8" x14ac:dyDescent="0.25">
      <c r="A558" s="2" t="s">
        <v>3633</v>
      </c>
      <c r="B558" s="3">
        <v>44523</v>
      </c>
      <c r="C558" s="2" t="s">
        <v>3634</v>
      </c>
      <c r="D558" t="s">
        <v>6159</v>
      </c>
      <c r="E558" s="2">
        <v>2</v>
      </c>
      <c r="F558" s="2"/>
      <c r="G558" s="2"/>
      <c r="H558" s="2"/>
    </row>
    <row r="559" spans="1:8" x14ac:dyDescent="0.25">
      <c r="A559" s="2" t="s">
        <v>3638</v>
      </c>
      <c r="B559" s="3">
        <v>44506</v>
      </c>
      <c r="C559" s="2" t="s">
        <v>3368</v>
      </c>
      <c r="D559" t="s">
        <v>6171</v>
      </c>
      <c r="E559" s="2">
        <v>4</v>
      </c>
      <c r="F559" s="2"/>
      <c r="G559" s="2"/>
      <c r="H559" s="2"/>
    </row>
    <row r="560" spans="1:8" x14ac:dyDescent="0.25">
      <c r="A560" s="2" t="s">
        <v>3643</v>
      </c>
      <c r="B560" s="3">
        <v>44225</v>
      </c>
      <c r="C560" s="2" t="s">
        <v>3644</v>
      </c>
      <c r="D560" t="s">
        <v>6150</v>
      </c>
      <c r="E560" s="2">
        <v>4</v>
      </c>
      <c r="F560" s="2"/>
      <c r="G560" s="2"/>
      <c r="H560" s="2"/>
    </row>
    <row r="561" spans="1:8" x14ac:dyDescent="0.25">
      <c r="A561" s="2" t="s">
        <v>3648</v>
      </c>
      <c r="B561" s="3">
        <v>44667</v>
      </c>
      <c r="C561" s="2" t="s">
        <v>3649</v>
      </c>
      <c r="D561" t="s">
        <v>6140</v>
      </c>
      <c r="E561" s="2">
        <v>3</v>
      </c>
      <c r="F561" s="2"/>
      <c r="G561" s="2"/>
      <c r="H561" s="2"/>
    </row>
    <row r="562" spans="1:8" x14ac:dyDescent="0.25">
      <c r="A562" s="2" t="s">
        <v>3654</v>
      </c>
      <c r="B562" s="3">
        <v>44401</v>
      </c>
      <c r="C562" s="2" t="s">
        <v>3655</v>
      </c>
      <c r="D562" t="s">
        <v>6166</v>
      </c>
      <c r="E562" s="2">
        <v>6</v>
      </c>
      <c r="F562" s="2"/>
      <c r="G562" s="2"/>
      <c r="H562" s="2"/>
    </row>
    <row r="563" spans="1:8" x14ac:dyDescent="0.25">
      <c r="A563" s="2" t="s">
        <v>3659</v>
      </c>
      <c r="B563" s="3">
        <v>43688</v>
      </c>
      <c r="C563" s="2" t="s">
        <v>3660</v>
      </c>
      <c r="D563" t="s">
        <v>6154</v>
      </c>
      <c r="E563" s="2">
        <v>6</v>
      </c>
      <c r="F563" s="2"/>
      <c r="G563" s="2"/>
      <c r="H563" s="2"/>
    </row>
    <row r="564" spans="1:8" x14ac:dyDescent="0.25">
      <c r="A564" s="2" t="s">
        <v>3665</v>
      </c>
      <c r="B564" s="3">
        <v>43669</v>
      </c>
      <c r="C564" s="2" t="s">
        <v>3666</v>
      </c>
      <c r="D564" t="s">
        <v>6145</v>
      </c>
      <c r="E564" s="2">
        <v>6</v>
      </c>
      <c r="F564" s="2"/>
      <c r="G564" s="2"/>
      <c r="H564" s="2"/>
    </row>
    <row r="565" spans="1:8" x14ac:dyDescent="0.25">
      <c r="A565" s="2" t="s">
        <v>3671</v>
      </c>
      <c r="B565" s="3">
        <v>43991</v>
      </c>
      <c r="C565" s="2" t="s">
        <v>3752</v>
      </c>
      <c r="D565" t="s">
        <v>6141</v>
      </c>
      <c r="E565" s="2">
        <v>6</v>
      </c>
      <c r="F565" s="2"/>
      <c r="G565" s="2"/>
      <c r="H565" s="2"/>
    </row>
    <row r="566" spans="1:8" x14ac:dyDescent="0.25">
      <c r="A566" s="2" t="s">
        <v>3677</v>
      </c>
      <c r="B566" s="3">
        <v>43883</v>
      </c>
      <c r="C566" s="2" t="s">
        <v>3678</v>
      </c>
      <c r="D566" t="s">
        <v>6173</v>
      </c>
      <c r="E566" s="2">
        <v>2</v>
      </c>
      <c r="F566" s="2"/>
      <c r="G566" s="2"/>
      <c r="H566" s="2"/>
    </row>
    <row r="567" spans="1:8" x14ac:dyDescent="0.25">
      <c r="A567" s="2" t="s">
        <v>3683</v>
      </c>
      <c r="B567" s="3">
        <v>44031</v>
      </c>
      <c r="C567" s="2" t="s">
        <v>3684</v>
      </c>
      <c r="D567" t="s">
        <v>6149</v>
      </c>
      <c r="E567" s="2">
        <v>4</v>
      </c>
      <c r="F567" s="2"/>
      <c r="G567" s="2"/>
      <c r="H567" s="2"/>
    </row>
    <row r="568" spans="1:8" x14ac:dyDescent="0.25">
      <c r="A568" s="2" t="s">
        <v>3689</v>
      </c>
      <c r="B568" s="3">
        <v>44459</v>
      </c>
      <c r="C568" s="2" t="s">
        <v>3690</v>
      </c>
      <c r="D568" t="s">
        <v>6152</v>
      </c>
      <c r="E568" s="2">
        <v>6</v>
      </c>
      <c r="F568" s="2"/>
      <c r="G568" s="2"/>
      <c r="H568" s="2"/>
    </row>
    <row r="569" spans="1:8" x14ac:dyDescent="0.25">
      <c r="A569" s="2" t="s">
        <v>3695</v>
      </c>
      <c r="B569" s="3">
        <v>44318</v>
      </c>
      <c r="C569" s="2" t="s">
        <v>3696</v>
      </c>
      <c r="D569" t="s">
        <v>6142</v>
      </c>
      <c r="E569" s="2">
        <v>6</v>
      </c>
      <c r="F569" s="2"/>
      <c r="G569" s="2"/>
      <c r="H569" s="2"/>
    </row>
    <row r="570" spans="1:8" x14ac:dyDescent="0.25">
      <c r="A570" s="2" t="s">
        <v>3700</v>
      </c>
      <c r="B570" s="3">
        <v>44526</v>
      </c>
      <c r="C570" s="2" t="s">
        <v>3701</v>
      </c>
      <c r="D570" t="s">
        <v>6145</v>
      </c>
      <c r="E570" s="2">
        <v>4</v>
      </c>
      <c r="F570" s="2"/>
      <c r="G570" s="2"/>
      <c r="H570" s="2"/>
    </row>
    <row r="571" spans="1:8" x14ac:dyDescent="0.25">
      <c r="A571" s="2" t="s">
        <v>3706</v>
      </c>
      <c r="B571" s="3">
        <v>43879</v>
      </c>
      <c r="C571" s="2" t="s">
        <v>3752</v>
      </c>
      <c r="D571" t="s">
        <v>6168</v>
      </c>
      <c r="E571" s="2">
        <v>6</v>
      </c>
      <c r="F571" s="2"/>
      <c r="G571" s="2"/>
      <c r="H571" s="2"/>
    </row>
    <row r="572" spans="1:8" x14ac:dyDescent="0.25">
      <c r="A572" s="2" t="s">
        <v>3712</v>
      </c>
      <c r="B572" s="3">
        <v>43928</v>
      </c>
      <c r="C572" s="2" t="s">
        <v>3713</v>
      </c>
      <c r="D572" t="s">
        <v>6157</v>
      </c>
      <c r="E572" s="2">
        <v>4</v>
      </c>
      <c r="F572" s="2"/>
      <c r="G572" s="2"/>
      <c r="H572" s="2"/>
    </row>
    <row r="573" spans="1:8" x14ac:dyDescent="0.25">
      <c r="A573" s="2" t="s">
        <v>3718</v>
      </c>
      <c r="B573" s="3">
        <v>44592</v>
      </c>
      <c r="C573" s="2" t="s">
        <v>3719</v>
      </c>
      <c r="D573" t="s">
        <v>6176</v>
      </c>
      <c r="E573" s="2">
        <v>4</v>
      </c>
      <c r="F573" s="2"/>
      <c r="G573" s="2"/>
      <c r="H573" s="2"/>
    </row>
    <row r="574" spans="1:8" x14ac:dyDescent="0.25">
      <c r="A574" s="2" t="s">
        <v>3724</v>
      </c>
      <c r="B574" s="3">
        <v>43515</v>
      </c>
      <c r="C574" s="2" t="s">
        <v>3725</v>
      </c>
      <c r="D574" t="s">
        <v>6154</v>
      </c>
      <c r="E574" s="2">
        <v>2</v>
      </c>
      <c r="F574" s="2"/>
      <c r="G574" s="2"/>
      <c r="H574" s="2"/>
    </row>
    <row r="575" spans="1:8" x14ac:dyDescent="0.25">
      <c r="A575" s="2" t="s">
        <v>3728</v>
      </c>
      <c r="B575" s="3">
        <v>43781</v>
      </c>
      <c r="C575" s="2" t="s">
        <v>3729</v>
      </c>
      <c r="D575" t="s">
        <v>6155</v>
      </c>
      <c r="E575" s="2">
        <v>6</v>
      </c>
      <c r="F575" s="2"/>
      <c r="G575" s="2"/>
      <c r="H575" s="2"/>
    </row>
    <row r="576" spans="1:8" x14ac:dyDescent="0.25">
      <c r="A576" s="2" t="s">
        <v>3734</v>
      </c>
      <c r="B576" s="3">
        <v>44697</v>
      </c>
      <c r="C576" s="2" t="s">
        <v>3735</v>
      </c>
      <c r="D576" t="s">
        <v>6178</v>
      </c>
      <c r="E576" s="2">
        <v>6</v>
      </c>
      <c r="F576" s="2"/>
      <c r="G576" s="2"/>
      <c r="H576" s="2"/>
    </row>
    <row r="577" spans="1:8" x14ac:dyDescent="0.25">
      <c r="A577" s="2" t="s">
        <v>3739</v>
      </c>
      <c r="B577" s="3">
        <v>44239</v>
      </c>
      <c r="C577" s="2" t="s">
        <v>3740</v>
      </c>
      <c r="D577" t="s">
        <v>6181</v>
      </c>
      <c r="E577" s="2">
        <v>2</v>
      </c>
      <c r="F577" s="2"/>
      <c r="G577" s="2"/>
      <c r="H577" s="2"/>
    </row>
    <row r="578" spans="1:8" x14ac:dyDescent="0.25">
      <c r="A578" s="2" t="s">
        <v>3745</v>
      </c>
      <c r="B578" s="3">
        <v>44290</v>
      </c>
      <c r="C578" s="2" t="s">
        <v>3746</v>
      </c>
      <c r="D578" t="s">
        <v>6154</v>
      </c>
      <c r="E578" s="2">
        <v>6</v>
      </c>
      <c r="F578" s="2"/>
      <c r="G578" s="2"/>
      <c r="H578" s="2"/>
    </row>
    <row r="579" spans="1:8" x14ac:dyDescent="0.25">
      <c r="A579" s="2" t="s">
        <v>3751</v>
      </c>
      <c r="B579" s="3">
        <v>44410</v>
      </c>
      <c r="C579" s="2" t="s">
        <v>3752</v>
      </c>
      <c r="D579" t="s">
        <v>6162</v>
      </c>
      <c r="E579" s="2">
        <v>4</v>
      </c>
      <c r="F579" s="2"/>
      <c r="G579" s="2"/>
      <c r="H579" s="2"/>
    </row>
    <row r="580" spans="1:8" x14ac:dyDescent="0.25">
      <c r="A580" s="2" t="s">
        <v>3756</v>
      </c>
      <c r="B580" s="3">
        <v>44720</v>
      </c>
      <c r="C580" s="2" t="s">
        <v>3757</v>
      </c>
      <c r="D580" t="s">
        <v>6184</v>
      </c>
      <c r="E580" s="2">
        <v>3</v>
      </c>
      <c r="F580" s="2"/>
      <c r="G580" s="2"/>
      <c r="H580" s="2"/>
    </row>
    <row r="581" spans="1:8" x14ac:dyDescent="0.25">
      <c r="A581" s="2" t="s">
        <v>3756</v>
      </c>
      <c r="B581" s="3">
        <v>44720</v>
      </c>
      <c r="C581" s="2" t="s">
        <v>3757</v>
      </c>
      <c r="D581" t="s">
        <v>6157</v>
      </c>
      <c r="E581" s="2">
        <v>5</v>
      </c>
      <c r="F581" s="2"/>
      <c r="G581" s="2"/>
      <c r="H581" s="2"/>
    </row>
    <row r="582" spans="1:8" x14ac:dyDescent="0.25">
      <c r="A582" s="2" t="s">
        <v>3767</v>
      </c>
      <c r="B582" s="3">
        <v>43965</v>
      </c>
      <c r="C582" s="2" t="s">
        <v>3768</v>
      </c>
      <c r="D582" t="s">
        <v>6171</v>
      </c>
      <c r="E582" s="2">
        <v>3</v>
      </c>
      <c r="F582" s="2"/>
      <c r="G582" s="2"/>
      <c r="H582" s="2"/>
    </row>
    <row r="583" spans="1:8" x14ac:dyDescent="0.25">
      <c r="A583" s="2" t="s">
        <v>3773</v>
      </c>
      <c r="B583" s="3">
        <v>44190</v>
      </c>
      <c r="C583" s="2" t="s">
        <v>3774</v>
      </c>
      <c r="D583" t="s">
        <v>6176</v>
      </c>
      <c r="E583" s="2">
        <v>5</v>
      </c>
      <c r="F583" s="2"/>
      <c r="G583" s="2"/>
      <c r="H583" s="2"/>
    </row>
    <row r="584" spans="1:8" x14ac:dyDescent="0.25">
      <c r="A584" s="2" t="s">
        <v>3778</v>
      </c>
      <c r="B584" s="3">
        <v>44382</v>
      </c>
      <c r="C584" s="2" t="s">
        <v>3779</v>
      </c>
      <c r="D584" t="s">
        <v>6183</v>
      </c>
      <c r="E584" s="2">
        <v>5</v>
      </c>
      <c r="F584" s="2"/>
      <c r="G584" s="2"/>
      <c r="H584" s="2"/>
    </row>
    <row r="585" spans="1:8" x14ac:dyDescent="0.25">
      <c r="A585" s="2" t="s">
        <v>3784</v>
      </c>
      <c r="B585" s="3">
        <v>43538</v>
      </c>
      <c r="C585" s="2" t="s">
        <v>3785</v>
      </c>
      <c r="D585" t="s">
        <v>6178</v>
      </c>
      <c r="E585" s="2">
        <v>1</v>
      </c>
      <c r="F585" s="2"/>
      <c r="G585" s="2"/>
      <c r="H585" s="2"/>
    </row>
    <row r="586" spans="1:8" x14ac:dyDescent="0.25">
      <c r="A586" s="2" t="s">
        <v>3790</v>
      </c>
      <c r="B586" s="3">
        <v>44262</v>
      </c>
      <c r="C586" s="2" t="s">
        <v>3791</v>
      </c>
      <c r="D586" t="s">
        <v>6178</v>
      </c>
      <c r="E586" s="2">
        <v>6</v>
      </c>
      <c r="F586" s="2"/>
      <c r="G586" s="2"/>
      <c r="H586" s="2"/>
    </row>
    <row r="587" spans="1:8" x14ac:dyDescent="0.25">
      <c r="A587" s="2" t="s">
        <v>3796</v>
      </c>
      <c r="B587" s="3">
        <v>44505</v>
      </c>
      <c r="C587" s="2" t="s">
        <v>3840</v>
      </c>
      <c r="D587" t="s">
        <v>6139</v>
      </c>
      <c r="E587" s="2">
        <v>2</v>
      </c>
      <c r="F587" s="2"/>
      <c r="G587" s="2"/>
      <c r="H587" s="2"/>
    </row>
    <row r="588" spans="1:8" x14ac:dyDescent="0.25">
      <c r="A588" s="2" t="s">
        <v>3802</v>
      </c>
      <c r="B588" s="3">
        <v>43867</v>
      </c>
      <c r="C588" s="2" t="s">
        <v>3803</v>
      </c>
      <c r="D588" t="s">
        <v>6142</v>
      </c>
      <c r="E588" s="2">
        <v>3</v>
      </c>
      <c r="F588" s="2"/>
      <c r="G588" s="2"/>
      <c r="H588" s="2"/>
    </row>
    <row r="589" spans="1:8" x14ac:dyDescent="0.25">
      <c r="A589" s="2" t="s">
        <v>3807</v>
      </c>
      <c r="B589" s="3">
        <v>44267</v>
      </c>
      <c r="C589" s="2" t="s">
        <v>3808</v>
      </c>
      <c r="D589" t="s">
        <v>6169</v>
      </c>
      <c r="E589" s="2">
        <v>1</v>
      </c>
      <c r="F589" s="2"/>
      <c r="G589" s="2"/>
      <c r="H589" s="2"/>
    </row>
    <row r="590" spans="1:8" x14ac:dyDescent="0.25">
      <c r="A590" s="2" t="s">
        <v>3812</v>
      </c>
      <c r="B590" s="3">
        <v>44046</v>
      </c>
      <c r="C590" s="2" t="s">
        <v>3813</v>
      </c>
      <c r="D590" t="s">
        <v>6146</v>
      </c>
      <c r="E590" s="2">
        <v>2</v>
      </c>
      <c r="F590" s="2"/>
      <c r="G590" s="2"/>
      <c r="H590" s="2"/>
    </row>
    <row r="591" spans="1:8" x14ac:dyDescent="0.25">
      <c r="A591" s="2" t="s">
        <v>3818</v>
      </c>
      <c r="B591" s="3">
        <v>43671</v>
      </c>
      <c r="C591" s="2" t="s">
        <v>3819</v>
      </c>
      <c r="D591" t="s">
        <v>6148</v>
      </c>
      <c r="E591" s="2">
        <v>6</v>
      </c>
      <c r="F591" s="2"/>
      <c r="G591" s="2"/>
      <c r="H591" s="2"/>
    </row>
    <row r="592" spans="1:8" x14ac:dyDescent="0.25">
      <c r="A592" s="2" t="s">
        <v>3823</v>
      </c>
      <c r="B592" s="3">
        <v>43950</v>
      </c>
      <c r="C592" s="2" t="s">
        <v>3824</v>
      </c>
      <c r="D592" t="s">
        <v>6166</v>
      </c>
      <c r="E592" s="2">
        <v>2</v>
      </c>
      <c r="F592" s="2"/>
      <c r="G592" s="2"/>
      <c r="H592" s="2"/>
    </row>
    <row r="593" spans="1:8" x14ac:dyDescent="0.25">
      <c r="A593" s="2" t="s">
        <v>3829</v>
      </c>
      <c r="B593" s="3">
        <v>43587</v>
      </c>
      <c r="C593" s="2" t="s">
        <v>3830</v>
      </c>
      <c r="D593" t="s">
        <v>6163</v>
      </c>
      <c r="E593" s="2">
        <v>3</v>
      </c>
      <c r="F593" s="2"/>
      <c r="G593" s="2"/>
      <c r="H593" s="2"/>
    </row>
    <row r="594" spans="1:8" x14ac:dyDescent="0.25">
      <c r="A594" s="2" t="s">
        <v>3834</v>
      </c>
      <c r="B594" s="3">
        <v>44437</v>
      </c>
      <c r="C594" s="2" t="s">
        <v>3835</v>
      </c>
      <c r="D594" t="s">
        <v>6175</v>
      </c>
      <c r="E594" s="2">
        <v>2</v>
      </c>
      <c r="F594" s="2"/>
      <c r="G594" s="2"/>
      <c r="H594" s="2"/>
    </row>
    <row r="595" spans="1:8" x14ac:dyDescent="0.25">
      <c r="A595" s="2" t="s">
        <v>3839</v>
      </c>
      <c r="B595" s="3">
        <v>43903</v>
      </c>
      <c r="C595" s="2" t="s">
        <v>3840</v>
      </c>
      <c r="D595" t="s">
        <v>6185</v>
      </c>
      <c r="E595" s="2">
        <v>1</v>
      </c>
      <c r="F595" s="2"/>
      <c r="G595" s="2"/>
      <c r="H595" s="2"/>
    </row>
    <row r="596" spans="1:8" x14ac:dyDescent="0.25">
      <c r="A596" s="2" t="s">
        <v>3844</v>
      </c>
      <c r="B596" s="3">
        <v>43512</v>
      </c>
      <c r="C596" s="2" t="s">
        <v>3845</v>
      </c>
      <c r="D596" t="s">
        <v>6182</v>
      </c>
      <c r="E596" s="2">
        <v>2</v>
      </c>
      <c r="F596" s="2"/>
      <c r="G596" s="2"/>
      <c r="H596" s="2"/>
    </row>
    <row r="597" spans="1:8" x14ac:dyDescent="0.25">
      <c r="A597" s="2" t="s">
        <v>3850</v>
      </c>
      <c r="B597" s="3">
        <v>44527</v>
      </c>
      <c r="C597" s="2" t="s">
        <v>3851</v>
      </c>
      <c r="D597" t="s">
        <v>6171</v>
      </c>
      <c r="E597" s="2">
        <v>1</v>
      </c>
      <c r="F597" s="2"/>
      <c r="G597" s="2"/>
      <c r="H597" s="2"/>
    </row>
    <row r="598" spans="1:8" x14ac:dyDescent="0.25">
      <c r="A598" s="2" t="s">
        <v>3854</v>
      </c>
      <c r="B598" s="3">
        <v>44523</v>
      </c>
      <c r="C598" s="2" t="s">
        <v>3855</v>
      </c>
      <c r="D598" t="s">
        <v>6157</v>
      </c>
      <c r="E598" s="2">
        <v>5</v>
      </c>
      <c r="F598" s="2"/>
      <c r="G598" s="2"/>
      <c r="H598" s="2"/>
    </row>
    <row r="599" spans="1:8" x14ac:dyDescent="0.25">
      <c r="A599" s="2" t="s">
        <v>3860</v>
      </c>
      <c r="B599" s="3">
        <v>44532</v>
      </c>
      <c r="C599" s="2" t="s">
        <v>3861</v>
      </c>
      <c r="D599" t="s">
        <v>6164</v>
      </c>
      <c r="E599" s="2">
        <v>4</v>
      </c>
      <c r="F599" s="2"/>
      <c r="G599" s="2"/>
      <c r="H599" s="2"/>
    </row>
    <row r="600" spans="1:8" x14ac:dyDescent="0.25">
      <c r="A600" s="2" t="s">
        <v>3866</v>
      </c>
      <c r="B600" s="3">
        <v>43471</v>
      </c>
      <c r="C600" s="2" t="s">
        <v>3867</v>
      </c>
      <c r="D600" t="s">
        <v>6174</v>
      </c>
      <c r="E600" s="2">
        <v>4</v>
      </c>
      <c r="F600" s="2"/>
      <c r="G600" s="2"/>
      <c r="H600" s="2"/>
    </row>
    <row r="601" spans="1:8" x14ac:dyDescent="0.25">
      <c r="A601" s="2" t="s">
        <v>3872</v>
      </c>
      <c r="B601" s="3">
        <v>44321</v>
      </c>
      <c r="C601" s="2" t="s">
        <v>3873</v>
      </c>
      <c r="D601" t="s">
        <v>6154</v>
      </c>
      <c r="E601" s="2">
        <v>4</v>
      </c>
      <c r="F601" s="2"/>
      <c r="G601" s="2"/>
      <c r="H601" s="2"/>
    </row>
    <row r="602" spans="1:8" x14ac:dyDescent="0.25">
      <c r="A602" s="2" t="s">
        <v>3877</v>
      </c>
      <c r="B602" s="3">
        <v>44492</v>
      </c>
      <c r="C602" s="2" t="s">
        <v>3878</v>
      </c>
      <c r="D602" t="s">
        <v>6169</v>
      </c>
      <c r="E602" s="2">
        <v>1</v>
      </c>
      <c r="F602" s="2"/>
      <c r="G602" s="2"/>
      <c r="H602" s="2"/>
    </row>
    <row r="603" spans="1:8" x14ac:dyDescent="0.25">
      <c r="A603" s="2" t="s">
        <v>3883</v>
      </c>
      <c r="B603" s="3">
        <v>43815</v>
      </c>
      <c r="C603" s="2" t="s">
        <v>3884</v>
      </c>
      <c r="D603" t="s">
        <v>6142</v>
      </c>
      <c r="E603" s="2">
        <v>4</v>
      </c>
      <c r="F603" s="2"/>
      <c r="G603" s="2"/>
      <c r="H603" s="2"/>
    </row>
    <row r="604" spans="1:8" x14ac:dyDescent="0.25">
      <c r="A604" s="2" t="s">
        <v>3889</v>
      </c>
      <c r="B604" s="3">
        <v>43603</v>
      </c>
      <c r="C604" s="2" t="s">
        <v>3890</v>
      </c>
      <c r="D604" t="s">
        <v>6184</v>
      </c>
      <c r="E604" s="2">
        <v>5</v>
      </c>
      <c r="F604" s="2"/>
      <c r="G604" s="2"/>
      <c r="H604" s="2"/>
    </row>
    <row r="605" spans="1:8" x14ac:dyDescent="0.25">
      <c r="A605" s="2" t="s">
        <v>3895</v>
      </c>
      <c r="B605" s="3">
        <v>43660</v>
      </c>
      <c r="C605" s="2" t="s">
        <v>3896</v>
      </c>
      <c r="D605" t="s">
        <v>6174</v>
      </c>
      <c r="E605" s="2">
        <v>3</v>
      </c>
      <c r="F605" s="2"/>
      <c r="G605" s="2"/>
      <c r="H605" s="2"/>
    </row>
    <row r="606" spans="1:8" x14ac:dyDescent="0.25">
      <c r="A606" s="2" t="s">
        <v>3900</v>
      </c>
      <c r="B606" s="3">
        <v>44148</v>
      </c>
      <c r="C606" s="2" t="s">
        <v>3901</v>
      </c>
      <c r="D606" t="s">
        <v>6165</v>
      </c>
      <c r="E606" s="2">
        <v>4</v>
      </c>
      <c r="F606" s="2"/>
      <c r="G606" s="2"/>
      <c r="H606" s="2"/>
    </row>
    <row r="607" spans="1:8" x14ac:dyDescent="0.25">
      <c r="A607" s="2" t="s">
        <v>3905</v>
      </c>
      <c r="B607" s="3">
        <v>44028</v>
      </c>
      <c r="C607" s="2" t="s">
        <v>3906</v>
      </c>
      <c r="D607" t="s">
        <v>6182</v>
      </c>
      <c r="E607" s="2">
        <v>5</v>
      </c>
      <c r="F607" s="2"/>
      <c r="G607" s="2"/>
      <c r="H607" s="2"/>
    </row>
    <row r="608" spans="1:8" x14ac:dyDescent="0.25">
      <c r="A608" s="2" t="s">
        <v>3911</v>
      </c>
      <c r="B608" s="3">
        <v>44138</v>
      </c>
      <c r="C608" s="2" t="s">
        <v>3840</v>
      </c>
      <c r="D608" t="s">
        <v>6164</v>
      </c>
      <c r="E608" s="2">
        <v>3</v>
      </c>
      <c r="F608" s="2"/>
      <c r="G608" s="2"/>
      <c r="H608" s="2"/>
    </row>
    <row r="609" spans="1:8" x14ac:dyDescent="0.25">
      <c r="A609" s="2" t="s">
        <v>3917</v>
      </c>
      <c r="B609" s="3">
        <v>44640</v>
      </c>
      <c r="C609" s="2" t="s">
        <v>3918</v>
      </c>
      <c r="D609" t="s">
        <v>6153</v>
      </c>
      <c r="E609" s="2">
        <v>1</v>
      </c>
      <c r="F609" s="2"/>
      <c r="G609" s="2"/>
      <c r="H609" s="2"/>
    </row>
    <row r="610" spans="1:8" x14ac:dyDescent="0.25">
      <c r="A610" s="2" t="s">
        <v>3923</v>
      </c>
      <c r="B610" s="3">
        <v>44608</v>
      </c>
      <c r="C610" s="2" t="s">
        <v>3924</v>
      </c>
      <c r="D610" t="s">
        <v>6185</v>
      </c>
      <c r="E610" s="2">
        <v>2</v>
      </c>
      <c r="F610" s="2"/>
      <c r="G610" s="2"/>
      <c r="H610" s="2"/>
    </row>
    <row r="611" spans="1:8" x14ac:dyDescent="0.25">
      <c r="A611" s="2" t="s">
        <v>3927</v>
      </c>
      <c r="B611" s="3">
        <v>44147</v>
      </c>
      <c r="C611" s="2" t="s">
        <v>3928</v>
      </c>
      <c r="D611" t="s">
        <v>6159</v>
      </c>
      <c r="E611" s="2">
        <v>6</v>
      </c>
      <c r="F611" s="2"/>
      <c r="G611" s="2"/>
      <c r="H611" s="2"/>
    </row>
    <row r="612" spans="1:8" x14ac:dyDescent="0.25">
      <c r="A612" s="2" t="s">
        <v>3933</v>
      </c>
      <c r="B612" s="3">
        <v>43743</v>
      </c>
      <c r="C612" s="2" t="s">
        <v>3934</v>
      </c>
      <c r="D612" t="s">
        <v>6138</v>
      </c>
      <c r="E612" s="2">
        <v>4</v>
      </c>
      <c r="F612" s="2"/>
      <c r="G612" s="2"/>
      <c r="H612" s="2"/>
    </row>
    <row r="613" spans="1:8" x14ac:dyDescent="0.25">
      <c r="A613" s="2" t="s">
        <v>3939</v>
      </c>
      <c r="B613" s="3">
        <v>43739</v>
      </c>
      <c r="C613" s="2" t="s">
        <v>3940</v>
      </c>
      <c r="D613" t="s">
        <v>6148</v>
      </c>
      <c r="E613" s="2">
        <v>2</v>
      </c>
      <c r="F613" s="2"/>
      <c r="G613" s="2"/>
      <c r="H613" s="2"/>
    </row>
    <row r="614" spans="1:8" x14ac:dyDescent="0.25">
      <c r="A614" s="2" t="s">
        <v>3945</v>
      </c>
      <c r="B614" s="3">
        <v>43896</v>
      </c>
      <c r="C614" s="2" t="s">
        <v>3946</v>
      </c>
      <c r="D614" t="s">
        <v>6152</v>
      </c>
      <c r="E614" s="2">
        <v>4</v>
      </c>
      <c r="F614" s="2"/>
      <c r="G614" s="2"/>
      <c r="H614" s="2"/>
    </row>
    <row r="615" spans="1:8" x14ac:dyDescent="0.25">
      <c r="A615" s="2" t="s">
        <v>3950</v>
      </c>
      <c r="B615" s="3">
        <v>43761</v>
      </c>
      <c r="C615" s="2" t="s">
        <v>3951</v>
      </c>
      <c r="D615" t="s">
        <v>6146</v>
      </c>
      <c r="E615" s="2">
        <v>1</v>
      </c>
      <c r="F615" s="2"/>
      <c r="G615" s="2"/>
      <c r="H615" s="2"/>
    </row>
    <row r="616" spans="1:8" x14ac:dyDescent="0.25">
      <c r="A616" s="2" t="s">
        <v>3955</v>
      </c>
      <c r="B616" s="3">
        <v>43944</v>
      </c>
      <c r="C616" s="2" t="s">
        <v>3840</v>
      </c>
      <c r="D616" t="s">
        <v>6146</v>
      </c>
      <c r="E616" s="2">
        <v>5</v>
      </c>
      <c r="F616" s="2"/>
      <c r="G616" s="2"/>
      <c r="H616" s="2"/>
    </row>
    <row r="617" spans="1:8" x14ac:dyDescent="0.25">
      <c r="A617" s="2" t="s">
        <v>3960</v>
      </c>
      <c r="B617" s="3">
        <v>44006</v>
      </c>
      <c r="C617" s="2" t="s">
        <v>3961</v>
      </c>
      <c r="D617" t="s">
        <v>6164</v>
      </c>
      <c r="E617" s="2">
        <v>2</v>
      </c>
      <c r="F617" s="2"/>
      <c r="G617" s="2"/>
      <c r="H617" s="2"/>
    </row>
    <row r="618" spans="1:8" x14ac:dyDescent="0.25">
      <c r="A618" s="2" t="s">
        <v>3966</v>
      </c>
      <c r="B618" s="3">
        <v>44271</v>
      </c>
      <c r="C618" s="2" t="s">
        <v>3967</v>
      </c>
      <c r="D618" t="s">
        <v>6166</v>
      </c>
      <c r="E618" s="2">
        <v>4</v>
      </c>
      <c r="F618" s="2"/>
      <c r="G618" s="2"/>
      <c r="H618" s="2"/>
    </row>
    <row r="619" spans="1:8" x14ac:dyDescent="0.25">
      <c r="A619" s="2" t="s">
        <v>3972</v>
      </c>
      <c r="B619" s="3">
        <v>43928</v>
      </c>
      <c r="C619" s="2" t="s">
        <v>3973</v>
      </c>
      <c r="D619" t="s">
        <v>6181</v>
      </c>
      <c r="E619" s="2">
        <v>1</v>
      </c>
      <c r="F619" s="2"/>
      <c r="G619" s="2"/>
      <c r="H619" s="2"/>
    </row>
    <row r="620" spans="1:8" x14ac:dyDescent="0.25">
      <c r="A620" s="2" t="s">
        <v>3978</v>
      </c>
      <c r="B620" s="3">
        <v>44469</v>
      </c>
      <c r="C620" s="2" t="s">
        <v>3979</v>
      </c>
      <c r="D620" t="s">
        <v>6183</v>
      </c>
      <c r="E620" s="2">
        <v>6</v>
      </c>
      <c r="F620" s="2"/>
      <c r="G620" s="2"/>
      <c r="H620" s="2"/>
    </row>
    <row r="621" spans="1:8" x14ac:dyDescent="0.25">
      <c r="A621" s="2" t="s">
        <v>3984</v>
      </c>
      <c r="B621" s="3">
        <v>44682</v>
      </c>
      <c r="C621" s="2" t="s">
        <v>3985</v>
      </c>
      <c r="D621" t="s">
        <v>6169</v>
      </c>
      <c r="E621" s="2">
        <v>2</v>
      </c>
      <c r="F621" s="2"/>
      <c r="G621" s="2"/>
      <c r="H621" s="2"/>
    </row>
    <row r="622" spans="1:8" x14ac:dyDescent="0.25">
      <c r="A622" s="2" t="s">
        <v>3990</v>
      </c>
      <c r="B622" s="3">
        <v>44217</v>
      </c>
      <c r="C622" s="2" t="s">
        <v>4042</v>
      </c>
      <c r="D622" t="s">
        <v>6152</v>
      </c>
      <c r="E622" s="2">
        <v>6</v>
      </c>
      <c r="F622" s="2"/>
      <c r="G622" s="2"/>
      <c r="H622" s="2"/>
    </row>
    <row r="623" spans="1:8" x14ac:dyDescent="0.25">
      <c r="A623" s="2" t="s">
        <v>3996</v>
      </c>
      <c r="B623" s="3">
        <v>44006</v>
      </c>
      <c r="C623" s="2" t="s">
        <v>3997</v>
      </c>
      <c r="D623" t="s">
        <v>6140</v>
      </c>
      <c r="E623" s="2">
        <v>6</v>
      </c>
      <c r="F623" s="2"/>
      <c r="G623" s="2"/>
      <c r="H623" s="2"/>
    </row>
    <row r="624" spans="1:8" x14ac:dyDescent="0.25">
      <c r="A624" s="2" t="s">
        <v>4002</v>
      </c>
      <c r="B624" s="3">
        <v>43527</v>
      </c>
      <c r="C624" s="2" t="s">
        <v>4003</v>
      </c>
      <c r="D624" t="s">
        <v>6181</v>
      </c>
      <c r="E624" s="2">
        <v>4</v>
      </c>
      <c r="F624" s="2"/>
      <c r="G624" s="2"/>
      <c r="H624" s="2"/>
    </row>
    <row r="625" spans="1:8" x14ac:dyDescent="0.25">
      <c r="A625" s="2" t="s">
        <v>4007</v>
      </c>
      <c r="B625" s="3">
        <v>44224</v>
      </c>
      <c r="C625" s="2" t="s">
        <v>4008</v>
      </c>
      <c r="D625" t="s">
        <v>6183</v>
      </c>
      <c r="E625" s="2">
        <v>1</v>
      </c>
      <c r="F625" s="2"/>
      <c r="G625" s="2"/>
      <c r="H625" s="2"/>
    </row>
    <row r="626" spans="1:8" x14ac:dyDescent="0.25">
      <c r="A626" s="2" t="s">
        <v>4012</v>
      </c>
      <c r="B626" s="3">
        <v>44010</v>
      </c>
      <c r="C626" s="2" t="s">
        <v>4013</v>
      </c>
      <c r="D626" t="s">
        <v>6166</v>
      </c>
      <c r="E626" s="2">
        <v>2</v>
      </c>
      <c r="F626" s="2"/>
      <c r="G626" s="2"/>
      <c r="H626" s="2"/>
    </row>
    <row r="627" spans="1:8" x14ac:dyDescent="0.25">
      <c r="A627" s="2" t="s">
        <v>4017</v>
      </c>
      <c r="B627" s="3">
        <v>44017</v>
      </c>
      <c r="C627" s="2" t="s">
        <v>4018</v>
      </c>
      <c r="D627" t="s">
        <v>6173</v>
      </c>
      <c r="E627" s="2">
        <v>5</v>
      </c>
      <c r="F627" s="2"/>
      <c r="G627" s="2"/>
      <c r="H627" s="2"/>
    </row>
    <row r="628" spans="1:8" x14ac:dyDescent="0.25">
      <c r="A628" s="2" t="s">
        <v>4023</v>
      </c>
      <c r="B628" s="3">
        <v>43526</v>
      </c>
      <c r="C628" s="2" t="s">
        <v>4024</v>
      </c>
      <c r="D628" t="s">
        <v>6175</v>
      </c>
      <c r="E628" s="2">
        <v>3</v>
      </c>
      <c r="F628" s="2"/>
      <c r="G628" s="2"/>
      <c r="H628" s="2"/>
    </row>
    <row r="629" spans="1:8" x14ac:dyDescent="0.25">
      <c r="A629" s="2" t="s">
        <v>4029</v>
      </c>
      <c r="B629" s="3">
        <v>44682</v>
      </c>
      <c r="C629" s="2" t="s">
        <v>4030</v>
      </c>
      <c r="D629" t="s">
        <v>6166</v>
      </c>
      <c r="E629" s="2">
        <v>2</v>
      </c>
      <c r="F629" s="2"/>
      <c r="G629" s="2"/>
      <c r="H629" s="2"/>
    </row>
    <row r="630" spans="1:8" x14ac:dyDescent="0.25">
      <c r="A630" s="2" t="s">
        <v>4035</v>
      </c>
      <c r="B630" s="3">
        <v>44680</v>
      </c>
      <c r="C630" s="2" t="s">
        <v>4036</v>
      </c>
      <c r="D630" t="s">
        <v>6184</v>
      </c>
      <c r="E630" s="2">
        <v>6</v>
      </c>
      <c r="F630" s="2"/>
      <c r="G630" s="2"/>
      <c r="H630" s="2"/>
    </row>
    <row r="631" spans="1:8" x14ac:dyDescent="0.25">
      <c r="A631" s="2" t="s">
        <v>4035</v>
      </c>
      <c r="B631" s="3">
        <v>44680</v>
      </c>
      <c r="C631" s="2" t="s">
        <v>4036</v>
      </c>
      <c r="D631" t="s">
        <v>6169</v>
      </c>
      <c r="E631" s="2">
        <v>4</v>
      </c>
      <c r="F631" s="2"/>
      <c r="G631" s="2"/>
      <c r="H631" s="2"/>
    </row>
    <row r="632" spans="1:8" x14ac:dyDescent="0.25">
      <c r="A632" s="2" t="s">
        <v>4035</v>
      </c>
      <c r="B632" s="3">
        <v>44680</v>
      </c>
      <c r="C632" s="2" t="s">
        <v>4036</v>
      </c>
      <c r="D632" t="s">
        <v>6154</v>
      </c>
      <c r="E632" s="2">
        <v>1</v>
      </c>
      <c r="F632" s="2"/>
      <c r="G632" s="2"/>
      <c r="H632" s="2"/>
    </row>
    <row r="633" spans="1:8" x14ac:dyDescent="0.25">
      <c r="A633" s="2" t="s">
        <v>4035</v>
      </c>
      <c r="B633" s="3">
        <v>44680</v>
      </c>
      <c r="C633" s="2" t="s">
        <v>4036</v>
      </c>
      <c r="D633" t="s">
        <v>6149</v>
      </c>
      <c r="E633" s="2">
        <v>5</v>
      </c>
      <c r="F633" s="2"/>
      <c r="G633" s="2"/>
      <c r="H633" s="2"/>
    </row>
    <row r="634" spans="1:8" x14ac:dyDescent="0.25">
      <c r="A634" s="2" t="s">
        <v>4056</v>
      </c>
      <c r="B634" s="3">
        <v>44049</v>
      </c>
      <c r="C634" s="2" t="s">
        <v>4057</v>
      </c>
      <c r="D634" t="s">
        <v>6176</v>
      </c>
      <c r="E634" s="2">
        <v>4</v>
      </c>
      <c r="F634" s="2"/>
      <c r="G634" s="2"/>
      <c r="H634" s="2"/>
    </row>
    <row r="635" spans="1:8" x14ac:dyDescent="0.25">
      <c r="A635" s="2" t="s">
        <v>4062</v>
      </c>
      <c r="B635" s="3">
        <v>43820</v>
      </c>
      <c r="C635" s="2" t="s">
        <v>4063</v>
      </c>
      <c r="D635" t="s">
        <v>6179</v>
      </c>
      <c r="E635" s="2">
        <v>4</v>
      </c>
      <c r="F635" s="2"/>
      <c r="G635" s="2"/>
      <c r="H635" s="2"/>
    </row>
    <row r="636" spans="1:8" x14ac:dyDescent="0.25">
      <c r="A636" s="2" t="s">
        <v>4068</v>
      </c>
      <c r="B636" s="3">
        <v>43940</v>
      </c>
      <c r="C636" s="2" t="s">
        <v>4069</v>
      </c>
      <c r="D636" t="s">
        <v>6162</v>
      </c>
      <c r="E636" s="2">
        <v>3</v>
      </c>
      <c r="F636" s="2"/>
      <c r="G636" s="2"/>
      <c r="H636" s="2"/>
    </row>
    <row r="637" spans="1:8" x14ac:dyDescent="0.25">
      <c r="A637" s="2" t="s">
        <v>4074</v>
      </c>
      <c r="B637" s="3">
        <v>44578</v>
      </c>
      <c r="C637" s="2" t="s">
        <v>4075</v>
      </c>
      <c r="D637" t="s">
        <v>6176</v>
      </c>
      <c r="E637" s="2">
        <v>4</v>
      </c>
      <c r="F637" s="2"/>
      <c r="G637" s="2"/>
      <c r="H637" s="2"/>
    </row>
    <row r="638" spans="1:8" x14ac:dyDescent="0.25">
      <c r="A638" s="2" t="s">
        <v>4080</v>
      </c>
      <c r="B638" s="3">
        <v>43487</v>
      </c>
      <c r="C638" s="2" t="s">
        <v>4081</v>
      </c>
      <c r="D638" t="s">
        <v>6170</v>
      </c>
      <c r="E638" s="2">
        <v>6</v>
      </c>
      <c r="F638" s="2"/>
      <c r="G638" s="2"/>
      <c r="H638" s="2"/>
    </row>
    <row r="639" spans="1:8" x14ac:dyDescent="0.25">
      <c r="A639" s="2" t="s">
        <v>4086</v>
      </c>
      <c r="B639" s="3">
        <v>43889</v>
      </c>
      <c r="C639" s="2" t="s">
        <v>4087</v>
      </c>
      <c r="D639" t="s">
        <v>6166</v>
      </c>
      <c r="E639" s="2">
        <v>1</v>
      </c>
      <c r="F639" s="2"/>
      <c r="G639" s="2"/>
      <c r="H639" s="2"/>
    </row>
    <row r="640" spans="1:8" x14ac:dyDescent="0.25">
      <c r="A640" s="2" t="s">
        <v>4093</v>
      </c>
      <c r="B640" s="3">
        <v>43684</v>
      </c>
      <c r="C640" s="2" t="s">
        <v>4094</v>
      </c>
      <c r="D640" t="s">
        <v>6175</v>
      </c>
      <c r="E640" s="2">
        <v>3</v>
      </c>
      <c r="F640" s="2"/>
      <c r="G640" s="2"/>
      <c r="H640" s="2"/>
    </row>
    <row r="641" spans="1:8" x14ac:dyDescent="0.25">
      <c r="A641" s="2" t="s">
        <v>4098</v>
      </c>
      <c r="B641" s="3">
        <v>44331</v>
      </c>
      <c r="C641" s="2" t="s">
        <v>4099</v>
      </c>
      <c r="D641" t="s">
        <v>6150</v>
      </c>
      <c r="E641" s="2">
        <v>1</v>
      </c>
      <c r="F641" s="2"/>
      <c r="G641" s="2"/>
      <c r="H641" s="2"/>
    </row>
    <row r="642" spans="1:8" x14ac:dyDescent="0.25">
      <c r="A642" s="2" t="s">
        <v>4104</v>
      </c>
      <c r="B642" s="3">
        <v>44547</v>
      </c>
      <c r="C642" s="2" t="s">
        <v>4152</v>
      </c>
      <c r="D642" t="s">
        <v>6142</v>
      </c>
      <c r="E642" s="2">
        <v>5</v>
      </c>
      <c r="F642" s="2"/>
      <c r="G642" s="2"/>
      <c r="H642" s="2"/>
    </row>
    <row r="643" spans="1:8" x14ac:dyDescent="0.25">
      <c r="A643" s="2" t="s">
        <v>4109</v>
      </c>
      <c r="B643" s="3">
        <v>44448</v>
      </c>
      <c r="C643" s="2" t="s">
        <v>4110</v>
      </c>
      <c r="D643" t="s">
        <v>6179</v>
      </c>
      <c r="E643" s="2">
        <v>3</v>
      </c>
      <c r="F643" s="2"/>
      <c r="G643" s="2"/>
      <c r="H643" s="2"/>
    </row>
    <row r="644" spans="1:8" x14ac:dyDescent="0.25">
      <c r="A644" s="2" t="s">
        <v>4115</v>
      </c>
      <c r="B644" s="3">
        <v>43880</v>
      </c>
      <c r="C644" s="2" t="s">
        <v>4116</v>
      </c>
      <c r="D644" t="s">
        <v>6156</v>
      </c>
      <c r="E644" s="2">
        <v>2</v>
      </c>
      <c r="F644" s="2"/>
      <c r="G644" s="2"/>
      <c r="H644" s="2"/>
    </row>
    <row r="645" spans="1:8" x14ac:dyDescent="0.25">
      <c r="A645" s="2" t="s">
        <v>4123</v>
      </c>
      <c r="B645" s="3">
        <v>44011</v>
      </c>
      <c r="C645" s="2" t="s">
        <v>4124</v>
      </c>
      <c r="D645" t="s">
        <v>6148</v>
      </c>
      <c r="E645" s="2">
        <v>3</v>
      </c>
      <c r="F645" s="2"/>
      <c r="G645" s="2"/>
      <c r="H645" s="2"/>
    </row>
    <row r="646" spans="1:8" x14ac:dyDescent="0.25">
      <c r="A646" s="2" t="s">
        <v>4128</v>
      </c>
      <c r="B646" s="3">
        <v>44694</v>
      </c>
      <c r="C646" s="2" t="s">
        <v>4129</v>
      </c>
      <c r="D646" t="s">
        <v>6149</v>
      </c>
      <c r="E646" s="2">
        <v>2</v>
      </c>
      <c r="F646" s="2"/>
      <c r="G646" s="2"/>
      <c r="H646" s="2"/>
    </row>
    <row r="647" spans="1:8" x14ac:dyDescent="0.25">
      <c r="A647" s="2" t="s">
        <v>4133</v>
      </c>
      <c r="B647" s="3">
        <v>44106</v>
      </c>
      <c r="C647" s="2" t="s">
        <v>4134</v>
      </c>
      <c r="D647" t="s">
        <v>6168</v>
      </c>
      <c r="E647" s="2">
        <v>3</v>
      </c>
      <c r="F647" s="2"/>
      <c r="G647" s="2"/>
      <c r="H647" s="2"/>
    </row>
    <row r="648" spans="1:8" x14ac:dyDescent="0.25">
      <c r="A648" s="2" t="s">
        <v>4139</v>
      </c>
      <c r="B648" s="3">
        <v>44532</v>
      </c>
      <c r="C648" s="2" t="s">
        <v>4140</v>
      </c>
      <c r="D648" t="s">
        <v>6147</v>
      </c>
      <c r="E648" s="2">
        <v>1</v>
      </c>
      <c r="F648" s="2"/>
      <c r="G648" s="2"/>
      <c r="H648" s="2"/>
    </row>
    <row r="649" spans="1:8" x14ac:dyDescent="0.25">
      <c r="A649" s="2" t="s">
        <v>4145</v>
      </c>
      <c r="B649" s="3">
        <v>44502</v>
      </c>
      <c r="C649" s="2" t="s">
        <v>4146</v>
      </c>
      <c r="D649" t="s">
        <v>6161</v>
      </c>
      <c r="E649" s="2">
        <v>3</v>
      </c>
      <c r="F649" s="2"/>
      <c r="G649" s="2"/>
      <c r="H649" s="2"/>
    </row>
    <row r="650" spans="1:8" x14ac:dyDescent="0.25">
      <c r="A650" s="2" t="s">
        <v>4151</v>
      </c>
      <c r="B650" s="3">
        <v>43884</v>
      </c>
      <c r="C650" s="2" t="s">
        <v>4152</v>
      </c>
      <c r="D650" t="s">
        <v>6163</v>
      </c>
      <c r="E650" s="2">
        <v>6</v>
      </c>
      <c r="F650" s="2"/>
      <c r="G650" s="2"/>
      <c r="H650" s="2"/>
    </row>
    <row r="651" spans="1:8" x14ac:dyDescent="0.25">
      <c r="A651" s="2" t="s">
        <v>4157</v>
      </c>
      <c r="B651" s="3">
        <v>44015</v>
      </c>
      <c r="C651" s="2" t="s">
        <v>4158</v>
      </c>
      <c r="D651" t="s">
        <v>6170</v>
      </c>
      <c r="E651" s="2">
        <v>6</v>
      </c>
      <c r="F651" s="2"/>
      <c r="G651" s="2"/>
      <c r="H651" s="2"/>
    </row>
    <row r="652" spans="1:8" x14ac:dyDescent="0.25">
      <c r="A652" s="2" t="s">
        <v>4163</v>
      </c>
      <c r="B652" s="3">
        <v>43507</v>
      </c>
      <c r="C652" s="2" t="s">
        <v>4164</v>
      </c>
      <c r="D652" t="s">
        <v>6172</v>
      </c>
      <c r="E652" s="2">
        <v>1</v>
      </c>
      <c r="F652" s="2"/>
      <c r="G652" s="2"/>
      <c r="H652" s="2"/>
    </row>
    <row r="653" spans="1:8" x14ac:dyDescent="0.25">
      <c r="A653" s="2" t="s">
        <v>4169</v>
      </c>
      <c r="B653" s="3">
        <v>44084</v>
      </c>
      <c r="C653" s="2" t="s">
        <v>4170</v>
      </c>
      <c r="D653" t="s">
        <v>6179</v>
      </c>
      <c r="E653" s="2">
        <v>4</v>
      </c>
      <c r="F653" s="2"/>
      <c r="G653" s="2"/>
      <c r="H653" s="2"/>
    </row>
    <row r="654" spans="1:8" x14ac:dyDescent="0.25">
      <c r="A654" s="2" t="s">
        <v>4174</v>
      </c>
      <c r="B654" s="3">
        <v>43892</v>
      </c>
      <c r="C654" s="2" t="s">
        <v>4175</v>
      </c>
      <c r="D654" t="s">
        <v>6170</v>
      </c>
      <c r="E654" s="2">
        <v>4</v>
      </c>
      <c r="F654" s="2"/>
      <c r="G654" s="2"/>
      <c r="H654" s="2"/>
    </row>
    <row r="655" spans="1:8" x14ac:dyDescent="0.25">
      <c r="A655" s="2" t="s">
        <v>4179</v>
      </c>
      <c r="B655" s="3">
        <v>44375</v>
      </c>
      <c r="C655" s="2" t="s">
        <v>4180</v>
      </c>
      <c r="D655" t="s">
        <v>6175</v>
      </c>
      <c r="E655" s="2">
        <v>4</v>
      </c>
      <c r="F655" s="2"/>
      <c r="G655" s="2"/>
      <c r="H655" s="2"/>
    </row>
    <row r="656" spans="1:8" x14ac:dyDescent="0.25">
      <c r="A656" s="2" t="s">
        <v>4185</v>
      </c>
      <c r="B656" s="3">
        <v>43476</v>
      </c>
      <c r="C656" s="2" t="s">
        <v>4186</v>
      </c>
      <c r="D656" t="s">
        <v>6168</v>
      </c>
      <c r="E656" s="2">
        <v>3</v>
      </c>
      <c r="F656" s="2"/>
      <c r="G656" s="2"/>
      <c r="H656" s="2"/>
    </row>
    <row r="657" spans="1:8" x14ac:dyDescent="0.25">
      <c r="A657" s="2" t="s">
        <v>4191</v>
      </c>
      <c r="B657" s="3">
        <v>43728</v>
      </c>
      <c r="C657" s="2" t="s">
        <v>4192</v>
      </c>
      <c r="D657" t="s">
        <v>6151</v>
      </c>
      <c r="E657" s="2">
        <v>2</v>
      </c>
      <c r="F657" s="2"/>
      <c r="G657" s="2"/>
      <c r="H657" s="2"/>
    </row>
    <row r="658" spans="1:8" x14ac:dyDescent="0.25">
      <c r="A658" s="2" t="s">
        <v>4196</v>
      </c>
      <c r="B658" s="3">
        <v>44485</v>
      </c>
      <c r="C658" s="2" t="s">
        <v>4197</v>
      </c>
      <c r="D658" t="s">
        <v>6143</v>
      </c>
      <c r="E658" s="2">
        <v>4</v>
      </c>
      <c r="F658" s="2"/>
      <c r="G658" s="2"/>
      <c r="H658" s="2"/>
    </row>
    <row r="659" spans="1:8" x14ac:dyDescent="0.25">
      <c r="A659" s="2" t="s">
        <v>4201</v>
      </c>
      <c r="B659" s="3">
        <v>43831</v>
      </c>
      <c r="C659" s="2" t="s">
        <v>4202</v>
      </c>
      <c r="D659" t="s">
        <v>6157</v>
      </c>
      <c r="E659" s="2">
        <v>2</v>
      </c>
      <c r="F659" s="2"/>
      <c r="G659" s="2"/>
      <c r="H659" s="2"/>
    </row>
    <row r="660" spans="1:8" x14ac:dyDescent="0.25">
      <c r="A660" s="2" t="s">
        <v>4207</v>
      </c>
      <c r="B660" s="3">
        <v>44630</v>
      </c>
      <c r="C660" s="2" t="s">
        <v>4263</v>
      </c>
      <c r="D660" t="s">
        <v>6139</v>
      </c>
      <c r="E660" s="2">
        <v>3</v>
      </c>
      <c r="F660" s="2"/>
      <c r="G660" s="2"/>
      <c r="H660" s="2"/>
    </row>
    <row r="661" spans="1:8" x14ac:dyDescent="0.25">
      <c r="A661" s="2" t="s">
        <v>4211</v>
      </c>
      <c r="B661" s="3">
        <v>44693</v>
      </c>
      <c r="C661" s="2" t="s">
        <v>4212</v>
      </c>
      <c r="D661" t="s">
        <v>6168</v>
      </c>
      <c r="E661" s="2">
        <v>2</v>
      </c>
      <c r="F661" s="2"/>
      <c r="G661" s="2"/>
      <c r="H661" s="2"/>
    </row>
    <row r="662" spans="1:8" x14ac:dyDescent="0.25">
      <c r="A662" s="2" t="s">
        <v>4217</v>
      </c>
      <c r="B662" s="3">
        <v>44084</v>
      </c>
      <c r="C662" s="2" t="s">
        <v>4218</v>
      </c>
      <c r="D662" t="s">
        <v>6176</v>
      </c>
      <c r="E662" s="2">
        <v>6</v>
      </c>
      <c r="F662" s="2"/>
      <c r="G662" s="2"/>
      <c r="H662" s="2"/>
    </row>
    <row r="663" spans="1:8" x14ac:dyDescent="0.25">
      <c r="A663" s="2" t="s">
        <v>4223</v>
      </c>
      <c r="B663" s="3">
        <v>44485</v>
      </c>
      <c r="C663" s="2" t="s">
        <v>4224</v>
      </c>
      <c r="D663" t="s">
        <v>6152</v>
      </c>
      <c r="E663" s="2">
        <v>6</v>
      </c>
      <c r="F663" s="2"/>
      <c r="G663" s="2"/>
      <c r="H663" s="2"/>
    </row>
    <row r="664" spans="1:8" x14ac:dyDescent="0.25">
      <c r="A664" s="2" t="s">
        <v>4229</v>
      </c>
      <c r="B664" s="3">
        <v>44364</v>
      </c>
      <c r="C664" s="2" t="s">
        <v>4230</v>
      </c>
      <c r="D664" t="s">
        <v>6165</v>
      </c>
      <c r="E664" s="2">
        <v>5</v>
      </c>
      <c r="F664" s="2"/>
      <c r="G664" s="2"/>
      <c r="H664" s="2"/>
    </row>
    <row r="665" spans="1:8" x14ac:dyDescent="0.25">
      <c r="A665" s="2" t="s">
        <v>4234</v>
      </c>
      <c r="B665" s="3">
        <v>43554</v>
      </c>
      <c r="C665" s="2" t="s">
        <v>4235</v>
      </c>
      <c r="D665" t="s">
        <v>6155</v>
      </c>
      <c r="E665" s="2">
        <v>6</v>
      </c>
      <c r="F665" s="2"/>
      <c r="G665" s="2"/>
      <c r="H665" s="2"/>
    </row>
    <row r="666" spans="1:8" x14ac:dyDescent="0.25">
      <c r="A666" s="2" t="s">
        <v>4239</v>
      </c>
      <c r="B666" s="3">
        <v>44549</v>
      </c>
      <c r="C666" s="2" t="s">
        <v>4240</v>
      </c>
      <c r="D666" t="s">
        <v>6183</v>
      </c>
      <c r="E666" s="2">
        <v>6</v>
      </c>
      <c r="F666" s="2"/>
      <c r="G666" s="2"/>
      <c r="H666" s="2"/>
    </row>
    <row r="667" spans="1:8" x14ac:dyDescent="0.25">
      <c r="A667" s="2" t="s">
        <v>4239</v>
      </c>
      <c r="B667" s="3">
        <v>44549</v>
      </c>
      <c r="C667" s="2" t="s">
        <v>4240</v>
      </c>
      <c r="D667" t="s">
        <v>6150</v>
      </c>
      <c r="E667" s="2">
        <v>2</v>
      </c>
      <c r="F667" s="2"/>
      <c r="G667" s="2"/>
      <c r="H667" s="2"/>
    </row>
    <row r="668" spans="1:8" x14ac:dyDescent="0.25">
      <c r="A668" s="2" t="s">
        <v>4250</v>
      </c>
      <c r="B668" s="3">
        <v>43987</v>
      </c>
      <c r="C668" s="2" t="s">
        <v>4251</v>
      </c>
      <c r="D668" t="s">
        <v>6168</v>
      </c>
      <c r="E668" s="2">
        <v>4</v>
      </c>
      <c r="F668" s="2"/>
      <c r="G668" s="2"/>
      <c r="H668" s="2"/>
    </row>
    <row r="669" spans="1:8" x14ac:dyDescent="0.25">
      <c r="A669" s="2" t="s">
        <v>4256</v>
      </c>
      <c r="B669" s="3">
        <v>44451</v>
      </c>
      <c r="C669" s="2" t="s">
        <v>4257</v>
      </c>
      <c r="D669" t="s">
        <v>6147</v>
      </c>
      <c r="E669" s="2">
        <v>6</v>
      </c>
      <c r="F669" s="2"/>
      <c r="G669" s="2"/>
      <c r="H669" s="2"/>
    </row>
    <row r="670" spans="1:8" x14ac:dyDescent="0.25">
      <c r="A670" s="2" t="s">
        <v>4262</v>
      </c>
      <c r="B670" s="3">
        <v>44636</v>
      </c>
      <c r="C670" s="2" t="s">
        <v>4263</v>
      </c>
      <c r="D670" t="s">
        <v>6142</v>
      </c>
      <c r="E670" s="2">
        <v>5</v>
      </c>
      <c r="F670" s="2"/>
      <c r="G670" s="2"/>
      <c r="H670" s="2"/>
    </row>
    <row r="671" spans="1:8" x14ac:dyDescent="0.25">
      <c r="A671" s="2" t="s">
        <v>4268</v>
      </c>
      <c r="B671" s="3">
        <v>44551</v>
      </c>
      <c r="C671" s="2" t="s">
        <v>4269</v>
      </c>
      <c r="D671" t="s">
        <v>6181</v>
      </c>
      <c r="E671" s="2">
        <v>2</v>
      </c>
      <c r="F671" s="2"/>
      <c r="G671" s="2"/>
      <c r="H671" s="2"/>
    </row>
    <row r="672" spans="1:8" x14ac:dyDescent="0.25">
      <c r="A672" s="2" t="s">
        <v>4274</v>
      </c>
      <c r="B672" s="3">
        <v>43606</v>
      </c>
      <c r="C672" s="2" t="s">
        <v>4275</v>
      </c>
      <c r="D672" t="s">
        <v>6159</v>
      </c>
      <c r="E672" s="2">
        <v>3</v>
      </c>
      <c r="F672" s="2"/>
      <c r="G672" s="2"/>
      <c r="H672" s="2"/>
    </row>
    <row r="673" spans="1:8" x14ac:dyDescent="0.25">
      <c r="A673" s="2" t="s">
        <v>4280</v>
      </c>
      <c r="B673" s="3">
        <v>44495</v>
      </c>
      <c r="C673" s="2" t="s">
        <v>4281</v>
      </c>
      <c r="D673" t="s">
        <v>6179</v>
      </c>
      <c r="E673" s="2">
        <v>5</v>
      </c>
      <c r="F673" s="2"/>
      <c r="G673" s="2"/>
      <c r="H673" s="2"/>
    </row>
    <row r="674" spans="1:8" x14ac:dyDescent="0.25">
      <c r="A674" s="2" t="s">
        <v>4286</v>
      </c>
      <c r="B674" s="3">
        <v>43916</v>
      </c>
      <c r="C674" s="2" t="s">
        <v>4287</v>
      </c>
      <c r="D674" t="s">
        <v>6160</v>
      </c>
      <c r="E674" s="2">
        <v>5</v>
      </c>
      <c r="F674" s="2"/>
      <c r="G674" s="2"/>
      <c r="H674" s="2"/>
    </row>
    <row r="675" spans="1:8" x14ac:dyDescent="0.25">
      <c r="A675" s="2" t="s">
        <v>4291</v>
      </c>
      <c r="B675" s="3">
        <v>44118</v>
      </c>
      <c r="C675" s="2" t="s">
        <v>4292</v>
      </c>
      <c r="D675" t="s">
        <v>6141</v>
      </c>
      <c r="E675" s="2">
        <v>6</v>
      </c>
      <c r="F675" s="2"/>
      <c r="G675" s="2"/>
      <c r="H675" s="2"/>
    </row>
    <row r="676" spans="1:8" x14ac:dyDescent="0.25">
      <c r="A676" s="2" t="s">
        <v>4297</v>
      </c>
      <c r="B676" s="3">
        <v>44543</v>
      </c>
      <c r="C676" s="2" t="s">
        <v>4298</v>
      </c>
      <c r="D676" t="s">
        <v>6182</v>
      </c>
      <c r="E676" s="2">
        <v>6</v>
      </c>
      <c r="F676" s="2"/>
      <c r="G676" s="2"/>
      <c r="H676" s="2"/>
    </row>
    <row r="677" spans="1:8" x14ac:dyDescent="0.25">
      <c r="A677" s="2" t="s">
        <v>4303</v>
      </c>
      <c r="B677" s="3">
        <v>44263</v>
      </c>
      <c r="C677" s="2" t="s">
        <v>4304</v>
      </c>
      <c r="D677" t="s">
        <v>6165</v>
      </c>
      <c r="E677" s="2">
        <v>4</v>
      </c>
      <c r="F677" s="2"/>
      <c r="G677" s="2"/>
      <c r="H677" s="2"/>
    </row>
    <row r="678" spans="1:8" x14ac:dyDescent="0.25">
      <c r="A678" s="2" t="s">
        <v>4308</v>
      </c>
      <c r="B678" s="3">
        <v>44217</v>
      </c>
      <c r="C678" s="2" t="s">
        <v>4309</v>
      </c>
      <c r="D678" t="s">
        <v>6161</v>
      </c>
      <c r="E678" s="2">
        <v>5</v>
      </c>
      <c r="F678" s="2"/>
      <c r="G678" s="2"/>
      <c r="H678" s="2"/>
    </row>
    <row r="679" spans="1:8" x14ac:dyDescent="0.25">
      <c r="A679" s="2" t="s">
        <v>4313</v>
      </c>
      <c r="B679" s="3">
        <v>44206</v>
      </c>
      <c r="C679" s="2" t="s">
        <v>4314</v>
      </c>
      <c r="D679" t="s">
        <v>6160</v>
      </c>
      <c r="E679" s="2">
        <v>5</v>
      </c>
      <c r="F679" s="2"/>
      <c r="G679" s="2"/>
      <c r="H679" s="2"/>
    </row>
    <row r="680" spans="1:8" x14ac:dyDescent="0.25">
      <c r="A680" s="2" t="s">
        <v>4319</v>
      </c>
      <c r="B680" s="3">
        <v>44281</v>
      </c>
      <c r="C680" s="2" t="s">
        <v>4320</v>
      </c>
      <c r="D680" t="s">
        <v>6182</v>
      </c>
      <c r="E680" s="2">
        <v>6</v>
      </c>
      <c r="F680" s="2"/>
      <c r="G680" s="2"/>
      <c r="H680" s="2"/>
    </row>
    <row r="681" spans="1:8" x14ac:dyDescent="0.25">
      <c r="A681" s="2" t="s">
        <v>4325</v>
      </c>
      <c r="B681" s="3">
        <v>44645</v>
      </c>
      <c r="C681" s="2" t="s">
        <v>4326</v>
      </c>
      <c r="D681" t="s">
        <v>6142</v>
      </c>
      <c r="E681" s="2">
        <v>1</v>
      </c>
      <c r="F681" s="2"/>
      <c r="G681" s="2"/>
      <c r="H681" s="2"/>
    </row>
    <row r="682" spans="1:8" x14ac:dyDescent="0.25">
      <c r="A682" s="2" t="s">
        <v>4331</v>
      </c>
      <c r="B682" s="3">
        <v>44399</v>
      </c>
      <c r="C682" s="2" t="s">
        <v>4332</v>
      </c>
      <c r="D682" t="s">
        <v>6155</v>
      </c>
      <c r="E682" s="2">
        <v>5</v>
      </c>
      <c r="F682" s="2"/>
      <c r="G682" s="2"/>
      <c r="H682" s="2"/>
    </row>
    <row r="683" spans="1:8" x14ac:dyDescent="0.25">
      <c r="A683" s="2" t="s">
        <v>4336</v>
      </c>
      <c r="B683" s="3">
        <v>44080</v>
      </c>
      <c r="C683" s="2" t="s">
        <v>4337</v>
      </c>
      <c r="D683" t="s">
        <v>6145</v>
      </c>
      <c r="E683" s="2">
        <v>2</v>
      </c>
      <c r="F683" s="2"/>
      <c r="G683" s="2"/>
      <c r="H683" s="2"/>
    </row>
    <row r="684" spans="1:8" x14ac:dyDescent="0.25">
      <c r="A684" s="2" t="s">
        <v>4342</v>
      </c>
      <c r="B684" s="3">
        <v>43827</v>
      </c>
      <c r="C684" s="2" t="s">
        <v>4343</v>
      </c>
      <c r="D684" t="s">
        <v>6156</v>
      </c>
      <c r="E684" s="2">
        <v>2</v>
      </c>
      <c r="F684" s="2"/>
      <c r="G684" s="2"/>
      <c r="H684" s="2"/>
    </row>
    <row r="685" spans="1:8" x14ac:dyDescent="0.25">
      <c r="A685" s="2" t="s">
        <v>4348</v>
      </c>
      <c r="B685" s="3">
        <v>43941</v>
      </c>
      <c r="C685" s="2" t="s">
        <v>4349</v>
      </c>
      <c r="D685" t="s">
        <v>6169</v>
      </c>
      <c r="E685" s="2">
        <v>6</v>
      </c>
      <c r="F685" s="2"/>
      <c r="G685" s="2"/>
      <c r="H685" s="2"/>
    </row>
    <row r="686" spans="1:8" x14ac:dyDescent="0.25">
      <c r="A686" s="2" t="s">
        <v>4354</v>
      </c>
      <c r="B686" s="3">
        <v>43517</v>
      </c>
      <c r="C686" s="2" t="s">
        <v>4355</v>
      </c>
      <c r="D686" t="s">
        <v>6179</v>
      </c>
      <c r="E686" s="2">
        <v>6</v>
      </c>
      <c r="F686" s="2"/>
      <c r="G686" s="2"/>
      <c r="H686" s="2"/>
    </row>
    <row r="687" spans="1:8" x14ac:dyDescent="0.25">
      <c r="A687" s="2" t="s">
        <v>4359</v>
      </c>
      <c r="B687" s="3">
        <v>44637</v>
      </c>
      <c r="C687" s="2" t="s">
        <v>4360</v>
      </c>
      <c r="D687" t="s">
        <v>6164</v>
      </c>
      <c r="E687" s="2">
        <v>2</v>
      </c>
      <c r="F687" s="2"/>
      <c r="G687" s="2"/>
      <c r="H687" s="2"/>
    </row>
    <row r="688" spans="1:8" x14ac:dyDescent="0.25">
      <c r="A688" s="2" t="s">
        <v>4365</v>
      </c>
      <c r="B688" s="3">
        <v>44330</v>
      </c>
      <c r="C688" s="2" t="s">
        <v>4366</v>
      </c>
      <c r="D688" t="s">
        <v>6163</v>
      </c>
      <c r="E688" s="2">
        <v>3</v>
      </c>
      <c r="F688" s="2"/>
      <c r="G688" s="2"/>
      <c r="H688" s="2"/>
    </row>
    <row r="689" spans="1:8" x14ac:dyDescent="0.25">
      <c r="A689" s="2" t="s">
        <v>4371</v>
      </c>
      <c r="B689" s="3">
        <v>43471</v>
      </c>
      <c r="C689" s="2" t="s">
        <v>4372</v>
      </c>
      <c r="D689" t="s">
        <v>6139</v>
      </c>
      <c r="E689" s="2">
        <v>2</v>
      </c>
      <c r="F689" s="2"/>
      <c r="G689" s="2"/>
      <c r="H689" s="2"/>
    </row>
    <row r="690" spans="1:8" x14ac:dyDescent="0.25">
      <c r="A690" s="2" t="s">
        <v>4377</v>
      </c>
      <c r="B690" s="3">
        <v>43579</v>
      </c>
      <c r="C690" s="2" t="s">
        <v>4378</v>
      </c>
      <c r="D690" t="s">
        <v>6140</v>
      </c>
      <c r="E690" s="2">
        <v>5</v>
      </c>
      <c r="F690" s="2"/>
      <c r="G690" s="2"/>
      <c r="H690" s="2"/>
    </row>
    <row r="691" spans="1:8" x14ac:dyDescent="0.25">
      <c r="A691" s="2" t="s">
        <v>4383</v>
      </c>
      <c r="B691" s="3">
        <v>44346</v>
      </c>
      <c r="C691" s="2" t="s">
        <v>4384</v>
      </c>
      <c r="D691" t="s">
        <v>6157</v>
      </c>
      <c r="E691" s="2">
        <v>5</v>
      </c>
      <c r="F691" s="2"/>
      <c r="G691" s="2"/>
      <c r="H691" s="2"/>
    </row>
    <row r="692" spans="1:8" x14ac:dyDescent="0.25">
      <c r="A692" s="2" t="s">
        <v>4389</v>
      </c>
      <c r="B692" s="3">
        <v>44754</v>
      </c>
      <c r="C692" s="2" t="s">
        <v>4390</v>
      </c>
      <c r="D692" t="s">
        <v>6165</v>
      </c>
      <c r="E692" s="2">
        <v>6</v>
      </c>
      <c r="F692" s="2"/>
      <c r="G692" s="2"/>
      <c r="H692" s="2"/>
    </row>
    <row r="693" spans="1:8" x14ac:dyDescent="0.25">
      <c r="A693" s="2" t="s">
        <v>4393</v>
      </c>
      <c r="B693" s="3">
        <v>44227</v>
      </c>
      <c r="C693" s="2" t="s">
        <v>4434</v>
      </c>
      <c r="D693" t="s">
        <v>6155</v>
      </c>
      <c r="E693" s="2">
        <v>2</v>
      </c>
      <c r="F693" s="2"/>
      <c r="G693" s="2"/>
      <c r="H693" s="2"/>
    </row>
    <row r="694" spans="1:8" x14ac:dyDescent="0.25">
      <c r="A694" s="2" t="s">
        <v>4399</v>
      </c>
      <c r="B694" s="3">
        <v>43720</v>
      </c>
      <c r="C694" s="2" t="s">
        <v>4400</v>
      </c>
      <c r="D694" t="s">
        <v>6143</v>
      </c>
      <c r="E694" s="2">
        <v>1</v>
      </c>
      <c r="F694" s="2"/>
      <c r="G694" s="2"/>
      <c r="H694" s="2"/>
    </row>
    <row r="695" spans="1:8" x14ac:dyDescent="0.25">
      <c r="A695" s="2" t="s">
        <v>4405</v>
      </c>
      <c r="B695" s="3">
        <v>44012</v>
      </c>
      <c r="C695" s="2" t="s">
        <v>4406</v>
      </c>
      <c r="D695" t="s">
        <v>6175</v>
      </c>
      <c r="E695" s="2">
        <v>2</v>
      </c>
      <c r="F695" s="2"/>
      <c r="G695" s="2"/>
      <c r="H695" s="2"/>
    </row>
    <row r="696" spans="1:8" x14ac:dyDescent="0.25">
      <c r="A696" s="2" t="s">
        <v>4411</v>
      </c>
      <c r="B696" s="3">
        <v>43915</v>
      </c>
      <c r="C696" s="2" t="s">
        <v>4412</v>
      </c>
      <c r="D696" t="s">
        <v>6144</v>
      </c>
      <c r="E696" s="2">
        <v>5</v>
      </c>
      <c r="F696" s="2"/>
      <c r="G696" s="2"/>
      <c r="H696" s="2"/>
    </row>
    <row r="697" spans="1:8" x14ac:dyDescent="0.25">
      <c r="A697" s="2" t="s">
        <v>4417</v>
      </c>
      <c r="B697" s="3">
        <v>44300</v>
      </c>
      <c r="C697" s="2" t="s">
        <v>4418</v>
      </c>
      <c r="D697" t="s">
        <v>6164</v>
      </c>
      <c r="E697" s="2">
        <v>5</v>
      </c>
      <c r="F697" s="2"/>
      <c r="G697" s="2"/>
      <c r="H697" s="2"/>
    </row>
    <row r="698" spans="1:8" x14ac:dyDescent="0.25">
      <c r="A698" s="2" t="s">
        <v>4423</v>
      </c>
      <c r="B698" s="3">
        <v>43693</v>
      </c>
      <c r="C698" s="2" t="s">
        <v>4424</v>
      </c>
      <c r="D698" t="s">
        <v>6169</v>
      </c>
      <c r="E698" s="2">
        <v>4</v>
      </c>
      <c r="F698" s="2"/>
      <c r="G698" s="2"/>
      <c r="H698" s="2"/>
    </row>
    <row r="699" spans="1:8" x14ac:dyDescent="0.25">
      <c r="A699" s="2" t="s">
        <v>4429</v>
      </c>
      <c r="B699" s="3">
        <v>44547</v>
      </c>
      <c r="C699" s="2" t="s">
        <v>4430</v>
      </c>
      <c r="D699" t="s">
        <v>6157</v>
      </c>
      <c r="E699" s="2">
        <v>3</v>
      </c>
      <c r="F699" s="2"/>
      <c r="G699" s="2"/>
      <c r="H699" s="2"/>
    </row>
    <row r="700" spans="1:8" x14ac:dyDescent="0.25">
      <c r="A700" s="2" t="s">
        <v>4433</v>
      </c>
      <c r="B700" s="3">
        <v>43830</v>
      </c>
      <c r="C700" s="2" t="s">
        <v>4434</v>
      </c>
      <c r="D700" t="s">
        <v>6143</v>
      </c>
      <c r="E700" s="2">
        <v>2</v>
      </c>
      <c r="F700" s="2"/>
      <c r="G700" s="2"/>
      <c r="H700" s="2"/>
    </row>
    <row r="701" spans="1:8" x14ac:dyDescent="0.25">
      <c r="A701" s="2" t="s">
        <v>4439</v>
      </c>
      <c r="B701" s="3">
        <v>44298</v>
      </c>
      <c r="C701" s="2" t="s">
        <v>4440</v>
      </c>
      <c r="D701" t="s">
        <v>6158</v>
      </c>
      <c r="E701" s="2">
        <v>4</v>
      </c>
      <c r="F701" s="2"/>
      <c r="G701" s="2"/>
      <c r="H701" s="2"/>
    </row>
    <row r="702" spans="1:8" x14ac:dyDescent="0.25">
      <c r="A702" s="2" t="s">
        <v>4445</v>
      </c>
      <c r="B702" s="3">
        <v>43736</v>
      </c>
      <c r="C702" s="2" t="s">
        <v>4446</v>
      </c>
      <c r="D702" t="s">
        <v>6161</v>
      </c>
      <c r="E702" s="2">
        <v>2</v>
      </c>
      <c r="F702" s="2"/>
      <c r="G702" s="2"/>
      <c r="H702" s="2"/>
    </row>
    <row r="703" spans="1:8" x14ac:dyDescent="0.25">
      <c r="A703" s="2" t="s">
        <v>4450</v>
      </c>
      <c r="B703" s="3">
        <v>44727</v>
      </c>
      <c r="C703" s="2" t="s">
        <v>4451</v>
      </c>
      <c r="D703" t="s">
        <v>6158</v>
      </c>
      <c r="E703" s="2">
        <v>5</v>
      </c>
      <c r="F703" s="2"/>
      <c r="G703" s="2"/>
      <c r="H703" s="2"/>
    </row>
    <row r="704" spans="1:8" x14ac:dyDescent="0.25">
      <c r="A704" s="2" t="s">
        <v>4456</v>
      </c>
      <c r="B704" s="3">
        <v>43661</v>
      </c>
      <c r="C704" s="2" t="s">
        <v>4457</v>
      </c>
      <c r="D704" t="s">
        <v>6180</v>
      </c>
      <c r="E704" s="2">
        <v>1</v>
      </c>
      <c r="F704" s="2"/>
      <c r="G704" s="2"/>
      <c r="H704" s="2"/>
    </row>
    <row r="705" spans="1:8" x14ac:dyDescent="0.25">
      <c r="A705" s="2" t="s">
        <v>4461</v>
      </c>
      <c r="B705" s="3">
        <v>43506</v>
      </c>
      <c r="C705" s="2" t="s">
        <v>4462</v>
      </c>
      <c r="D705" t="s">
        <v>6165</v>
      </c>
      <c r="E705" s="2">
        <v>4</v>
      </c>
      <c r="F705" s="2"/>
      <c r="G705" s="2"/>
      <c r="H705" s="2"/>
    </row>
    <row r="706" spans="1:8" x14ac:dyDescent="0.25">
      <c r="A706" s="2" t="s">
        <v>4466</v>
      </c>
      <c r="B706" s="3">
        <v>44716</v>
      </c>
      <c r="C706" s="2" t="s">
        <v>4467</v>
      </c>
      <c r="D706" t="s">
        <v>6153</v>
      </c>
      <c r="E706" s="2">
        <v>6</v>
      </c>
      <c r="F706" s="2"/>
      <c r="G706" s="2"/>
      <c r="H706" s="2"/>
    </row>
    <row r="707" spans="1:8" x14ac:dyDescent="0.25">
      <c r="A707" s="2" t="s">
        <v>4471</v>
      </c>
      <c r="B707" s="3">
        <v>44114</v>
      </c>
      <c r="C707" s="2" t="s">
        <v>4472</v>
      </c>
      <c r="D707" t="s">
        <v>6176</v>
      </c>
      <c r="E707" s="2">
        <v>2</v>
      </c>
      <c r="F707" s="2"/>
      <c r="G707" s="2"/>
      <c r="H707" s="2"/>
    </row>
    <row r="708" spans="1:8" x14ac:dyDescent="0.25">
      <c r="A708" s="2" t="s">
        <v>4477</v>
      </c>
      <c r="B708" s="3">
        <v>44353</v>
      </c>
      <c r="C708" s="2" t="s">
        <v>4478</v>
      </c>
      <c r="D708" t="s">
        <v>6156</v>
      </c>
      <c r="E708" s="2">
        <v>3</v>
      </c>
      <c r="F708" s="2"/>
      <c r="G708" s="2"/>
      <c r="H708" s="2"/>
    </row>
    <row r="709" spans="1:8" x14ac:dyDescent="0.25">
      <c r="A709" s="2" t="s">
        <v>4483</v>
      </c>
      <c r="B709" s="3">
        <v>43540</v>
      </c>
      <c r="C709" s="2" t="s">
        <v>4484</v>
      </c>
      <c r="D709" t="s">
        <v>6143</v>
      </c>
      <c r="E709" s="2">
        <v>2</v>
      </c>
      <c r="F709" s="2"/>
      <c r="G709" s="2"/>
      <c r="H709" s="2"/>
    </row>
    <row r="710" spans="1:8" x14ac:dyDescent="0.25">
      <c r="A710" s="2" t="s">
        <v>4488</v>
      </c>
      <c r="B710" s="3">
        <v>43804</v>
      </c>
      <c r="C710" s="2" t="s">
        <v>4489</v>
      </c>
      <c r="D710" t="s">
        <v>6157</v>
      </c>
      <c r="E710" s="2">
        <v>2</v>
      </c>
      <c r="F710" s="2"/>
      <c r="G710" s="2"/>
      <c r="H710" s="2"/>
    </row>
    <row r="711" spans="1:8" x14ac:dyDescent="0.25">
      <c r="A711" s="2" t="s">
        <v>4494</v>
      </c>
      <c r="B711" s="3">
        <v>43485</v>
      </c>
      <c r="C711" s="2" t="s">
        <v>4495</v>
      </c>
      <c r="D711" t="s">
        <v>6176</v>
      </c>
      <c r="E711" s="2">
        <v>2</v>
      </c>
      <c r="F711" s="2"/>
      <c r="G711" s="2"/>
      <c r="H711" s="2"/>
    </row>
    <row r="712" spans="1:8" x14ac:dyDescent="0.25">
      <c r="A712" s="2" t="s">
        <v>4499</v>
      </c>
      <c r="B712" s="3">
        <v>44655</v>
      </c>
      <c r="C712" s="2" t="s">
        <v>4500</v>
      </c>
      <c r="D712" t="s">
        <v>6139</v>
      </c>
      <c r="E712" s="2">
        <v>3</v>
      </c>
      <c r="F712" s="2"/>
      <c r="G712" s="2"/>
      <c r="H712" s="2"/>
    </row>
    <row r="713" spans="1:8" x14ac:dyDescent="0.25">
      <c r="A713" s="2" t="s">
        <v>4505</v>
      </c>
      <c r="B713" s="3">
        <v>44600</v>
      </c>
      <c r="C713" s="2" t="s">
        <v>4506</v>
      </c>
      <c r="D713" t="s">
        <v>6174</v>
      </c>
      <c r="E713" s="2">
        <v>6</v>
      </c>
      <c r="F713" s="2"/>
      <c r="G713" s="2"/>
      <c r="H713" s="2"/>
    </row>
    <row r="714" spans="1:8" x14ac:dyDescent="0.25">
      <c r="A714" s="2" t="s">
        <v>4512</v>
      </c>
      <c r="B714" s="3">
        <v>43646</v>
      </c>
      <c r="C714" s="2" t="s">
        <v>4513</v>
      </c>
      <c r="D714" t="s">
        <v>6139</v>
      </c>
      <c r="E714" s="2">
        <v>2</v>
      </c>
      <c r="F714" s="2"/>
      <c r="G714" s="2"/>
      <c r="H714" s="2"/>
    </row>
    <row r="715" spans="1:8" x14ac:dyDescent="0.25">
      <c r="A715" s="2" t="s">
        <v>4516</v>
      </c>
      <c r="B715" s="3">
        <v>43960</v>
      </c>
      <c r="C715" s="2" t="s">
        <v>4517</v>
      </c>
      <c r="D715" t="s">
        <v>6174</v>
      </c>
      <c r="E715" s="2">
        <v>1</v>
      </c>
      <c r="F715" s="2"/>
      <c r="G715" s="2"/>
      <c r="H715" s="2"/>
    </row>
    <row r="716" spans="1:8" x14ac:dyDescent="0.25">
      <c r="A716" s="2" t="s">
        <v>4522</v>
      </c>
      <c r="B716" s="3">
        <v>44358</v>
      </c>
      <c r="C716" s="2" t="s">
        <v>4523</v>
      </c>
      <c r="D716" t="s">
        <v>6153</v>
      </c>
      <c r="E716" s="2">
        <v>4</v>
      </c>
      <c r="F716" s="2"/>
      <c r="G716" s="2"/>
      <c r="H716" s="2"/>
    </row>
    <row r="717" spans="1:8" x14ac:dyDescent="0.25">
      <c r="A717" s="2" t="s">
        <v>4528</v>
      </c>
      <c r="B717" s="3">
        <v>44504</v>
      </c>
      <c r="C717" s="2" t="s">
        <v>4529</v>
      </c>
      <c r="D717" t="s">
        <v>6171</v>
      </c>
      <c r="E717" s="2">
        <v>6</v>
      </c>
      <c r="F717" s="2"/>
      <c r="G717" s="2"/>
      <c r="H717" s="2"/>
    </row>
    <row r="718" spans="1:8" x14ac:dyDescent="0.25">
      <c r="A718" s="2" t="s">
        <v>4533</v>
      </c>
      <c r="B718" s="3">
        <v>44612</v>
      </c>
      <c r="C718" s="2" t="s">
        <v>4434</v>
      </c>
      <c r="D718" t="s">
        <v>6179</v>
      </c>
      <c r="E718" s="2">
        <v>3</v>
      </c>
      <c r="F718" s="2"/>
      <c r="G718" s="2"/>
      <c r="H718" s="2"/>
    </row>
    <row r="719" spans="1:8" x14ac:dyDescent="0.25">
      <c r="A719" s="2" t="s">
        <v>4539</v>
      </c>
      <c r="B719" s="3">
        <v>43649</v>
      </c>
      <c r="C719" s="2" t="s">
        <v>4540</v>
      </c>
      <c r="D719" t="s">
        <v>6168</v>
      </c>
      <c r="E719" s="2">
        <v>3</v>
      </c>
      <c r="F719" s="2"/>
      <c r="G719" s="2"/>
      <c r="H719" s="2"/>
    </row>
    <row r="720" spans="1:8" x14ac:dyDescent="0.25">
      <c r="A720" s="2" t="s">
        <v>4545</v>
      </c>
      <c r="B720" s="3">
        <v>44348</v>
      </c>
      <c r="C720" s="2" t="s">
        <v>4546</v>
      </c>
      <c r="D720" t="s">
        <v>6143</v>
      </c>
      <c r="E720" s="2">
        <v>3</v>
      </c>
      <c r="F720" s="2"/>
      <c r="G720" s="2"/>
      <c r="H720" s="2"/>
    </row>
    <row r="721" spans="1:8" x14ac:dyDescent="0.25">
      <c r="A721" s="2" t="s">
        <v>4551</v>
      </c>
      <c r="B721" s="3">
        <v>44150</v>
      </c>
      <c r="C721" s="2" t="s">
        <v>4552</v>
      </c>
      <c r="D721" t="s">
        <v>6170</v>
      </c>
      <c r="E721" s="2">
        <v>5</v>
      </c>
      <c r="F721" s="2"/>
      <c r="G721" s="2"/>
      <c r="H721" s="2"/>
    </row>
    <row r="722" spans="1:8" x14ac:dyDescent="0.25">
      <c r="A722" s="2" t="s">
        <v>4557</v>
      </c>
      <c r="B722" s="3">
        <v>44215</v>
      </c>
      <c r="C722" s="2" t="s">
        <v>4558</v>
      </c>
      <c r="D722" t="s">
        <v>6144</v>
      </c>
      <c r="E722" s="2">
        <v>5</v>
      </c>
      <c r="F722" s="2"/>
      <c r="G722" s="2"/>
      <c r="H722" s="2"/>
    </row>
    <row r="723" spans="1:8" x14ac:dyDescent="0.25">
      <c r="A723" s="2" t="s">
        <v>4563</v>
      </c>
      <c r="B723" s="3">
        <v>44479</v>
      </c>
      <c r="C723" s="2" t="s">
        <v>4564</v>
      </c>
      <c r="D723" t="s">
        <v>6174</v>
      </c>
      <c r="E723" s="2">
        <v>3</v>
      </c>
      <c r="F723" s="2"/>
      <c r="G723" s="2"/>
      <c r="H723" s="2"/>
    </row>
    <row r="724" spans="1:8" x14ac:dyDescent="0.25">
      <c r="A724" s="2" t="s">
        <v>4569</v>
      </c>
      <c r="B724" s="3">
        <v>44620</v>
      </c>
      <c r="C724" s="2" t="s">
        <v>4570</v>
      </c>
      <c r="D724" t="s">
        <v>6183</v>
      </c>
      <c r="E724" s="2">
        <v>2</v>
      </c>
      <c r="F724" s="2"/>
      <c r="G724" s="2"/>
      <c r="H724" s="2"/>
    </row>
    <row r="725" spans="1:8" x14ac:dyDescent="0.25">
      <c r="A725" s="2" t="s">
        <v>4574</v>
      </c>
      <c r="B725" s="3">
        <v>44470</v>
      </c>
      <c r="C725" s="2" t="s">
        <v>4575</v>
      </c>
      <c r="D725" t="s">
        <v>6166</v>
      </c>
      <c r="E725" s="2">
        <v>2</v>
      </c>
      <c r="F725" s="2"/>
      <c r="G725" s="2"/>
      <c r="H725" s="2"/>
    </row>
    <row r="726" spans="1:8" x14ac:dyDescent="0.25">
      <c r="A726" s="2" t="s">
        <v>4580</v>
      </c>
      <c r="B726" s="3">
        <v>44076</v>
      </c>
      <c r="C726" s="2" t="s">
        <v>4581</v>
      </c>
      <c r="D726" t="s">
        <v>6152</v>
      </c>
      <c r="E726" s="2">
        <v>2</v>
      </c>
      <c r="F726" s="2"/>
      <c r="G726" s="2"/>
      <c r="H726" s="2"/>
    </row>
    <row r="727" spans="1:8" x14ac:dyDescent="0.25">
      <c r="A727" s="2" t="s">
        <v>4585</v>
      </c>
      <c r="B727" s="3">
        <v>44043</v>
      </c>
      <c r="C727" s="2" t="s">
        <v>4586</v>
      </c>
      <c r="D727" t="s">
        <v>6167</v>
      </c>
      <c r="E727" s="2">
        <v>6</v>
      </c>
      <c r="F727" s="2"/>
      <c r="G727" s="2"/>
      <c r="H727" s="2"/>
    </row>
    <row r="728" spans="1:8" x14ac:dyDescent="0.25">
      <c r="A728" s="2" t="s">
        <v>4591</v>
      </c>
      <c r="B728" s="3">
        <v>44571</v>
      </c>
      <c r="C728" s="2" t="s">
        <v>4592</v>
      </c>
      <c r="D728" t="s">
        <v>6164</v>
      </c>
      <c r="E728" s="2">
        <v>4</v>
      </c>
      <c r="F728" s="2"/>
      <c r="G728" s="2"/>
      <c r="H728" s="2"/>
    </row>
    <row r="729" spans="1:8" x14ac:dyDescent="0.25">
      <c r="A729" s="2" t="s">
        <v>4596</v>
      </c>
      <c r="B729" s="3">
        <v>44264</v>
      </c>
      <c r="C729" s="2" t="s">
        <v>4597</v>
      </c>
      <c r="D729" t="s">
        <v>6146</v>
      </c>
      <c r="E729" s="2">
        <v>5</v>
      </c>
      <c r="F729" s="2"/>
      <c r="G729" s="2"/>
      <c r="H729" s="2"/>
    </row>
    <row r="730" spans="1:8" x14ac:dyDescent="0.25">
      <c r="A730" s="2" t="s">
        <v>4602</v>
      </c>
      <c r="B730" s="3">
        <v>44155</v>
      </c>
      <c r="C730" s="2" t="s">
        <v>4603</v>
      </c>
      <c r="D730" t="s">
        <v>6144</v>
      </c>
      <c r="E730" s="2">
        <v>3</v>
      </c>
      <c r="F730" s="2"/>
      <c r="G730" s="2"/>
      <c r="H730" s="2"/>
    </row>
    <row r="731" spans="1:8" x14ac:dyDescent="0.25">
      <c r="A731" s="2" t="s">
        <v>4608</v>
      </c>
      <c r="B731" s="3">
        <v>44634</v>
      </c>
      <c r="C731" s="2" t="s">
        <v>4609</v>
      </c>
      <c r="D731" t="s">
        <v>6159</v>
      </c>
      <c r="E731" s="2">
        <v>1</v>
      </c>
      <c r="F731" s="2"/>
      <c r="G731" s="2"/>
      <c r="H731" s="2"/>
    </row>
    <row r="732" spans="1:8" x14ac:dyDescent="0.25">
      <c r="A732" s="2" t="s">
        <v>4614</v>
      </c>
      <c r="B732" s="3">
        <v>43475</v>
      </c>
      <c r="C732" s="2" t="s">
        <v>4615</v>
      </c>
      <c r="D732" t="s">
        <v>6164</v>
      </c>
      <c r="E732" s="2">
        <v>1</v>
      </c>
      <c r="F732" s="2"/>
      <c r="G732" s="2"/>
      <c r="H732" s="2"/>
    </row>
    <row r="733" spans="1:8" x14ac:dyDescent="0.25">
      <c r="A733" s="2" t="s">
        <v>4620</v>
      </c>
      <c r="B733" s="3">
        <v>44222</v>
      </c>
      <c r="C733" s="2" t="s">
        <v>4621</v>
      </c>
      <c r="D733" t="s">
        <v>6150</v>
      </c>
      <c r="E733" s="2">
        <v>4</v>
      </c>
      <c r="F733" s="2"/>
      <c r="G733" s="2"/>
      <c r="H733" s="2"/>
    </row>
    <row r="734" spans="1:8" x14ac:dyDescent="0.25">
      <c r="A734" s="2" t="s">
        <v>4625</v>
      </c>
      <c r="B734" s="3">
        <v>44312</v>
      </c>
      <c r="C734" s="2" t="s">
        <v>4626</v>
      </c>
      <c r="D734" t="s">
        <v>6184</v>
      </c>
      <c r="E734" s="2">
        <v>2</v>
      </c>
      <c r="F734" s="2"/>
      <c r="G734" s="2"/>
      <c r="H734" s="2"/>
    </row>
    <row r="735" spans="1:8" x14ac:dyDescent="0.25">
      <c r="A735" s="2" t="s">
        <v>4631</v>
      </c>
      <c r="B735" s="3">
        <v>44565</v>
      </c>
      <c r="C735" s="2" t="s">
        <v>4632</v>
      </c>
      <c r="D735" t="s">
        <v>6181</v>
      </c>
      <c r="E735" s="2">
        <v>3</v>
      </c>
      <c r="F735" s="2"/>
      <c r="G735" s="2"/>
      <c r="H735" s="2"/>
    </row>
    <row r="736" spans="1:8" x14ac:dyDescent="0.25">
      <c r="A736" s="2" t="s">
        <v>4637</v>
      </c>
      <c r="B736" s="3">
        <v>43697</v>
      </c>
      <c r="C736" s="2" t="s">
        <v>4638</v>
      </c>
      <c r="D736" t="s">
        <v>6163</v>
      </c>
      <c r="E736" s="2">
        <v>5</v>
      </c>
      <c r="F736" s="2"/>
      <c r="G736" s="2"/>
      <c r="H736" s="2"/>
    </row>
    <row r="737" spans="1:8" x14ac:dyDescent="0.25">
      <c r="A737" s="2" t="s">
        <v>4642</v>
      </c>
      <c r="B737" s="3">
        <v>44757</v>
      </c>
      <c r="C737" s="2" t="s">
        <v>4643</v>
      </c>
      <c r="D737" t="s">
        <v>6153</v>
      </c>
      <c r="E737" s="2">
        <v>6</v>
      </c>
      <c r="F737" s="2"/>
      <c r="G737" s="2"/>
      <c r="H737" s="2"/>
    </row>
    <row r="738" spans="1:8" x14ac:dyDescent="0.25">
      <c r="A738" s="2" t="s">
        <v>4647</v>
      </c>
      <c r="B738" s="3">
        <v>43508</v>
      </c>
      <c r="C738" s="2" t="s">
        <v>4648</v>
      </c>
      <c r="D738" t="s">
        <v>6143</v>
      </c>
      <c r="E738" s="2">
        <v>2</v>
      </c>
      <c r="F738" s="2"/>
      <c r="G738" s="2"/>
      <c r="H738" s="2"/>
    </row>
    <row r="739" spans="1:8" x14ac:dyDescent="0.25">
      <c r="A739" s="2" t="s">
        <v>4653</v>
      </c>
      <c r="B739" s="3">
        <v>44447</v>
      </c>
      <c r="C739" s="2" t="s">
        <v>4654</v>
      </c>
      <c r="D739" t="s">
        <v>6155</v>
      </c>
      <c r="E739" s="2">
        <v>5</v>
      </c>
      <c r="F739" s="2"/>
      <c r="G739" s="2"/>
      <c r="H739" s="2"/>
    </row>
    <row r="740" spans="1:8" x14ac:dyDescent="0.25">
      <c r="A740" s="2" t="s">
        <v>4659</v>
      </c>
      <c r="B740" s="3">
        <v>43812</v>
      </c>
      <c r="C740" s="2" t="s">
        <v>4660</v>
      </c>
      <c r="D740" t="s">
        <v>6178</v>
      </c>
      <c r="E740" s="2">
        <v>3</v>
      </c>
      <c r="F740" s="2"/>
      <c r="G740" s="2"/>
      <c r="H740" s="2"/>
    </row>
    <row r="741" spans="1:8" x14ac:dyDescent="0.25">
      <c r="A741" s="2" t="s">
        <v>4665</v>
      </c>
      <c r="B741" s="3">
        <v>44433</v>
      </c>
      <c r="C741" s="2" t="s">
        <v>4434</v>
      </c>
      <c r="D741" t="s">
        <v>6153</v>
      </c>
      <c r="E741" s="2">
        <v>5</v>
      </c>
      <c r="F741" s="2"/>
      <c r="G741" s="2"/>
      <c r="H741" s="2"/>
    </row>
    <row r="742" spans="1:8" x14ac:dyDescent="0.25">
      <c r="A742" s="2" t="s">
        <v>4670</v>
      </c>
      <c r="B742" s="3">
        <v>44643</v>
      </c>
      <c r="C742" s="2" t="s">
        <v>4671</v>
      </c>
      <c r="D742" t="s">
        <v>6173</v>
      </c>
      <c r="E742" s="2">
        <v>4</v>
      </c>
      <c r="F742" s="2"/>
      <c r="G742" s="2"/>
      <c r="H742" s="2"/>
    </row>
    <row r="743" spans="1:8" x14ac:dyDescent="0.25">
      <c r="A743" s="2" t="s">
        <v>4676</v>
      </c>
      <c r="B743" s="3">
        <v>43566</v>
      </c>
      <c r="C743" s="2" t="s">
        <v>4677</v>
      </c>
      <c r="D743" t="s">
        <v>6159</v>
      </c>
      <c r="E743" s="2">
        <v>2</v>
      </c>
      <c r="F743" s="2"/>
      <c r="G743" s="2"/>
      <c r="H743" s="2"/>
    </row>
    <row r="744" spans="1:8" x14ac:dyDescent="0.25">
      <c r="A744" s="2" t="s">
        <v>4682</v>
      </c>
      <c r="B744" s="3">
        <v>44133</v>
      </c>
      <c r="C744" s="2" t="s">
        <v>4683</v>
      </c>
      <c r="D744" t="s">
        <v>6162</v>
      </c>
      <c r="E744" s="2">
        <v>4</v>
      </c>
      <c r="F744" s="2"/>
      <c r="G744" s="2"/>
      <c r="H744" s="2"/>
    </row>
    <row r="745" spans="1:8" x14ac:dyDescent="0.25">
      <c r="A745" s="2" t="s">
        <v>4688</v>
      </c>
      <c r="B745" s="3">
        <v>44042</v>
      </c>
      <c r="C745" s="2" t="s">
        <v>4689</v>
      </c>
      <c r="D745" t="s">
        <v>6158</v>
      </c>
      <c r="E745" s="2">
        <v>3</v>
      </c>
      <c r="F745" s="2"/>
      <c r="G745" s="2"/>
      <c r="H745" s="2"/>
    </row>
    <row r="746" spans="1:8" x14ac:dyDescent="0.25">
      <c r="A746" s="2" t="s">
        <v>4694</v>
      </c>
      <c r="B746" s="3">
        <v>43539</v>
      </c>
      <c r="C746" s="2" t="s">
        <v>4695</v>
      </c>
      <c r="D746" t="s">
        <v>6174</v>
      </c>
      <c r="E746" s="2">
        <v>6</v>
      </c>
      <c r="F746" s="2"/>
      <c r="G746" s="2"/>
      <c r="H746" s="2"/>
    </row>
    <row r="747" spans="1:8" x14ac:dyDescent="0.25">
      <c r="A747" s="2" t="s">
        <v>4699</v>
      </c>
      <c r="B747" s="3">
        <v>44557</v>
      </c>
      <c r="C747" s="2" t="s">
        <v>4700</v>
      </c>
      <c r="D747" t="s">
        <v>6144</v>
      </c>
      <c r="E747" s="2">
        <v>2</v>
      </c>
      <c r="F747" s="2"/>
      <c r="G747" s="2"/>
      <c r="H747" s="2"/>
    </row>
    <row r="748" spans="1:8" x14ac:dyDescent="0.25">
      <c r="A748" s="2" t="s">
        <v>4705</v>
      </c>
      <c r="B748" s="3">
        <v>43741</v>
      </c>
      <c r="C748" s="2" t="s">
        <v>4706</v>
      </c>
      <c r="D748" t="s">
        <v>6155</v>
      </c>
      <c r="E748" s="2">
        <v>3</v>
      </c>
      <c r="F748" s="2"/>
      <c r="G748" s="2"/>
      <c r="H748" s="2"/>
    </row>
    <row r="749" spans="1:8" x14ac:dyDescent="0.25">
      <c r="A749" s="2" t="s">
        <v>4711</v>
      </c>
      <c r="B749" s="3">
        <v>43501</v>
      </c>
      <c r="C749" s="2" t="s">
        <v>4712</v>
      </c>
      <c r="D749" t="s">
        <v>6160</v>
      </c>
      <c r="E749" s="2">
        <v>4</v>
      </c>
      <c r="F749" s="2"/>
      <c r="G749" s="2"/>
      <c r="H749" s="2"/>
    </row>
    <row r="750" spans="1:8" x14ac:dyDescent="0.25">
      <c r="A750" s="2" t="s">
        <v>4717</v>
      </c>
      <c r="B750" s="3">
        <v>44074</v>
      </c>
      <c r="C750" s="2" t="s">
        <v>4718</v>
      </c>
      <c r="D750" t="s">
        <v>6144</v>
      </c>
      <c r="E750" s="2">
        <v>2</v>
      </c>
      <c r="F750" s="2"/>
      <c r="G750" s="2"/>
      <c r="H750" s="2"/>
    </row>
    <row r="751" spans="1:8" x14ac:dyDescent="0.25">
      <c r="A751" s="2" t="s">
        <v>4723</v>
      </c>
      <c r="B751" s="3">
        <v>44209</v>
      </c>
      <c r="C751" s="2" t="s">
        <v>4724</v>
      </c>
      <c r="D751" t="s">
        <v>6163</v>
      </c>
      <c r="E751" s="2">
        <v>2</v>
      </c>
      <c r="F751" s="2"/>
      <c r="G751" s="2"/>
      <c r="H751" s="2"/>
    </row>
    <row r="752" spans="1:8" x14ac:dyDescent="0.25">
      <c r="A752" s="2" t="s">
        <v>4730</v>
      </c>
      <c r="B752" s="3">
        <v>44277</v>
      </c>
      <c r="C752" s="2" t="s">
        <v>4731</v>
      </c>
      <c r="D752" t="s">
        <v>6146</v>
      </c>
      <c r="E752" s="2">
        <v>1</v>
      </c>
      <c r="F752" s="2"/>
      <c r="G752" s="2"/>
      <c r="H752" s="2"/>
    </row>
    <row r="753" spans="1:8" x14ac:dyDescent="0.25">
      <c r="A753" s="2" t="s">
        <v>4735</v>
      </c>
      <c r="B753" s="3">
        <v>43847</v>
      </c>
      <c r="C753" s="2" t="s">
        <v>4736</v>
      </c>
      <c r="D753" t="s">
        <v>6161</v>
      </c>
      <c r="E753" s="2">
        <v>2</v>
      </c>
      <c r="F753" s="2"/>
      <c r="G753" s="2"/>
      <c r="H753" s="2"/>
    </row>
    <row r="754" spans="1:8" x14ac:dyDescent="0.25">
      <c r="A754" s="2" t="s">
        <v>4741</v>
      </c>
      <c r="B754" s="3">
        <v>43648</v>
      </c>
      <c r="C754" s="2" t="s">
        <v>4742</v>
      </c>
      <c r="D754" t="s">
        <v>6141</v>
      </c>
      <c r="E754" s="2">
        <v>2</v>
      </c>
      <c r="F754" s="2"/>
      <c r="G754" s="2"/>
      <c r="H754" s="2"/>
    </row>
    <row r="755" spans="1:8" x14ac:dyDescent="0.25">
      <c r="A755" s="2" t="s">
        <v>4747</v>
      </c>
      <c r="B755" s="3">
        <v>44704</v>
      </c>
      <c r="C755" s="2" t="s">
        <v>4748</v>
      </c>
      <c r="D755" t="s">
        <v>6158</v>
      </c>
      <c r="E755" s="2">
        <v>5</v>
      </c>
      <c r="F755" s="2"/>
      <c r="G755" s="2"/>
      <c r="H755" s="2"/>
    </row>
    <row r="756" spans="1:8" x14ac:dyDescent="0.25">
      <c r="A756" s="2" t="s">
        <v>4753</v>
      </c>
      <c r="B756" s="3">
        <v>44726</v>
      </c>
      <c r="C756" s="2" t="s">
        <v>4434</v>
      </c>
      <c r="D756" t="s">
        <v>6154</v>
      </c>
      <c r="E756" s="2">
        <v>6</v>
      </c>
      <c r="F756" s="2"/>
      <c r="G756" s="2"/>
      <c r="H756" s="2"/>
    </row>
    <row r="757" spans="1:8" x14ac:dyDescent="0.25">
      <c r="A757" s="2" t="s">
        <v>4758</v>
      </c>
      <c r="B757" s="3">
        <v>44397</v>
      </c>
      <c r="C757" s="2" t="s">
        <v>4759</v>
      </c>
      <c r="D757" t="s">
        <v>6145</v>
      </c>
      <c r="E757" s="2">
        <v>6</v>
      </c>
      <c r="F757" s="2"/>
      <c r="G757" s="2"/>
      <c r="H757" s="2"/>
    </row>
    <row r="758" spans="1:8" x14ac:dyDescent="0.25">
      <c r="A758" s="2" t="s">
        <v>4764</v>
      </c>
      <c r="B758" s="3">
        <v>44715</v>
      </c>
      <c r="C758" s="2" t="s">
        <v>4765</v>
      </c>
      <c r="D758" t="s">
        <v>6177</v>
      </c>
      <c r="E758" s="2">
        <v>4</v>
      </c>
      <c r="F758" s="2"/>
      <c r="G758" s="2"/>
      <c r="H758" s="2"/>
    </row>
    <row r="759" spans="1:8" x14ac:dyDescent="0.25">
      <c r="A759" s="2" t="s">
        <v>4770</v>
      </c>
      <c r="B759" s="3">
        <v>43977</v>
      </c>
      <c r="C759" s="2" t="s">
        <v>4771</v>
      </c>
      <c r="D759" t="s">
        <v>6158</v>
      </c>
      <c r="E759" s="2">
        <v>3</v>
      </c>
      <c r="F759" s="2"/>
      <c r="G759" s="2"/>
      <c r="H759" s="2"/>
    </row>
    <row r="760" spans="1:8" x14ac:dyDescent="0.25">
      <c r="A760" s="2" t="s">
        <v>4776</v>
      </c>
      <c r="B760" s="3">
        <v>43672</v>
      </c>
      <c r="C760" s="2" t="s">
        <v>4777</v>
      </c>
      <c r="D760" t="s">
        <v>6177</v>
      </c>
      <c r="E760" s="2">
        <v>1</v>
      </c>
      <c r="F760" s="2"/>
      <c r="G760" s="2"/>
      <c r="H760" s="2"/>
    </row>
    <row r="761" spans="1:8" x14ac:dyDescent="0.25">
      <c r="A761" s="2" t="s">
        <v>4781</v>
      </c>
      <c r="B761" s="3">
        <v>44126</v>
      </c>
      <c r="C761" s="2" t="s">
        <v>4782</v>
      </c>
      <c r="D761" t="s">
        <v>6165</v>
      </c>
      <c r="E761" s="2">
        <v>1</v>
      </c>
      <c r="F761" s="2"/>
      <c r="G761" s="2"/>
      <c r="H761" s="2"/>
    </row>
    <row r="762" spans="1:8" x14ac:dyDescent="0.25">
      <c r="A762" s="2" t="s">
        <v>4787</v>
      </c>
      <c r="B762" s="3">
        <v>44189</v>
      </c>
      <c r="C762" s="2" t="s">
        <v>4788</v>
      </c>
      <c r="D762" t="s">
        <v>6176</v>
      </c>
      <c r="E762" s="2">
        <v>5</v>
      </c>
      <c r="F762" s="2"/>
      <c r="G762" s="2"/>
      <c r="H762" s="2"/>
    </row>
    <row r="763" spans="1:8" x14ac:dyDescent="0.25">
      <c r="A763" s="2" t="s">
        <v>4792</v>
      </c>
      <c r="B763" s="3">
        <v>43714</v>
      </c>
      <c r="C763" s="2" t="s">
        <v>4793</v>
      </c>
      <c r="D763" t="s">
        <v>6171</v>
      </c>
      <c r="E763" s="2">
        <v>6</v>
      </c>
      <c r="F763" s="2"/>
      <c r="G763" s="2"/>
      <c r="H763" s="2"/>
    </row>
    <row r="764" spans="1:8" x14ac:dyDescent="0.25">
      <c r="A764" s="2" t="s">
        <v>4797</v>
      </c>
      <c r="B764" s="3">
        <v>43563</v>
      </c>
      <c r="C764" s="2" t="s">
        <v>4798</v>
      </c>
      <c r="D764" t="s">
        <v>6160</v>
      </c>
      <c r="E764" s="2">
        <v>5</v>
      </c>
      <c r="F764" s="2"/>
      <c r="G764" s="2"/>
      <c r="H764" s="2"/>
    </row>
    <row r="765" spans="1:8" x14ac:dyDescent="0.25">
      <c r="A765" s="2" t="s">
        <v>4803</v>
      </c>
      <c r="B765" s="3">
        <v>44587</v>
      </c>
      <c r="C765" s="2" t="s">
        <v>4804</v>
      </c>
      <c r="D765" t="s">
        <v>6180</v>
      </c>
      <c r="E765" s="2">
        <v>3</v>
      </c>
      <c r="F765" s="2"/>
      <c r="G765" s="2"/>
      <c r="H765" s="2"/>
    </row>
    <row r="766" spans="1:8" x14ac:dyDescent="0.25">
      <c r="A766" s="2" t="s">
        <v>4808</v>
      </c>
      <c r="B766" s="3">
        <v>43797</v>
      </c>
      <c r="C766" s="2" t="s">
        <v>4809</v>
      </c>
      <c r="D766" t="s">
        <v>6182</v>
      </c>
      <c r="E766" s="2">
        <v>6</v>
      </c>
      <c r="F766" s="2"/>
      <c r="G766" s="2"/>
      <c r="H766" s="2"/>
    </row>
    <row r="767" spans="1:8" x14ac:dyDescent="0.25">
      <c r="A767" s="2" t="s">
        <v>4814</v>
      </c>
      <c r="B767" s="3">
        <v>43667</v>
      </c>
      <c r="C767" s="2" t="s">
        <v>4815</v>
      </c>
      <c r="D767" t="s">
        <v>6138</v>
      </c>
      <c r="E767" s="2">
        <v>6</v>
      </c>
      <c r="F767" s="2"/>
      <c r="G767" s="2"/>
      <c r="H767" s="2"/>
    </row>
    <row r="768" spans="1:8" x14ac:dyDescent="0.25">
      <c r="A768" s="2" t="s">
        <v>4814</v>
      </c>
      <c r="B768" s="3">
        <v>43667</v>
      </c>
      <c r="C768" s="2" t="s">
        <v>4815</v>
      </c>
      <c r="D768" t="s">
        <v>6180</v>
      </c>
      <c r="E768" s="2">
        <v>2</v>
      </c>
      <c r="F768" s="2"/>
      <c r="G768" s="2"/>
      <c r="H768" s="2"/>
    </row>
    <row r="769" spans="1:8" x14ac:dyDescent="0.25">
      <c r="A769" s="2" t="s">
        <v>4825</v>
      </c>
      <c r="B769" s="3">
        <v>44267</v>
      </c>
      <c r="C769" s="2" t="s">
        <v>4759</v>
      </c>
      <c r="D769" t="s">
        <v>6182</v>
      </c>
      <c r="E769" s="2">
        <v>3</v>
      </c>
      <c r="F769" s="2"/>
      <c r="G769" s="2"/>
      <c r="H769" s="2"/>
    </row>
    <row r="770" spans="1:8" x14ac:dyDescent="0.25">
      <c r="A770" s="2" t="s">
        <v>4831</v>
      </c>
      <c r="B770" s="3">
        <v>44562</v>
      </c>
      <c r="C770" s="2" t="s">
        <v>4759</v>
      </c>
      <c r="D770" t="s">
        <v>6179</v>
      </c>
      <c r="E770" s="2">
        <v>2</v>
      </c>
      <c r="F770" s="2"/>
      <c r="G770" s="2"/>
      <c r="H770" s="2"/>
    </row>
    <row r="771" spans="1:8" x14ac:dyDescent="0.25">
      <c r="A771" s="2" t="s">
        <v>4836</v>
      </c>
      <c r="B771" s="3">
        <v>43912</v>
      </c>
      <c r="C771" s="2" t="s">
        <v>4837</v>
      </c>
      <c r="D771" t="s">
        <v>6151</v>
      </c>
      <c r="E771" s="2">
        <v>6</v>
      </c>
      <c r="F771" s="2"/>
      <c r="G771" s="2"/>
      <c r="H771" s="2"/>
    </row>
    <row r="772" spans="1:8" x14ac:dyDescent="0.25">
      <c r="A772" s="2" t="s">
        <v>4842</v>
      </c>
      <c r="B772" s="3">
        <v>44092</v>
      </c>
      <c r="C772" s="2" t="s">
        <v>4843</v>
      </c>
      <c r="D772" t="s">
        <v>6147</v>
      </c>
      <c r="E772" s="2">
        <v>1</v>
      </c>
      <c r="F772" s="2"/>
      <c r="G772" s="2"/>
      <c r="H772" s="2"/>
    </row>
    <row r="773" spans="1:8" x14ac:dyDescent="0.25">
      <c r="A773" s="2" t="s">
        <v>4847</v>
      </c>
      <c r="B773" s="3">
        <v>43468</v>
      </c>
      <c r="C773" s="2" t="s">
        <v>4848</v>
      </c>
      <c r="D773" t="s">
        <v>6173</v>
      </c>
      <c r="E773" s="2">
        <v>3</v>
      </c>
      <c r="F773" s="2"/>
      <c r="G773" s="2"/>
      <c r="H773" s="2"/>
    </row>
    <row r="774" spans="1:8" x14ac:dyDescent="0.25">
      <c r="A774" s="2" t="s">
        <v>4853</v>
      </c>
      <c r="B774" s="3">
        <v>44468</v>
      </c>
      <c r="C774" s="2" t="s">
        <v>4854</v>
      </c>
      <c r="D774" t="s">
        <v>6141</v>
      </c>
      <c r="E774" s="2">
        <v>6</v>
      </c>
      <c r="F774" s="2"/>
      <c r="G774" s="2"/>
      <c r="H774" s="2"/>
    </row>
    <row r="775" spans="1:8" x14ac:dyDescent="0.25">
      <c r="A775" s="2" t="s">
        <v>4858</v>
      </c>
      <c r="B775" s="3">
        <v>44488</v>
      </c>
      <c r="C775" s="2" t="s">
        <v>4859</v>
      </c>
      <c r="D775" t="s">
        <v>6159</v>
      </c>
      <c r="E775" s="2">
        <v>2</v>
      </c>
      <c r="F775" s="2"/>
      <c r="G775" s="2"/>
      <c r="H775" s="2"/>
    </row>
    <row r="776" spans="1:8" x14ac:dyDescent="0.25">
      <c r="A776" s="2" t="s">
        <v>4864</v>
      </c>
      <c r="B776" s="3">
        <v>44756</v>
      </c>
      <c r="C776" s="2" t="s">
        <v>4865</v>
      </c>
      <c r="D776" t="s">
        <v>6138</v>
      </c>
      <c r="E776" s="2">
        <v>2</v>
      </c>
      <c r="F776" s="2"/>
      <c r="G776" s="2"/>
      <c r="H776" s="2"/>
    </row>
    <row r="777" spans="1:8" x14ac:dyDescent="0.25">
      <c r="A777" s="2" t="s">
        <v>4869</v>
      </c>
      <c r="B777" s="3">
        <v>44396</v>
      </c>
      <c r="C777" s="2" t="s">
        <v>4870</v>
      </c>
      <c r="D777" t="s">
        <v>6176</v>
      </c>
      <c r="E777" s="2">
        <v>2</v>
      </c>
      <c r="F777" s="2"/>
      <c r="G777" s="2"/>
      <c r="H777" s="2"/>
    </row>
    <row r="778" spans="1:8" x14ac:dyDescent="0.25">
      <c r="A778" s="2" t="s">
        <v>4875</v>
      </c>
      <c r="B778" s="3">
        <v>44540</v>
      </c>
      <c r="C778" s="2" t="s">
        <v>4876</v>
      </c>
      <c r="D778" t="s">
        <v>6157</v>
      </c>
      <c r="E778" s="2">
        <v>3</v>
      </c>
      <c r="F778" s="2"/>
      <c r="G778" s="2"/>
      <c r="H778" s="2"/>
    </row>
    <row r="779" spans="1:8" x14ac:dyDescent="0.25">
      <c r="A779" s="2" t="s">
        <v>4881</v>
      </c>
      <c r="B779" s="3">
        <v>43541</v>
      </c>
      <c r="C779" s="2" t="s">
        <v>4882</v>
      </c>
      <c r="D779" t="s">
        <v>6182</v>
      </c>
      <c r="E779" s="2">
        <v>2</v>
      </c>
      <c r="F779" s="2"/>
      <c r="G779" s="2"/>
      <c r="H779" s="2"/>
    </row>
    <row r="780" spans="1:8" x14ac:dyDescent="0.25">
      <c r="A780" s="2" t="s">
        <v>4886</v>
      </c>
      <c r="B780" s="3">
        <v>43889</v>
      </c>
      <c r="C780" s="2" t="s">
        <v>4933</v>
      </c>
      <c r="D780" t="s">
        <v>6161</v>
      </c>
      <c r="E780" s="2">
        <v>2</v>
      </c>
      <c r="F780" s="2"/>
      <c r="G780" s="2"/>
      <c r="H780" s="2"/>
    </row>
    <row r="781" spans="1:8" x14ac:dyDescent="0.25">
      <c r="A781" s="2" t="s">
        <v>4892</v>
      </c>
      <c r="B781" s="3">
        <v>43985</v>
      </c>
      <c r="C781" s="2" t="s">
        <v>4893</v>
      </c>
      <c r="D781" t="s">
        <v>6143</v>
      </c>
      <c r="E781" s="2">
        <v>6</v>
      </c>
      <c r="F781" s="2"/>
      <c r="G781" s="2"/>
      <c r="H781" s="2"/>
    </row>
    <row r="782" spans="1:8" x14ac:dyDescent="0.25">
      <c r="A782" s="2" t="s">
        <v>4898</v>
      </c>
      <c r="B782" s="3">
        <v>43883</v>
      </c>
      <c r="C782" s="2" t="s">
        <v>4899</v>
      </c>
      <c r="D782" t="s">
        <v>6141</v>
      </c>
      <c r="E782" s="2">
        <v>3</v>
      </c>
      <c r="F782" s="2"/>
      <c r="G782" s="2"/>
      <c r="H782" s="2"/>
    </row>
    <row r="783" spans="1:8" x14ac:dyDescent="0.25">
      <c r="A783" s="2" t="s">
        <v>4903</v>
      </c>
      <c r="B783" s="3">
        <v>43778</v>
      </c>
      <c r="C783" s="2" t="s">
        <v>4904</v>
      </c>
      <c r="D783" t="s">
        <v>6164</v>
      </c>
      <c r="E783" s="2">
        <v>4</v>
      </c>
      <c r="F783" s="2"/>
      <c r="G783" s="2"/>
      <c r="H783" s="2"/>
    </row>
    <row r="784" spans="1:8" x14ac:dyDescent="0.25">
      <c r="A784" s="2" t="s">
        <v>4909</v>
      </c>
      <c r="B784" s="3">
        <v>43897</v>
      </c>
      <c r="C784" s="2" t="s">
        <v>4910</v>
      </c>
      <c r="D784" t="s">
        <v>6184</v>
      </c>
      <c r="E784" s="2">
        <v>6</v>
      </c>
      <c r="F784" s="2"/>
      <c r="G784" s="2"/>
      <c r="H784" s="2"/>
    </row>
    <row r="785" spans="1:8" x14ac:dyDescent="0.25">
      <c r="A785" s="2" t="s">
        <v>4915</v>
      </c>
      <c r="B785" s="3">
        <v>44312</v>
      </c>
      <c r="C785" s="2" t="s">
        <v>4916</v>
      </c>
      <c r="D785" t="s">
        <v>6160</v>
      </c>
      <c r="E785" s="2">
        <v>5</v>
      </c>
      <c r="F785" s="2"/>
      <c r="G785" s="2"/>
      <c r="H785" s="2"/>
    </row>
    <row r="786" spans="1:8" x14ac:dyDescent="0.25">
      <c r="A786" s="2" t="s">
        <v>4921</v>
      </c>
      <c r="B786" s="3">
        <v>44511</v>
      </c>
      <c r="C786" s="2" t="s">
        <v>4922</v>
      </c>
      <c r="D786" t="s">
        <v>6170</v>
      </c>
      <c r="E786" s="2">
        <v>2</v>
      </c>
      <c r="F786" s="2"/>
      <c r="G786" s="2"/>
      <c r="H786" s="2"/>
    </row>
    <row r="787" spans="1:8" x14ac:dyDescent="0.25">
      <c r="A787" s="2" t="s">
        <v>4926</v>
      </c>
      <c r="B787" s="3">
        <v>44362</v>
      </c>
      <c r="C787" s="2" t="s">
        <v>4927</v>
      </c>
      <c r="D787" t="s">
        <v>6168</v>
      </c>
      <c r="E787" s="2">
        <v>1</v>
      </c>
      <c r="F787" s="2"/>
      <c r="G787" s="2"/>
      <c r="H787" s="2"/>
    </row>
    <row r="788" spans="1:8" x14ac:dyDescent="0.25">
      <c r="A788" s="2" t="s">
        <v>4932</v>
      </c>
      <c r="B788" s="3">
        <v>43888</v>
      </c>
      <c r="C788" s="2" t="s">
        <v>4933</v>
      </c>
      <c r="D788" t="s">
        <v>6185</v>
      </c>
      <c r="E788" s="2">
        <v>1</v>
      </c>
      <c r="F788" s="2"/>
      <c r="G788" s="2"/>
      <c r="H788" s="2"/>
    </row>
    <row r="789" spans="1:8" x14ac:dyDescent="0.25">
      <c r="A789" s="2" t="s">
        <v>4938</v>
      </c>
      <c r="B789" s="3">
        <v>44305</v>
      </c>
      <c r="C789" s="2" t="s">
        <v>4939</v>
      </c>
      <c r="D789" t="s">
        <v>6141</v>
      </c>
      <c r="E789" s="2">
        <v>6</v>
      </c>
      <c r="F789" s="2"/>
      <c r="G789" s="2"/>
      <c r="H789" s="2"/>
    </row>
    <row r="790" spans="1:8" x14ac:dyDescent="0.25">
      <c r="A790" s="2" t="s">
        <v>4943</v>
      </c>
      <c r="B790" s="3">
        <v>44771</v>
      </c>
      <c r="C790" s="2" t="s">
        <v>4944</v>
      </c>
      <c r="D790" t="s">
        <v>6151</v>
      </c>
      <c r="E790" s="2">
        <v>2</v>
      </c>
      <c r="F790" s="2"/>
      <c r="G790" s="2"/>
      <c r="H790" s="2"/>
    </row>
    <row r="791" spans="1:8" x14ac:dyDescent="0.25">
      <c r="A791" s="2" t="s">
        <v>4949</v>
      </c>
      <c r="B791" s="3">
        <v>43485</v>
      </c>
      <c r="C791" s="2" t="s">
        <v>4950</v>
      </c>
      <c r="D791" t="s">
        <v>6140</v>
      </c>
      <c r="E791" s="2">
        <v>6</v>
      </c>
      <c r="F791" s="2"/>
      <c r="G791" s="2"/>
      <c r="H791" s="2"/>
    </row>
    <row r="792" spans="1:8" x14ac:dyDescent="0.25">
      <c r="A792" s="2" t="s">
        <v>4955</v>
      </c>
      <c r="B792" s="3">
        <v>44613</v>
      </c>
      <c r="C792" s="2" t="s">
        <v>4956</v>
      </c>
      <c r="D792" t="s">
        <v>6180</v>
      </c>
      <c r="E792" s="2">
        <v>3</v>
      </c>
      <c r="F792" s="2"/>
      <c r="G792" s="2"/>
      <c r="H792" s="2"/>
    </row>
    <row r="793" spans="1:8" x14ac:dyDescent="0.25">
      <c r="A793" s="2" t="s">
        <v>4961</v>
      </c>
      <c r="B793" s="3">
        <v>43954</v>
      </c>
      <c r="C793" s="2" t="s">
        <v>4962</v>
      </c>
      <c r="D793" t="s">
        <v>6145</v>
      </c>
      <c r="E793" s="2">
        <v>5</v>
      </c>
      <c r="F793" s="2"/>
      <c r="G793" s="2"/>
      <c r="H793" s="2"/>
    </row>
    <row r="794" spans="1:8" x14ac:dyDescent="0.25">
      <c r="A794" s="2" t="s">
        <v>4967</v>
      </c>
      <c r="B794" s="3">
        <v>43545</v>
      </c>
      <c r="C794" s="2" t="s">
        <v>4968</v>
      </c>
      <c r="D794" t="s">
        <v>6160</v>
      </c>
      <c r="E794" s="2">
        <v>6</v>
      </c>
      <c r="F794" s="2"/>
      <c r="G794" s="2"/>
      <c r="H794" s="2"/>
    </row>
    <row r="795" spans="1:8" x14ac:dyDescent="0.25">
      <c r="A795" s="2" t="s">
        <v>4973</v>
      </c>
      <c r="B795" s="3">
        <v>43629</v>
      </c>
      <c r="C795" s="2" t="s">
        <v>4974</v>
      </c>
      <c r="D795" t="s">
        <v>6178</v>
      </c>
      <c r="E795" s="2">
        <v>5</v>
      </c>
      <c r="F795" s="2"/>
      <c r="G795" s="2"/>
      <c r="H795" s="2"/>
    </row>
    <row r="796" spans="1:8" x14ac:dyDescent="0.25">
      <c r="A796" s="2" t="s">
        <v>4979</v>
      </c>
      <c r="B796" s="3">
        <v>43987</v>
      </c>
      <c r="C796" s="2" t="s">
        <v>4980</v>
      </c>
      <c r="D796" t="s">
        <v>6182</v>
      </c>
      <c r="E796" s="2">
        <v>5</v>
      </c>
      <c r="F796" s="2"/>
      <c r="G796" s="2"/>
      <c r="H796" s="2"/>
    </row>
    <row r="797" spans="1:8" x14ac:dyDescent="0.25">
      <c r="A797" s="2" t="s">
        <v>4985</v>
      </c>
      <c r="B797" s="3">
        <v>43540</v>
      </c>
      <c r="C797" s="2" t="s">
        <v>4986</v>
      </c>
      <c r="D797" t="s">
        <v>6173</v>
      </c>
      <c r="E797" s="2">
        <v>4</v>
      </c>
      <c r="F797" s="2"/>
      <c r="G797" s="2"/>
      <c r="H797" s="2"/>
    </row>
    <row r="798" spans="1:8" x14ac:dyDescent="0.25">
      <c r="A798" s="2" t="s">
        <v>4991</v>
      </c>
      <c r="B798" s="3">
        <v>44533</v>
      </c>
      <c r="C798" s="2" t="s">
        <v>4992</v>
      </c>
      <c r="D798" t="s">
        <v>6161</v>
      </c>
      <c r="E798" s="2">
        <v>1</v>
      </c>
      <c r="F798" s="2"/>
      <c r="G798" s="2"/>
      <c r="H798" s="2"/>
    </row>
    <row r="799" spans="1:8" x14ac:dyDescent="0.25">
      <c r="A799" s="2" t="s">
        <v>4996</v>
      </c>
      <c r="B799" s="3">
        <v>44751</v>
      </c>
      <c r="C799" s="2" t="s">
        <v>4997</v>
      </c>
      <c r="D799" t="s">
        <v>6180</v>
      </c>
      <c r="E799" s="2">
        <v>4</v>
      </c>
      <c r="F799" s="2"/>
      <c r="G799" s="2"/>
      <c r="H799" s="2"/>
    </row>
    <row r="800" spans="1:8" x14ac:dyDescent="0.25">
      <c r="A800" s="2" t="s">
        <v>5002</v>
      </c>
      <c r="B800" s="3">
        <v>43950</v>
      </c>
      <c r="C800" s="2" t="s">
        <v>5003</v>
      </c>
      <c r="D800" t="s">
        <v>6163</v>
      </c>
      <c r="E800" s="2">
        <v>3</v>
      </c>
      <c r="F800" s="2"/>
      <c r="G800" s="2"/>
      <c r="H800" s="2"/>
    </row>
    <row r="801" spans="1:8" x14ac:dyDescent="0.25">
      <c r="A801" s="2" t="s">
        <v>5008</v>
      </c>
      <c r="B801" s="3">
        <v>44588</v>
      </c>
      <c r="C801" s="2" t="s">
        <v>5009</v>
      </c>
      <c r="D801" t="s">
        <v>6183</v>
      </c>
      <c r="E801" s="2">
        <v>3</v>
      </c>
      <c r="F801" s="2"/>
      <c r="G801" s="2"/>
      <c r="H801" s="2"/>
    </row>
    <row r="802" spans="1:8" x14ac:dyDescent="0.25">
      <c r="A802" s="2" t="s">
        <v>5012</v>
      </c>
      <c r="B802" s="3">
        <v>44240</v>
      </c>
      <c r="C802" s="2" t="s">
        <v>5013</v>
      </c>
      <c r="D802" t="s">
        <v>6163</v>
      </c>
      <c r="E802" s="2">
        <v>6</v>
      </c>
      <c r="F802" s="2"/>
      <c r="G802" s="2"/>
      <c r="H802" s="2"/>
    </row>
    <row r="803" spans="1:8" x14ac:dyDescent="0.25">
      <c r="A803" s="2" t="s">
        <v>5018</v>
      </c>
      <c r="B803" s="3">
        <v>44025</v>
      </c>
      <c r="C803" s="2" t="s">
        <v>5019</v>
      </c>
      <c r="D803" t="s">
        <v>6149</v>
      </c>
      <c r="E803" s="2">
        <v>2</v>
      </c>
      <c r="F803" s="2"/>
      <c r="G803" s="2"/>
      <c r="H803" s="2"/>
    </row>
    <row r="804" spans="1:8" x14ac:dyDescent="0.25">
      <c r="A804" s="2" t="s">
        <v>5024</v>
      </c>
      <c r="B804" s="3">
        <v>43902</v>
      </c>
      <c r="C804" s="2" t="s">
        <v>5025</v>
      </c>
      <c r="D804" t="s">
        <v>6163</v>
      </c>
      <c r="E804" s="2">
        <v>4</v>
      </c>
      <c r="F804" s="2"/>
      <c r="G804" s="2"/>
      <c r="H804" s="2"/>
    </row>
    <row r="805" spans="1:8" x14ac:dyDescent="0.25">
      <c r="A805" s="2" t="s">
        <v>5030</v>
      </c>
      <c r="B805" s="3">
        <v>43955</v>
      </c>
      <c r="C805" s="2" t="s">
        <v>5031</v>
      </c>
      <c r="D805" t="s">
        <v>6166</v>
      </c>
      <c r="E805" s="2">
        <v>4</v>
      </c>
      <c r="F805" s="2"/>
      <c r="G805" s="2"/>
      <c r="H805" s="2"/>
    </row>
    <row r="806" spans="1:8" x14ac:dyDescent="0.25">
      <c r="A806" s="2" t="s">
        <v>5035</v>
      </c>
      <c r="B806" s="3">
        <v>44289</v>
      </c>
      <c r="C806" s="2" t="s">
        <v>5036</v>
      </c>
      <c r="D806" t="s">
        <v>6179</v>
      </c>
      <c r="E806" s="2">
        <v>2</v>
      </c>
      <c r="F806" s="2"/>
      <c r="G806" s="2"/>
      <c r="H806" s="2"/>
    </row>
    <row r="807" spans="1:8" x14ac:dyDescent="0.25">
      <c r="A807" s="2" t="s">
        <v>5040</v>
      </c>
      <c r="B807" s="3">
        <v>44713</v>
      </c>
      <c r="C807" s="2" t="s">
        <v>5041</v>
      </c>
      <c r="D807" t="s">
        <v>6146</v>
      </c>
      <c r="E807" s="2">
        <v>1</v>
      </c>
      <c r="F807" s="2"/>
      <c r="G807" s="2"/>
      <c r="H807" s="2"/>
    </row>
    <row r="808" spans="1:8" x14ac:dyDescent="0.25">
      <c r="A808" s="2" t="s">
        <v>5046</v>
      </c>
      <c r="B808" s="3">
        <v>44241</v>
      </c>
      <c r="C808" s="2" t="s">
        <v>5047</v>
      </c>
      <c r="D808" t="s">
        <v>6150</v>
      </c>
      <c r="E808" s="2">
        <v>2</v>
      </c>
      <c r="F808" s="2"/>
      <c r="G808" s="2"/>
      <c r="H808" s="2"/>
    </row>
    <row r="809" spans="1:8" x14ac:dyDescent="0.25">
      <c r="A809" s="2" t="s">
        <v>5050</v>
      </c>
      <c r="B809" s="3">
        <v>44543</v>
      </c>
      <c r="C809" s="2" t="s">
        <v>5051</v>
      </c>
      <c r="D809" t="s">
        <v>6169</v>
      </c>
      <c r="E809" s="2">
        <v>3</v>
      </c>
      <c r="F809" s="2"/>
      <c r="G809" s="2"/>
      <c r="H809" s="2"/>
    </row>
    <row r="810" spans="1:8" x14ac:dyDescent="0.25">
      <c r="A810" s="2" t="s">
        <v>5056</v>
      </c>
      <c r="B810" s="3">
        <v>43868</v>
      </c>
      <c r="C810" s="2" t="s">
        <v>5113</v>
      </c>
      <c r="D810" t="s">
        <v>6142</v>
      </c>
      <c r="E810" s="2">
        <v>5</v>
      </c>
      <c r="F810" s="2"/>
      <c r="G810" s="2"/>
      <c r="H810" s="2"/>
    </row>
    <row r="811" spans="1:8" x14ac:dyDescent="0.25">
      <c r="A811" s="2" t="s">
        <v>5062</v>
      </c>
      <c r="B811" s="3">
        <v>44235</v>
      </c>
      <c r="C811" s="2" t="s">
        <v>5063</v>
      </c>
      <c r="D811" t="s">
        <v>6163</v>
      </c>
      <c r="E811" s="2">
        <v>3</v>
      </c>
      <c r="F811" s="2"/>
      <c r="G811" s="2"/>
      <c r="H811" s="2"/>
    </row>
    <row r="812" spans="1:8" x14ac:dyDescent="0.25">
      <c r="A812" s="2" t="s">
        <v>5067</v>
      </c>
      <c r="B812" s="3">
        <v>44054</v>
      </c>
      <c r="C812" s="2" t="s">
        <v>5068</v>
      </c>
      <c r="D812" t="s">
        <v>6161</v>
      </c>
      <c r="E812" s="2">
        <v>3</v>
      </c>
      <c r="F812" s="2"/>
      <c r="G812" s="2"/>
      <c r="H812" s="2"/>
    </row>
    <row r="813" spans="1:8" x14ac:dyDescent="0.25">
      <c r="A813" s="2" t="s">
        <v>5073</v>
      </c>
      <c r="B813" s="3">
        <v>44114</v>
      </c>
      <c r="C813" s="2" t="s">
        <v>5074</v>
      </c>
      <c r="D813" t="s">
        <v>6155</v>
      </c>
      <c r="E813" s="2">
        <v>6</v>
      </c>
      <c r="F813" s="2"/>
      <c r="G813" s="2"/>
      <c r="H813" s="2"/>
    </row>
    <row r="814" spans="1:8" x14ac:dyDescent="0.25">
      <c r="A814" s="2" t="s">
        <v>5073</v>
      </c>
      <c r="B814" s="3">
        <v>44114</v>
      </c>
      <c r="C814" s="2" t="s">
        <v>5074</v>
      </c>
      <c r="D814" t="s">
        <v>6165</v>
      </c>
      <c r="E814" s="2">
        <v>6</v>
      </c>
      <c r="F814" s="2"/>
      <c r="G814" s="2"/>
      <c r="H814" s="2"/>
    </row>
    <row r="815" spans="1:8" x14ac:dyDescent="0.25">
      <c r="A815" s="2" t="s">
        <v>5084</v>
      </c>
      <c r="B815" s="3">
        <v>44173</v>
      </c>
      <c r="C815" s="2" t="s">
        <v>5085</v>
      </c>
      <c r="D815" t="s">
        <v>6166</v>
      </c>
      <c r="E815" s="2">
        <v>1</v>
      </c>
      <c r="F815" s="2"/>
      <c r="G815" s="2"/>
      <c r="H815" s="2"/>
    </row>
    <row r="816" spans="1:8" x14ac:dyDescent="0.25">
      <c r="A816" s="2" t="s">
        <v>5090</v>
      </c>
      <c r="B816" s="3">
        <v>43573</v>
      </c>
      <c r="C816" s="2" t="s">
        <v>5091</v>
      </c>
      <c r="D816" t="s">
        <v>6184</v>
      </c>
      <c r="E816" s="2">
        <v>2</v>
      </c>
      <c r="F816" s="2"/>
      <c r="G816" s="2"/>
      <c r="H816" s="2"/>
    </row>
    <row r="817" spans="1:8" x14ac:dyDescent="0.25">
      <c r="A817" s="2" t="s">
        <v>5096</v>
      </c>
      <c r="B817" s="3">
        <v>44200</v>
      </c>
      <c r="C817" s="2" t="s">
        <v>5097</v>
      </c>
      <c r="D817" t="s">
        <v>6146</v>
      </c>
      <c r="E817" s="2">
        <v>6</v>
      </c>
      <c r="F817" s="2"/>
      <c r="G817" s="2"/>
      <c r="H817" s="2"/>
    </row>
    <row r="818" spans="1:8" x14ac:dyDescent="0.25">
      <c r="A818" s="2" t="s">
        <v>5102</v>
      </c>
      <c r="B818" s="3">
        <v>43534</v>
      </c>
      <c r="C818" s="2" t="s">
        <v>5103</v>
      </c>
      <c r="D818" t="s">
        <v>6161</v>
      </c>
      <c r="E818" s="2">
        <v>4</v>
      </c>
      <c r="F818" s="2"/>
      <c r="G818" s="2"/>
      <c r="H818" s="2"/>
    </row>
    <row r="819" spans="1:8" x14ac:dyDescent="0.25">
      <c r="A819" s="2" t="s">
        <v>5107</v>
      </c>
      <c r="B819" s="3">
        <v>43798</v>
      </c>
      <c r="C819" s="2" t="s">
        <v>5108</v>
      </c>
      <c r="D819" t="s">
        <v>6169</v>
      </c>
      <c r="E819" s="2">
        <v>2</v>
      </c>
      <c r="F819" s="2"/>
      <c r="G819" s="2"/>
      <c r="H819" s="2"/>
    </row>
    <row r="820" spans="1:8" x14ac:dyDescent="0.25">
      <c r="A820" s="2" t="s">
        <v>5112</v>
      </c>
      <c r="B820" s="3">
        <v>44761</v>
      </c>
      <c r="C820" s="2" t="s">
        <v>5113</v>
      </c>
      <c r="D820" t="s">
        <v>6170</v>
      </c>
      <c r="E820" s="2">
        <v>5</v>
      </c>
      <c r="F820" s="2"/>
      <c r="G820" s="2"/>
      <c r="H820" s="2"/>
    </row>
    <row r="821" spans="1:8" x14ac:dyDescent="0.25">
      <c r="A821" s="2" t="s">
        <v>5117</v>
      </c>
      <c r="B821" s="3">
        <v>44008</v>
      </c>
      <c r="C821" s="2" t="s">
        <v>5118</v>
      </c>
      <c r="D821" t="s">
        <v>6145</v>
      </c>
      <c r="E821" s="2">
        <v>1</v>
      </c>
      <c r="F821" s="2"/>
      <c r="G821" s="2"/>
      <c r="H821" s="2"/>
    </row>
    <row r="822" spans="1:8" x14ac:dyDescent="0.25">
      <c r="A822" s="2" t="s">
        <v>5123</v>
      </c>
      <c r="B822" s="3">
        <v>43510</v>
      </c>
      <c r="C822" s="2" t="s">
        <v>5124</v>
      </c>
      <c r="D822" t="s">
        <v>6141</v>
      </c>
      <c r="E822" s="2">
        <v>4</v>
      </c>
      <c r="F822" s="2"/>
      <c r="G822" s="2"/>
      <c r="H822" s="2"/>
    </row>
    <row r="823" spans="1:8" x14ac:dyDescent="0.25">
      <c r="A823" s="2" t="s">
        <v>5129</v>
      </c>
      <c r="B823" s="3">
        <v>44144</v>
      </c>
      <c r="C823" s="2" t="s">
        <v>5130</v>
      </c>
      <c r="D823" t="s">
        <v>6172</v>
      </c>
      <c r="E823" s="2">
        <v>5</v>
      </c>
      <c r="F823" s="2"/>
      <c r="G823" s="2"/>
      <c r="H823" s="2"/>
    </row>
    <row r="824" spans="1:8" x14ac:dyDescent="0.25">
      <c r="A824" s="2" t="s">
        <v>5135</v>
      </c>
      <c r="B824" s="3">
        <v>43585</v>
      </c>
      <c r="C824" s="2" t="s">
        <v>5136</v>
      </c>
      <c r="D824" t="s">
        <v>6148</v>
      </c>
      <c r="E824" s="2">
        <v>4</v>
      </c>
      <c r="F824" s="2"/>
      <c r="G824" s="2"/>
      <c r="H824" s="2"/>
    </row>
    <row r="825" spans="1:8" x14ac:dyDescent="0.25">
      <c r="A825" s="2" t="s">
        <v>5141</v>
      </c>
      <c r="B825" s="3">
        <v>44134</v>
      </c>
      <c r="C825" s="2" t="s">
        <v>5142</v>
      </c>
      <c r="D825" t="s">
        <v>6170</v>
      </c>
      <c r="E825" s="2">
        <v>3</v>
      </c>
      <c r="F825" s="2"/>
      <c r="G825" s="2"/>
      <c r="H825" s="2"/>
    </row>
    <row r="826" spans="1:8" x14ac:dyDescent="0.25">
      <c r="A826" s="2" t="s">
        <v>5147</v>
      </c>
      <c r="B826" s="3">
        <v>43781</v>
      </c>
      <c r="C826" s="2" t="s">
        <v>5148</v>
      </c>
      <c r="D826" t="s">
        <v>6152</v>
      </c>
      <c r="E826" s="2">
        <v>5</v>
      </c>
      <c r="F826" s="2"/>
      <c r="G826" s="2"/>
      <c r="H826" s="2"/>
    </row>
    <row r="827" spans="1:8" x14ac:dyDescent="0.25">
      <c r="A827" s="2" t="s">
        <v>5152</v>
      </c>
      <c r="B827" s="3">
        <v>44603</v>
      </c>
      <c r="C827" s="2" t="s">
        <v>5188</v>
      </c>
      <c r="D827" t="s">
        <v>6147</v>
      </c>
      <c r="E827" s="2">
        <v>3</v>
      </c>
      <c r="F827" s="2"/>
      <c r="G827" s="2"/>
      <c r="H827" s="2"/>
    </row>
    <row r="828" spans="1:8" x14ac:dyDescent="0.25">
      <c r="A828" s="2" t="s">
        <v>5158</v>
      </c>
      <c r="B828" s="3">
        <v>44283</v>
      </c>
      <c r="C828" s="2" t="s">
        <v>5159</v>
      </c>
      <c r="D828" t="s">
        <v>6139</v>
      </c>
      <c r="E828" s="2">
        <v>5</v>
      </c>
      <c r="F828" s="2"/>
      <c r="G828" s="2"/>
      <c r="H828" s="2"/>
    </row>
    <row r="829" spans="1:8" x14ac:dyDescent="0.25">
      <c r="A829" s="2" t="s">
        <v>5164</v>
      </c>
      <c r="B829" s="3">
        <v>44540</v>
      </c>
      <c r="C829" s="2" t="s">
        <v>5165</v>
      </c>
      <c r="D829" t="s">
        <v>6156</v>
      </c>
      <c r="E829" s="2">
        <v>5</v>
      </c>
      <c r="F829" s="2"/>
      <c r="G829" s="2"/>
      <c r="H829" s="2"/>
    </row>
    <row r="830" spans="1:8" x14ac:dyDescent="0.25">
      <c r="A830" s="2" t="s">
        <v>5170</v>
      </c>
      <c r="B830" s="3">
        <v>44505</v>
      </c>
      <c r="C830" s="2" t="s">
        <v>5171</v>
      </c>
      <c r="D830" t="s">
        <v>6168</v>
      </c>
      <c r="E830" s="2">
        <v>6</v>
      </c>
      <c r="F830" s="2"/>
      <c r="G830" s="2"/>
      <c r="H830" s="2"/>
    </row>
    <row r="831" spans="1:8" x14ac:dyDescent="0.25">
      <c r="A831" s="2" t="s">
        <v>5176</v>
      </c>
      <c r="B831" s="3">
        <v>43890</v>
      </c>
      <c r="C831" s="2" t="s">
        <v>5177</v>
      </c>
      <c r="D831" t="s">
        <v>6154</v>
      </c>
      <c r="E831" s="2">
        <v>1</v>
      </c>
      <c r="F831" s="2"/>
      <c r="G831" s="2"/>
      <c r="H831" s="2"/>
    </row>
    <row r="832" spans="1:8" x14ac:dyDescent="0.25">
      <c r="A832" s="2" t="s">
        <v>5182</v>
      </c>
      <c r="B832" s="3">
        <v>44414</v>
      </c>
      <c r="C832" s="2" t="s">
        <v>5183</v>
      </c>
      <c r="D832" t="s">
        <v>6141</v>
      </c>
      <c r="E832" s="2">
        <v>2</v>
      </c>
      <c r="F832" s="2"/>
      <c r="G832" s="2"/>
      <c r="H832" s="2"/>
    </row>
    <row r="833" spans="1:8" x14ac:dyDescent="0.25">
      <c r="A833" s="2" t="s">
        <v>5182</v>
      </c>
      <c r="B833" s="3">
        <v>44414</v>
      </c>
      <c r="C833" s="2" t="s">
        <v>5183</v>
      </c>
      <c r="D833" t="s">
        <v>6154</v>
      </c>
      <c r="E833" s="2">
        <v>2</v>
      </c>
      <c r="F833" s="2"/>
      <c r="G833" s="2"/>
      <c r="H833" s="2"/>
    </row>
    <row r="834" spans="1:8" x14ac:dyDescent="0.25">
      <c r="A834" s="2" t="s">
        <v>5193</v>
      </c>
      <c r="B834" s="3">
        <v>44274</v>
      </c>
      <c r="C834" s="2" t="s">
        <v>5194</v>
      </c>
      <c r="D834" t="s">
        <v>6138</v>
      </c>
      <c r="E834" s="2">
        <v>6</v>
      </c>
      <c r="F834" s="2"/>
      <c r="G834" s="2"/>
      <c r="H834" s="2"/>
    </row>
    <row r="835" spans="1:8" x14ac:dyDescent="0.25">
      <c r="A835" s="2" t="s">
        <v>5199</v>
      </c>
      <c r="B835" s="3">
        <v>44302</v>
      </c>
      <c r="C835" s="2" t="s">
        <v>5200</v>
      </c>
      <c r="D835" t="s">
        <v>6149</v>
      </c>
      <c r="E835" s="2">
        <v>4</v>
      </c>
      <c r="F835" s="2"/>
      <c r="G835" s="2"/>
      <c r="H835" s="2"/>
    </row>
    <row r="836" spans="1:8" x14ac:dyDescent="0.25">
      <c r="A836" s="2" t="s">
        <v>5205</v>
      </c>
      <c r="B836" s="3">
        <v>44141</v>
      </c>
      <c r="C836" s="2" t="s">
        <v>5206</v>
      </c>
      <c r="D836" t="s">
        <v>6168</v>
      </c>
      <c r="E836" s="2">
        <v>1</v>
      </c>
      <c r="F836" s="2"/>
      <c r="G836" s="2"/>
      <c r="H836" s="2"/>
    </row>
    <row r="837" spans="1:8" x14ac:dyDescent="0.25">
      <c r="A837" s="2" t="s">
        <v>5211</v>
      </c>
      <c r="B837" s="3">
        <v>44270</v>
      </c>
      <c r="C837" s="2" t="s">
        <v>5212</v>
      </c>
      <c r="D837" t="s">
        <v>6176</v>
      </c>
      <c r="E837" s="2">
        <v>1</v>
      </c>
      <c r="F837" s="2"/>
      <c r="G837" s="2"/>
      <c r="H837" s="2"/>
    </row>
    <row r="838" spans="1:8" x14ac:dyDescent="0.25">
      <c r="A838" s="2" t="s">
        <v>5216</v>
      </c>
      <c r="B838" s="3">
        <v>44486</v>
      </c>
      <c r="C838" s="2" t="s">
        <v>5217</v>
      </c>
      <c r="D838" t="s">
        <v>6154</v>
      </c>
      <c r="E838" s="2">
        <v>4</v>
      </c>
      <c r="F838" s="2"/>
      <c r="G838" s="2"/>
      <c r="H838" s="2"/>
    </row>
    <row r="839" spans="1:8" x14ac:dyDescent="0.25">
      <c r="A839" s="2" t="s">
        <v>5222</v>
      </c>
      <c r="B839" s="3">
        <v>43715</v>
      </c>
      <c r="C839" s="2" t="s">
        <v>5113</v>
      </c>
      <c r="D839" t="s">
        <v>6181</v>
      </c>
      <c r="E839" s="2">
        <v>3</v>
      </c>
      <c r="F839" s="2"/>
      <c r="G839" s="2"/>
      <c r="H839" s="2"/>
    </row>
    <row r="840" spans="1:8" x14ac:dyDescent="0.25">
      <c r="A840" s="2" t="s">
        <v>5228</v>
      </c>
      <c r="B840" s="3">
        <v>44755</v>
      </c>
      <c r="C840" s="2" t="s">
        <v>5229</v>
      </c>
      <c r="D840" t="s">
        <v>6168</v>
      </c>
      <c r="E840" s="2">
        <v>5</v>
      </c>
      <c r="F840" s="2"/>
      <c r="G840" s="2"/>
      <c r="H840" s="2"/>
    </row>
    <row r="841" spans="1:8" x14ac:dyDescent="0.25">
      <c r="A841" s="2" t="s">
        <v>5234</v>
      </c>
      <c r="B841" s="3">
        <v>44521</v>
      </c>
      <c r="C841" s="2" t="s">
        <v>5235</v>
      </c>
      <c r="D841" t="s">
        <v>6139</v>
      </c>
      <c r="E841" s="2">
        <v>5</v>
      </c>
      <c r="F841" s="2"/>
      <c r="G841" s="2"/>
      <c r="H841" s="2"/>
    </row>
    <row r="842" spans="1:8" x14ac:dyDescent="0.25">
      <c r="A842" s="2" t="s">
        <v>5240</v>
      </c>
      <c r="B842" s="3">
        <v>44574</v>
      </c>
      <c r="C842" s="2" t="s">
        <v>5241</v>
      </c>
      <c r="D842" t="s">
        <v>6173</v>
      </c>
      <c r="E842" s="2">
        <v>4</v>
      </c>
      <c r="F842" s="2"/>
      <c r="G842" s="2"/>
      <c r="H842" s="2"/>
    </row>
    <row r="843" spans="1:8" x14ac:dyDescent="0.25">
      <c r="A843" s="2" t="s">
        <v>5246</v>
      </c>
      <c r="B843" s="3">
        <v>44755</v>
      </c>
      <c r="C843" s="2" t="s">
        <v>5247</v>
      </c>
      <c r="D843" t="s">
        <v>6159</v>
      </c>
      <c r="E843" s="2">
        <v>1</v>
      </c>
      <c r="F843" s="2"/>
      <c r="G843" s="2"/>
      <c r="H843" s="2"/>
    </row>
    <row r="844" spans="1:8" x14ac:dyDescent="0.25">
      <c r="A844" s="2" t="s">
        <v>5251</v>
      </c>
      <c r="B844" s="3">
        <v>44502</v>
      </c>
      <c r="C844" s="2" t="s">
        <v>5188</v>
      </c>
      <c r="D844" t="s">
        <v>6156</v>
      </c>
      <c r="E844" s="2">
        <v>2</v>
      </c>
      <c r="F844" s="2"/>
      <c r="G844" s="2"/>
      <c r="H844" s="2"/>
    </row>
    <row r="845" spans="1:8" x14ac:dyDescent="0.25">
      <c r="A845" s="2" t="s">
        <v>5256</v>
      </c>
      <c r="B845" s="3">
        <v>44387</v>
      </c>
      <c r="C845" s="2" t="s">
        <v>5257</v>
      </c>
      <c r="D845" t="s">
        <v>6156</v>
      </c>
      <c r="E845" s="2">
        <v>2</v>
      </c>
      <c r="F845" s="2"/>
      <c r="G845" s="2"/>
      <c r="H845" s="2"/>
    </row>
    <row r="846" spans="1:8" x14ac:dyDescent="0.25">
      <c r="A846" s="2" t="s">
        <v>5262</v>
      </c>
      <c r="B846" s="3">
        <v>44476</v>
      </c>
      <c r="C846" s="2" t="s">
        <v>5263</v>
      </c>
      <c r="D846" t="s">
        <v>6158</v>
      </c>
      <c r="E846" s="2">
        <v>6</v>
      </c>
      <c r="F846" s="2"/>
      <c r="G846" s="2"/>
      <c r="H846" s="2"/>
    </row>
    <row r="847" spans="1:8" x14ac:dyDescent="0.25">
      <c r="A847" s="2" t="s">
        <v>5268</v>
      </c>
      <c r="B847" s="3">
        <v>43889</v>
      </c>
      <c r="C847" s="2" t="s">
        <v>5269</v>
      </c>
      <c r="D847" t="s">
        <v>6185</v>
      </c>
      <c r="E847" s="2">
        <v>6</v>
      </c>
      <c r="F847" s="2"/>
      <c r="G847" s="2"/>
      <c r="H847" s="2"/>
    </row>
    <row r="848" spans="1:8" x14ac:dyDescent="0.25">
      <c r="A848" s="2" t="s">
        <v>5273</v>
      </c>
      <c r="B848" s="3">
        <v>44747</v>
      </c>
      <c r="C848" s="2" t="s">
        <v>5274</v>
      </c>
      <c r="D848" t="s">
        <v>6175</v>
      </c>
      <c r="E848" s="2">
        <v>2</v>
      </c>
      <c r="F848" s="2"/>
      <c r="G848" s="2"/>
      <c r="H848" s="2"/>
    </row>
    <row r="849" spans="1:8" x14ac:dyDescent="0.25">
      <c r="A849" s="2" t="s">
        <v>5278</v>
      </c>
      <c r="B849" s="3">
        <v>44460</v>
      </c>
      <c r="C849" s="2" t="s">
        <v>5279</v>
      </c>
      <c r="D849" t="s">
        <v>6154</v>
      </c>
      <c r="E849" s="2">
        <v>3</v>
      </c>
      <c r="F849" s="2"/>
      <c r="G849" s="2"/>
      <c r="H849" s="2"/>
    </row>
    <row r="850" spans="1:8" x14ac:dyDescent="0.25">
      <c r="A850" s="2" t="s">
        <v>5283</v>
      </c>
      <c r="B850" s="3">
        <v>43468</v>
      </c>
      <c r="C850" s="2" t="s">
        <v>5284</v>
      </c>
      <c r="D850" t="s">
        <v>6176</v>
      </c>
      <c r="E850" s="2">
        <v>6</v>
      </c>
      <c r="F850" s="2"/>
      <c r="G850" s="2"/>
      <c r="H850" s="2"/>
    </row>
    <row r="851" spans="1:8" x14ac:dyDescent="0.25">
      <c r="A851" s="2" t="s">
        <v>5288</v>
      </c>
      <c r="B851" s="3">
        <v>44628</v>
      </c>
      <c r="C851" s="2" t="s">
        <v>5289</v>
      </c>
      <c r="D851" t="s">
        <v>6167</v>
      </c>
      <c r="E851" s="2">
        <v>6</v>
      </c>
      <c r="F851" s="2"/>
      <c r="G851" s="2"/>
      <c r="H851" s="2"/>
    </row>
    <row r="852" spans="1:8" x14ac:dyDescent="0.25">
      <c r="A852" s="2" t="s">
        <v>5288</v>
      </c>
      <c r="B852" s="3">
        <v>44628</v>
      </c>
      <c r="C852" s="2" t="s">
        <v>5289</v>
      </c>
      <c r="D852" t="s">
        <v>6152</v>
      </c>
      <c r="E852" s="2">
        <v>2</v>
      </c>
      <c r="F852" s="2"/>
      <c r="G852" s="2"/>
      <c r="H852" s="2"/>
    </row>
    <row r="853" spans="1:8" x14ac:dyDescent="0.25">
      <c r="A853" s="2" t="s">
        <v>5299</v>
      </c>
      <c r="B853" s="3">
        <v>43900</v>
      </c>
      <c r="C853" s="2" t="s">
        <v>5300</v>
      </c>
      <c r="D853" t="s">
        <v>6169</v>
      </c>
      <c r="E853" s="2">
        <v>1</v>
      </c>
      <c r="F853" s="2"/>
      <c r="G853" s="2"/>
      <c r="H853" s="2"/>
    </row>
    <row r="854" spans="1:8" x14ac:dyDescent="0.25">
      <c r="A854" s="2" t="s">
        <v>5305</v>
      </c>
      <c r="B854" s="3">
        <v>44527</v>
      </c>
      <c r="C854" s="2" t="s">
        <v>5306</v>
      </c>
      <c r="D854" t="s">
        <v>6165</v>
      </c>
      <c r="E854" s="2">
        <v>4</v>
      </c>
      <c r="F854" s="2"/>
      <c r="G854" s="2"/>
      <c r="H854" s="2"/>
    </row>
    <row r="855" spans="1:8" x14ac:dyDescent="0.25">
      <c r="A855" s="2" t="s">
        <v>5310</v>
      </c>
      <c r="B855" s="3">
        <v>44259</v>
      </c>
      <c r="C855" s="2" t="s">
        <v>5311</v>
      </c>
      <c r="D855" t="s">
        <v>6147</v>
      </c>
      <c r="E855" s="2">
        <v>2</v>
      </c>
      <c r="F855" s="2"/>
      <c r="G855" s="2"/>
      <c r="H855" s="2"/>
    </row>
    <row r="856" spans="1:8" x14ac:dyDescent="0.25">
      <c r="A856" s="2" t="s">
        <v>5315</v>
      </c>
      <c r="B856" s="3">
        <v>44516</v>
      </c>
      <c r="C856" s="2" t="s">
        <v>5316</v>
      </c>
      <c r="D856" t="s">
        <v>6173</v>
      </c>
      <c r="E856" s="2">
        <v>5</v>
      </c>
      <c r="F856" s="2"/>
      <c r="G856" s="2"/>
      <c r="H856" s="2"/>
    </row>
    <row r="857" spans="1:8" x14ac:dyDescent="0.25">
      <c r="A857" s="2" t="s">
        <v>5321</v>
      </c>
      <c r="B857" s="3">
        <v>43632</v>
      </c>
      <c r="C857" s="2" t="s">
        <v>5322</v>
      </c>
      <c r="D857" t="s">
        <v>6165</v>
      </c>
      <c r="E857" s="2">
        <v>3</v>
      </c>
      <c r="F857" s="2"/>
      <c r="G857" s="2"/>
      <c r="H857" s="2"/>
    </row>
    <row r="858" spans="1:8" x14ac:dyDescent="0.25">
      <c r="A858" s="2" t="s">
        <v>5327</v>
      </c>
      <c r="B858" s="3">
        <v>44031</v>
      </c>
      <c r="C858" s="2" t="s">
        <v>5188</v>
      </c>
      <c r="D858" t="s">
        <v>6159</v>
      </c>
      <c r="E858" s="2">
        <v>2</v>
      </c>
      <c r="F858" s="2"/>
      <c r="G858" s="2"/>
      <c r="H858" s="2"/>
    </row>
    <row r="859" spans="1:8" x14ac:dyDescent="0.25">
      <c r="A859" s="2" t="s">
        <v>5333</v>
      </c>
      <c r="B859" s="3">
        <v>43889</v>
      </c>
      <c r="C859" s="2" t="s">
        <v>5334</v>
      </c>
      <c r="D859" t="s">
        <v>6142</v>
      </c>
      <c r="E859" s="2">
        <v>5</v>
      </c>
      <c r="F859" s="2"/>
      <c r="G859" s="2"/>
      <c r="H859" s="2"/>
    </row>
    <row r="860" spans="1:8" x14ac:dyDescent="0.25">
      <c r="A860" s="2" t="s">
        <v>5339</v>
      </c>
      <c r="B860" s="3">
        <v>43638</v>
      </c>
      <c r="C860" s="2" t="s">
        <v>5340</v>
      </c>
      <c r="D860" t="s">
        <v>6160</v>
      </c>
      <c r="E860" s="2">
        <v>4</v>
      </c>
      <c r="F860" s="2"/>
      <c r="G860" s="2"/>
      <c r="H860" s="2"/>
    </row>
    <row r="861" spans="1:8" x14ac:dyDescent="0.25">
      <c r="A861" s="2" t="s">
        <v>5345</v>
      </c>
      <c r="B861" s="3">
        <v>43716</v>
      </c>
      <c r="C861" s="2" t="s">
        <v>5346</v>
      </c>
      <c r="D861" t="s">
        <v>6182</v>
      </c>
      <c r="E861" s="2">
        <v>6</v>
      </c>
      <c r="F861" s="2"/>
      <c r="G861" s="2"/>
      <c r="H861" s="2"/>
    </row>
    <row r="862" spans="1:8" x14ac:dyDescent="0.25">
      <c r="A862" s="2" t="s">
        <v>5351</v>
      </c>
      <c r="B862" s="3">
        <v>44707</v>
      </c>
      <c r="C862" s="2" t="s">
        <v>5352</v>
      </c>
      <c r="D862" t="s">
        <v>6175</v>
      </c>
      <c r="E862" s="2">
        <v>1</v>
      </c>
      <c r="F862" s="2"/>
      <c r="G862" s="2"/>
      <c r="H862" s="2"/>
    </row>
    <row r="863" spans="1:8" x14ac:dyDescent="0.25">
      <c r="A863" s="2" t="s">
        <v>5356</v>
      </c>
      <c r="B863" s="3">
        <v>43802</v>
      </c>
      <c r="C863" s="2" t="s">
        <v>5357</v>
      </c>
      <c r="D863" t="s">
        <v>6143</v>
      </c>
      <c r="E863" s="2">
        <v>6</v>
      </c>
      <c r="F863" s="2"/>
      <c r="G863" s="2"/>
      <c r="H863" s="2"/>
    </row>
    <row r="864" spans="1:8" x14ac:dyDescent="0.25">
      <c r="A864" s="2" t="s">
        <v>5362</v>
      </c>
      <c r="B864" s="3">
        <v>43725</v>
      </c>
      <c r="C864" s="2" t="s">
        <v>5363</v>
      </c>
      <c r="D864" t="s">
        <v>6138</v>
      </c>
      <c r="E864" s="2">
        <v>1</v>
      </c>
      <c r="F864" s="2"/>
      <c r="G864" s="2"/>
      <c r="H864" s="2"/>
    </row>
    <row r="865" spans="1:8" x14ac:dyDescent="0.25">
      <c r="A865" s="2" t="s">
        <v>5368</v>
      </c>
      <c r="B865" s="3">
        <v>44712</v>
      </c>
      <c r="C865" s="2" t="s">
        <v>5369</v>
      </c>
      <c r="D865" t="s">
        <v>6162</v>
      </c>
      <c r="E865" s="2">
        <v>2</v>
      </c>
      <c r="F865" s="2"/>
      <c r="G865" s="2"/>
      <c r="H865" s="2"/>
    </row>
    <row r="866" spans="1:8" x14ac:dyDescent="0.25">
      <c r="A866" s="2" t="s">
        <v>5374</v>
      </c>
      <c r="B866" s="3">
        <v>43759</v>
      </c>
      <c r="C866" s="2" t="s">
        <v>5375</v>
      </c>
      <c r="D866" t="s">
        <v>6178</v>
      </c>
      <c r="E866" s="2">
        <v>6</v>
      </c>
      <c r="F866" s="2"/>
      <c r="G866" s="2"/>
      <c r="H866" s="2"/>
    </row>
    <row r="867" spans="1:8" x14ac:dyDescent="0.25">
      <c r="A867" s="2" t="s">
        <v>5380</v>
      </c>
      <c r="B867" s="3">
        <v>44675</v>
      </c>
      <c r="C867" s="2" t="s">
        <v>5428</v>
      </c>
      <c r="D867" t="s">
        <v>6157</v>
      </c>
      <c r="E867" s="2">
        <v>1</v>
      </c>
      <c r="F867" s="2"/>
      <c r="G867" s="2"/>
      <c r="H867" s="2"/>
    </row>
    <row r="868" spans="1:8" x14ac:dyDescent="0.25">
      <c r="A868" s="2" t="s">
        <v>5385</v>
      </c>
      <c r="B868" s="3">
        <v>44209</v>
      </c>
      <c r="C868" s="2" t="s">
        <v>5386</v>
      </c>
      <c r="D868" t="s">
        <v>6158</v>
      </c>
      <c r="E868" s="2">
        <v>3</v>
      </c>
      <c r="F868" s="2"/>
      <c r="G868" s="2"/>
      <c r="H868" s="2"/>
    </row>
    <row r="869" spans="1:8" x14ac:dyDescent="0.25">
      <c r="A869" s="2" t="s">
        <v>5391</v>
      </c>
      <c r="B869" s="3">
        <v>44792</v>
      </c>
      <c r="C869" s="2" t="s">
        <v>5392</v>
      </c>
      <c r="D869" t="s">
        <v>6182</v>
      </c>
      <c r="E869" s="2">
        <v>1</v>
      </c>
      <c r="F869" s="2"/>
      <c r="G869" s="2"/>
      <c r="H869" s="2"/>
    </row>
    <row r="870" spans="1:8" x14ac:dyDescent="0.25">
      <c r="A870" s="2" t="s">
        <v>5396</v>
      </c>
      <c r="B870" s="3">
        <v>43526</v>
      </c>
      <c r="C870" s="2" t="s">
        <v>5397</v>
      </c>
      <c r="D870" t="s">
        <v>6139</v>
      </c>
      <c r="E870" s="2">
        <v>5</v>
      </c>
      <c r="F870" s="2"/>
      <c r="G870" s="2"/>
      <c r="H870" s="2"/>
    </row>
    <row r="871" spans="1:8" x14ac:dyDescent="0.25">
      <c r="A871" s="2" t="s">
        <v>5402</v>
      </c>
      <c r="B871" s="3">
        <v>43851</v>
      </c>
      <c r="C871" s="2" t="s">
        <v>5403</v>
      </c>
      <c r="D871" t="s">
        <v>6146</v>
      </c>
      <c r="E871" s="2">
        <v>3</v>
      </c>
      <c r="F871" s="2"/>
      <c r="G871" s="2"/>
      <c r="H871" s="2"/>
    </row>
    <row r="872" spans="1:8" x14ac:dyDescent="0.25">
      <c r="A872" s="2" t="s">
        <v>5407</v>
      </c>
      <c r="B872" s="3">
        <v>44460</v>
      </c>
      <c r="C872" s="2" t="s">
        <v>5408</v>
      </c>
      <c r="D872" t="s">
        <v>6144</v>
      </c>
      <c r="E872" s="2">
        <v>1</v>
      </c>
      <c r="F872" s="2"/>
      <c r="G872" s="2"/>
      <c r="H872" s="2"/>
    </row>
    <row r="873" spans="1:8" x14ac:dyDescent="0.25">
      <c r="A873" s="2" t="s">
        <v>5413</v>
      </c>
      <c r="B873" s="3">
        <v>43707</v>
      </c>
      <c r="C873" s="2" t="s">
        <v>5414</v>
      </c>
      <c r="D873" t="s">
        <v>6171</v>
      </c>
      <c r="E873" s="2">
        <v>2</v>
      </c>
      <c r="F873" s="2"/>
      <c r="G873" s="2"/>
      <c r="H873" s="2"/>
    </row>
    <row r="874" spans="1:8" x14ac:dyDescent="0.25">
      <c r="A874" s="2" t="s">
        <v>5421</v>
      </c>
      <c r="B874" s="3">
        <v>43521</v>
      </c>
      <c r="C874" s="2" t="s">
        <v>5422</v>
      </c>
      <c r="D874" t="s">
        <v>6155</v>
      </c>
      <c r="E874" s="2">
        <v>2</v>
      </c>
      <c r="F874" s="2"/>
      <c r="G874" s="2"/>
      <c r="H874" s="2"/>
    </row>
    <row r="875" spans="1:8" x14ac:dyDescent="0.25">
      <c r="A875" s="2" t="s">
        <v>5427</v>
      </c>
      <c r="B875" s="3">
        <v>43725</v>
      </c>
      <c r="C875" s="2" t="s">
        <v>5428</v>
      </c>
      <c r="D875" t="s">
        <v>6174</v>
      </c>
      <c r="E875" s="2">
        <v>4</v>
      </c>
      <c r="F875" s="2"/>
      <c r="G875" s="2"/>
      <c r="H875" s="2"/>
    </row>
    <row r="876" spans="1:8" x14ac:dyDescent="0.25">
      <c r="A876" s="2" t="s">
        <v>5433</v>
      </c>
      <c r="B876" s="3">
        <v>43680</v>
      </c>
      <c r="C876" s="2" t="s">
        <v>5434</v>
      </c>
      <c r="D876" t="s">
        <v>6140</v>
      </c>
      <c r="E876" s="2">
        <v>2</v>
      </c>
      <c r="F876" s="2"/>
      <c r="G876" s="2"/>
      <c r="H876" s="2"/>
    </row>
    <row r="877" spans="1:8" x14ac:dyDescent="0.25">
      <c r="A877" s="2" t="s">
        <v>5439</v>
      </c>
      <c r="B877" s="3">
        <v>44253</v>
      </c>
      <c r="C877" s="2" t="s">
        <v>5440</v>
      </c>
      <c r="D877" t="s">
        <v>6160</v>
      </c>
      <c r="E877" s="2">
        <v>5</v>
      </c>
      <c r="F877" s="2"/>
      <c r="G877" s="2"/>
      <c r="H877" s="2"/>
    </row>
    <row r="878" spans="1:8" x14ac:dyDescent="0.25">
      <c r="A878" s="2" t="s">
        <v>5439</v>
      </c>
      <c r="B878" s="3">
        <v>44253</v>
      </c>
      <c r="C878" s="2" t="s">
        <v>5440</v>
      </c>
      <c r="D878" t="s">
        <v>6180</v>
      </c>
      <c r="E878" s="2">
        <v>6</v>
      </c>
      <c r="F878" s="2"/>
      <c r="G878" s="2"/>
      <c r="H878" s="2"/>
    </row>
    <row r="879" spans="1:8" x14ac:dyDescent="0.25">
      <c r="A879" s="2" t="s">
        <v>5450</v>
      </c>
      <c r="B879" s="3">
        <v>44411</v>
      </c>
      <c r="C879" s="2" t="s">
        <v>5451</v>
      </c>
      <c r="D879" t="s">
        <v>6161</v>
      </c>
      <c r="E879" s="2">
        <v>3</v>
      </c>
      <c r="F879" s="2"/>
      <c r="G879" s="2"/>
      <c r="H879" s="2"/>
    </row>
    <row r="880" spans="1:8" x14ac:dyDescent="0.25">
      <c r="A880" s="2" t="s">
        <v>5456</v>
      </c>
      <c r="B880" s="3">
        <v>44323</v>
      </c>
      <c r="C880" s="2" t="s">
        <v>5457</v>
      </c>
      <c r="D880" t="s">
        <v>6142</v>
      </c>
      <c r="E880" s="2">
        <v>1</v>
      </c>
      <c r="F880" s="2"/>
      <c r="G880" s="2"/>
      <c r="H880" s="2"/>
    </row>
    <row r="881" spans="1:8" x14ac:dyDescent="0.25">
      <c r="A881" s="2" t="s">
        <v>5461</v>
      </c>
      <c r="B881" s="3">
        <v>43630</v>
      </c>
      <c r="C881" s="2" t="s">
        <v>5462</v>
      </c>
      <c r="D881" t="s">
        <v>6153</v>
      </c>
      <c r="E881" s="2">
        <v>3</v>
      </c>
      <c r="F881" s="2"/>
      <c r="G881" s="2"/>
      <c r="H881" s="2"/>
    </row>
    <row r="882" spans="1:8" x14ac:dyDescent="0.25">
      <c r="A882" s="2" t="s">
        <v>5466</v>
      </c>
      <c r="B882" s="3">
        <v>43790</v>
      </c>
      <c r="C882" s="2" t="s">
        <v>5467</v>
      </c>
      <c r="D882" t="s">
        <v>6178</v>
      </c>
      <c r="E882" s="2">
        <v>2</v>
      </c>
      <c r="F882" s="2"/>
      <c r="G882" s="2"/>
      <c r="H882" s="2"/>
    </row>
    <row r="883" spans="1:8" x14ac:dyDescent="0.25">
      <c r="A883" s="2" t="s">
        <v>5472</v>
      </c>
      <c r="B883" s="3">
        <v>44286</v>
      </c>
      <c r="C883" s="2" t="s">
        <v>5473</v>
      </c>
      <c r="D883" t="s">
        <v>6167</v>
      </c>
      <c r="E883" s="2">
        <v>6</v>
      </c>
      <c r="F883" s="2"/>
      <c r="G883" s="2"/>
      <c r="H883" s="2"/>
    </row>
    <row r="884" spans="1:8" x14ac:dyDescent="0.25">
      <c r="A884" s="2" t="s">
        <v>5477</v>
      </c>
      <c r="B884" s="3">
        <v>43647</v>
      </c>
      <c r="C884" s="2" t="s">
        <v>5526</v>
      </c>
      <c r="D884" t="s">
        <v>6168</v>
      </c>
      <c r="E884" s="2">
        <v>5</v>
      </c>
      <c r="F884" s="2"/>
      <c r="G884" s="2"/>
      <c r="H884" s="2"/>
    </row>
    <row r="885" spans="1:8" x14ac:dyDescent="0.25">
      <c r="A885" s="2" t="s">
        <v>5483</v>
      </c>
      <c r="B885" s="3">
        <v>43956</v>
      </c>
      <c r="C885" s="2" t="s">
        <v>5484</v>
      </c>
      <c r="D885" t="s">
        <v>6175</v>
      </c>
      <c r="E885" s="2">
        <v>3</v>
      </c>
      <c r="F885" s="2"/>
      <c r="G885" s="2"/>
      <c r="H885" s="2"/>
    </row>
    <row r="886" spans="1:8" x14ac:dyDescent="0.25">
      <c r="A886" s="2" t="s">
        <v>5489</v>
      </c>
      <c r="B886" s="3">
        <v>43941</v>
      </c>
      <c r="C886" s="2" t="s">
        <v>5490</v>
      </c>
      <c r="D886" t="s">
        <v>6172</v>
      </c>
      <c r="E886" s="2">
        <v>1</v>
      </c>
      <c r="F886" s="2"/>
      <c r="G886" s="2"/>
      <c r="H886" s="2"/>
    </row>
    <row r="887" spans="1:8" x14ac:dyDescent="0.25">
      <c r="A887" s="2" t="s">
        <v>5495</v>
      </c>
      <c r="B887" s="3">
        <v>43664</v>
      </c>
      <c r="C887" s="2" t="s">
        <v>5496</v>
      </c>
      <c r="D887" t="s">
        <v>6149</v>
      </c>
      <c r="E887" s="2">
        <v>6</v>
      </c>
      <c r="F887" s="2"/>
      <c r="G887" s="2"/>
      <c r="H887" s="2"/>
    </row>
    <row r="888" spans="1:8" x14ac:dyDescent="0.25">
      <c r="A888" s="2" t="s">
        <v>5501</v>
      </c>
      <c r="B888" s="3">
        <v>44518</v>
      </c>
      <c r="C888" s="2" t="s">
        <v>5502</v>
      </c>
      <c r="D888" t="s">
        <v>6160</v>
      </c>
      <c r="E888" s="2">
        <v>2</v>
      </c>
      <c r="F888" s="2"/>
      <c r="G888" s="2"/>
      <c r="H888" s="2"/>
    </row>
    <row r="889" spans="1:8" x14ac:dyDescent="0.25">
      <c r="A889" s="2" t="s">
        <v>5507</v>
      </c>
      <c r="B889" s="3">
        <v>44002</v>
      </c>
      <c r="C889" s="2" t="s">
        <v>5508</v>
      </c>
      <c r="D889" t="s">
        <v>6184</v>
      </c>
      <c r="E889" s="2">
        <v>3</v>
      </c>
      <c r="F889" s="2"/>
      <c r="G889" s="2"/>
      <c r="H889" s="2"/>
    </row>
    <row r="890" spans="1:8" x14ac:dyDescent="0.25">
      <c r="A890" s="2" t="s">
        <v>5513</v>
      </c>
      <c r="B890" s="3">
        <v>44292</v>
      </c>
      <c r="C890" s="2" t="s">
        <v>5514</v>
      </c>
      <c r="D890" t="s">
        <v>6167</v>
      </c>
      <c r="E890" s="2">
        <v>2</v>
      </c>
      <c r="F890" s="2"/>
      <c r="G890" s="2"/>
      <c r="H890" s="2"/>
    </row>
    <row r="891" spans="1:8" x14ac:dyDescent="0.25">
      <c r="A891" s="2" t="s">
        <v>5519</v>
      </c>
      <c r="B891" s="3">
        <v>43633</v>
      </c>
      <c r="C891" s="2" t="s">
        <v>5520</v>
      </c>
      <c r="D891" t="s">
        <v>6163</v>
      </c>
      <c r="E891" s="2">
        <v>1</v>
      </c>
      <c r="F891" s="2"/>
      <c r="G891" s="2"/>
      <c r="H891" s="2"/>
    </row>
    <row r="892" spans="1:8" x14ac:dyDescent="0.25">
      <c r="A892" s="2" t="s">
        <v>5525</v>
      </c>
      <c r="B892" s="3">
        <v>44646</v>
      </c>
      <c r="C892" s="2" t="s">
        <v>5526</v>
      </c>
      <c r="D892" t="s">
        <v>6149</v>
      </c>
      <c r="E892" s="2">
        <v>1</v>
      </c>
      <c r="F892" s="2"/>
      <c r="G892" s="2"/>
      <c r="H892" s="2"/>
    </row>
    <row r="893" spans="1:8" x14ac:dyDescent="0.25">
      <c r="A893" s="2" t="s">
        <v>5531</v>
      </c>
      <c r="B893" s="3">
        <v>44469</v>
      </c>
      <c r="C893" s="2" t="s">
        <v>5532</v>
      </c>
      <c r="D893" t="s">
        <v>6168</v>
      </c>
      <c r="E893" s="2">
        <v>5</v>
      </c>
      <c r="F893" s="2"/>
      <c r="G893" s="2"/>
      <c r="H893" s="2"/>
    </row>
    <row r="894" spans="1:8" x14ac:dyDescent="0.25">
      <c r="A894" s="2" t="s">
        <v>5537</v>
      </c>
      <c r="B894" s="3">
        <v>43635</v>
      </c>
      <c r="C894" s="2" t="s">
        <v>5538</v>
      </c>
      <c r="D894" t="s">
        <v>6156</v>
      </c>
      <c r="E894" s="2">
        <v>5</v>
      </c>
      <c r="F894" s="2"/>
      <c r="G894" s="2"/>
      <c r="H894" s="2"/>
    </row>
    <row r="895" spans="1:8" x14ac:dyDescent="0.25">
      <c r="A895" s="2" t="s">
        <v>5543</v>
      </c>
      <c r="B895" s="3">
        <v>44651</v>
      </c>
      <c r="C895" s="2" t="s">
        <v>5544</v>
      </c>
      <c r="D895" t="s">
        <v>6161</v>
      </c>
      <c r="E895" s="2">
        <v>6</v>
      </c>
      <c r="F895" s="2"/>
      <c r="G895" s="2"/>
      <c r="H895" s="2"/>
    </row>
    <row r="896" spans="1:8" x14ac:dyDescent="0.25">
      <c r="A896" s="2" t="s">
        <v>5548</v>
      </c>
      <c r="B896" s="3">
        <v>44016</v>
      </c>
      <c r="C896" s="2" t="s">
        <v>5549</v>
      </c>
      <c r="D896" t="s">
        <v>6149</v>
      </c>
      <c r="E896" s="2">
        <v>4</v>
      </c>
      <c r="F896" s="2"/>
      <c r="G896" s="2"/>
      <c r="H896" s="2"/>
    </row>
    <row r="897" spans="1:8" x14ac:dyDescent="0.25">
      <c r="A897" s="2" t="s">
        <v>5553</v>
      </c>
      <c r="B897" s="3">
        <v>44521</v>
      </c>
      <c r="C897" s="2" t="s">
        <v>5554</v>
      </c>
      <c r="D897" t="s">
        <v>6166</v>
      </c>
      <c r="E897" s="2">
        <v>5</v>
      </c>
      <c r="F897" s="2"/>
      <c r="G897" s="2"/>
      <c r="H897" s="2"/>
    </row>
    <row r="898" spans="1:8" x14ac:dyDescent="0.25">
      <c r="A898" s="2" t="s">
        <v>5558</v>
      </c>
      <c r="B898" s="3">
        <v>44347</v>
      </c>
      <c r="C898" s="2" t="s">
        <v>5559</v>
      </c>
      <c r="D898" t="s">
        <v>6172</v>
      </c>
      <c r="E898" s="2">
        <v>6</v>
      </c>
      <c r="F898" s="2"/>
      <c r="G898" s="2"/>
      <c r="H898" s="2"/>
    </row>
    <row r="899" spans="1:8" x14ac:dyDescent="0.25">
      <c r="A899" s="2" t="s">
        <v>5564</v>
      </c>
      <c r="B899" s="3">
        <v>43932</v>
      </c>
      <c r="C899" s="2" t="s">
        <v>5565</v>
      </c>
      <c r="D899" t="s">
        <v>6183</v>
      </c>
      <c r="E899" s="2">
        <v>2</v>
      </c>
      <c r="F899" s="2"/>
      <c r="G899" s="2"/>
      <c r="H899" s="2"/>
    </row>
    <row r="900" spans="1:8" x14ac:dyDescent="0.25">
      <c r="A900" s="2" t="s">
        <v>5570</v>
      </c>
      <c r="B900" s="3">
        <v>44089</v>
      </c>
      <c r="C900" s="2" t="s">
        <v>5571</v>
      </c>
      <c r="D900" t="s">
        <v>6173</v>
      </c>
      <c r="E900" s="2">
        <v>5</v>
      </c>
      <c r="F900" s="2"/>
      <c r="G900" s="2"/>
      <c r="H900" s="2"/>
    </row>
    <row r="901" spans="1:8" x14ac:dyDescent="0.25">
      <c r="A901" s="2" t="s">
        <v>5575</v>
      </c>
      <c r="B901" s="3">
        <v>44523</v>
      </c>
      <c r="C901" s="2" t="s">
        <v>5554</v>
      </c>
      <c r="D901" t="s">
        <v>6162</v>
      </c>
      <c r="E901" s="2">
        <v>5</v>
      </c>
      <c r="F901" s="2"/>
      <c r="G901" s="2"/>
      <c r="H901" s="2"/>
    </row>
    <row r="902" spans="1:8" x14ac:dyDescent="0.25">
      <c r="A902" s="2" t="s">
        <v>5580</v>
      </c>
      <c r="B902" s="3">
        <v>44584</v>
      </c>
      <c r="C902" s="2" t="s">
        <v>5581</v>
      </c>
      <c r="D902" t="s">
        <v>6170</v>
      </c>
      <c r="E902" s="2">
        <v>3</v>
      </c>
      <c r="F902" s="2"/>
      <c r="G902" s="2"/>
      <c r="H902" s="2"/>
    </row>
    <row r="903" spans="1:8" x14ac:dyDescent="0.25">
      <c r="A903" s="2" t="s">
        <v>5585</v>
      </c>
      <c r="B903" s="3">
        <v>44223</v>
      </c>
      <c r="C903" s="2" t="s">
        <v>5586</v>
      </c>
      <c r="D903" t="s">
        <v>6178</v>
      </c>
      <c r="E903" s="2">
        <v>1</v>
      </c>
      <c r="F903" s="2"/>
      <c r="G903" s="2"/>
      <c r="H903" s="2"/>
    </row>
    <row r="904" spans="1:8" x14ac:dyDescent="0.25">
      <c r="A904" s="2" t="s">
        <v>5591</v>
      </c>
      <c r="B904" s="3">
        <v>43640</v>
      </c>
      <c r="C904" s="2" t="s">
        <v>5592</v>
      </c>
      <c r="D904" t="s">
        <v>6166</v>
      </c>
      <c r="E904" s="2">
        <v>5</v>
      </c>
      <c r="F904" s="2"/>
      <c r="G904" s="2"/>
      <c r="H904" s="2"/>
    </row>
    <row r="905" spans="1:8" x14ac:dyDescent="0.25">
      <c r="A905" s="2" t="s">
        <v>5597</v>
      </c>
      <c r="B905" s="3">
        <v>43905</v>
      </c>
      <c r="C905" s="2" t="s">
        <v>5598</v>
      </c>
      <c r="D905" t="s">
        <v>6160</v>
      </c>
      <c r="E905" s="2">
        <v>2</v>
      </c>
      <c r="F905" s="2"/>
      <c r="G905" s="2"/>
      <c r="H905" s="2"/>
    </row>
    <row r="906" spans="1:8" x14ac:dyDescent="0.25">
      <c r="A906" s="2" t="s">
        <v>5603</v>
      </c>
      <c r="B906" s="3">
        <v>44463</v>
      </c>
      <c r="C906" s="2" t="s">
        <v>5604</v>
      </c>
      <c r="D906" t="s">
        <v>6182</v>
      </c>
      <c r="E906" s="2">
        <v>5</v>
      </c>
      <c r="F906" s="2"/>
      <c r="G906" s="2"/>
      <c r="H906" s="2"/>
    </row>
    <row r="907" spans="1:8" x14ac:dyDescent="0.25">
      <c r="A907" s="2" t="s">
        <v>5609</v>
      </c>
      <c r="B907" s="3">
        <v>43560</v>
      </c>
      <c r="C907" s="2" t="s">
        <v>5610</v>
      </c>
      <c r="D907" t="s">
        <v>6157</v>
      </c>
      <c r="E907" s="2">
        <v>6</v>
      </c>
      <c r="F907" s="2"/>
      <c r="G907" s="2"/>
      <c r="H907" s="2"/>
    </row>
    <row r="908" spans="1:8" x14ac:dyDescent="0.25">
      <c r="A908" s="2" t="s">
        <v>5614</v>
      </c>
      <c r="B908" s="3">
        <v>44588</v>
      </c>
      <c r="C908" s="2" t="s">
        <v>5615</v>
      </c>
      <c r="D908" t="s">
        <v>6157</v>
      </c>
      <c r="E908" s="2">
        <v>4</v>
      </c>
      <c r="F908" s="2"/>
      <c r="G908" s="2"/>
      <c r="H908" s="2"/>
    </row>
    <row r="909" spans="1:8" x14ac:dyDescent="0.25">
      <c r="A909" s="2" t="s">
        <v>5620</v>
      </c>
      <c r="B909" s="3">
        <v>44449</v>
      </c>
      <c r="C909" s="2" t="s">
        <v>5621</v>
      </c>
      <c r="D909" t="s">
        <v>6143</v>
      </c>
      <c r="E909" s="2">
        <v>3</v>
      </c>
      <c r="F909" s="2"/>
      <c r="G909" s="2"/>
      <c r="H909" s="2"/>
    </row>
    <row r="910" spans="1:8" x14ac:dyDescent="0.25">
      <c r="A910" s="2" t="s">
        <v>5626</v>
      </c>
      <c r="B910" s="3">
        <v>43836</v>
      </c>
      <c r="C910" s="2" t="s">
        <v>5627</v>
      </c>
      <c r="D910" t="s">
        <v>6179</v>
      </c>
      <c r="E910" s="2">
        <v>5</v>
      </c>
      <c r="F910" s="2"/>
      <c r="G910" s="2"/>
      <c r="H910" s="2"/>
    </row>
    <row r="911" spans="1:8" x14ac:dyDescent="0.25">
      <c r="A911" s="2" t="s">
        <v>5632</v>
      </c>
      <c r="B911" s="3">
        <v>44635</v>
      </c>
      <c r="C911" s="2" t="s">
        <v>5633</v>
      </c>
      <c r="D911" t="s">
        <v>6178</v>
      </c>
      <c r="E911" s="2">
        <v>3</v>
      </c>
      <c r="F911" s="2"/>
      <c r="G911" s="2"/>
      <c r="H911" s="2"/>
    </row>
    <row r="912" spans="1:8" x14ac:dyDescent="0.25">
      <c r="A912" s="2" t="s">
        <v>5637</v>
      </c>
      <c r="B912" s="3">
        <v>44447</v>
      </c>
      <c r="C912" s="2" t="s">
        <v>5638</v>
      </c>
      <c r="D912" t="s">
        <v>6168</v>
      </c>
      <c r="E912" s="2">
        <v>4</v>
      </c>
      <c r="F912" s="2"/>
      <c r="G912" s="2"/>
      <c r="H912" s="2"/>
    </row>
    <row r="913" spans="1:8" x14ac:dyDescent="0.25">
      <c r="A913" s="2" t="s">
        <v>5643</v>
      </c>
      <c r="B913" s="3">
        <v>44511</v>
      </c>
      <c r="C913" s="2" t="s">
        <v>5644</v>
      </c>
      <c r="D913" t="s">
        <v>6155</v>
      </c>
      <c r="E913" s="2">
        <v>4</v>
      </c>
      <c r="F913" s="2"/>
      <c r="G913" s="2"/>
      <c r="H913" s="2"/>
    </row>
    <row r="914" spans="1:8" x14ac:dyDescent="0.25">
      <c r="A914" s="2" t="s">
        <v>5649</v>
      </c>
      <c r="B914" s="3">
        <v>43726</v>
      </c>
      <c r="C914" s="2" t="s">
        <v>5650</v>
      </c>
      <c r="D914" t="s">
        <v>6151</v>
      </c>
      <c r="E914" s="2">
        <v>6</v>
      </c>
      <c r="F914" s="2"/>
      <c r="G914" s="2"/>
      <c r="H914" s="2"/>
    </row>
    <row r="915" spans="1:8" x14ac:dyDescent="0.25">
      <c r="A915" s="2" t="s">
        <v>5654</v>
      </c>
      <c r="B915" s="3">
        <v>44406</v>
      </c>
      <c r="C915" s="2" t="s">
        <v>5655</v>
      </c>
      <c r="D915" t="s">
        <v>6157</v>
      </c>
      <c r="E915" s="2">
        <v>1</v>
      </c>
      <c r="F915" s="2"/>
      <c r="G915" s="2"/>
      <c r="H915" s="2"/>
    </row>
    <row r="916" spans="1:8" x14ac:dyDescent="0.25">
      <c r="A916" s="2" t="s">
        <v>5660</v>
      </c>
      <c r="B916" s="3">
        <v>44640</v>
      </c>
      <c r="C916" s="2" t="s">
        <v>5661</v>
      </c>
      <c r="D916" t="s">
        <v>6155</v>
      </c>
      <c r="E916" s="2">
        <v>4</v>
      </c>
      <c r="F916" s="2"/>
      <c r="G916" s="2"/>
      <c r="H916" s="2"/>
    </row>
    <row r="917" spans="1:8" x14ac:dyDescent="0.25">
      <c r="A917" s="2" t="s">
        <v>5666</v>
      </c>
      <c r="B917" s="3">
        <v>43955</v>
      </c>
      <c r="C917" s="2" t="s">
        <v>5667</v>
      </c>
      <c r="D917" t="s">
        <v>6185</v>
      </c>
      <c r="E917" s="2">
        <v>3</v>
      </c>
      <c r="F917" s="2"/>
      <c r="G917" s="2"/>
      <c r="H917" s="2"/>
    </row>
    <row r="918" spans="1:8" x14ac:dyDescent="0.25">
      <c r="A918" s="2" t="s">
        <v>5672</v>
      </c>
      <c r="B918" s="3">
        <v>44291</v>
      </c>
      <c r="C918" s="2" t="s">
        <v>5673</v>
      </c>
      <c r="D918" t="s">
        <v>6153</v>
      </c>
      <c r="E918" s="2">
        <v>1</v>
      </c>
      <c r="F918" s="2"/>
      <c r="G918" s="2"/>
      <c r="H918" s="2"/>
    </row>
    <row r="919" spans="1:8" x14ac:dyDescent="0.25">
      <c r="A919" s="2" t="s">
        <v>5676</v>
      </c>
      <c r="B919" s="3">
        <v>44573</v>
      </c>
      <c r="C919" s="2" t="s">
        <v>5677</v>
      </c>
      <c r="D919" t="s">
        <v>6157</v>
      </c>
      <c r="E919" s="2">
        <v>1</v>
      </c>
      <c r="F919" s="2"/>
      <c r="G919" s="2"/>
      <c r="H919" s="2"/>
    </row>
    <row r="920" spans="1:8" x14ac:dyDescent="0.25">
      <c r="A920" s="2" t="s">
        <v>5676</v>
      </c>
      <c r="B920" s="3">
        <v>44573</v>
      </c>
      <c r="C920" s="2" t="s">
        <v>5677</v>
      </c>
      <c r="D920" t="s">
        <v>6144</v>
      </c>
      <c r="E920" s="2">
        <v>3</v>
      </c>
      <c r="F920" s="2"/>
      <c r="G920" s="2"/>
      <c r="H920" s="2"/>
    </row>
    <row r="921" spans="1:8" x14ac:dyDescent="0.25">
      <c r="A921" s="2" t="s">
        <v>5687</v>
      </c>
      <c r="B921" s="3">
        <v>44181</v>
      </c>
      <c r="C921" s="2" t="s">
        <v>5688</v>
      </c>
      <c r="D921" t="s">
        <v>6163</v>
      </c>
      <c r="E921" s="2">
        <v>5</v>
      </c>
      <c r="F921" s="2"/>
      <c r="G921" s="2"/>
      <c r="H921" s="2"/>
    </row>
    <row r="922" spans="1:8" x14ac:dyDescent="0.25">
      <c r="A922" s="2" t="s">
        <v>5693</v>
      </c>
      <c r="B922" s="3">
        <v>44711</v>
      </c>
      <c r="C922" s="2" t="s">
        <v>5694</v>
      </c>
      <c r="D922" t="s">
        <v>6149</v>
      </c>
      <c r="E922" s="2">
        <v>6</v>
      </c>
      <c r="F922" s="2"/>
      <c r="G922" s="2"/>
      <c r="H922" s="2"/>
    </row>
    <row r="923" spans="1:8" x14ac:dyDescent="0.25">
      <c r="A923" s="2" t="s">
        <v>5699</v>
      </c>
      <c r="B923" s="3">
        <v>44509</v>
      </c>
      <c r="C923" s="2" t="s">
        <v>5700</v>
      </c>
      <c r="D923" t="s">
        <v>6150</v>
      </c>
      <c r="E923" s="2">
        <v>2</v>
      </c>
      <c r="F923" s="2"/>
      <c r="G923" s="2"/>
      <c r="H923" s="2"/>
    </row>
    <row r="924" spans="1:8" x14ac:dyDescent="0.25">
      <c r="A924" s="2" t="s">
        <v>5705</v>
      </c>
      <c r="B924" s="3">
        <v>44659</v>
      </c>
      <c r="C924" s="2" t="s">
        <v>5706</v>
      </c>
      <c r="D924" t="s">
        <v>6155</v>
      </c>
      <c r="E924" s="2">
        <v>6</v>
      </c>
      <c r="F924" s="2"/>
      <c r="G924" s="2"/>
      <c r="H924" s="2"/>
    </row>
    <row r="925" spans="1:8" x14ac:dyDescent="0.25">
      <c r="A925" s="2" t="s">
        <v>5709</v>
      </c>
      <c r="B925" s="3">
        <v>43746</v>
      </c>
      <c r="C925" s="2" t="s">
        <v>5710</v>
      </c>
      <c r="D925" t="s">
        <v>6185</v>
      </c>
      <c r="E925" s="2">
        <v>1</v>
      </c>
      <c r="F925" s="2"/>
      <c r="G925" s="2"/>
      <c r="H925" s="2"/>
    </row>
    <row r="926" spans="1:8" x14ac:dyDescent="0.25">
      <c r="A926" s="2" t="s">
        <v>5715</v>
      </c>
      <c r="B926" s="3">
        <v>44451</v>
      </c>
      <c r="C926" s="2" t="s">
        <v>5716</v>
      </c>
      <c r="D926" t="s">
        <v>6182</v>
      </c>
      <c r="E926" s="2">
        <v>3</v>
      </c>
      <c r="F926" s="2"/>
      <c r="G926" s="2"/>
      <c r="H926" s="2"/>
    </row>
    <row r="927" spans="1:8" x14ac:dyDescent="0.25">
      <c r="A927" s="2" t="s">
        <v>5720</v>
      </c>
      <c r="B927" s="3">
        <v>44770</v>
      </c>
      <c r="C927" s="2" t="s">
        <v>5554</v>
      </c>
      <c r="D927" t="s">
        <v>6157</v>
      </c>
      <c r="E927" s="2">
        <v>3</v>
      </c>
      <c r="F927" s="2"/>
      <c r="G927" s="2"/>
      <c r="H927" s="2"/>
    </row>
    <row r="928" spans="1:8" x14ac:dyDescent="0.25">
      <c r="A928" s="2" t="s">
        <v>5725</v>
      </c>
      <c r="B928" s="3">
        <v>44012</v>
      </c>
      <c r="C928" s="2" t="s">
        <v>5726</v>
      </c>
      <c r="D928" t="s">
        <v>6157</v>
      </c>
      <c r="E928" s="2">
        <v>5</v>
      </c>
      <c r="F928" s="2"/>
      <c r="G928" s="2"/>
      <c r="H928" s="2"/>
    </row>
    <row r="929" spans="1:8" x14ac:dyDescent="0.25">
      <c r="A929" s="2" t="s">
        <v>5731</v>
      </c>
      <c r="B929" s="3">
        <v>43474</v>
      </c>
      <c r="C929" s="2" t="s">
        <v>5732</v>
      </c>
      <c r="D929" t="s">
        <v>6185</v>
      </c>
      <c r="E929" s="2">
        <v>4</v>
      </c>
      <c r="F929" s="2"/>
      <c r="G929" s="2"/>
      <c r="H929" s="2"/>
    </row>
    <row r="930" spans="1:8" x14ac:dyDescent="0.25">
      <c r="A930" s="2" t="s">
        <v>5737</v>
      </c>
      <c r="B930" s="3">
        <v>44754</v>
      </c>
      <c r="C930" s="2" t="s">
        <v>5738</v>
      </c>
      <c r="D930" t="s">
        <v>6166</v>
      </c>
      <c r="E930" s="2">
        <v>2</v>
      </c>
      <c r="F930" s="2"/>
      <c r="G930" s="2"/>
      <c r="H930" s="2"/>
    </row>
    <row r="931" spans="1:8" x14ac:dyDescent="0.25">
      <c r="A931" s="2" t="s">
        <v>5742</v>
      </c>
      <c r="B931" s="3">
        <v>44165</v>
      </c>
      <c r="C931" s="2" t="s">
        <v>5743</v>
      </c>
      <c r="D931" t="s">
        <v>6184</v>
      </c>
      <c r="E931" s="2">
        <v>2</v>
      </c>
      <c r="F931" s="2"/>
      <c r="G931" s="2"/>
      <c r="H931" s="2"/>
    </row>
    <row r="932" spans="1:8" x14ac:dyDescent="0.25">
      <c r="A932" s="2" t="s">
        <v>5748</v>
      </c>
      <c r="B932" s="3">
        <v>43546</v>
      </c>
      <c r="C932" s="2" t="s">
        <v>5749</v>
      </c>
      <c r="D932" t="s">
        <v>6183</v>
      </c>
      <c r="E932" s="2">
        <v>1</v>
      </c>
      <c r="F932" s="2"/>
      <c r="G932" s="2"/>
      <c r="H932" s="2"/>
    </row>
    <row r="933" spans="1:8" x14ac:dyDescent="0.25">
      <c r="A933" s="2" t="s">
        <v>5753</v>
      </c>
      <c r="B933" s="3">
        <v>44607</v>
      </c>
      <c r="C933" s="2" t="s">
        <v>5754</v>
      </c>
      <c r="D933" t="s">
        <v>6158</v>
      </c>
      <c r="E933" s="2">
        <v>4</v>
      </c>
      <c r="F933" s="2"/>
      <c r="G933" s="2"/>
      <c r="H933" s="2"/>
    </row>
    <row r="934" spans="1:8" x14ac:dyDescent="0.25">
      <c r="A934" s="2" t="s">
        <v>5757</v>
      </c>
      <c r="B934" s="3">
        <v>44117</v>
      </c>
      <c r="C934" s="2" t="s">
        <v>5758</v>
      </c>
      <c r="D934" t="s">
        <v>6141</v>
      </c>
      <c r="E934" s="2">
        <v>4</v>
      </c>
      <c r="F934" s="2"/>
      <c r="G934" s="2"/>
      <c r="H934" s="2"/>
    </row>
    <row r="935" spans="1:8" x14ac:dyDescent="0.25">
      <c r="A935" s="2" t="s">
        <v>5763</v>
      </c>
      <c r="B935" s="3">
        <v>44557</v>
      </c>
      <c r="C935" s="2" t="s">
        <v>5764</v>
      </c>
      <c r="D935" t="s">
        <v>6177</v>
      </c>
      <c r="E935" s="2">
        <v>3</v>
      </c>
      <c r="F935" s="2"/>
      <c r="G935" s="2"/>
      <c r="H935" s="2"/>
    </row>
    <row r="936" spans="1:8" x14ac:dyDescent="0.25">
      <c r="A936" s="2" t="s">
        <v>5768</v>
      </c>
      <c r="B936" s="3">
        <v>44409</v>
      </c>
      <c r="C936" s="2" t="s">
        <v>5769</v>
      </c>
      <c r="D936" t="s">
        <v>6151</v>
      </c>
      <c r="E936" s="2">
        <v>5</v>
      </c>
      <c r="F936" s="2"/>
      <c r="G936" s="2"/>
      <c r="H936" s="2"/>
    </row>
    <row r="937" spans="1:8" x14ac:dyDescent="0.25">
      <c r="A937" s="2" t="s">
        <v>5774</v>
      </c>
      <c r="B937" s="3">
        <v>44153</v>
      </c>
      <c r="C937" s="2" t="s">
        <v>5775</v>
      </c>
      <c r="D937" t="s">
        <v>6175</v>
      </c>
      <c r="E937" s="2">
        <v>6</v>
      </c>
      <c r="F937" s="2"/>
      <c r="G937" s="2"/>
      <c r="H937" s="2"/>
    </row>
    <row r="938" spans="1:8" x14ac:dyDescent="0.25">
      <c r="A938" s="2" t="s">
        <v>5780</v>
      </c>
      <c r="B938" s="3">
        <v>44493</v>
      </c>
      <c r="C938" s="2" t="s">
        <v>5781</v>
      </c>
      <c r="D938" t="s">
        <v>6169</v>
      </c>
      <c r="E938" s="2">
        <v>3</v>
      </c>
      <c r="F938" s="2"/>
      <c r="G938" s="2"/>
      <c r="H938" s="2"/>
    </row>
    <row r="939" spans="1:8" x14ac:dyDescent="0.25">
      <c r="A939" s="2" t="s">
        <v>5780</v>
      </c>
      <c r="B939" s="3">
        <v>44493</v>
      </c>
      <c r="C939" s="2" t="s">
        <v>5781</v>
      </c>
      <c r="D939" t="s">
        <v>6151</v>
      </c>
      <c r="E939" s="2">
        <v>4</v>
      </c>
      <c r="F939" s="2"/>
      <c r="G939" s="2"/>
      <c r="H939" s="2"/>
    </row>
    <row r="940" spans="1:8" x14ac:dyDescent="0.25">
      <c r="A940" s="2" t="s">
        <v>5791</v>
      </c>
      <c r="B940" s="3">
        <v>43829</v>
      </c>
      <c r="C940" s="2" t="s">
        <v>5792</v>
      </c>
      <c r="D940" t="s">
        <v>6171</v>
      </c>
      <c r="E940" s="2">
        <v>5</v>
      </c>
      <c r="F940" s="2"/>
      <c r="G940" s="2"/>
      <c r="H940" s="2"/>
    </row>
    <row r="941" spans="1:8" x14ac:dyDescent="0.25">
      <c r="A941" s="2" t="s">
        <v>5797</v>
      </c>
      <c r="B941" s="3">
        <v>44229</v>
      </c>
      <c r="C941" s="2" t="s">
        <v>5798</v>
      </c>
      <c r="D941" t="s">
        <v>6145</v>
      </c>
      <c r="E941" s="2">
        <v>6</v>
      </c>
      <c r="F941" s="2"/>
      <c r="G941" s="2"/>
      <c r="H941" s="2"/>
    </row>
    <row r="942" spans="1:8" x14ac:dyDescent="0.25">
      <c r="A942" s="2" t="s">
        <v>5803</v>
      </c>
      <c r="B942" s="3">
        <v>44332</v>
      </c>
      <c r="C942" s="2" t="s">
        <v>5804</v>
      </c>
      <c r="D942" t="s">
        <v>6173</v>
      </c>
      <c r="E942" s="2">
        <v>2</v>
      </c>
      <c r="F942" s="2"/>
      <c r="G942" s="2"/>
      <c r="H942" s="2"/>
    </row>
    <row r="943" spans="1:8" x14ac:dyDescent="0.25">
      <c r="A943" s="2" t="s">
        <v>5809</v>
      </c>
      <c r="B943" s="3">
        <v>44674</v>
      </c>
      <c r="C943" s="2" t="s">
        <v>5810</v>
      </c>
      <c r="D943" t="s">
        <v>6180</v>
      </c>
      <c r="E943" s="2">
        <v>2</v>
      </c>
      <c r="F943" s="2"/>
      <c r="G943" s="2"/>
      <c r="H943" s="2"/>
    </row>
    <row r="944" spans="1:8" x14ac:dyDescent="0.25">
      <c r="A944" s="2" t="s">
        <v>5816</v>
      </c>
      <c r="B944" s="3">
        <v>44464</v>
      </c>
      <c r="C944" s="2" t="s">
        <v>5817</v>
      </c>
      <c r="D944" t="s">
        <v>6179</v>
      </c>
      <c r="E944" s="2">
        <v>3</v>
      </c>
      <c r="F944" s="2"/>
      <c r="G944" s="2"/>
      <c r="H944" s="2"/>
    </row>
    <row r="945" spans="1:8" x14ac:dyDescent="0.25">
      <c r="A945" s="2" t="s">
        <v>5822</v>
      </c>
      <c r="B945" s="3">
        <v>44719</v>
      </c>
      <c r="C945" s="2" t="s">
        <v>5823</v>
      </c>
      <c r="D945" t="s">
        <v>6180</v>
      </c>
      <c r="E945" s="2">
        <v>6</v>
      </c>
      <c r="F945" s="2"/>
      <c r="G945" s="2"/>
      <c r="H945" s="2"/>
    </row>
    <row r="946" spans="1:8" x14ac:dyDescent="0.25">
      <c r="A946" s="2" t="s">
        <v>5828</v>
      </c>
      <c r="B946" s="3">
        <v>44054</v>
      </c>
      <c r="C946" s="2" t="s">
        <v>5829</v>
      </c>
      <c r="D946" t="s">
        <v>6173</v>
      </c>
      <c r="E946" s="2">
        <v>5</v>
      </c>
      <c r="F946" s="2"/>
      <c r="G946" s="2"/>
      <c r="H946" s="2"/>
    </row>
    <row r="947" spans="1:8" x14ac:dyDescent="0.25">
      <c r="A947" s="2" t="s">
        <v>5834</v>
      </c>
      <c r="B947" s="3">
        <v>43524</v>
      </c>
      <c r="C947" s="2" t="s">
        <v>5835</v>
      </c>
      <c r="D947" t="s">
        <v>6165</v>
      </c>
      <c r="E947" s="2">
        <v>4</v>
      </c>
      <c r="F947" s="2"/>
      <c r="G947" s="2"/>
      <c r="H947" s="2"/>
    </row>
    <row r="948" spans="1:8" x14ac:dyDescent="0.25">
      <c r="A948" s="2" t="s">
        <v>5839</v>
      </c>
      <c r="B948" s="3">
        <v>43719</v>
      </c>
      <c r="C948" s="2" t="s">
        <v>5840</v>
      </c>
      <c r="D948" t="s">
        <v>6169</v>
      </c>
      <c r="E948" s="2">
        <v>3</v>
      </c>
      <c r="F948" s="2"/>
      <c r="G948" s="2"/>
      <c r="H948" s="2"/>
    </row>
    <row r="949" spans="1:8" x14ac:dyDescent="0.25">
      <c r="A949" s="2" t="s">
        <v>5844</v>
      </c>
      <c r="B949" s="3">
        <v>44294</v>
      </c>
      <c r="C949" s="2" t="s">
        <v>5845</v>
      </c>
      <c r="D949" t="s">
        <v>6155</v>
      </c>
      <c r="E949" s="2">
        <v>1</v>
      </c>
      <c r="F949" s="2"/>
      <c r="G949" s="2"/>
      <c r="H949" s="2"/>
    </row>
    <row r="950" spans="1:8" x14ac:dyDescent="0.25">
      <c r="A950" s="2" t="s">
        <v>5849</v>
      </c>
      <c r="B950" s="3">
        <v>44445</v>
      </c>
      <c r="C950" s="2" t="s">
        <v>5850</v>
      </c>
      <c r="D950" t="s">
        <v>6185</v>
      </c>
      <c r="E950" s="2">
        <v>3</v>
      </c>
      <c r="F950" s="2"/>
      <c r="G950" s="2"/>
      <c r="H950" s="2"/>
    </row>
    <row r="951" spans="1:8" x14ac:dyDescent="0.25">
      <c r="A951" s="2" t="s">
        <v>5855</v>
      </c>
      <c r="B951" s="3">
        <v>44449</v>
      </c>
      <c r="C951" s="2" t="s">
        <v>5856</v>
      </c>
      <c r="D951" t="s">
        <v>6142</v>
      </c>
      <c r="E951" s="2">
        <v>4</v>
      </c>
      <c r="F951" s="2"/>
      <c r="G951" s="2"/>
      <c r="H951" s="2"/>
    </row>
    <row r="952" spans="1:8" x14ac:dyDescent="0.25">
      <c r="A952" s="2" t="s">
        <v>5861</v>
      </c>
      <c r="B952" s="3">
        <v>44703</v>
      </c>
      <c r="C952" s="2" t="s">
        <v>5862</v>
      </c>
      <c r="D952" t="s">
        <v>6178</v>
      </c>
      <c r="E952" s="2">
        <v>4</v>
      </c>
      <c r="F952" s="2"/>
      <c r="G952" s="2"/>
      <c r="H952" s="2"/>
    </row>
    <row r="953" spans="1:8" x14ac:dyDescent="0.25">
      <c r="A953" s="2" t="s">
        <v>5866</v>
      </c>
      <c r="B953" s="3">
        <v>44092</v>
      </c>
      <c r="C953" s="2" t="s">
        <v>5867</v>
      </c>
      <c r="D953" t="s">
        <v>6178</v>
      </c>
      <c r="E953" s="2">
        <v>6</v>
      </c>
      <c r="F953" s="2"/>
      <c r="G953" s="2"/>
      <c r="H953" s="2"/>
    </row>
    <row r="954" spans="1:8" x14ac:dyDescent="0.25">
      <c r="A954" s="2" t="s">
        <v>5872</v>
      </c>
      <c r="B954" s="3">
        <v>44439</v>
      </c>
      <c r="C954" s="2" t="s">
        <v>5873</v>
      </c>
      <c r="D954" t="s">
        <v>6155</v>
      </c>
      <c r="E954" s="2">
        <v>2</v>
      </c>
      <c r="F954" s="2"/>
      <c r="G954" s="2"/>
      <c r="H954" s="2"/>
    </row>
    <row r="955" spans="1:8" x14ac:dyDescent="0.25">
      <c r="A955" s="2" t="s">
        <v>5878</v>
      </c>
      <c r="B955" s="3">
        <v>44582</v>
      </c>
      <c r="C955" s="2" t="s">
        <v>5764</v>
      </c>
      <c r="D955" t="s">
        <v>6167</v>
      </c>
      <c r="E955" s="2">
        <v>1</v>
      </c>
      <c r="F955" s="2"/>
      <c r="G955" s="2"/>
      <c r="H955" s="2"/>
    </row>
    <row r="956" spans="1:8" x14ac:dyDescent="0.25">
      <c r="A956" s="2" t="s">
        <v>5884</v>
      </c>
      <c r="B956" s="3">
        <v>44722</v>
      </c>
      <c r="C956" s="2" t="s">
        <v>5764</v>
      </c>
      <c r="D956" t="s">
        <v>6185</v>
      </c>
      <c r="E956" s="2">
        <v>1</v>
      </c>
      <c r="F956" s="2"/>
      <c r="G956" s="2"/>
      <c r="H956" s="2"/>
    </row>
    <row r="957" spans="1:8" x14ac:dyDescent="0.25">
      <c r="A957" s="2" t="s">
        <v>5890</v>
      </c>
      <c r="B957" s="3">
        <v>43582</v>
      </c>
      <c r="C957" s="2" t="s">
        <v>5764</v>
      </c>
      <c r="D957" t="s">
        <v>6148</v>
      </c>
      <c r="E957" s="2">
        <v>5</v>
      </c>
      <c r="F957" s="2"/>
      <c r="G957" s="2"/>
      <c r="H957" s="2"/>
    </row>
    <row r="958" spans="1:8" x14ac:dyDescent="0.25">
      <c r="A958" s="2" t="s">
        <v>5890</v>
      </c>
      <c r="B958" s="3">
        <v>43582</v>
      </c>
      <c r="C958" s="2" t="s">
        <v>5764</v>
      </c>
      <c r="D958" t="s">
        <v>6142</v>
      </c>
      <c r="E958" s="2">
        <v>2</v>
      </c>
      <c r="F958" s="2"/>
      <c r="G958" s="2"/>
      <c r="H958" s="2"/>
    </row>
    <row r="959" spans="1:8" x14ac:dyDescent="0.25">
      <c r="A959" s="2" t="s">
        <v>5890</v>
      </c>
      <c r="B959" s="3">
        <v>43582</v>
      </c>
      <c r="C959" s="2" t="s">
        <v>5764</v>
      </c>
      <c r="D959" t="s">
        <v>6171</v>
      </c>
      <c r="E959" s="2">
        <v>1</v>
      </c>
      <c r="F959" s="2"/>
      <c r="G959" s="2"/>
      <c r="H959" s="2"/>
    </row>
    <row r="960" spans="1:8" x14ac:dyDescent="0.25">
      <c r="A960" s="2" t="s">
        <v>5890</v>
      </c>
      <c r="B960" s="3">
        <v>43582</v>
      </c>
      <c r="C960" s="2" t="s">
        <v>5764</v>
      </c>
      <c r="D960" t="s">
        <v>6167</v>
      </c>
      <c r="E960" s="2">
        <v>2</v>
      </c>
      <c r="F960" s="2"/>
      <c r="G960" s="2"/>
      <c r="H960" s="2"/>
    </row>
    <row r="961" spans="1:8" x14ac:dyDescent="0.25">
      <c r="A961" s="2" t="s">
        <v>5910</v>
      </c>
      <c r="B961" s="3">
        <v>44598</v>
      </c>
      <c r="C961" s="2" t="s">
        <v>5911</v>
      </c>
      <c r="D961" t="s">
        <v>6145</v>
      </c>
      <c r="E961" s="2">
        <v>5</v>
      </c>
      <c r="F961" s="2"/>
      <c r="G961" s="2"/>
      <c r="H961" s="2"/>
    </row>
    <row r="962" spans="1:8" x14ac:dyDescent="0.25">
      <c r="A962" s="2" t="s">
        <v>5915</v>
      </c>
      <c r="B962" s="3">
        <v>44591</v>
      </c>
      <c r="C962" s="2" t="s">
        <v>5916</v>
      </c>
      <c r="D962" t="s">
        <v>6170</v>
      </c>
      <c r="E962" s="2">
        <v>5</v>
      </c>
      <c r="F962" s="2"/>
      <c r="G962" s="2"/>
      <c r="H962" s="2"/>
    </row>
    <row r="963" spans="1:8" x14ac:dyDescent="0.25">
      <c r="A963" s="2" t="s">
        <v>5921</v>
      </c>
      <c r="B963" s="3">
        <v>44158</v>
      </c>
      <c r="C963" s="2" t="s">
        <v>5922</v>
      </c>
      <c r="D963" t="s">
        <v>6168</v>
      </c>
      <c r="E963" s="2">
        <v>2</v>
      </c>
      <c r="F963" s="2"/>
      <c r="G963" s="2"/>
      <c r="H963" s="2"/>
    </row>
    <row r="964" spans="1:8" x14ac:dyDescent="0.25">
      <c r="A964" s="2" t="s">
        <v>5926</v>
      </c>
      <c r="B964" s="3">
        <v>44664</v>
      </c>
      <c r="C964" s="2" t="s">
        <v>5927</v>
      </c>
      <c r="D964" t="s">
        <v>6177</v>
      </c>
      <c r="E964" s="2">
        <v>1</v>
      </c>
      <c r="F964" s="2"/>
      <c r="G964" s="2"/>
      <c r="H964" s="2"/>
    </row>
    <row r="965" spans="1:8" x14ac:dyDescent="0.25">
      <c r="A965" s="2" t="s">
        <v>5932</v>
      </c>
      <c r="B965" s="3">
        <v>44203</v>
      </c>
      <c r="C965" s="2" t="s">
        <v>5933</v>
      </c>
      <c r="D965" t="s">
        <v>6146</v>
      </c>
      <c r="E965" s="2">
        <v>4</v>
      </c>
      <c r="F965" s="2"/>
      <c r="G965" s="2"/>
      <c r="H965" s="2"/>
    </row>
    <row r="966" spans="1:8" x14ac:dyDescent="0.25">
      <c r="A966" s="2" t="s">
        <v>5938</v>
      </c>
      <c r="B966" s="3">
        <v>43865</v>
      </c>
      <c r="C966" s="2" t="s">
        <v>5939</v>
      </c>
      <c r="D966" t="s">
        <v>6184</v>
      </c>
      <c r="E966" s="2">
        <v>5</v>
      </c>
      <c r="F966" s="2"/>
      <c r="G966" s="2"/>
      <c r="H966" s="2"/>
    </row>
    <row r="967" spans="1:8" x14ac:dyDescent="0.25">
      <c r="A967" s="2" t="s">
        <v>5944</v>
      </c>
      <c r="B967" s="3">
        <v>43724</v>
      </c>
      <c r="C967" s="2" t="s">
        <v>5945</v>
      </c>
      <c r="D967" t="s">
        <v>6138</v>
      </c>
      <c r="E967" s="2">
        <v>3</v>
      </c>
      <c r="F967" s="2"/>
      <c r="G967" s="2"/>
      <c r="H967" s="2"/>
    </row>
    <row r="968" spans="1:8" x14ac:dyDescent="0.25">
      <c r="A968" s="2" t="s">
        <v>5949</v>
      </c>
      <c r="B968" s="3">
        <v>43491</v>
      </c>
      <c r="C968" s="2" t="s">
        <v>5950</v>
      </c>
      <c r="D968" t="s">
        <v>6176</v>
      </c>
      <c r="E968" s="2">
        <v>6</v>
      </c>
      <c r="F968" s="2"/>
      <c r="G968" s="2"/>
      <c r="H968" s="2"/>
    </row>
    <row r="969" spans="1:8" x14ac:dyDescent="0.25">
      <c r="A969" s="2" t="s">
        <v>5955</v>
      </c>
      <c r="B969" s="3">
        <v>44246</v>
      </c>
      <c r="C969" s="2" t="s">
        <v>5956</v>
      </c>
      <c r="D969" t="s">
        <v>6163</v>
      </c>
      <c r="E969" s="2">
        <v>1</v>
      </c>
      <c r="F969" s="2"/>
      <c r="G969" s="2"/>
      <c r="H969" s="2"/>
    </row>
    <row r="970" spans="1:8" x14ac:dyDescent="0.25">
      <c r="A970" s="2" t="s">
        <v>5961</v>
      </c>
      <c r="B970" s="3">
        <v>44642</v>
      </c>
      <c r="C970" s="2" t="s">
        <v>5962</v>
      </c>
      <c r="D970" t="s">
        <v>6174</v>
      </c>
      <c r="E970" s="2">
        <v>2</v>
      </c>
      <c r="F970" s="2"/>
      <c r="G970" s="2"/>
      <c r="H970" s="2"/>
    </row>
    <row r="971" spans="1:8" x14ac:dyDescent="0.25">
      <c r="A971" s="2" t="s">
        <v>5967</v>
      </c>
      <c r="B971" s="3">
        <v>43649</v>
      </c>
      <c r="C971" s="2" t="s">
        <v>5968</v>
      </c>
      <c r="D971" t="s">
        <v>6143</v>
      </c>
      <c r="E971" s="2">
        <v>1</v>
      </c>
      <c r="F971" s="2"/>
      <c r="G971" s="2"/>
      <c r="H971" s="2"/>
    </row>
    <row r="972" spans="1:8" x14ac:dyDescent="0.25">
      <c r="A972" s="2" t="s">
        <v>5973</v>
      </c>
      <c r="B972" s="3">
        <v>43729</v>
      </c>
      <c r="C972" s="2" t="s">
        <v>5974</v>
      </c>
      <c r="D972" t="s">
        <v>6139</v>
      </c>
      <c r="E972" s="2">
        <v>1</v>
      </c>
      <c r="F972" s="2"/>
      <c r="G972" s="2"/>
      <c r="H972" s="2"/>
    </row>
    <row r="973" spans="1:8" x14ac:dyDescent="0.25">
      <c r="A973" s="2" t="s">
        <v>5978</v>
      </c>
      <c r="B973" s="3">
        <v>43703</v>
      </c>
      <c r="C973" s="2" t="s">
        <v>5979</v>
      </c>
      <c r="D973" t="s">
        <v>6182</v>
      </c>
      <c r="E973" s="2">
        <v>5</v>
      </c>
      <c r="F973" s="2"/>
      <c r="G973" s="2"/>
      <c r="H973" s="2"/>
    </row>
    <row r="974" spans="1:8" x14ac:dyDescent="0.25">
      <c r="A974" s="2" t="s">
        <v>5984</v>
      </c>
      <c r="B974" s="3">
        <v>44411</v>
      </c>
      <c r="C974" s="2" t="s">
        <v>5985</v>
      </c>
      <c r="D974" t="s">
        <v>6182</v>
      </c>
      <c r="E974" s="2">
        <v>3</v>
      </c>
      <c r="F974" s="2"/>
      <c r="G974" s="2"/>
      <c r="H974" s="2"/>
    </row>
    <row r="975" spans="1:8" x14ac:dyDescent="0.25">
      <c r="A975" s="2" t="s">
        <v>5989</v>
      </c>
      <c r="B975" s="3">
        <v>44493</v>
      </c>
      <c r="C975" s="2" t="s">
        <v>5990</v>
      </c>
      <c r="D975" t="s">
        <v>6162</v>
      </c>
      <c r="E975" s="2">
        <v>6</v>
      </c>
      <c r="F975" s="2"/>
      <c r="G975" s="2"/>
      <c r="H975" s="2"/>
    </row>
    <row r="976" spans="1:8" x14ac:dyDescent="0.25">
      <c r="A976" s="2" t="s">
        <v>5995</v>
      </c>
      <c r="B976" s="3">
        <v>43556</v>
      </c>
      <c r="C976" s="2" t="s">
        <v>5996</v>
      </c>
      <c r="D976" t="s">
        <v>6172</v>
      </c>
      <c r="E976" s="2">
        <v>1</v>
      </c>
      <c r="F976" s="2"/>
      <c r="G976" s="2"/>
      <c r="H976" s="2"/>
    </row>
    <row r="977" spans="1:8" x14ac:dyDescent="0.25">
      <c r="A977" s="2" t="s">
        <v>6001</v>
      </c>
      <c r="B977" s="3">
        <v>44538</v>
      </c>
      <c r="C977" s="2" t="s">
        <v>6002</v>
      </c>
      <c r="D977" t="s">
        <v>6154</v>
      </c>
      <c r="E977" s="2">
        <v>3</v>
      </c>
      <c r="F977" s="2"/>
      <c r="G977" s="2"/>
      <c r="H977" s="2"/>
    </row>
    <row r="978" spans="1:8" x14ac:dyDescent="0.25">
      <c r="A978" s="2" t="s">
        <v>6007</v>
      </c>
      <c r="B978" s="3">
        <v>43643</v>
      </c>
      <c r="C978" s="2" t="s">
        <v>6008</v>
      </c>
      <c r="D978" t="s">
        <v>6142</v>
      </c>
      <c r="E978" s="2">
        <v>5</v>
      </c>
      <c r="F978" s="2"/>
      <c r="G978" s="2"/>
      <c r="H978" s="2"/>
    </row>
    <row r="979" spans="1:8" x14ac:dyDescent="0.25">
      <c r="A979" s="2" t="s">
        <v>6013</v>
      </c>
      <c r="B979" s="3">
        <v>44026</v>
      </c>
      <c r="C979" s="2" t="s">
        <v>6014</v>
      </c>
      <c r="D979" t="s">
        <v>6179</v>
      </c>
      <c r="E979" s="2">
        <v>5</v>
      </c>
      <c r="F979" s="2"/>
      <c r="G979" s="2"/>
      <c r="H979" s="2"/>
    </row>
    <row r="980" spans="1:8" x14ac:dyDescent="0.25">
      <c r="A980" s="2" t="s">
        <v>6019</v>
      </c>
      <c r="B980" s="3">
        <v>43913</v>
      </c>
      <c r="C980" s="2" t="s">
        <v>5990</v>
      </c>
      <c r="D980" t="s">
        <v>6180</v>
      </c>
      <c r="E980" s="2">
        <v>3</v>
      </c>
      <c r="F980" s="2"/>
      <c r="G980" s="2"/>
      <c r="H980" s="2"/>
    </row>
    <row r="981" spans="1:8" x14ac:dyDescent="0.25">
      <c r="A981" s="2" t="s">
        <v>6025</v>
      </c>
      <c r="B981" s="3">
        <v>43856</v>
      </c>
      <c r="C981" s="2" t="s">
        <v>6026</v>
      </c>
      <c r="D981" t="s">
        <v>6172</v>
      </c>
      <c r="E981" s="2">
        <v>2</v>
      </c>
      <c r="F981" s="2"/>
      <c r="G981" s="2"/>
      <c r="H981" s="2"/>
    </row>
    <row r="982" spans="1:8" x14ac:dyDescent="0.25">
      <c r="A982" s="2" t="s">
        <v>6030</v>
      </c>
      <c r="B982" s="3">
        <v>43982</v>
      </c>
      <c r="C982" s="2" t="s">
        <v>6031</v>
      </c>
      <c r="D982" t="s">
        <v>6185</v>
      </c>
      <c r="E982" s="2">
        <v>6</v>
      </c>
      <c r="F982" s="2"/>
      <c r="G982" s="2"/>
      <c r="H982" s="2"/>
    </row>
    <row r="983" spans="1:8" x14ac:dyDescent="0.25">
      <c r="A983" s="2" t="s">
        <v>6035</v>
      </c>
      <c r="B983" s="3">
        <v>44397</v>
      </c>
      <c r="C983" s="2" t="s">
        <v>6036</v>
      </c>
      <c r="D983" t="s">
        <v>6153</v>
      </c>
      <c r="E983" s="2">
        <v>6</v>
      </c>
      <c r="F983" s="2"/>
      <c r="G983" s="2"/>
      <c r="H983" s="2"/>
    </row>
    <row r="984" spans="1:8" x14ac:dyDescent="0.25">
      <c r="A984" s="2" t="s">
        <v>6041</v>
      </c>
      <c r="B984" s="3">
        <v>44785</v>
      </c>
      <c r="C984" s="2" t="s">
        <v>6042</v>
      </c>
      <c r="D984" t="s">
        <v>6179</v>
      </c>
      <c r="E984" s="2">
        <v>2</v>
      </c>
      <c r="F984" s="2"/>
      <c r="G984" s="2"/>
      <c r="H984" s="2"/>
    </row>
    <row r="985" spans="1:8" x14ac:dyDescent="0.25">
      <c r="A985" s="2" t="s">
        <v>6047</v>
      </c>
      <c r="B985" s="3">
        <v>43831</v>
      </c>
      <c r="C985" s="2" t="s">
        <v>6048</v>
      </c>
      <c r="D985" t="s">
        <v>6152</v>
      </c>
      <c r="E985" s="2">
        <v>2</v>
      </c>
      <c r="F985" s="2"/>
      <c r="G985" s="2"/>
      <c r="H985" s="2"/>
    </row>
    <row r="986" spans="1:8" x14ac:dyDescent="0.25">
      <c r="A986" s="2" t="s">
        <v>6053</v>
      </c>
      <c r="B986" s="3">
        <v>44214</v>
      </c>
      <c r="C986" s="2" t="s">
        <v>6054</v>
      </c>
      <c r="D986" t="s">
        <v>6166</v>
      </c>
      <c r="E986" s="2">
        <v>1</v>
      </c>
      <c r="F986" s="2"/>
      <c r="G986" s="2"/>
      <c r="H986" s="2"/>
    </row>
    <row r="987" spans="1:8" x14ac:dyDescent="0.25">
      <c r="A987" s="2" t="s">
        <v>6058</v>
      </c>
      <c r="B987" s="3">
        <v>44561</v>
      </c>
      <c r="C987" s="2" t="s">
        <v>6059</v>
      </c>
      <c r="D987" t="s">
        <v>6179</v>
      </c>
      <c r="E987" s="2">
        <v>4</v>
      </c>
      <c r="F987" s="2"/>
      <c r="G987" s="2"/>
      <c r="H987" s="2"/>
    </row>
    <row r="988" spans="1:8" x14ac:dyDescent="0.25">
      <c r="A988" s="2" t="s">
        <v>6064</v>
      </c>
      <c r="B988" s="3">
        <v>43955</v>
      </c>
      <c r="C988" s="2" t="s">
        <v>6065</v>
      </c>
      <c r="D988" t="s">
        <v>6181</v>
      </c>
      <c r="E988" s="2">
        <v>1</v>
      </c>
      <c r="F988" s="2"/>
      <c r="G988" s="2"/>
      <c r="H988" s="2"/>
    </row>
    <row r="989" spans="1:8" x14ac:dyDescent="0.25">
      <c r="A989" s="2" t="s">
        <v>6070</v>
      </c>
      <c r="B989" s="3">
        <v>44247</v>
      </c>
      <c r="C989" s="2" t="s">
        <v>6071</v>
      </c>
      <c r="D989" t="s">
        <v>6158</v>
      </c>
      <c r="E989" s="2">
        <v>5</v>
      </c>
      <c r="F989" s="2"/>
      <c r="G989" s="2"/>
      <c r="H989" s="2"/>
    </row>
    <row r="990" spans="1:8" x14ac:dyDescent="0.25">
      <c r="A990" s="2" t="s">
        <v>6076</v>
      </c>
      <c r="B990" s="3">
        <v>43897</v>
      </c>
      <c r="C990" s="2" t="s">
        <v>6077</v>
      </c>
      <c r="D990" t="s">
        <v>6138</v>
      </c>
      <c r="E990" s="2">
        <v>3</v>
      </c>
      <c r="F990" s="2"/>
      <c r="G990" s="2"/>
      <c r="H990" s="2"/>
    </row>
    <row r="991" spans="1:8" x14ac:dyDescent="0.25">
      <c r="A991" s="2" t="s">
        <v>6081</v>
      </c>
      <c r="B991" s="3">
        <v>43560</v>
      </c>
      <c r="C991" s="2" t="s">
        <v>6082</v>
      </c>
      <c r="D991" t="s">
        <v>6175</v>
      </c>
      <c r="E991" s="2">
        <v>6</v>
      </c>
      <c r="F991" s="2"/>
      <c r="G991" s="2"/>
      <c r="H991" s="2"/>
    </row>
    <row r="992" spans="1:8" x14ac:dyDescent="0.25">
      <c r="A992" s="2" t="s">
        <v>6086</v>
      </c>
      <c r="B992" s="3">
        <v>44718</v>
      </c>
      <c r="C992" s="2" t="s">
        <v>6118</v>
      </c>
      <c r="D992" t="s">
        <v>6153</v>
      </c>
      <c r="E992" s="2">
        <v>5</v>
      </c>
      <c r="F992" s="2"/>
      <c r="G992" s="2"/>
      <c r="H992" s="2"/>
    </row>
    <row r="993" spans="1:8" x14ac:dyDescent="0.25">
      <c r="A993" s="2" t="s">
        <v>6086</v>
      </c>
      <c r="B993" s="3">
        <v>44718</v>
      </c>
      <c r="C993" s="2" t="s">
        <v>6118</v>
      </c>
      <c r="D993" t="s">
        <v>6169</v>
      </c>
      <c r="E993" s="2">
        <v>2</v>
      </c>
      <c r="F993" s="2"/>
      <c r="G993" s="2"/>
      <c r="H993" s="2"/>
    </row>
    <row r="994" spans="1:8" x14ac:dyDescent="0.25">
      <c r="A994" s="2" t="s">
        <v>6096</v>
      </c>
      <c r="B994" s="3">
        <v>44276</v>
      </c>
      <c r="C994" s="2" t="s">
        <v>6097</v>
      </c>
      <c r="D994" t="s">
        <v>6164</v>
      </c>
      <c r="E994" s="2">
        <v>3</v>
      </c>
      <c r="F994" s="2"/>
      <c r="G994" s="2"/>
      <c r="H994" s="2"/>
    </row>
    <row r="995" spans="1:8" x14ac:dyDescent="0.25">
      <c r="A995" s="2" t="s">
        <v>6101</v>
      </c>
      <c r="B995" s="3">
        <v>44549</v>
      </c>
      <c r="C995" s="2" t="s">
        <v>6102</v>
      </c>
      <c r="D995" t="s">
        <v>6140</v>
      </c>
      <c r="E995" s="2">
        <v>6</v>
      </c>
      <c r="F995" s="2"/>
      <c r="G995" s="2"/>
      <c r="H995" s="2"/>
    </row>
    <row r="996" spans="1:8" x14ac:dyDescent="0.25">
      <c r="A996" s="2" t="s">
        <v>6106</v>
      </c>
      <c r="B996" s="3">
        <v>44244</v>
      </c>
      <c r="C996" s="2" t="s">
        <v>6107</v>
      </c>
      <c r="D996" t="s">
        <v>6154</v>
      </c>
      <c r="E996" s="2">
        <v>3</v>
      </c>
      <c r="F996" s="2"/>
      <c r="G996" s="2"/>
      <c r="H996" s="2"/>
    </row>
    <row r="997" spans="1:8" x14ac:dyDescent="0.25">
      <c r="A997" s="2" t="s">
        <v>6111</v>
      </c>
      <c r="B997" s="3">
        <v>43836</v>
      </c>
      <c r="C997" s="2" t="s">
        <v>6112</v>
      </c>
      <c r="D997" t="s">
        <v>6142</v>
      </c>
      <c r="E997" s="2">
        <v>1</v>
      </c>
      <c r="F997" s="2"/>
      <c r="G997" s="2"/>
      <c r="H997" s="2"/>
    </row>
    <row r="998" spans="1:8" x14ac:dyDescent="0.25">
      <c r="A998" s="2" t="s">
        <v>6117</v>
      </c>
      <c r="B998" s="3">
        <v>44685</v>
      </c>
      <c r="C998" s="2" t="s">
        <v>6118</v>
      </c>
      <c r="D998" t="s">
        <v>6146</v>
      </c>
      <c r="E998" s="2">
        <v>5</v>
      </c>
      <c r="F998" s="2"/>
      <c r="G998" s="2"/>
      <c r="H998" s="2"/>
    </row>
    <row r="999" spans="1:8" x14ac:dyDescent="0.25">
      <c r="A999" s="2" t="s">
        <v>6122</v>
      </c>
      <c r="B999" s="3">
        <v>43749</v>
      </c>
      <c r="C999" s="2" t="s">
        <v>6118</v>
      </c>
      <c r="D999" t="s">
        <v>6157</v>
      </c>
      <c r="E999" s="2">
        <v>4</v>
      </c>
      <c r="F999" s="2"/>
      <c r="G999" s="2"/>
      <c r="H999" s="2"/>
    </row>
    <row r="1000" spans="1:8" x14ac:dyDescent="0.25">
      <c r="A1000" s="2" t="s">
        <v>6127</v>
      </c>
      <c r="B1000" s="3">
        <v>44411</v>
      </c>
      <c r="C1000" s="2" t="s">
        <v>6128</v>
      </c>
      <c r="D1000" t="s">
        <v>6147</v>
      </c>
      <c r="E1000" s="2">
        <v>1</v>
      </c>
      <c r="F1000" s="2"/>
      <c r="G1000" s="2"/>
      <c r="H1000" s="2"/>
    </row>
    <row r="1001" spans="1:8" x14ac:dyDescent="0.25">
      <c r="A1001" s="2" t="s">
        <v>6133</v>
      </c>
      <c r="B1001" s="3">
        <v>44119</v>
      </c>
      <c r="C1001" s="2" t="s">
        <v>6134</v>
      </c>
      <c r="D1001" t="s">
        <v>6156</v>
      </c>
      <c r="E1001" s="2">
        <v>3</v>
      </c>
      <c r="F1001" s="2"/>
      <c r="G1001" s="2"/>
      <c r="H1001" s="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workbookViewId="0"/>
  </sheetViews>
  <sheetFormatPr defaultRowHeight="15" x14ac:dyDescent="0.25"/>
  <cols>
    <col min="1" max="1" width="16.28515625" bestFit="1" customWidth="1"/>
    <col min="2" max="2" width="23.7109375" bestFit="1" customWidth="1"/>
    <col min="3" max="3" width="39.42578125" bestFit="1" customWidth="1"/>
    <col min="4" max="4" width="18.28515625" bestFit="1" customWidth="1"/>
    <col min="5" max="5" width="27" bestFit="1" customWidth="1"/>
    <col min="6" max="6" width="20.7109375" bestFit="1" customWidth="1"/>
    <col min="7" max="7" width="15.42578125" bestFit="1" customWidth="1"/>
    <col min="9" max="9" width="11.7109375" bestFit="1" customWidth="1"/>
  </cols>
  <sheetData>
    <row r="1" spans="1:9" x14ac:dyDescent="0.25">
      <c r="A1" s="2" t="s">
        <v>3</v>
      </c>
      <c r="B1" s="2" t="s">
        <v>4</v>
      </c>
      <c r="C1" s="2" t="s">
        <v>2</v>
      </c>
      <c r="D1" s="2" t="s">
        <v>317</v>
      </c>
      <c r="E1" s="2" t="s">
        <v>5</v>
      </c>
      <c r="F1" s="2" t="s">
        <v>6</v>
      </c>
      <c r="G1" s="2" t="s">
        <v>7</v>
      </c>
      <c r="H1" s="2" t="s">
        <v>8</v>
      </c>
      <c r="I1" s="2" t="s">
        <v>6189</v>
      </c>
    </row>
    <row r="2" spans="1:9" x14ac:dyDescent="0.25">
      <c r="A2" s="2" t="s">
        <v>491</v>
      </c>
      <c r="B2" s="2" t="s">
        <v>492</v>
      </c>
      <c r="C2" s="2" t="s">
        <v>493</v>
      </c>
      <c r="D2" s="2" t="s">
        <v>494</v>
      </c>
      <c r="E2" s="2" t="s">
        <v>495</v>
      </c>
      <c r="F2" s="2" t="s">
        <v>266</v>
      </c>
      <c r="G2" s="2" t="s">
        <v>19</v>
      </c>
      <c r="H2" s="2">
        <v>7505</v>
      </c>
      <c r="I2" t="s">
        <v>6190</v>
      </c>
    </row>
    <row r="3" spans="1:9" x14ac:dyDescent="0.25">
      <c r="A3" s="2" t="s">
        <v>496</v>
      </c>
      <c r="B3" s="2" t="s">
        <v>497</v>
      </c>
      <c r="C3" s="2" t="s">
        <v>498</v>
      </c>
      <c r="D3" s="2" t="s">
        <v>499</v>
      </c>
      <c r="E3" s="2" t="s">
        <v>500</v>
      </c>
      <c r="F3" s="2" t="s">
        <v>329</v>
      </c>
      <c r="G3" s="2" t="s">
        <v>318</v>
      </c>
      <c r="H3" s="2" t="s">
        <v>330</v>
      </c>
      <c r="I3" t="s">
        <v>6191</v>
      </c>
    </row>
    <row r="4" spans="1:9" x14ac:dyDescent="0.25">
      <c r="A4" s="2" t="s">
        <v>502</v>
      </c>
      <c r="B4" s="2" t="s">
        <v>503</v>
      </c>
      <c r="C4" s="2" t="s">
        <v>504</v>
      </c>
      <c r="D4" s="2" t="s">
        <v>505</v>
      </c>
      <c r="E4" s="2" t="s">
        <v>506</v>
      </c>
      <c r="F4" s="2" t="s">
        <v>125</v>
      </c>
      <c r="G4" s="2" t="s">
        <v>19</v>
      </c>
      <c r="H4" s="2">
        <v>78205</v>
      </c>
      <c r="I4" t="s">
        <v>6190</v>
      </c>
    </row>
    <row r="5" spans="1:9" x14ac:dyDescent="0.25">
      <c r="A5" s="2" t="s">
        <v>507</v>
      </c>
      <c r="B5" s="2" t="s">
        <v>508</v>
      </c>
      <c r="C5" s="2" t="s">
        <v>509</v>
      </c>
      <c r="D5" s="2" t="s">
        <v>510</v>
      </c>
      <c r="E5" s="2" t="s">
        <v>511</v>
      </c>
      <c r="F5" s="2" t="s">
        <v>83</v>
      </c>
      <c r="G5" s="2" t="s">
        <v>19</v>
      </c>
      <c r="H5" s="2">
        <v>62711</v>
      </c>
      <c r="I5" t="s">
        <v>6190</v>
      </c>
    </row>
    <row r="6" spans="1:9" x14ac:dyDescent="0.25">
      <c r="A6" s="2" t="s">
        <v>513</v>
      </c>
      <c r="B6" s="2" t="s">
        <v>514</v>
      </c>
      <c r="C6" s="2"/>
      <c r="D6" s="2" t="s">
        <v>515</v>
      </c>
      <c r="E6" s="2" t="s">
        <v>516</v>
      </c>
      <c r="F6" s="2" t="s">
        <v>517</v>
      </c>
      <c r="G6" s="2" t="s">
        <v>318</v>
      </c>
      <c r="H6" s="2" t="s">
        <v>518</v>
      </c>
      <c r="I6" t="s">
        <v>6191</v>
      </c>
    </row>
    <row r="7" spans="1:9" x14ac:dyDescent="0.25">
      <c r="A7" s="2" t="s">
        <v>520</v>
      </c>
      <c r="B7" s="2" t="s">
        <v>521</v>
      </c>
      <c r="C7" s="2"/>
      <c r="D7" s="2" t="s">
        <v>522</v>
      </c>
      <c r="E7" s="2" t="s">
        <v>523</v>
      </c>
      <c r="F7" s="2" t="s">
        <v>110</v>
      </c>
      <c r="G7" s="2" t="s">
        <v>19</v>
      </c>
      <c r="H7" s="2">
        <v>18505</v>
      </c>
      <c r="I7" t="s">
        <v>6191</v>
      </c>
    </row>
    <row r="8" spans="1:9" x14ac:dyDescent="0.25">
      <c r="A8" s="2" t="s">
        <v>525</v>
      </c>
      <c r="B8" s="2" t="s">
        <v>526</v>
      </c>
      <c r="C8" s="2" t="s">
        <v>527</v>
      </c>
      <c r="D8" s="2" t="s">
        <v>528</v>
      </c>
      <c r="E8" s="2" t="s">
        <v>529</v>
      </c>
      <c r="F8" s="2" t="s">
        <v>203</v>
      </c>
      <c r="G8" s="2" t="s">
        <v>19</v>
      </c>
      <c r="H8" s="2">
        <v>45440</v>
      </c>
      <c r="I8" t="s">
        <v>6190</v>
      </c>
    </row>
    <row r="9" spans="1:9" x14ac:dyDescent="0.25">
      <c r="A9" s="2" t="s">
        <v>531</v>
      </c>
      <c r="B9" s="2" t="s">
        <v>532</v>
      </c>
      <c r="C9" s="2"/>
      <c r="D9" s="2" t="s">
        <v>533</v>
      </c>
      <c r="E9" s="2" t="s">
        <v>534</v>
      </c>
      <c r="F9" s="2" t="s">
        <v>386</v>
      </c>
      <c r="G9" s="2" t="s">
        <v>318</v>
      </c>
      <c r="H9" s="2" t="s">
        <v>322</v>
      </c>
      <c r="I9" t="s">
        <v>6190</v>
      </c>
    </row>
    <row r="10" spans="1:9" x14ac:dyDescent="0.25">
      <c r="A10" s="2" t="s">
        <v>536</v>
      </c>
      <c r="B10" s="2" t="s">
        <v>537</v>
      </c>
      <c r="C10" s="2" t="s">
        <v>538</v>
      </c>
      <c r="D10" s="2" t="s">
        <v>539</v>
      </c>
      <c r="E10" s="2" t="s">
        <v>540</v>
      </c>
      <c r="F10" s="2" t="s">
        <v>27</v>
      </c>
      <c r="G10" s="2" t="s">
        <v>19</v>
      </c>
      <c r="H10" s="2">
        <v>90045</v>
      </c>
      <c r="I10" t="s">
        <v>6191</v>
      </c>
    </row>
    <row r="11" spans="1:9" x14ac:dyDescent="0.25">
      <c r="A11" s="2" t="s">
        <v>542</v>
      </c>
      <c r="B11" s="2" t="s">
        <v>543</v>
      </c>
      <c r="C11" s="2" t="s">
        <v>544</v>
      </c>
      <c r="D11" s="2" t="s">
        <v>545</v>
      </c>
      <c r="E11" s="2" t="s">
        <v>546</v>
      </c>
      <c r="F11" s="2" t="s">
        <v>27</v>
      </c>
      <c r="G11" s="2" t="s">
        <v>19</v>
      </c>
      <c r="H11" s="2">
        <v>90065</v>
      </c>
      <c r="I11" t="s">
        <v>6191</v>
      </c>
    </row>
    <row r="12" spans="1:9" x14ac:dyDescent="0.25">
      <c r="A12" s="2" t="s">
        <v>548</v>
      </c>
      <c r="B12" s="2" t="s">
        <v>549</v>
      </c>
      <c r="C12" s="2" t="s">
        <v>550</v>
      </c>
      <c r="D12" s="2" t="s">
        <v>551</v>
      </c>
      <c r="E12" s="2" t="s">
        <v>552</v>
      </c>
      <c r="F12" s="2" t="s">
        <v>98</v>
      </c>
      <c r="G12" s="2" t="s">
        <v>19</v>
      </c>
      <c r="H12" s="2">
        <v>95160</v>
      </c>
      <c r="I12" t="s">
        <v>6191</v>
      </c>
    </row>
    <row r="13" spans="1:9" x14ac:dyDescent="0.25">
      <c r="A13" s="2" t="s">
        <v>554</v>
      </c>
      <c r="B13" s="2" t="s">
        <v>555</v>
      </c>
      <c r="C13" s="2" t="s">
        <v>556</v>
      </c>
      <c r="D13" s="2" t="s">
        <v>557</v>
      </c>
      <c r="E13" s="2" t="s">
        <v>558</v>
      </c>
      <c r="F13" s="2" t="s">
        <v>98</v>
      </c>
      <c r="G13" s="2" t="s">
        <v>19</v>
      </c>
      <c r="H13" s="2">
        <v>95194</v>
      </c>
      <c r="I13" t="s">
        <v>6190</v>
      </c>
    </row>
    <row r="14" spans="1:9" x14ac:dyDescent="0.25">
      <c r="A14" s="2" t="s">
        <v>560</v>
      </c>
      <c r="B14" s="2" t="s">
        <v>561</v>
      </c>
      <c r="C14" s="2" t="s">
        <v>562</v>
      </c>
      <c r="D14" s="2" t="s">
        <v>563</v>
      </c>
      <c r="E14" s="2" t="s">
        <v>564</v>
      </c>
      <c r="F14" s="2" t="s">
        <v>38</v>
      </c>
      <c r="G14" s="2" t="s">
        <v>19</v>
      </c>
      <c r="H14" s="2">
        <v>23285</v>
      </c>
      <c r="I14" t="s">
        <v>6191</v>
      </c>
    </row>
    <row r="15" spans="1:9" x14ac:dyDescent="0.25">
      <c r="A15" s="2" t="s">
        <v>566</v>
      </c>
      <c r="B15" s="2" t="s">
        <v>567</v>
      </c>
      <c r="C15" s="2" t="s">
        <v>568</v>
      </c>
      <c r="D15" s="2"/>
      <c r="E15" s="2" t="s">
        <v>569</v>
      </c>
      <c r="F15" s="2" t="s">
        <v>269</v>
      </c>
      <c r="G15" s="2" t="s">
        <v>19</v>
      </c>
      <c r="H15" s="2">
        <v>41905</v>
      </c>
      <c r="I15" t="s">
        <v>6191</v>
      </c>
    </row>
    <row r="16" spans="1:9" x14ac:dyDescent="0.25">
      <c r="A16" s="2" t="s">
        <v>571</v>
      </c>
      <c r="B16" s="2" t="s">
        <v>572</v>
      </c>
      <c r="C16" s="2" t="s">
        <v>573</v>
      </c>
      <c r="D16" s="2" t="s">
        <v>574</v>
      </c>
      <c r="E16" s="2" t="s">
        <v>575</v>
      </c>
      <c r="F16" s="2" t="s">
        <v>104</v>
      </c>
      <c r="G16" s="2" t="s">
        <v>19</v>
      </c>
      <c r="H16" s="2">
        <v>63131</v>
      </c>
      <c r="I16" t="s">
        <v>6190</v>
      </c>
    </row>
    <row r="17" spans="1:9" x14ac:dyDescent="0.25">
      <c r="A17" s="2" t="s">
        <v>577</v>
      </c>
      <c r="B17" s="2" t="s">
        <v>578</v>
      </c>
      <c r="C17" s="2" t="s">
        <v>579</v>
      </c>
      <c r="D17" s="2"/>
      <c r="E17" s="2" t="s">
        <v>580</v>
      </c>
      <c r="F17" s="2" t="s">
        <v>46</v>
      </c>
      <c r="G17" s="2" t="s">
        <v>19</v>
      </c>
      <c r="H17" s="2">
        <v>19172</v>
      </c>
      <c r="I17" t="s">
        <v>6191</v>
      </c>
    </row>
    <row r="18" spans="1:9" x14ac:dyDescent="0.25">
      <c r="A18" s="2" t="s">
        <v>582</v>
      </c>
      <c r="B18" s="2" t="s">
        <v>583</v>
      </c>
      <c r="C18" s="2" t="s">
        <v>584</v>
      </c>
      <c r="D18" s="2" t="s">
        <v>585</v>
      </c>
      <c r="E18" s="2" t="s">
        <v>586</v>
      </c>
      <c r="F18" s="2" t="s">
        <v>189</v>
      </c>
      <c r="G18" s="2" t="s">
        <v>19</v>
      </c>
      <c r="H18" s="2">
        <v>97271</v>
      </c>
      <c r="I18" t="s">
        <v>6191</v>
      </c>
    </row>
    <row r="19" spans="1:9" x14ac:dyDescent="0.25">
      <c r="A19" s="2" t="s">
        <v>588</v>
      </c>
      <c r="B19" s="2" t="s">
        <v>589</v>
      </c>
      <c r="C19" s="2" t="s">
        <v>590</v>
      </c>
      <c r="D19" s="2" t="s">
        <v>591</v>
      </c>
      <c r="E19" s="2" t="s">
        <v>592</v>
      </c>
      <c r="F19" s="2" t="s">
        <v>63</v>
      </c>
      <c r="G19" s="2" t="s">
        <v>19</v>
      </c>
      <c r="H19" s="2">
        <v>77240</v>
      </c>
      <c r="I19" t="s">
        <v>6191</v>
      </c>
    </row>
    <row r="20" spans="1:9" x14ac:dyDescent="0.25">
      <c r="A20" s="2" t="s">
        <v>594</v>
      </c>
      <c r="B20" s="2" t="s">
        <v>595</v>
      </c>
      <c r="C20" s="2" t="s">
        <v>596</v>
      </c>
      <c r="D20" s="2"/>
      <c r="E20" s="2" t="s">
        <v>597</v>
      </c>
      <c r="F20" s="2" t="s">
        <v>474</v>
      </c>
      <c r="G20" s="2" t="s">
        <v>318</v>
      </c>
      <c r="H20" s="2" t="s">
        <v>416</v>
      </c>
      <c r="I20" t="s">
        <v>6190</v>
      </c>
    </row>
    <row r="21" spans="1:9" x14ac:dyDescent="0.25">
      <c r="A21" s="2" t="s">
        <v>599</v>
      </c>
      <c r="B21" s="2" t="s">
        <v>600</v>
      </c>
      <c r="C21" s="2" t="s">
        <v>601</v>
      </c>
      <c r="D21" s="2" t="s">
        <v>602</v>
      </c>
      <c r="E21" s="2" t="s">
        <v>603</v>
      </c>
      <c r="F21" s="2" t="s">
        <v>57</v>
      </c>
      <c r="G21" s="2" t="s">
        <v>19</v>
      </c>
      <c r="H21" s="2">
        <v>10060</v>
      </c>
      <c r="I21" t="s">
        <v>6190</v>
      </c>
    </row>
    <row r="22" spans="1:9" x14ac:dyDescent="0.25">
      <c r="A22" s="2" t="s">
        <v>604</v>
      </c>
      <c r="B22" s="2" t="s">
        <v>605</v>
      </c>
      <c r="C22" s="2"/>
      <c r="D22" s="2" t="s">
        <v>606</v>
      </c>
      <c r="E22" s="2" t="s">
        <v>607</v>
      </c>
      <c r="F22" s="2" t="s">
        <v>435</v>
      </c>
      <c r="G22" s="2" t="s">
        <v>318</v>
      </c>
      <c r="H22" s="2" t="s">
        <v>334</v>
      </c>
      <c r="I22" t="s">
        <v>6190</v>
      </c>
    </row>
    <row r="23" spans="1:9" x14ac:dyDescent="0.25">
      <c r="A23" s="2" t="s">
        <v>609</v>
      </c>
      <c r="B23" s="2" t="s">
        <v>610</v>
      </c>
      <c r="C23" s="2" t="s">
        <v>611</v>
      </c>
      <c r="D23" s="2" t="s">
        <v>612</v>
      </c>
      <c r="E23" s="2" t="s">
        <v>613</v>
      </c>
      <c r="F23" s="2" t="s">
        <v>183</v>
      </c>
      <c r="G23" s="2" t="s">
        <v>19</v>
      </c>
      <c r="H23" s="2">
        <v>49560</v>
      </c>
      <c r="I23" t="s">
        <v>6191</v>
      </c>
    </row>
    <row r="24" spans="1:9" x14ac:dyDescent="0.25">
      <c r="A24" s="2" t="s">
        <v>615</v>
      </c>
      <c r="B24" s="2" t="s">
        <v>616</v>
      </c>
      <c r="C24" s="2" t="s">
        <v>617</v>
      </c>
      <c r="D24" s="2" t="s">
        <v>618</v>
      </c>
      <c r="E24" s="2" t="s">
        <v>619</v>
      </c>
      <c r="F24" s="2" t="s">
        <v>211</v>
      </c>
      <c r="G24" s="2" t="s">
        <v>19</v>
      </c>
      <c r="H24" s="2">
        <v>33982</v>
      </c>
      <c r="I24" t="s">
        <v>6190</v>
      </c>
    </row>
    <row r="25" spans="1:9" x14ac:dyDescent="0.25">
      <c r="A25" s="2" t="s">
        <v>621</v>
      </c>
      <c r="B25" s="2" t="s">
        <v>622</v>
      </c>
      <c r="C25" s="2" t="s">
        <v>623</v>
      </c>
      <c r="D25" s="2" t="s">
        <v>624</v>
      </c>
      <c r="E25" s="2" t="s">
        <v>625</v>
      </c>
      <c r="F25" s="2" t="s">
        <v>91</v>
      </c>
      <c r="G25" s="2" t="s">
        <v>19</v>
      </c>
      <c r="H25" s="2">
        <v>98682</v>
      </c>
      <c r="I25" t="s">
        <v>6190</v>
      </c>
    </row>
    <row r="26" spans="1:9" x14ac:dyDescent="0.25">
      <c r="A26" s="2" t="s">
        <v>627</v>
      </c>
      <c r="B26" s="2" t="s">
        <v>628</v>
      </c>
      <c r="C26" s="2" t="s">
        <v>629</v>
      </c>
      <c r="D26" s="2" t="s">
        <v>630</v>
      </c>
      <c r="E26" s="2" t="s">
        <v>631</v>
      </c>
      <c r="F26" s="2" t="s">
        <v>157</v>
      </c>
      <c r="G26" s="2" t="s">
        <v>19</v>
      </c>
      <c r="H26" s="2">
        <v>80150</v>
      </c>
      <c r="I26" t="s">
        <v>6191</v>
      </c>
    </row>
    <row r="27" spans="1:9" x14ac:dyDescent="0.25">
      <c r="A27" s="2" t="s">
        <v>633</v>
      </c>
      <c r="B27" s="2" t="s">
        <v>634</v>
      </c>
      <c r="C27" s="2"/>
      <c r="D27" s="2" t="s">
        <v>635</v>
      </c>
      <c r="E27" s="2" t="s">
        <v>636</v>
      </c>
      <c r="F27" s="2" t="s">
        <v>211</v>
      </c>
      <c r="G27" s="2" t="s">
        <v>19</v>
      </c>
      <c r="H27" s="2">
        <v>33982</v>
      </c>
      <c r="I27" t="s">
        <v>6190</v>
      </c>
    </row>
    <row r="28" spans="1:9" x14ac:dyDescent="0.25">
      <c r="A28" s="2" t="s">
        <v>638</v>
      </c>
      <c r="B28" s="2" t="s">
        <v>639</v>
      </c>
      <c r="C28" s="2" t="s">
        <v>640</v>
      </c>
      <c r="D28" s="2" t="s">
        <v>641</v>
      </c>
      <c r="E28" s="2" t="s">
        <v>642</v>
      </c>
      <c r="F28" s="2" t="s">
        <v>40</v>
      </c>
      <c r="G28" s="2" t="s">
        <v>19</v>
      </c>
      <c r="H28" s="2">
        <v>94975</v>
      </c>
      <c r="I28" t="s">
        <v>6190</v>
      </c>
    </row>
    <row r="29" spans="1:9" x14ac:dyDescent="0.25">
      <c r="A29" s="2" t="s">
        <v>644</v>
      </c>
      <c r="B29" s="2" t="s">
        <v>645</v>
      </c>
      <c r="C29" s="2" t="s">
        <v>646</v>
      </c>
      <c r="D29" s="2" t="s">
        <v>647</v>
      </c>
      <c r="E29" s="2" t="s">
        <v>648</v>
      </c>
      <c r="F29" s="2" t="s">
        <v>433</v>
      </c>
      <c r="G29" s="2" t="s">
        <v>318</v>
      </c>
      <c r="H29" s="2" t="s">
        <v>434</v>
      </c>
      <c r="I29" t="s">
        <v>6191</v>
      </c>
    </row>
    <row r="30" spans="1:9" x14ac:dyDescent="0.25">
      <c r="A30" s="2" t="s">
        <v>650</v>
      </c>
      <c r="B30" s="2" t="s">
        <v>651</v>
      </c>
      <c r="C30" s="2" t="s">
        <v>652</v>
      </c>
      <c r="D30" s="2" t="s">
        <v>653</v>
      </c>
      <c r="E30" s="2" t="s">
        <v>654</v>
      </c>
      <c r="F30" s="2" t="s">
        <v>347</v>
      </c>
      <c r="G30" s="2" t="s">
        <v>318</v>
      </c>
      <c r="H30" s="2" t="s">
        <v>348</v>
      </c>
      <c r="I30" t="s">
        <v>6191</v>
      </c>
    </row>
    <row r="31" spans="1:9" x14ac:dyDescent="0.25">
      <c r="A31" s="2" t="s">
        <v>656</v>
      </c>
      <c r="B31" s="2" t="s">
        <v>657</v>
      </c>
      <c r="C31" s="2" t="s">
        <v>658</v>
      </c>
      <c r="D31" s="2" t="s">
        <v>659</v>
      </c>
      <c r="E31" s="2" t="s">
        <v>660</v>
      </c>
      <c r="F31" s="2" t="s">
        <v>423</v>
      </c>
      <c r="G31" s="2" t="s">
        <v>318</v>
      </c>
      <c r="H31" s="2" t="s">
        <v>402</v>
      </c>
      <c r="I31" t="s">
        <v>6190</v>
      </c>
    </row>
    <row r="32" spans="1:9" x14ac:dyDescent="0.25">
      <c r="A32" s="2" t="s">
        <v>662</v>
      </c>
      <c r="B32" s="2" t="s">
        <v>663</v>
      </c>
      <c r="C32" s="2"/>
      <c r="D32" s="2" t="s">
        <v>664</v>
      </c>
      <c r="E32" s="2" t="s">
        <v>665</v>
      </c>
      <c r="F32" s="2" t="s">
        <v>133</v>
      </c>
      <c r="G32" s="2" t="s">
        <v>19</v>
      </c>
      <c r="H32" s="2">
        <v>80044</v>
      </c>
      <c r="I32" t="s">
        <v>6191</v>
      </c>
    </row>
    <row r="33" spans="1:9" x14ac:dyDescent="0.25">
      <c r="A33" s="2" t="s">
        <v>666</v>
      </c>
      <c r="B33" s="2" t="s">
        <v>667</v>
      </c>
      <c r="C33" s="2" t="s">
        <v>668</v>
      </c>
      <c r="D33" s="2" t="s">
        <v>669</v>
      </c>
      <c r="E33" s="2" t="s">
        <v>670</v>
      </c>
      <c r="F33" s="2" t="s">
        <v>132</v>
      </c>
      <c r="G33" s="2" t="s">
        <v>19</v>
      </c>
      <c r="H33" s="2">
        <v>11407</v>
      </c>
      <c r="I33" t="s">
        <v>6191</v>
      </c>
    </row>
    <row r="34" spans="1:9" x14ac:dyDescent="0.25">
      <c r="A34" s="2" t="s">
        <v>671</v>
      </c>
      <c r="B34" s="2" t="s">
        <v>672</v>
      </c>
      <c r="C34" s="2" t="s">
        <v>673</v>
      </c>
      <c r="D34" s="2" t="s">
        <v>674</v>
      </c>
      <c r="E34" s="2" t="s">
        <v>675</v>
      </c>
      <c r="F34" s="2" t="s">
        <v>349</v>
      </c>
      <c r="G34" s="2" t="s">
        <v>318</v>
      </c>
      <c r="H34" s="2" t="s">
        <v>350</v>
      </c>
      <c r="I34" t="s">
        <v>6190</v>
      </c>
    </row>
    <row r="35" spans="1:9" x14ac:dyDescent="0.25">
      <c r="A35" s="2" t="s">
        <v>677</v>
      </c>
      <c r="B35" s="2" t="s">
        <v>678</v>
      </c>
      <c r="C35" s="2" t="s">
        <v>679</v>
      </c>
      <c r="D35" s="2"/>
      <c r="E35" s="2" t="s">
        <v>680</v>
      </c>
      <c r="F35" s="2" t="s">
        <v>141</v>
      </c>
      <c r="G35" s="2" t="s">
        <v>19</v>
      </c>
      <c r="H35" s="2">
        <v>58207</v>
      </c>
      <c r="I35" t="s">
        <v>6191</v>
      </c>
    </row>
    <row r="36" spans="1:9" x14ac:dyDescent="0.25">
      <c r="A36" s="2" t="s">
        <v>682</v>
      </c>
      <c r="B36" s="2" t="s">
        <v>683</v>
      </c>
      <c r="C36" s="2" t="s">
        <v>684</v>
      </c>
      <c r="D36" s="2" t="s">
        <v>685</v>
      </c>
      <c r="E36" s="2" t="s">
        <v>686</v>
      </c>
      <c r="F36" s="2" t="s">
        <v>81</v>
      </c>
      <c r="G36" s="2" t="s">
        <v>28</v>
      </c>
      <c r="H36" s="2" t="s">
        <v>258</v>
      </c>
      <c r="I36" t="s">
        <v>6190</v>
      </c>
    </row>
    <row r="37" spans="1:9" x14ac:dyDescent="0.25">
      <c r="A37" s="2" t="s">
        <v>688</v>
      </c>
      <c r="B37" s="2" t="s">
        <v>689</v>
      </c>
      <c r="C37" s="2" t="s">
        <v>690</v>
      </c>
      <c r="D37" s="2" t="s">
        <v>691</v>
      </c>
      <c r="E37" s="2" t="s">
        <v>692</v>
      </c>
      <c r="F37" s="2" t="s">
        <v>48</v>
      </c>
      <c r="G37" s="2" t="s">
        <v>19</v>
      </c>
      <c r="H37" s="2">
        <v>25362</v>
      </c>
      <c r="I37" t="s">
        <v>6191</v>
      </c>
    </row>
    <row r="38" spans="1:9" x14ac:dyDescent="0.25">
      <c r="A38" s="2" t="s">
        <v>694</v>
      </c>
      <c r="B38" s="2" t="s">
        <v>695</v>
      </c>
      <c r="C38" s="2" t="s">
        <v>696</v>
      </c>
      <c r="D38" s="2" t="s">
        <v>697</v>
      </c>
      <c r="E38" s="2" t="s">
        <v>698</v>
      </c>
      <c r="F38" s="2" t="s">
        <v>88</v>
      </c>
      <c r="G38" s="2" t="s">
        <v>19</v>
      </c>
      <c r="H38" s="2">
        <v>72204</v>
      </c>
      <c r="I38" t="s">
        <v>6191</v>
      </c>
    </row>
    <row r="39" spans="1:9" x14ac:dyDescent="0.25">
      <c r="A39" s="2" t="s">
        <v>700</v>
      </c>
      <c r="B39" s="2" t="s">
        <v>701</v>
      </c>
      <c r="C39" s="2" t="s">
        <v>702</v>
      </c>
      <c r="D39" s="2" t="s">
        <v>703</v>
      </c>
      <c r="E39" s="2" t="s">
        <v>704</v>
      </c>
      <c r="F39" s="2" t="s">
        <v>42</v>
      </c>
      <c r="G39" s="2" t="s">
        <v>19</v>
      </c>
      <c r="H39" s="2">
        <v>80291</v>
      </c>
      <c r="I39" t="s">
        <v>6191</v>
      </c>
    </row>
    <row r="40" spans="1:9" x14ac:dyDescent="0.25">
      <c r="A40" s="2" t="s">
        <v>706</v>
      </c>
      <c r="B40" s="2" t="s">
        <v>707</v>
      </c>
      <c r="C40" s="2" t="s">
        <v>708</v>
      </c>
      <c r="D40" s="2" t="s">
        <v>709</v>
      </c>
      <c r="E40" s="2" t="s">
        <v>710</v>
      </c>
      <c r="F40" s="2" t="s">
        <v>33</v>
      </c>
      <c r="G40" s="2" t="s">
        <v>19</v>
      </c>
      <c r="H40" s="2">
        <v>55458</v>
      </c>
      <c r="I40" t="s">
        <v>6191</v>
      </c>
    </row>
    <row r="41" spans="1:9" x14ac:dyDescent="0.25">
      <c r="A41" s="2" t="s">
        <v>712</v>
      </c>
      <c r="B41" s="2" t="s">
        <v>713</v>
      </c>
      <c r="C41" s="2"/>
      <c r="D41" s="2"/>
      <c r="E41" s="2" t="s">
        <v>714</v>
      </c>
      <c r="F41" s="2" t="s">
        <v>126</v>
      </c>
      <c r="G41" s="2" t="s">
        <v>19</v>
      </c>
      <c r="H41" s="2">
        <v>85715</v>
      </c>
      <c r="I41" t="s">
        <v>6190</v>
      </c>
    </row>
    <row r="42" spans="1:9" x14ac:dyDescent="0.25">
      <c r="A42" s="2" t="s">
        <v>716</v>
      </c>
      <c r="B42" s="2" t="s">
        <v>717</v>
      </c>
      <c r="C42" s="2"/>
      <c r="D42" s="2" t="s">
        <v>718</v>
      </c>
      <c r="E42" s="2" t="s">
        <v>719</v>
      </c>
      <c r="F42" s="2" t="s">
        <v>69</v>
      </c>
      <c r="G42" s="2" t="s">
        <v>19</v>
      </c>
      <c r="H42" s="2">
        <v>70116</v>
      </c>
      <c r="I42" t="s">
        <v>6191</v>
      </c>
    </row>
    <row r="43" spans="1:9" x14ac:dyDescent="0.25">
      <c r="A43" s="2" t="s">
        <v>721</v>
      </c>
      <c r="B43" s="2" t="s">
        <v>722</v>
      </c>
      <c r="C43" s="2" t="s">
        <v>723</v>
      </c>
      <c r="D43" s="2" t="s">
        <v>724</v>
      </c>
      <c r="E43" s="2" t="s">
        <v>725</v>
      </c>
      <c r="F43" s="2" t="s">
        <v>71</v>
      </c>
      <c r="G43" s="2" t="s">
        <v>19</v>
      </c>
      <c r="H43" s="2">
        <v>6183</v>
      </c>
      <c r="I43" t="s">
        <v>6190</v>
      </c>
    </row>
    <row r="44" spans="1:9" x14ac:dyDescent="0.25">
      <c r="A44" s="2" t="s">
        <v>727</v>
      </c>
      <c r="B44" s="2" t="s">
        <v>728</v>
      </c>
      <c r="C44" s="2" t="s">
        <v>729</v>
      </c>
      <c r="D44" s="2" t="s">
        <v>730</v>
      </c>
      <c r="E44" s="2" t="s">
        <v>731</v>
      </c>
      <c r="F44" s="2" t="s">
        <v>732</v>
      </c>
      <c r="G44" s="2" t="s">
        <v>19</v>
      </c>
      <c r="H44" s="2">
        <v>84409</v>
      </c>
      <c r="I44" t="s">
        <v>6190</v>
      </c>
    </row>
    <row r="45" spans="1:9" x14ac:dyDescent="0.25">
      <c r="A45" s="2" t="s">
        <v>734</v>
      </c>
      <c r="B45" s="2" t="s">
        <v>735</v>
      </c>
      <c r="C45" s="2"/>
      <c r="D45" s="2" t="s">
        <v>736</v>
      </c>
      <c r="E45" s="2" t="s">
        <v>737</v>
      </c>
      <c r="F45" s="2" t="s">
        <v>241</v>
      </c>
      <c r="G45" s="2" t="s">
        <v>19</v>
      </c>
      <c r="H45" s="2">
        <v>2216</v>
      </c>
      <c r="I45" t="s">
        <v>6191</v>
      </c>
    </row>
    <row r="46" spans="1:9" x14ac:dyDescent="0.25">
      <c r="A46" s="2" t="s">
        <v>739</v>
      </c>
      <c r="B46" s="2" t="s">
        <v>740</v>
      </c>
      <c r="C46" s="2" t="s">
        <v>741</v>
      </c>
      <c r="D46" s="2" t="s">
        <v>742</v>
      </c>
      <c r="E46" s="2" t="s">
        <v>743</v>
      </c>
      <c r="F46" s="2" t="s">
        <v>219</v>
      </c>
      <c r="G46" s="2" t="s">
        <v>19</v>
      </c>
      <c r="H46" s="2">
        <v>14604</v>
      </c>
      <c r="I46" t="s">
        <v>6190</v>
      </c>
    </row>
    <row r="47" spans="1:9" x14ac:dyDescent="0.25">
      <c r="A47" s="2" t="s">
        <v>745</v>
      </c>
      <c r="B47" s="2" t="s">
        <v>746</v>
      </c>
      <c r="C47" s="2" t="s">
        <v>747</v>
      </c>
      <c r="D47" s="2" t="s">
        <v>748</v>
      </c>
      <c r="E47" s="2" t="s">
        <v>749</v>
      </c>
      <c r="F47" s="2" t="s">
        <v>94</v>
      </c>
      <c r="G47" s="2" t="s">
        <v>19</v>
      </c>
      <c r="H47" s="2">
        <v>10469</v>
      </c>
      <c r="I47" t="s">
        <v>6191</v>
      </c>
    </row>
    <row r="48" spans="1:9" x14ac:dyDescent="0.25">
      <c r="A48" s="2" t="s">
        <v>751</v>
      </c>
      <c r="B48" s="2" t="s">
        <v>752</v>
      </c>
      <c r="C48" s="2"/>
      <c r="D48" s="2" t="s">
        <v>753</v>
      </c>
      <c r="E48" s="2" t="s">
        <v>754</v>
      </c>
      <c r="F48" s="2" t="s">
        <v>144</v>
      </c>
      <c r="G48" s="2" t="s">
        <v>19</v>
      </c>
      <c r="H48" s="2">
        <v>35205</v>
      </c>
      <c r="I48" t="s">
        <v>6190</v>
      </c>
    </row>
    <row r="49" spans="1:9" x14ac:dyDescent="0.25">
      <c r="A49" s="2" t="s">
        <v>756</v>
      </c>
      <c r="B49" s="2" t="s">
        <v>757</v>
      </c>
      <c r="C49" s="2" t="s">
        <v>758</v>
      </c>
      <c r="D49" s="2" t="s">
        <v>759</v>
      </c>
      <c r="E49" s="2" t="s">
        <v>760</v>
      </c>
      <c r="F49" s="2" t="s">
        <v>272</v>
      </c>
      <c r="G49" s="2" t="s">
        <v>19</v>
      </c>
      <c r="H49" s="2">
        <v>92415</v>
      </c>
      <c r="I49" t="s">
        <v>6190</v>
      </c>
    </row>
    <row r="50" spans="1:9" x14ac:dyDescent="0.25">
      <c r="A50" s="2" t="s">
        <v>762</v>
      </c>
      <c r="B50" s="2" t="s">
        <v>763</v>
      </c>
      <c r="C50" s="2" t="s">
        <v>764</v>
      </c>
      <c r="D50" s="2"/>
      <c r="E50" s="2" t="s">
        <v>765</v>
      </c>
      <c r="F50" s="2" t="s">
        <v>128</v>
      </c>
      <c r="G50" s="2" t="s">
        <v>19</v>
      </c>
      <c r="H50" s="2">
        <v>23514</v>
      </c>
      <c r="I50" t="s">
        <v>6191</v>
      </c>
    </row>
    <row r="51" spans="1:9" x14ac:dyDescent="0.25">
      <c r="A51" s="2" t="s">
        <v>767</v>
      </c>
      <c r="B51" s="2" t="s">
        <v>768</v>
      </c>
      <c r="C51" s="2" t="s">
        <v>769</v>
      </c>
      <c r="D51" s="2" t="s">
        <v>770</v>
      </c>
      <c r="E51" s="2" t="s">
        <v>771</v>
      </c>
      <c r="F51" s="2" t="s">
        <v>47</v>
      </c>
      <c r="G51" s="2" t="s">
        <v>19</v>
      </c>
      <c r="H51" s="2">
        <v>20409</v>
      </c>
      <c r="I51" t="s">
        <v>6191</v>
      </c>
    </row>
    <row r="52" spans="1:9" x14ac:dyDescent="0.25">
      <c r="A52" s="2" t="s">
        <v>773</v>
      </c>
      <c r="B52" s="2" t="s">
        <v>774</v>
      </c>
      <c r="C52" s="2" t="s">
        <v>775</v>
      </c>
      <c r="D52" s="2" t="s">
        <v>776</v>
      </c>
      <c r="E52" s="2" t="s">
        <v>777</v>
      </c>
      <c r="F52" s="2" t="s">
        <v>271</v>
      </c>
      <c r="G52" s="2" t="s">
        <v>19</v>
      </c>
      <c r="H52" s="2">
        <v>33355</v>
      </c>
      <c r="I52" t="s">
        <v>6191</v>
      </c>
    </row>
    <row r="53" spans="1:9" x14ac:dyDescent="0.25">
      <c r="A53" s="2" t="s">
        <v>779</v>
      </c>
      <c r="B53" s="2" t="s">
        <v>780</v>
      </c>
      <c r="C53" s="2" t="s">
        <v>781</v>
      </c>
      <c r="D53" s="2" t="s">
        <v>782</v>
      </c>
      <c r="E53" s="2" t="s">
        <v>783</v>
      </c>
      <c r="F53" s="2" t="s">
        <v>329</v>
      </c>
      <c r="G53" s="2" t="s">
        <v>318</v>
      </c>
      <c r="H53" s="2" t="s">
        <v>330</v>
      </c>
      <c r="I53" t="s">
        <v>6190</v>
      </c>
    </row>
    <row r="54" spans="1:9" x14ac:dyDescent="0.25">
      <c r="A54" s="2" t="s">
        <v>785</v>
      </c>
      <c r="B54" s="2" t="s">
        <v>786</v>
      </c>
      <c r="C54" s="2" t="s">
        <v>787</v>
      </c>
      <c r="D54" s="2"/>
      <c r="E54" s="2" t="s">
        <v>788</v>
      </c>
      <c r="F54" s="2" t="s">
        <v>248</v>
      </c>
      <c r="G54" s="2" t="s">
        <v>28</v>
      </c>
      <c r="H54" s="2" t="s">
        <v>249</v>
      </c>
      <c r="I54" t="s">
        <v>6191</v>
      </c>
    </row>
    <row r="55" spans="1:9" x14ac:dyDescent="0.25">
      <c r="A55" s="2" t="s">
        <v>789</v>
      </c>
      <c r="B55" s="2" t="s">
        <v>790</v>
      </c>
      <c r="C55" s="2" t="s">
        <v>791</v>
      </c>
      <c r="D55" s="2" t="s">
        <v>792</v>
      </c>
      <c r="E55" s="2" t="s">
        <v>793</v>
      </c>
      <c r="F55" s="2" t="s">
        <v>138</v>
      </c>
      <c r="G55" s="2" t="s">
        <v>19</v>
      </c>
      <c r="H55" s="2">
        <v>84605</v>
      </c>
      <c r="I55" t="s">
        <v>6191</v>
      </c>
    </row>
    <row r="56" spans="1:9" x14ac:dyDescent="0.25">
      <c r="A56" s="2" t="s">
        <v>795</v>
      </c>
      <c r="B56" s="2" t="s">
        <v>796</v>
      </c>
      <c r="C56" s="2" t="s">
        <v>797</v>
      </c>
      <c r="D56" s="2" t="s">
        <v>798</v>
      </c>
      <c r="E56" s="2" t="s">
        <v>799</v>
      </c>
      <c r="F56" s="2" t="s">
        <v>260</v>
      </c>
      <c r="G56" s="2" t="s">
        <v>19</v>
      </c>
      <c r="H56" s="2">
        <v>43666</v>
      </c>
      <c r="I56" t="s">
        <v>6191</v>
      </c>
    </row>
    <row r="57" spans="1:9" x14ac:dyDescent="0.25">
      <c r="A57" s="2" t="s">
        <v>801</v>
      </c>
      <c r="B57" s="2" t="s">
        <v>802</v>
      </c>
      <c r="C57" s="2"/>
      <c r="D57" s="2" t="s">
        <v>803</v>
      </c>
      <c r="E57" s="2" t="s">
        <v>804</v>
      </c>
      <c r="F57" s="2" t="s">
        <v>135</v>
      </c>
      <c r="G57" s="2" t="s">
        <v>19</v>
      </c>
      <c r="H57" s="2">
        <v>8650</v>
      </c>
      <c r="I57" t="s">
        <v>6191</v>
      </c>
    </row>
    <row r="58" spans="1:9" x14ac:dyDescent="0.25">
      <c r="A58" s="2" t="s">
        <v>806</v>
      </c>
      <c r="B58" s="2" t="s">
        <v>807</v>
      </c>
      <c r="C58" s="2" t="s">
        <v>808</v>
      </c>
      <c r="D58" s="2" t="s">
        <v>809</v>
      </c>
      <c r="E58" s="2" t="s">
        <v>810</v>
      </c>
      <c r="F58" s="2" t="s">
        <v>137</v>
      </c>
      <c r="G58" s="2" t="s">
        <v>19</v>
      </c>
      <c r="H58" s="2">
        <v>33686</v>
      </c>
      <c r="I58" t="s">
        <v>6190</v>
      </c>
    </row>
    <row r="59" spans="1:9" x14ac:dyDescent="0.25">
      <c r="A59" s="2" t="s">
        <v>812</v>
      </c>
      <c r="B59" s="2" t="s">
        <v>813</v>
      </c>
      <c r="C59" s="2" t="s">
        <v>814</v>
      </c>
      <c r="D59" s="2" t="s">
        <v>815</v>
      </c>
      <c r="E59" s="2" t="s">
        <v>816</v>
      </c>
      <c r="F59" s="2" t="s">
        <v>250</v>
      </c>
      <c r="G59" s="2" t="s">
        <v>19</v>
      </c>
      <c r="H59" s="2">
        <v>32590</v>
      </c>
      <c r="I59" t="s">
        <v>6191</v>
      </c>
    </row>
    <row r="60" spans="1:9" x14ac:dyDescent="0.25">
      <c r="A60" s="2" t="s">
        <v>818</v>
      </c>
      <c r="B60" s="2" t="s">
        <v>819</v>
      </c>
      <c r="C60" s="2"/>
      <c r="D60" s="2" t="s">
        <v>820</v>
      </c>
      <c r="E60" s="2" t="s">
        <v>821</v>
      </c>
      <c r="F60" s="2" t="s">
        <v>234</v>
      </c>
      <c r="G60" s="2" t="s">
        <v>19</v>
      </c>
      <c r="H60" s="2">
        <v>33543</v>
      </c>
      <c r="I60" t="s">
        <v>6190</v>
      </c>
    </row>
    <row r="61" spans="1:9" x14ac:dyDescent="0.25">
      <c r="A61" s="2" t="s">
        <v>823</v>
      </c>
      <c r="B61" s="2" t="s">
        <v>824</v>
      </c>
      <c r="C61" s="2" t="s">
        <v>825</v>
      </c>
      <c r="D61" s="2"/>
      <c r="E61" s="2" t="s">
        <v>826</v>
      </c>
      <c r="F61" s="2" t="s">
        <v>173</v>
      </c>
      <c r="G61" s="2" t="s">
        <v>19</v>
      </c>
      <c r="H61" s="2">
        <v>55123</v>
      </c>
      <c r="I61" t="s">
        <v>6190</v>
      </c>
    </row>
    <row r="62" spans="1:9" x14ac:dyDescent="0.25">
      <c r="A62" s="2" t="s">
        <v>828</v>
      </c>
      <c r="B62" s="2" t="s">
        <v>829</v>
      </c>
      <c r="C62" s="2" t="s">
        <v>830</v>
      </c>
      <c r="D62" s="2" t="s">
        <v>831</v>
      </c>
      <c r="E62" s="2" t="s">
        <v>832</v>
      </c>
      <c r="F62" s="2" t="s">
        <v>66</v>
      </c>
      <c r="G62" s="2" t="s">
        <v>19</v>
      </c>
      <c r="H62" s="2">
        <v>46862</v>
      </c>
      <c r="I62" t="s">
        <v>6191</v>
      </c>
    </row>
    <row r="63" spans="1:9" x14ac:dyDescent="0.25">
      <c r="A63" s="2" t="s">
        <v>834</v>
      </c>
      <c r="B63" s="2" t="s">
        <v>835</v>
      </c>
      <c r="C63" s="2"/>
      <c r="D63" s="2" t="s">
        <v>836</v>
      </c>
      <c r="E63" s="2" t="s">
        <v>837</v>
      </c>
      <c r="F63" s="2" t="s">
        <v>151</v>
      </c>
      <c r="G63" s="2" t="s">
        <v>28</v>
      </c>
      <c r="H63" s="2" t="s">
        <v>152</v>
      </c>
      <c r="I63" t="s">
        <v>6190</v>
      </c>
    </row>
    <row r="64" spans="1:9" x14ac:dyDescent="0.25">
      <c r="A64" s="2" t="s">
        <v>839</v>
      </c>
      <c r="B64" s="2" t="s">
        <v>840</v>
      </c>
      <c r="C64" s="2"/>
      <c r="D64" s="2" t="s">
        <v>841</v>
      </c>
      <c r="E64" s="2" t="s">
        <v>842</v>
      </c>
      <c r="F64" s="2" t="s">
        <v>267</v>
      </c>
      <c r="G64" s="2" t="s">
        <v>19</v>
      </c>
      <c r="H64" s="2">
        <v>34114</v>
      </c>
      <c r="I64" t="s">
        <v>6190</v>
      </c>
    </row>
    <row r="65" spans="1:9" x14ac:dyDescent="0.25">
      <c r="A65" s="2" t="s">
        <v>844</v>
      </c>
      <c r="B65" s="2" t="s">
        <v>845</v>
      </c>
      <c r="C65" s="2" t="s">
        <v>846</v>
      </c>
      <c r="D65" s="2" t="s">
        <v>847</v>
      </c>
      <c r="E65" s="2" t="s">
        <v>848</v>
      </c>
      <c r="F65" s="2" t="s">
        <v>56</v>
      </c>
      <c r="G65" s="2" t="s">
        <v>19</v>
      </c>
      <c r="H65" s="2">
        <v>60681</v>
      </c>
      <c r="I65" t="s">
        <v>6191</v>
      </c>
    </row>
    <row r="66" spans="1:9" x14ac:dyDescent="0.25">
      <c r="A66" s="2" t="s">
        <v>850</v>
      </c>
      <c r="B66" s="2" t="s">
        <v>851</v>
      </c>
      <c r="C66" s="2"/>
      <c r="D66" s="2" t="s">
        <v>852</v>
      </c>
      <c r="E66" s="2" t="s">
        <v>853</v>
      </c>
      <c r="F66" s="2" t="s">
        <v>199</v>
      </c>
      <c r="G66" s="2" t="s">
        <v>19</v>
      </c>
      <c r="H66" s="2">
        <v>7104</v>
      </c>
      <c r="I66" t="s">
        <v>6190</v>
      </c>
    </row>
    <row r="67" spans="1:9" x14ac:dyDescent="0.25">
      <c r="A67" s="2" t="s">
        <v>855</v>
      </c>
      <c r="B67" s="2" t="s">
        <v>856</v>
      </c>
      <c r="C67" s="2" t="s">
        <v>857</v>
      </c>
      <c r="D67" s="2" t="s">
        <v>858</v>
      </c>
      <c r="E67" s="2" t="s">
        <v>859</v>
      </c>
      <c r="F67" s="2" t="s">
        <v>364</v>
      </c>
      <c r="G67" s="2" t="s">
        <v>19</v>
      </c>
      <c r="H67" s="2">
        <v>22184</v>
      </c>
      <c r="I67" t="s">
        <v>6190</v>
      </c>
    </row>
    <row r="68" spans="1:9" x14ac:dyDescent="0.25">
      <c r="A68" s="2" t="s">
        <v>861</v>
      </c>
      <c r="B68" s="2" t="s">
        <v>862</v>
      </c>
      <c r="C68" s="2" t="s">
        <v>863</v>
      </c>
      <c r="D68" s="2" t="s">
        <v>864</v>
      </c>
      <c r="E68" s="2" t="s">
        <v>865</v>
      </c>
      <c r="F68" s="2" t="s">
        <v>106</v>
      </c>
      <c r="G68" s="2" t="s">
        <v>19</v>
      </c>
      <c r="H68" s="2">
        <v>76178</v>
      </c>
      <c r="I68" t="s">
        <v>6190</v>
      </c>
    </row>
    <row r="69" spans="1:9" x14ac:dyDescent="0.25">
      <c r="A69" s="2" t="s">
        <v>867</v>
      </c>
      <c r="B69" s="2" t="s">
        <v>868</v>
      </c>
      <c r="C69" s="2" t="s">
        <v>869</v>
      </c>
      <c r="D69" s="2" t="s">
        <v>870</v>
      </c>
      <c r="E69" s="2" t="s">
        <v>871</v>
      </c>
      <c r="F69" s="2" t="s">
        <v>118</v>
      </c>
      <c r="G69" s="2" t="s">
        <v>19</v>
      </c>
      <c r="H69" s="2">
        <v>91505</v>
      </c>
      <c r="I69" t="s">
        <v>6191</v>
      </c>
    </row>
    <row r="70" spans="1:9" x14ac:dyDescent="0.25">
      <c r="A70" s="2" t="s">
        <v>873</v>
      </c>
      <c r="B70" s="2" t="s">
        <v>874</v>
      </c>
      <c r="C70" s="2" t="s">
        <v>875</v>
      </c>
      <c r="D70" s="2" t="s">
        <v>876</v>
      </c>
      <c r="E70" s="2" t="s">
        <v>877</v>
      </c>
      <c r="F70" s="2" t="s">
        <v>268</v>
      </c>
      <c r="G70" s="2" t="s">
        <v>19</v>
      </c>
      <c r="H70" s="2">
        <v>37665</v>
      </c>
      <c r="I70" t="s">
        <v>6191</v>
      </c>
    </row>
    <row r="71" spans="1:9" x14ac:dyDescent="0.25">
      <c r="A71" s="2" t="s">
        <v>879</v>
      </c>
      <c r="B71" s="2" t="s">
        <v>880</v>
      </c>
      <c r="C71" s="2" t="s">
        <v>881</v>
      </c>
      <c r="D71" s="2" t="s">
        <v>882</v>
      </c>
      <c r="E71" s="2" t="s">
        <v>883</v>
      </c>
      <c r="F71" s="2" t="s">
        <v>284</v>
      </c>
      <c r="G71" s="2" t="s">
        <v>28</v>
      </c>
      <c r="H71" s="2" t="s">
        <v>884</v>
      </c>
      <c r="I71" t="s">
        <v>6190</v>
      </c>
    </row>
    <row r="72" spans="1:9" x14ac:dyDescent="0.25">
      <c r="A72" s="2" t="s">
        <v>886</v>
      </c>
      <c r="B72" s="2" t="s">
        <v>887</v>
      </c>
      <c r="C72" s="2" t="s">
        <v>888</v>
      </c>
      <c r="D72" s="2" t="s">
        <v>889</v>
      </c>
      <c r="E72" s="2" t="s">
        <v>890</v>
      </c>
      <c r="F72" s="2" t="s">
        <v>39</v>
      </c>
      <c r="G72" s="2" t="s">
        <v>19</v>
      </c>
      <c r="H72" s="2">
        <v>43231</v>
      </c>
      <c r="I72" t="s">
        <v>6191</v>
      </c>
    </row>
    <row r="73" spans="1:9" x14ac:dyDescent="0.25">
      <c r="A73" s="2" t="s">
        <v>892</v>
      </c>
      <c r="B73" s="2" t="s">
        <v>893</v>
      </c>
      <c r="C73" s="2" t="s">
        <v>894</v>
      </c>
      <c r="D73" s="2" t="s">
        <v>895</v>
      </c>
      <c r="E73" s="2" t="s">
        <v>896</v>
      </c>
      <c r="F73" s="2" t="s">
        <v>408</v>
      </c>
      <c r="G73" s="2" t="s">
        <v>318</v>
      </c>
      <c r="H73" s="2" t="s">
        <v>343</v>
      </c>
      <c r="I73" t="s">
        <v>6191</v>
      </c>
    </row>
    <row r="74" spans="1:9" x14ac:dyDescent="0.25">
      <c r="A74" s="2" t="s">
        <v>898</v>
      </c>
      <c r="B74" s="2" t="s">
        <v>899</v>
      </c>
      <c r="C74" s="2"/>
      <c r="D74" s="2" t="s">
        <v>900</v>
      </c>
      <c r="E74" s="2" t="s">
        <v>901</v>
      </c>
      <c r="F74" s="2" t="s">
        <v>69</v>
      </c>
      <c r="G74" s="2" t="s">
        <v>19</v>
      </c>
      <c r="H74" s="2">
        <v>70183</v>
      </c>
      <c r="I74" t="s">
        <v>6191</v>
      </c>
    </row>
    <row r="75" spans="1:9" x14ac:dyDescent="0.25">
      <c r="A75" s="2" t="s">
        <v>903</v>
      </c>
      <c r="B75" s="2" t="s">
        <v>904</v>
      </c>
      <c r="C75" s="2"/>
      <c r="D75" s="2" t="s">
        <v>905</v>
      </c>
      <c r="E75" s="2" t="s">
        <v>906</v>
      </c>
      <c r="F75" s="2" t="s">
        <v>35</v>
      </c>
      <c r="G75" s="2" t="s">
        <v>19</v>
      </c>
      <c r="H75" s="2">
        <v>28230</v>
      </c>
      <c r="I75" t="s">
        <v>6190</v>
      </c>
    </row>
    <row r="76" spans="1:9" x14ac:dyDescent="0.25">
      <c r="A76" s="2" t="s">
        <v>908</v>
      </c>
      <c r="B76" s="2" t="s">
        <v>909</v>
      </c>
      <c r="C76" s="2" t="s">
        <v>910</v>
      </c>
      <c r="D76" s="2" t="s">
        <v>911</v>
      </c>
      <c r="E76" s="2" t="s">
        <v>912</v>
      </c>
      <c r="F76" s="2" t="s">
        <v>83</v>
      </c>
      <c r="G76" s="2" t="s">
        <v>19</v>
      </c>
      <c r="H76" s="2">
        <v>1114</v>
      </c>
      <c r="I76" t="s">
        <v>6190</v>
      </c>
    </row>
    <row r="77" spans="1:9" x14ac:dyDescent="0.25">
      <c r="A77" s="2" t="s">
        <v>914</v>
      </c>
      <c r="B77" s="2" t="s">
        <v>915</v>
      </c>
      <c r="C77" s="2" t="s">
        <v>916</v>
      </c>
      <c r="D77" s="2" t="s">
        <v>917</v>
      </c>
      <c r="E77" s="2" t="s">
        <v>918</v>
      </c>
      <c r="F77" s="2" t="s">
        <v>327</v>
      </c>
      <c r="G77" s="2" t="s">
        <v>318</v>
      </c>
      <c r="H77" s="2" t="s">
        <v>321</v>
      </c>
      <c r="I77" t="s">
        <v>6190</v>
      </c>
    </row>
    <row r="78" spans="1:9" x14ac:dyDescent="0.25">
      <c r="A78" s="2" t="s">
        <v>920</v>
      </c>
      <c r="B78" s="2" t="s">
        <v>921</v>
      </c>
      <c r="C78" s="2"/>
      <c r="D78" s="2" t="s">
        <v>922</v>
      </c>
      <c r="E78" s="2" t="s">
        <v>923</v>
      </c>
      <c r="F78" s="2" t="s">
        <v>482</v>
      </c>
      <c r="G78" s="2" t="s">
        <v>318</v>
      </c>
      <c r="H78" s="2" t="s">
        <v>359</v>
      </c>
      <c r="I78" t="s">
        <v>6190</v>
      </c>
    </row>
    <row r="79" spans="1:9" x14ac:dyDescent="0.25">
      <c r="A79" s="2" t="s">
        <v>925</v>
      </c>
      <c r="B79" s="2" t="s">
        <v>926</v>
      </c>
      <c r="C79" s="2" t="s">
        <v>927</v>
      </c>
      <c r="D79" s="2" t="s">
        <v>928</v>
      </c>
      <c r="E79" s="2" t="s">
        <v>929</v>
      </c>
      <c r="F79" s="2" t="s">
        <v>212</v>
      </c>
      <c r="G79" s="2" t="s">
        <v>19</v>
      </c>
      <c r="H79" s="2">
        <v>79705</v>
      </c>
      <c r="I79" t="s">
        <v>6191</v>
      </c>
    </row>
    <row r="80" spans="1:9" x14ac:dyDescent="0.25">
      <c r="A80" s="2" t="s">
        <v>931</v>
      </c>
      <c r="B80" s="2" t="s">
        <v>932</v>
      </c>
      <c r="C80" s="2" t="s">
        <v>933</v>
      </c>
      <c r="D80" s="2" t="s">
        <v>934</v>
      </c>
      <c r="E80" s="2" t="s">
        <v>935</v>
      </c>
      <c r="F80" s="2" t="s">
        <v>52</v>
      </c>
      <c r="G80" s="2" t="s">
        <v>19</v>
      </c>
      <c r="H80" s="2">
        <v>75323</v>
      </c>
      <c r="I80" t="s">
        <v>6190</v>
      </c>
    </row>
    <row r="81" spans="1:9" x14ac:dyDescent="0.25">
      <c r="A81" s="2" t="s">
        <v>937</v>
      </c>
      <c r="B81" s="2" t="s">
        <v>938</v>
      </c>
      <c r="C81" s="2" t="s">
        <v>939</v>
      </c>
      <c r="D81" s="2" t="s">
        <v>940</v>
      </c>
      <c r="E81" s="2" t="s">
        <v>941</v>
      </c>
      <c r="F81" s="2" t="s">
        <v>288</v>
      </c>
      <c r="G81" s="2" t="s">
        <v>19</v>
      </c>
      <c r="H81" s="2">
        <v>20189</v>
      </c>
      <c r="I81" t="s">
        <v>6191</v>
      </c>
    </row>
    <row r="82" spans="1:9" x14ac:dyDescent="0.25">
      <c r="A82" s="2" t="s">
        <v>943</v>
      </c>
      <c r="B82" s="2" t="s">
        <v>944</v>
      </c>
      <c r="C82" s="2" t="s">
        <v>945</v>
      </c>
      <c r="D82" s="2" t="s">
        <v>946</v>
      </c>
      <c r="E82" s="2" t="s">
        <v>947</v>
      </c>
      <c r="F82" s="2" t="s">
        <v>149</v>
      </c>
      <c r="G82" s="2" t="s">
        <v>19</v>
      </c>
      <c r="H82" s="2">
        <v>94627</v>
      </c>
      <c r="I82" t="s">
        <v>6190</v>
      </c>
    </row>
    <row r="83" spans="1:9" x14ac:dyDescent="0.25">
      <c r="A83" s="2" t="s">
        <v>949</v>
      </c>
      <c r="B83" s="2" t="s">
        <v>950</v>
      </c>
      <c r="C83" s="2" t="s">
        <v>951</v>
      </c>
      <c r="D83" s="2" t="s">
        <v>952</v>
      </c>
      <c r="E83" s="2" t="s">
        <v>953</v>
      </c>
      <c r="F83" s="2" t="s">
        <v>78</v>
      </c>
      <c r="G83" s="2" t="s">
        <v>19</v>
      </c>
      <c r="H83" s="2">
        <v>80930</v>
      </c>
      <c r="I83" t="s">
        <v>6190</v>
      </c>
    </row>
    <row r="84" spans="1:9" x14ac:dyDescent="0.25">
      <c r="A84" s="2" t="s">
        <v>955</v>
      </c>
      <c r="B84" s="2" t="s">
        <v>956</v>
      </c>
      <c r="C84" s="2" t="s">
        <v>957</v>
      </c>
      <c r="D84" s="2" t="s">
        <v>958</v>
      </c>
      <c r="E84" s="2" t="s">
        <v>959</v>
      </c>
      <c r="F84" s="2" t="s">
        <v>456</v>
      </c>
      <c r="G84" s="2" t="s">
        <v>318</v>
      </c>
      <c r="H84" s="2" t="s">
        <v>457</v>
      </c>
      <c r="I84" t="s">
        <v>6190</v>
      </c>
    </row>
    <row r="85" spans="1:9" x14ac:dyDescent="0.25">
      <c r="A85" s="2" t="s">
        <v>961</v>
      </c>
      <c r="B85" s="2" t="s">
        <v>962</v>
      </c>
      <c r="C85" s="2"/>
      <c r="D85" s="2" t="s">
        <v>963</v>
      </c>
      <c r="E85" s="2" t="s">
        <v>964</v>
      </c>
      <c r="F85" s="2" t="s">
        <v>120</v>
      </c>
      <c r="G85" s="2" t="s">
        <v>19</v>
      </c>
      <c r="H85" s="2">
        <v>14205</v>
      </c>
      <c r="I85" t="s">
        <v>6190</v>
      </c>
    </row>
    <row r="86" spans="1:9" x14ac:dyDescent="0.25">
      <c r="A86" s="2" t="s">
        <v>966</v>
      </c>
      <c r="B86" s="2" t="s">
        <v>967</v>
      </c>
      <c r="C86" s="2" t="s">
        <v>968</v>
      </c>
      <c r="D86" s="2" t="s">
        <v>969</v>
      </c>
      <c r="E86" s="2" t="s">
        <v>970</v>
      </c>
      <c r="F86" s="2" t="s">
        <v>30</v>
      </c>
      <c r="G86" s="2" t="s">
        <v>19</v>
      </c>
      <c r="H86" s="2">
        <v>93715</v>
      </c>
      <c r="I86" t="s">
        <v>6191</v>
      </c>
    </row>
    <row r="87" spans="1:9" x14ac:dyDescent="0.25">
      <c r="A87" s="2" t="s">
        <v>972</v>
      </c>
      <c r="B87" s="2" t="s">
        <v>973</v>
      </c>
      <c r="C87" s="2" t="s">
        <v>974</v>
      </c>
      <c r="D87" s="2"/>
      <c r="E87" s="2" t="s">
        <v>975</v>
      </c>
      <c r="F87" s="2" t="s">
        <v>106</v>
      </c>
      <c r="G87" s="2" t="s">
        <v>19</v>
      </c>
      <c r="H87" s="2">
        <v>76121</v>
      </c>
      <c r="I87" t="s">
        <v>6191</v>
      </c>
    </row>
    <row r="88" spans="1:9" x14ac:dyDescent="0.25">
      <c r="A88" s="2" t="s">
        <v>976</v>
      </c>
      <c r="B88" s="2" t="s">
        <v>977</v>
      </c>
      <c r="C88" s="2" t="s">
        <v>978</v>
      </c>
      <c r="D88" s="2"/>
      <c r="E88" s="2" t="s">
        <v>979</v>
      </c>
      <c r="F88" s="2" t="s">
        <v>77</v>
      </c>
      <c r="G88" s="2" t="s">
        <v>19</v>
      </c>
      <c r="H88" s="2">
        <v>73179</v>
      </c>
      <c r="I88" t="s">
        <v>6190</v>
      </c>
    </row>
    <row r="89" spans="1:9" x14ac:dyDescent="0.25">
      <c r="A89" s="2" t="s">
        <v>981</v>
      </c>
      <c r="B89" s="2" t="s">
        <v>982</v>
      </c>
      <c r="C89" s="2" t="s">
        <v>983</v>
      </c>
      <c r="D89" s="2"/>
      <c r="E89" s="2" t="s">
        <v>984</v>
      </c>
      <c r="F89" s="2" t="s">
        <v>289</v>
      </c>
      <c r="G89" s="2" t="s">
        <v>19</v>
      </c>
      <c r="H89" s="2">
        <v>77705</v>
      </c>
      <c r="I89" t="s">
        <v>6191</v>
      </c>
    </row>
    <row r="90" spans="1:9" x14ac:dyDescent="0.25">
      <c r="A90" s="2" t="s">
        <v>986</v>
      </c>
      <c r="B90" s="2" t="s">
        <v>987</v>
      </c>
      <c r="C90" s="2" t="s">
        <v>988</v>
      </c>
      <c r="D90" s="2"/>
      <c r="E90" s="2" t="s">
        <v>989</v>
      </c>
      <c r="F90" s="2" t="s">
        <v>122</v>
      </c>
      <c r="G90" s="2" t="s">
        <v>19</v>
      </c>
      <c r="H90" s="2">
        <v>89519</v>
      </c>
      <c r="I90" t="s">
        <v>6191</v>
      </c>
    </row>
    <row r="91" spans="1:9" x14ac:dyDescent="0.25">
      <c r="A91" s="2" t="s">
        <v>991</v>
      </c>
      <c r="B91" s="2" t="s">
        <v>992</v>
      </c>
      <c r="C91" s="2" t="s">
        <v>993</v>
      </c>
      <c r="D91" s="2" t="s">
        <v>994</v>
      </c>
      <c r="E91" s="2" t="s">
        <v>995</v>
      </c>
      <c r="F91" s="2" t="s">
        <v>116</v>
      </c>
      <c r="G91" s="2" t="s">
        <v>19</v>
      </c>
      <c r="H91" s="2">
        <v>64136</v>
      </c>
      <c r="I91" t="s">
        <v>6191</v>
      </c>
    </row>
    <row r="92" spans="1:9" x14ac:dyDescent="0.25">
      <c r="A92" s="2" t="s">
        <v>997</v>
      </c>
      <c r="B92" s="2" t="s">
        <v>998</v>
      </c>
      <c r="C92" s="2"/>
      <c r="D92" s="2" t="s">
        <v>999</v>
      </c>
      <c r="E92" s="2" t="s">
        <v>1000</v>
      </c>
      <c r="F92" s="2" t="s">
        <v>329</v>
      </c>
      <c r="G92" s="2" t="s">
        <v>318</v>
      </c>
      <c r="H92" s="2" t="s">
        <v>330</v>
      </c>
      <c r="I92" t="s">
        <v>6190</v>
      </c>
    </row>
    <row r="93" spans="1:9" x14ac:dyDescent="0.25">
      <c r="A93" s="2" t="s">
        <v>1002</v>
      </c>
      <c r="B93" s="2" t="s">
        <v>1003</v>
      </c>
      <c r="C93" s="2" t="s">
        <v>1004</v>
      </c>
      <c r="D93" s="2" t="s">
        <v>1005</v>
      </c>
      <c r="E93" s="2" t="s">
        <v>1006</v>
      </c>
      <c r="F93" s="2" t="s">
        <v>153</v>
      </c>
      <c r="G93" s="2" t="s">
        <v>19</v>
      </c>
      <c r="H93" s="2">
        <v>92878</v>
      </c>
      <c r="I93" t="s">
        <v>6191</v>
      </c>
    </row>
    <row r="94" spans="1:9" x14ac:dyDescent="0.25">
      <c r="A94" s="2" t="s">
        <v>1008</v>
      </c>
      <c r="B94" s="2" t="s">
        <v>1009</v>
      </c>
      <c r="C94" s="2"/>
      <c r="D94" s="2" t="s">
        <v>1010</v>
      </c>
      <c r="E94" s="2" t="s">
        <v>1011</v>
      </c>
      <c r="F94" s="2" t="s">
        <v>123</v>
      </c>
      <c r="G94" s="2" t="s">
        <v>19</v>
      </c>
      <c r="H94" s="2">
        <v>78759</v>
      </c>
      <c r="I94" t="s">
        <v>6190</v>
      </c>
    </row>
    <row r="95" spans="1:9" x14ac:dyDescent="0.25">
      <c r="A95" s="2" t="s">
        <v>1013</v>
      </c>
      <c r="B95" s="2" t="s">
        <v>1014</v>
      </c>
      <c r="C95" s="2" t="s">
        <v>1015</v>
      </c>
      <c r="D95" s="2" t="s">
        <v>1016</v>
      </c>
      <c r="E95" s="2" t="s">
        <v>1017</v>
      </c>
      <c r="F95" s="2" t="s">
        <v>113</v>
      </c>
      <c r="G95" s="2" t="s">
        <v>28</v>
      </c>
      <c r="H95" s="2" t="s">
        <v>114</v>
      </c>
      <c r="I95" t="s">
        <v>6190</v>
      </c>
    </row>
    <row r="96" spans="1:9" x14ac:dyDescent="0.25">
      <c r="A96" s="2" t="s">
        <v>1019</v>
      </c>
      <c r="B96" s="2" t="s">
        <v>1020</v>
      </c>
      <c r="C96" s="2"/>
      <c r="D96" s="2"/>
      <c r="E96" s="2" t="s">
        <v>1021</v>
      </c>
      <c r="F96" s="2" t="s">
        <v>387</v>
      </c>
      <c r="G96" s="2" t="s">
        <v>318</v>
      </c>
      <c r="H96" s="2" t="s">
        <v>388</v>
      </c>
      <c r="I96" t="s">
        <v>6190</v>
      </c>
    </row>
    <row r="97" spans="1:9" x14ac:dyDescent="0.25">
      <c r="A97" s="2" t="s">
        <v>1023</v>
      </c>
      <c r="B97" s="2" t="s">
        <v>1024</v>
      </c>
      <c r="C97" s="2" t="s">
        <v>1025</v>
      </c>
      <c r="D97" s="2"/>
      <c r="E97" s="2" t="s">
        <v>1026</v>
      </c>
      <c r="F97" s="2" t="s">
        <v>30</v>
      </c>
      <c r="G97" s="2" t="s">
        <v>19</v>
      </c>
      <c r="H97" s="2">
        <v>93762</v>
      </c>
      <c r="I97" t="s">
        <v>6191</v>
      </c>
    </row>
    <row r="98" spans="1:9" x14ac:dyDescent="0.25">
      <c r="A98" s="2" t="s">
        <v>1028</v>
      </c>
      <c r="B98" s="2" t="s">
        <v>1029</v>
      </c>
      <c r="C98" s="2" t="s">
        <v>1030</v>
      </c>
      <c r="D98" s="2"/>
      <c r="E98" s="2" t="s">
        <v>1031</v>
      </c>
      <c r="F98" s="2" t="s">
        <v>104</v>
      </c>
      <c r="G98" s="2" t="s">
        <v>19</v>
      </c>
      <c r="H98" s="2">
        <v>63150</v>
      </c>
      <c r="I98" t="s">
        <v>6191</v>
      </c>
    </row>
    <row r="99" spans="1:9" x14ac:dyDescent="0.25">
      <c r="A99" s="2" t="s">
        <v>1033</v>
      </c>
      <c r="B99" s="2" t="s">
        <v>1034</v>
      </c>
      <c r="C99" s="2" t="s">
        <v>1035</v>
      </c>
      <c r="D99" s="2" t="s">
        <v>1036</v>
      </c>
      <c r="E99" s="2" t="s">
        <v>1037</v>
      </c>
      <c r="F99" s="2" t="s">
        <v>30</v>
      </c>
      <c r="G99" s="2" t="s">
        <v>19</v>
      </c>
      <c r="H99" s="2">
        <v>93726</v>
      </c>
      <c r="I99" t="s">
        <v>6191</v>
      </c>
    </row>
    <row r="100" spans="1:9" x14ac:dyDescent="0.25">
      <c r="A100" s="2" t="s">
        <v>1039</v>
      </c>
      <c r="B100" s="2" t="s">
        <v>1040</v>
      </c>
      <c r="C100" s="2"/>
      <c r="D100" s="2" t="s">
        <v>1041</v>
      </c>
      <c r="E100" s="2" t="s">
        <v>1042</v>
      </c>
      <c r="F100" s="2" t="s">
        <v>384</v>
      </c>
      <c r="G100" s="2" t="s">
        <v>318</v>
      </c>
      <c r="H100" s="2" t="s">
        <v>369</v>
      </c>
      <c r="I100" t="s">
        <v>6191</v>
      </c>
    </row>
    <row r="101" spans="1:9" x14ac:dyDescent="0.25">
      <c r="A101" s="2" t="s">
        <v>1044</v>
      </c>
      <c r="B101" s="2" t="s">
        <v>1045</v>
      </c>
      <c r="C101" s="2"/>
      <c r="D101" s="2" t="s">
        <v>1046</v>
      </c>
      <c r="E101" s="2" t="s">
        <v>1047</v>
      </c>
      <c r="F101" s="2" t="s">
        <v>39</v>
      </c>
      <c r="G101" s="2" t="s">
        <v>19</v>
      </c>
      <c r="H101" s="2">
        <v>43210</v>
      </c>
      <c r="I101" t="s">
        <v>6190</v>
      </c>
    </row>
    <row r="102" spans="1:9" x14ac:dyDescent="0.25">
      <c r="A102" s="2" t="s">
        <v>1049</v>
      </c>
      <c r="B102" s="2" t="s">
        <v>1050</v>
      </c>
      <c r="C102" s="2"/>
      <c r="D102" s="2" t="s">
        <v>1051</v>
      </c>
      <c r="E102" s="2" t="s">
        <v>1052</v>
      </c>
      <c r="F102" s="2" t="s">
        <v>291</v>
      </c>
      <c r="G102" s="2" t="s">
        <v>19</v>
      </c>
      <c r="H102" s="2">
        <v>95205</v>
      </c>
      <c r="I102" t="s">
        <v>6190</v>
      </c>
    </row>
    <row r="103" spans="1:9" x14ac:dyDescent="0.25">
      <c r="A103" s="2" t="s">
        <v>1054</v>
      </c>
      <c r="B103" s="2" t="s">
        <v>1055</v>
      </c>
      <c r="C103" s="2" t="s">
        <v>1056</v>
      </c>
      <c r="D103" s="2" t="s">
        <v>1057</v>
      </c>
      <c r="E103" s="2" t="s">
        <v>1058</v>
      </c>
      <c r="F103" s="2" t="s">
        <v>437</v>
      </c>
      <c r="G103" s="2" t="s">
        <v>318</v>
      </c>
      <c r="H103" s="2" t="s">
        <v>438</v>
      </c>
      <c r="I103" t="s">
        <v>6190</v>
      </c>
    </row>
    <row r="104" spans="1:9" x14ac:dyDescent="0.25">
      <c r="A104" s="2" t="s">
        <v>1060</v>
      </c>
      <c r="B104" s="2" t="s">
        <v>1061</v>
      </c>
      <c r="C104" s="2" t="s">
        <v>1062</v>
      </c>
      <c r="D104" s="2" t="s">
        <v>1063</v>
      </c>
      <c r="E104" s="2" t="s">
        <v>1064</v>
      </c>
      <c r="F104" s="2" t="s">
        <v>417</v>
      </c>
      <c r="G104" s="2" t="s">
        <v>318</v>
      </c>
      <c r="H104" s="2" t="s">
        <v>369</v>
      </c>
      <c r="I104" t="s">
        <v>6190</v>
      </c>
    </row>
    <row r="105" spans="1:9" x14ac:dyDescent="0.25">
      <c r="A105" s="2" t="s">
        <v>1066</v>
      </c>
      <c r="B105" s="2" t="s">
        <v>1067</v>
      </c>
      <c r="C105" s="2" t="s">
        <v>1068</v>
      </c>
      <c r="D105" s="2" t="s">
        <v>1069</v>
      </c>
      <c r="E105" s="2" t="s">
        <v>1070</v>
      </c>
      <c r="F105" s="2" t="s">
        <v>219</v>
      </c>
      <c r="G105" s="2" t="s">
        <v>19</v>
      </c>
      <c r="H105" s="2">
        <v>14652</v>
      </c>
      <c r="I105" t="s">
        <v>6191</v>
      </c>
    </row>
    <row r="106" spans="1:9" x14ac:dyDescent="0.25">
      <c r="A106" s="2" t="s">
        <v>1072</v>
      </c>
      <c r="B106" s="2" t="s">
        <v>1073</v>
      </c>
      <c r="C106" s="2" t="s">
        <v>1074</v>
      </c>
      <c r="D106" s="2" t="s">
        <v>1075</v>
      </c>
      <c r="E106" s="2" t="s">
        <v>1076</v>
      </c>
      <c r="F106" s="2" t="s">
        <v>142</v>
      </c>
      <c r="G106" s="2" t="s">
        <v>19</v>
      </c>
      <c r="H106" s="2">
        <v>35487</v>
      </c>
      <c r="I106" t="s">
        <v>6191</v>
      </c>
    </row>
    <row r="107" spans="1:9" x14ac:dyDescent="0.25">
      <c r="A107" s="2" t="s">
        <v>1078</v>
      </c>
      <c r="B107" s="2" t="s">
        <v>1079</v>
      </c>
      <c r="C107" s="2" t="s">
        <v>1080</v>
      </c>
      <c r="D107" s="2" t="s">
        <v>1081</v>
      </c>
      <c r="E107" s="2" t="s">
        <v>1082</v>
      </c>
      <c r="F107" s="2" t="s">
        <v>63</v>
      </c>
      <c r="G107" s="2" t="s">
        <v>19</v>
      </c>
      <c r="H107" s="2">
        <v>77260</v>
      </c>
      <c r="I107" t="s">
        <v>6190</v>
      </c>
    </row>
    <row r="108" spans="1:9" x14ac:dyDescent="0.25">
      <c r="A108" s="2" t="s">
        <v>1084</v>
      </c>
      <c r="B108" s="2" t="s">
        <v>1085</v>
      </c>
      <c r="C108" s="2" t="s">
        <v>1086</v>
      </c>
      <c r="D108" s="2" t="s">
        <v>1087</v>
      </c>
      <c r="E108" s="2" t="s">
        <v>1088</v>
      </c>
      <c r="F108" s="2" t="s">
        <v>50</v>
      </c>
      <c r="G108" s="2" t="s">
        <v>19</v>
      </c>
      <c r="H108" s="2">
        <v>88514</v>
      </c>
      <c r="I108" t="s">
        <v>6191</v>
      </c>
    </row>
    <row r="109" spans="1:9" x14ac:dyDescent="0.25">
      <c r="A109" s="2" t="s">
        <v>1090</v>
      </c>
      <c r="B109" s="2" t="s">
        <v>1091</v>
      </c>
      <c r="C109" s="2" t="s">
        <v>1092</v>
      </c>
      <c r="D109" s="2" t="s">
        <v>1093</v>
      </c>
      <c r="E109" s="2" t="s">
        <v>1094</v>
      </c>
      <c r="F109" s="2" t="s">
        <v>78</v>
      </c>
      <c r="G109" s="2" t="s">
        <v>19</v>
      </c>
      <c r="H109" s="2">
        <v>80935</v>
      </c>
      <c r="I109" t="s">
        <v>6190</v>
      </c>
    </row>
    <row r="110" spans="1:9" x14ac:dyDescent="0.25">
      <c r="A110" s="2" t="s">
        <v>1096</v>
      </c>
      <c r="B110" s="2" t="s">
        <v>1097</v>
      </c>
      <c r="C110" s="2"/>
      <c r="D110" s="2" t="s">
        <v>1098</v>
      </c>
      <c r="E110" s="2" t="s">
        <v>1099</v>
      </c>
      <c r="F110" s="2" t="s">
        <v>66</v>
      </c>
      <c r="G110" s="2" t="s">
        <v>19</v>
      </c>
      <c r="H110" s="2">
        <v>46862</v>
      </c>
      <c r="I110" t="s">
        <v>6191</v>
      </c>
    </row>
    <row r="111" spans="1:9" x14ac:dyDescent="0.25">
      <c r="A111" s="2" t="s">
        <v>1101</v>
      </c>
      <c r="B111" s="2" t="s">
        <v>1102</v>
      </c>
      <c r="C111" s="2" t="s">
        <v>1103</v>
      </c>
      <c r="D111" s="2" t="s">
        <v>1104</v>
      </c>
      <c r="E111" s="2" t="s">
        <v>1105</v>
      </c>
      <c r="F111" s="2" t="s">
        <v>235</v>
      </c>
      <c r="G111" s="2" t="s">
        <v>19</v>
      </c>
      <c r="H111" s="2">
        <v>11054</v>
      </c>
      <c r="I111" t="s">
        <v>6190</v>
      </c>
    </row>
    <row r="112" spans="1:9" x14ac:dyDescent="0.25">
      <c r="A112" s="2" t="s">
        <v>1107</v>
      </c>
      <c r="B112" s="2" t="s">
        <v>1108</v>
      </c>
      <c r="C112" s="2" t="s">
        <v>1109</v>
      </c>
      <c r="D112" s="2" t="s">
        <v>1110</v>
      </c>
      <c r="E112" s="2" t="s">
        <v>1111</v>
      </c>
      <c r="F112" s="2" t="s">
        <v>83</v>
      </c>
      <c r="G112" s="2" t="s">
        <v>19</v>
      </c>
      <c r="H112" s="2">
        <v>1105</v>
      </c>
      <c r="I112" t="s">
        <v>6190</v>
      </c>
    </row>
    <row r="113" spans="1:9" x14ac:dyDescent="0.25">
      <c r="A113" s="2" t="s">
        <v>1113</v>
      </c>
      <c r="B113" s="2" t="s">
        <v>1114</v>
      </c>
      <c r="C113" s="2" t="s">
        <v>1115</v>
      </c>
      <c r="D113" s="2"/>
      <c r="E113" s="2" t="s">
        <v>1116</v>
      </c>
      <c r="F113" s="2" t="s">
        <v>250</v>
      </c>
      <c r="G113" s="2" t="s">
        <v>19</v>
      </c>
      <c r="H113" s="2">
        <v>32575</v>
      </c>
      <c r="I113" t="s">
        <v>6191</v>
      </c>
    </row>
    <row r="114" spans="1:9" x14ac:dyDescent="0.25">
      <c r="A114" s="2" t="s">
        <v>1118</v>
      </c>
      <c r="B114" s="2" t="s">
        <v>1119</v>
      </c>
      <c r="C114" s="2" t="s">
        <v>1120</v>
      </c>
      <c r="D114" s="2" t="s">
        <v>1121</v>
      </c>
      <c r="E114" s="2" t="s">
        <v>1122</v>
      </c>
      <c r="F114" s="2" t="s">
        <v>38</v>
      </c>
      <c r="G114" s="2" t="s">
        <v>19</v>
      </c>
      <c r="H114" s="2">
        <v>23242</v>
      </c>
      <c r="I114" t="s">
        <v>6191</v>
      </c>
    </row>
    <row r="115" spans="1:9" x14ac:dyDescent="0.25">
      <c r="A115" s="2" t="s">
        <v>1124</v>
      </c>
      <c r="B115" s="2" t="s">
        <v>1125</v>
      </c>
      <c r="C115" s="2" t="s">
        <v>1126</v>
      </c>
      <c r="D115" s="2" t="s">
        <v>1127</v>
      </c>
      <c r="E115" s="2" t="s">
        <v>1128</v>
      </c>
      <c r="F115" s="2" t="s">
        <v>432</v>
      </c>
      <c r="G115" s="2" t="s">
        <v>318</v>
      </c>
      <c r="H115" s="2" t="s">
        <v>420</v>
      </c>
      <c r="I115" t="s">
        <v>6191</v>
      </c>
    </row>
    <row r="116" spans="1:9" x14ac:dyDescent="0.25">
      <c r="A116" s="2" t="s">
        <v>1130</v>
      </c>
      <c r="B116" s="2" t="s">
        <v>1131</v>
      </c>
      <c r="C116" s="2"/>
      <c r="D116" s="2" t="s">
        <v>1132</v>
      </c>
      <c r="E116" s="2" t="s">
        <v>1133</v>
      </c>
      <c r="F116" s="2" t="s">
        <v>26</v>
      </c>
      <c r="G116" s="2" t="s">
        <v>19</v>
      </c>
      <c r="H116" s="2">
        <v>25705</v>
      </c>
      <c r="I116" t="s">
        <v>6191</v>
      </c>
    </row>
    <row r="117" spans="1:9" x14ac:dyDescent="0.25">
      <c r="A117" s="2" t="s">
        <v>1135</v>
      </c>
      <c r="B117" s="2" t="s">
        <v>1136</v>
      </c>
      <c r="C117" s="2" t="s">
        <v>1137</v>
      </c>
      <c r="D117" s="2" t="s">
        <v>1138</v>
      </c>
      <c r="E117" s="2" t="s">
        <v>1139</v>
      </c>
      <c r="F117" s="2" t="s">
        <v>144</v>
      </c>
      <c r="G117" s="2" t="s">
        <v>28</v>
      </c>
      <c r="H117" s="2" t="s">
        <v>145</v>
      </c>
      <c r="I117" t="s">
        <v>6191</v>
      </c>
    </row>
    <row r="118" spans="1:9" x14ac:dyDescent="0.25">
      <c r="A118" s="2" t="s">
        <v>1141</v>
      </c>
      <c r="B118" s="2" t="s">
        <v>1142</v>
      </c>
      <c r="C118" s="2" t="s">
        <v>1143</v>
      </c>
      <c r="D118" s="2" t="s">
        <v>1144</v>
      </c>
      <c r="E118" s="2" t="s">
        <v>1145</v>
      </c>
      <c r="F118" s="2" t="s">
        <v>411</v>
      </c>
      <c r="G118" s="2" t="s">
        <v>318</v>
      </c>
      <c r="H118" s="2" t="s">
        <v>412</v>
      </c>
      <c r="I118" t="s">
        <v>6190</v>
      </c>
    </row>
    <row r="119" spans="1:9" x14ac:dyDescent="0.25">
      <c r="A119" s="2" t="s">
        <v>1147</v>
      </c>
      <c r="B119" s="2" t="s">
        <v>1148</v>
      </c>
      <c r="C119" s="2" t="s">
        <v>1149</v>
      </c>
      <c r="D119" s="2" t="s">
        <v>1150</v>
      </c>
      <c r="E119" s="2" t="s">
        <v>1151</v>
      </c>
      <c r="F119" s="2" t="s">
        <v>203</v>
      </c>
      <c r="G119" s="2" t="s">
        <v>19</v>
      </c>
      <c r="H119" s="2">
        <v>45432</v>
      </c>
      <c r="I119" t="s">
        <v>6191</v>
      </c>
    </row>
    <row r="120" spans="1:9" x14ac:dyDescent="0.25">
      <c r="A120" s="2" t="s">
        <v>1153</v>
      </c>
      <c r="B120" s="2" t="s">
        <v>1154</v>
      </c>
      <c r="C120" s="2" t="s">
        <v>1155</v>
      </c>
      <c r="D120" s="2" t="s">
        <v>1156</v>
      </c>
      <c r="E120" s="2" t="s">
        <v>1157</v>
      </c>
      <c r="F120" s="2" t="s">
        <v>72</v>
      </c>
      <c r="G120" s="2" t="s">
        <v>19</v>
      </c>
      <c r="H120" s="2">
        <v>99507</v>
      </c>
      <c r="I120" t="s">
        <v>6190</v>
      </c>
    </row>
    <row r="121" spans="1:9" x14ac:dyDescent="0.25">
      <c r="A121" s="2" t="s">
        <v>1159</v>
      </c>
      <c r="B121" s="2" t="s">
        <v>1160</v>
      </c>
      <c r="C121" s="2" t="s">
        <v>1161</v>
      </c>
      <c r="D121" s="2" t="s">
        <v>1162</v>
      </c>
      <c r="E121" s="2" t="s">
        <v>1163</v>
      </c>
      <c r="F121" s="2" t="s">
        <v>130</v>
      </c>
      <c r="G121" s="2" t="s">
        <v>19</v>
      </c>
      <c r="H121" s="2">
        <v>37215</v>
      </c>
      <c r="I121" t="s">
        <v>6191</v>
      </c>
    </row>
    <row r="122" spans="1:9" x14ac:dyDescent="0.25">
      <c r="A122" s="2" t="s">
        <v>1164</v>
      </c>
      <c r="B122" s="2" t="s">
        <v>1165</v>
      </c>
      <c r="C122" s="2" t="s">
        <v>1166</v>
      </c>
      <c r="D122" s="2" t="s">
        <v>1167</v>
      </c>
      <c r="E122" s="2" t="s">
        <v>1168</v>
      </c>
      <c r="F122" s="2" t="s">
        <v>27</v>
      </c>
      <c r="G122" s="2" t="s">
        <v>19</v>
      </c>
      <c r="H122" s="2">
        <v>90040</v>
      </c>
      <c r="I122" t="s">
        <v>6190</v>
      </c>
    </row>
    <row r="123" spans="1:9" x14ac:dyDescent="0.25">
      <c r="A123" s="2" t="s">
        <v>1169</v>
      </c>
      <c r="B123" s="2" t="s">
        <v>1170</v>
      </c>
      <c r="C123" s="2" t="s">
        <v>1171</v>
      </c>
      <c r="D123" s="2" t="s">
        <v>1172</v>
      </c>
      <c r="E123" s="2" t="s">
        <v>1173</v>
      </c>
      <c r="F123" s="2" t="s">
        <v>35</v>
      </c>
      <c r="G123" s="2" t="s">
        <v>19</v>
      </c>
      <c r="H123" s="2">
        <v>28289</v>
      </c>
      <c r="I123" t="s">
        <v>6191</v>
      </c>
    </row>
    <row r="124" spans="1:9" x14ac:dyDescent="0.25">
      <c r="A124" s="2" t="s">
        <v>1175</v>
      </c>
      <c r="B124" s="2" t="s">
        <v>1176</v>
      </c>
      <c r="C124" s="2" t="s">
        <v>1177</v>
      </c>
      <c r="D124" s="2" t="s">
        <v>1178</v>
      </c>
      <c r="E124" s="2" t="s">
        <v>1179</v>
      </c>
      <c r="F124" s="2" t="s">
        <v>42</v>
      </c>
      <c r="G124" s="2" t="s">
        <v>19</v>
      </c>
      <c r="H124" s="2">
        <v>80217</v>
      </c>
      <c r="I124" t="s">
        <v>6190</v>
      </c>
    </row>
    <row r="125" spans="1:9" x14ac:dyDescent="0.25">
      <c r="A125" s="2" t="s">
        <v>1181</v>
      </c>
      <c r="B125" s="2" t="s">
        <v>1182</v>
      </c>
      <c r="C125" s="2" t="s">
        <v>1183</v>
      </c>
      <c r="D125" s="2" t="s">
        <v>1184</v>
      </c>
      <c r="E125" s="2" t="s">
        <v>1185</v>
      </c>
      <c r="F125" s="2" t="s">
        <v>165</v>
      </c>
      <c r="G125" s="2" t="s">
        <v>19</v>
      </c>
      <c r="H125" s="2">
        <v>6912</v>
      </c>
      <c r="I125" t="s">
        <v>6191</v>
      </c>
    </row>
    <row r="126" spans="1:9" x14ac:dyDescent="0.25">
      <c r="A126" s="2" t="s">
        <v>1187</v>
      </c>
      <c r="B126" s="2" t="s">
        <v>1188</v>
      </c>
      <c r="C126" s="2" t="s">
        <v>1189</v>
      </c>
      <c r="D126" s="2" t="s">
        <v>1190</v>
      </c>
      <c r="E126" s="2" t="s">
        <v>1191</v>
      </c>
      <c r="F126" s="2" t="s">
        <v>311</v>
      </c>
      <c r="G126" s="2" t="s">
        <v>19</v>
      </c>
      <c r="H126" s="2">
        <v>23605</v>
      </c>
      <c r="I126" t="s">
        <v>6190</v>
      </c>
    </row>
    <row r="127" spans="1:9" x14ac:dyDescent="0.25">
      <c r="A127" s="2" t="s">
        <v>1193</v>
      </c>
      <c r="B127" s="2" t="s">
        <v>1194</v>
      </c>
      <c r="C127" s="2" t="s">
        <v>1195</v>
      </c>
      <c r="D127" s="2" t="s">
        <v>1196</v>
      </c>
      <c r="E127" s="2" t="s">
        <v>1197</v>
      </c>
      <c r="F127" s="2" t="s">
        <v>447</v>
      </c>
      <c r="G127" s="2" t="s">
        <v>318</v>
      </c>
      <c r="H127" s="2" t="s">
        <v>410</v>
      </c>
      <c r="I127" t="s">
        <v>6190</v>
      </c>
    </row>
    <row r="128" spans="1:9" x14ac:dyDescent="0.25">
      <c r="A128" s="2" t="s">
        <v>1199</v>
      </c>
      <c r="B128" s="2" t="s">
        <v>1200</v>
      </c>
      <c r="C128" s="2" t="s">
        <v>1201</v>
      </c>
      <c r="D128" s="2" t="s">
        <v>1202</v>
      </c>
      <c r="E128" s="2" t="s">
        <v>1203</v>
      </c>
      <c r="F128" s="2" t="s">
        <v>72</v>
      </c>
      <c r="G128" s="2" t="s">
        <v>19</v>
      </c>
      <c r="H128" s="2">
        <v>99599</v>
      </c>
      <c r="I128" t="s">
        <v>6191</v>
      </c>
    </row>
    <row r="129" spans="1:9" x14ac:dyDescent="0.25">
      <c r="A129" s="2" t="s">
        <v>1205</v>
      </c>
      <c r="B129" s="2" t="s">
        <v>1206</v>
      </c>
      <c r="C129" s="2" t="s">
        <v>1207</v>
      </c>
      <c r="D129" s="2" t="s">
        <v>1208</v>
      </c>
      <c r="E129" s="2" t="s">
        <v>1209</v>
      </c>
      <c r="F129" s="2" t="s">
        <v>289</v>
      </c>
      <c r="G129" s="2" t="s">
        <v>318</v>
      </c>
      <c r="H129" s="2" t="s">
        <v>444</v>
      </c>
      <c r="I129" t="s">
        <v>6191</v>
      </c>
    </row>
    <row r="130" spans="1:9" x14ac:dyDescent="0.25">
      <c r="A130" s="2" t="s">
        <v>1211</v>
      </c>
      <c r="B130" s="2" t="s">
        <v>1212</v>
      </c>
      <c r="C130" s="2" t="s">
        <v>1213</v>
      </c>
      <c r="D130" s="2" t="s">
        <v>1214</v>
      </c>
      <c r="E130" s="2" t="s">
        <v>1215</v>
      </c>
      <c r="F130" s="2" t="s">
        <v>97</v>
      </c>
      <c r="G130" s="2" t="s">
        <v>19</v>
      </c>
      <c r="H130" s="2">
        <v>58122</v>
      </c>
      <c r="I130" t="s">
        <v>6191</v>
      </c>
    </row>
    <row r="131" spans="1:9" x14ac:dyDescent="0.25">
      <c r="A131" s="2" t="s">
        <v>1217</v>
      </c>
      <c r="B131" s="2" t="s">
        <v>1218</v>
      </c>
      <c r="C131" s="2" t="s">
        <v>1219</v>
      </c>
      <c r="D131" s="2" t="s">
        <v>1220</v>
      </c>
      <c r="E131" s="2" t="s">
        <v>1221</v>
      </c>
      <c r="F131" s="2" t="s">
        <v>95</v>
      </c>
      <c r="G131" s="2" t="s">
        <v>19</v>
      </c>
      <c r="H131" s="2">
        <v>47737</v>
      </c>
      <c r="I131" t="s">
        <v>6190</v>
      </c>
    </row>
    <row r="132" spans="1:9" x14ac:dyDescent="0.25">
      <c r="A132" s="2" t="s">
        <v>1223</v>
      </c>
      <c r="B132" s="2" t="s">
        <v>1224</v>
      </c>
      <c r="C132" s="2"/>
      <c r="D132" s="2" t="s">
        <v>1225</v>
      </c>
      <c r="E132" s="2" t="s">
        <v>1226</v>
      </c>
      <c r="F132" s="2" t="s">
        <v>432</v>
      </c>
      <c r="G132" s="2" t="s">
        <v>318</v>
      </c>
      <c r="H132" s="2" t="s">
        <v>420</v>
      </c>
      <c r="I132" t="s">
        <v>6190</v>
      </c>
    </row>
    <row r="133" spans="1:9" x14ac:dyDescent="0.25">
      <c r="A133" s="2" t="s">
        <v>1228</v>
      </c>
      <c r="B133" s="2" t="s">
        <v>1229</v>
      </c>
      <c r="C133" s="2" t="s">
        <v>1230</v>
      </c>
      <c r="D133" s="2" t="s">
        <v>1231</v>
      </c>
      <c r="E133" s="2" t="s">
        <v>1232</v>
      </c>
      <c r="F133" s="2" t="s">
        <v>35</v>
      </c>
      <c r="G133" s="2" t="s">
        <v>19</v>
      </c>
      <c r="H133" s="2">
        <v>28210</v>
      </c>
      <c r="I133" t="s">
        <v>6190</v>
      </c>
    </row>
    <row r="134" spans="1:9" x14ac:dyDescent="0.25">
      <c r="A134" s="2" t="s">
        <v>1234</v>
      </c>
      <c r="B134" s="2" t="s">
        <v>1235</v>
      </c>
      <c r="C134" s="2" t="s">
        <v>1236</v>
      </c>
      <c r="D134" s="2" t="s">
        <v>1237</v>
      </c>
      <c r="E134" s="2" t="s">
        <v>1238</v>
      </c>
      <c r="F134" s="2" t="s">
        <v>223</v>
      </c>
      <c r="G134" s="2" t="s">
        <v>19</v>
      </c>
      <c r="H134" s="2">
        <v>35815</v>
      </c>
      <c r="I134" t="s">
        <v>6190</v>
      </c>
    </row>
    <row r="135" spans="1:9" x14ac:dyDescent="0.25">
      <c r="A135" s="2" t="s">
        <v>1240</v>
      </c>
      <c r="B135" s="2" t="s">
        <v>1241</v>
      </c>
      <c r="C135" s="2" t="s">
        <v>1242</v>
      </c>
      <c r="D135" s="2" t="s">
        <v>1243</v>
      </c>
      <c r="E135" s="2" t="s">
        <v>1244</v>
      </c>
      <c r="F135" s="2" t="s">
        <v>178</v>
      </c>
      <c r="G135" s="2" t="s">
        <v>19</v>
      </c>
      <c r="H135" s="2">
        <v>92725</v>
      </c>
      <c r="I135" t="s">
        <v>6191</v>
      </c>
    </row>
    <row r="136" spans="1:9" x14ac:dyDescent="0.25">
      <c r="A136" s="2" t="s">
        <v>1246</v>
      </c>
      <c r="B136" s="2" t="s">
        <v>1247</v>
      </c>
      <c r="C136" s="2"/>
      <c r="D136" s="2"/>
      <c r="E136" s="2" t="s">
        <v>1248</v>
      </c>
      <c r="F136" s="2" t="s">
        <v>47</v>
      </c>
      <c r="G136" s="2" t="s">
        <v>19</v>
      </c>
      <c r="H136" s="2">
        <v>20520</v>
      </c>
      <c r="I136" t="s">
        <v>6190</v>
      </c>
    </row>
    <row r="137" spans="1:9" x14ac:dyDescent="0.25">
      <c r="A137" s="2" t="s">
        <v>1250</v>
      </c>
      <c r="B137" s="2" t="s">
        <v>1251</v>
      </c>
      <c r="C137" s="2" t="s">
        <v>1252</v>
      </c>
      <c r="D137" s="2" t="s">
        <v>1253</v>
      </c>
      <c r="E137" s="2" t="s">
        <v>1254</v>
      </c>
      <c r="F137" s="2" t="s">
        <v>476</v>
      </c>
      <c r="G137" s="2" t="s">
        <v>318</v>
      </c>
      <c r="H137" s="2" t="s">
        <v>477</v>
      </c>
      <c r="I137" t="s">
        <v>6191</v>
      </c>
    </row>
    <row r="138" spans="1:9" x14ac:dyDescent="0.25">
      <c r="A138" s="2" t="s">
        <v>1256</v>
      </c>
      <c r="B138" s="2" t="s">
        <v>1257</v>
      </c>
      <c r="C138" s="2" t="s">
        <v>1258</v>
      </c>
      <c r="D138" s="2" t="s">
        <v>1259</v>
      </c>
      <c r="E138" s="2" t="s">
        <v>1260</v>
      </c>
      <c r="F138" s="2" t="s">
        <v>104</v>
      </c>
      <c r="G138" s="2" t="s">
        <v>19</v>
      </c>
      <c r="H138" s="2">
        <v>63131</v>
      </c>
      <c r="I138" t="s">
        <v>6191</v>
      </c>
    </row>
    <row r="139" spans="1:9" x14ac:dyDescent="0.25">
      <c r="A139" s="2" t="s">
        <v>1262</v>
      </c>
      <c r="B139" s="2" t="s">
        <v>1263</v>
      </c>
      <c r="C139" s="2"/>
      <c r="D139" s="2" t="s">
        <v>1264</v>
      </c>
      <c r="E139" s="2" t="s">
        <v>1265</v>
      </c>
      <c r="F139" s="2" t="s">
        <v>349</v>
      </c>
      <c r="G139" s="2" t="s">
        <v>318</v>
      </c>
      <c r="H139" s="2" t="s">
        <v>350</v>
      </c>
      <c r="I139" t="s">
        <v>6191</v>
      </c>
    </row>
    <row r="140" spans="1:9" x14ac:dyDescent="0.25">
      <c r="A140" s="2" t="s">
        <v>1267</v>
      </c>
      <c r="B140" s="2" t="s">
        <v>1268</v>
      </c>
      <c r="C140" s="2"/>
      <c r="D140" s="2" t="s">
        <v>1269</v>
      </c>
      <c r="E140" s="2" t="s">
        <v>1270</v>
      </c>
      <c r="F140" s="2" t="s">
        <v>73</v>
      </c>
      <c r="G140" s="2" t="s">
        <v>19</v>
      </c>
      <c r="H140" s="2">
        <v>96805</v>
      </c>
      <c r="I140" t="s">
        <v>6191</v>
      </c>
    </row>
    <row r="141" spans="1:9" x14ac:dyDescent="0.25">
      <c r="A141" s="2" t="s">
        <v>1272</v>
      </c>
      <c r="B141" s="2" t="s">
        <v>1273</v>
      </c>
      <c r="C141" s="2"/>
      <c r="D141" s="2" t="s">
        <v>1274</v>
      </c>
      <c r="E141" s="2" t="s">
        <v>1275</v>
      </c>
      <c r="F141" s="2" t="s">
        <v>153</v>
      </c>
      <c r="G141" s="2" t="s">
        <v>19</v>
      </c>
      <c r="H141" s="2">
        <v>92878</v>
      </c>
      <c r="I141" t="s">
        <v>6190</v>
      </c>
    </row>
    <row r="142" spans="1:9" x14ac:dyDescent="0.25">
      <c r="A142" s="2" t="s">
        <v>1277</v>
      </c>
      <c r="B142" s="2" t="s">
        <v>1278</v>
      </c>
      <c r="C142" s="2" t="s">
        <v>1279</v>
      </c>
      <c r="D142" s="2" t="s">
        <v>1280</v>
      </c>
      <c r="E142" s="2" t="s">
        <v>1281</v>
      </c>
      <c r="F142" s="2" t="s">
        <v>1282</v>
      </c>
      <c r="G142" s="2" t="s">
        <v>318</v>
      </c>
      <c r="H142" s="2" t="s">
        <v>444</v>
      </c>
      <c r="I142" t="s">
        <v>6190</v>
      </c>
    </row>
    <row r="143" spans="1:9" x14ac:dyDescent="0.25">
      <c r="A143" s="2" t="s">
        <v>1284</v>
      </c>
      <c r="B143" s="2" t="s">
        <v>1285</v>
      </c>
      <c r="C143" s="2" t="s">
        <v>1286</v>
      </c>
      <c r="D143" s="2" t="s">
        <v>1287</v>
      </c>
      <c r="E143" s="2" t="s">
        <v>1288</v>
      </c>
      <c r="F143" s="2" t="s">
        <v>47</v>
      </c>
      <c r="G143" s="2" t="s">
        <v>19</v>
      </c>
      <c r="H143" s="2">
        <v>20520</v>
      </c>
      <c r="I143" t="s">
        <v>6190</v>
      </c>
    </row>
    <row r="144" spans="1:9" x14ac:dyDescent="0.25">
      <c r="A144" s="2" t="s">
        <v>1290</v>
      </c>
      <c r="B144" s="2" t="s">
        <v>1291</v>
      </c>
      <c r="C144" s="2"/>
      <c r="D144" s="2"/>
      <c r="E144" s="2" t="s">
        <v>1292</v>
      </c>
      <c r="F144" s="2" t="s">
        <v>320</v>
      </c>
      <c r="G144" s="2" t="s">
        <v>318</v>
      </c>
      <c r="H144" s="2" t="s">
        <v>321</v>
      </c>
      <c r="I144" t="s">
        <v>6190</v>
      </c>
    </row>
    <row r="145" spans="1:9" x14ac:dyDescent="0.25">
      <c r="A145" s="2" t="s">
        <v>1294</v>
      </c>
      <c r="B145" s="2" t="s">
        <v>1295</v>
      </c>
      <c r="C145" s="2" t="s">
        <v>1296</v>
      </c>
      <c r="D145" s="2" t="s">
        <v>1297</v>
      </c>
      <c r="E145" s="2" t="s">
        <v>1298</v>
      </c>
      <c r="F145" s="2" t="s">
        <v>63</v>
      </c>
      <c r="G145" s="2" t="s">
        <v>19</v>
      </c>
      <c r="H145" s="2">
        <v>77281</v>
      </c>
      <c r="I145" t="s">
        <v>6191</v>
      </c>
    </row>
    <row r="146" spans="1:9" x14ac:dyDescent="0.25">
      <c r="A146" s="2" t="s">
        <v>1300</v>
      </c>
      <c r="B146" s="2" t="s">
        <v>1301</v>
      </c>
      <c r="C146" s="2" t="s">
        <v>1302</v>
      </c>
      <c r="D146" s="2" t="s">
        <v>1303</v>
      </c>
      <c r="E146" s="2" t="s">
        <v>1304</v>
      </c>
      <c r="F146" s="2" t="s">
        <v>161</v>
      </c>
      <c r="G146" s="2" t="s">
        <v>19</v>
      </c>
      <c r="H146" s="2">
        <v>92668</v>
      </c>
      <c r="I146" t="s">
        <v>6190</v>
      </c>
    </row>
    <row r="147" spans="1:9" x14ac:dyDescent="0.25">
      <c r="A147" s="2" t="s">
        <v>1306</v>
      </c>
      <c r="B147" s="2" t="s">
        <v>1307</v>
      </c>
      <c r="C147" s="2" t="s">
        <v>1308</v>
      </c>
      <c r="D147" s="2" t="s">
        <v>1309</v>
      </c>
      <c r="E147" s="2" t="s">
        <v>1310</v>
      </c>
      <c r="F147" s="2" t="s">
        <v>50</v>
      </c>
      <c r="G147" s="2" t="s">
        <v>19</v>
      </c>
      <c r="H147" s="2">
        <v>88553</v>
      </c>
      <c r="I147" t="s">
        <v>6191</v>
      </c>
    </row>
    <row r="148" spans="1:9" x14ac:dyDescent="0.25">
      <c r="A148" s="2" t="s">
        <v>1312</v>
      </c>
      <c r="B148" s="2" t="s">
        <v>1313</v>
      </c>
      <c r="C148" s="2" t="s">
        <v>1314</v>
      </c>
      <c r="D148" s="2" t="s">
        <v>1315</v>
      </c>
      <c r="E148" s="2" t="s">
        <v>1316</v>
      </c>
      <c r="F148" s="2" t="s">
        <v>352</v>
      </c>
      <c r="G148" s="2" t="s">
        <v>19</v>
      </c>
      <c r="H148" s="2">
        <v>89714</v>
      </c>
      <c r="I148" t="s">
        <v>6191</v>
      </c>
    </row>
    <row r="149" spans="1:9" x14ac:dyDescent="0.25">
      <c r="A149" s="2" t="s">
        <v>1317</v>
      </c>
      <c r="B149" s="2" t="s">
        <v>1318</v>
      </c>
      <c r="C149" s="2" t="s">
        <v>1319</v>
      </c>
      <c r="D149" s="2" t="s">
        <v>1320</v>
      </c>
      <c r="E149" s="2" t="s">
        <v>1321</v>
      </c>
      <c r="F149" s="2" t="s">
        <v>106</v>
      </c>
      <c r="G149" s="2" t="s">
        <v>19</v>
      </c>
      <c r="H149" s="2">
        <v>76105</v>
      </c>
      <c r="I149" t="s">
        <v>6190</v>
      </c>
    </row>
    <row r="150" spans="1:9" x14ac:dyDescent="0.25">
      <c r="A150" s="2" t="s">
        <v>1323</v>
      </c>
      <c r="B150" s="2" t="s">
        <v>1324</v>
      </c>
      <c r="C150" s="2" t="s">
        <v>1325</v>
      </c>
      <c r="D150" s="2" t="s">
        <v>1326</v>
      </c>
      <c r="E150" s="2" t="s">
        <v>1327</v>
      </c>
      <c r="F150" s="2" t="s">
        <v>138</v>
      </c>
      <c r="G150" s="2" t="s">
        <v>19</v>
      </c>
      <c r="H150" s="2">
        <v>84605</v>
      </c>
      <c r="I150" t="s">
        <v>6190</v>
      </c>
    </row>
    <row r="151" spans="1:9" x14ac:dyDescent="0.25">
      <c r="A151" s="2" t="s">
        <v>1329</v>
      </c>
      <c r="B151" s="2" t="s">
        <v>1330</v>
      </c>
      <c r="C151" s="2"/>
      <c r="D151" s="2" t="s">
        <v>1331</v>
      </c>
      <c r="E151" s="2" t="s">
        <v>1332</v>
      </c>
      <c r="F151" s="2" t="s">
        <v>197</v>
      </c>
      <c r="G151" s="2" t="s">
        <v>19</v>
      </c>
      <c r="H151" s="2">
        <v>33487</v>
      </c>
      <c r="I151" t="s">
        <v>6190</v>
      </c>
    </row>
    <row r="152" spans="1:9" x14ac:dyDescent="0.25">
      <c r="A152" s="2" t="s">
        <v>1334</v>
      </c>
      <c r="B152" s="2" t="s">
        <v>1335</v>
      </c>
      <c r="C152" s="2" t="s">
        <v>1336</v>
      </c>
      <c r="D152" s="2" t="s">
        <v>1337</v>
      </c>
      <c r="E152" s="2" t="s">
        <v>1338</v>
      </c>
      <c r="F152" s="2" t="s">
        <v>24</v>
      </c>
      <c r="G152" s="2" t="s">
        <v>19</v>
      </c>
      <c r="H152" s="2">
        <v>24040</v>
      </c>
      <c r="I152" t="s">
        <v>6190</v>
      </c>
    </row>
    <row r="153" spans="1:9" x14ac:dyDescent="0.25">
      <c r="A153" s="2" t="s">
        <v>1340</v>
      </c>
      <c r="B153" s="2" t="s">
        <v>1341</v>
      </c>
      <c r="C153" s="2"/>
      <c r="D153" s="2" t="s">
        <v>1342</v>
      </c>
      <c r="E153" s="2" t="s">
        <v>1343</v>
      </c>
      <c r="F153" s="2" t="s">
        <v>169</v>
      </c>
      <c r="G153" s="2" t="s">
        <v>19</v>
      </c>
      <c r="H153" s="2">
        <v>50369</v>
      </c>
      <c r="I153" t="s">
        <v>6190</v>
      </c>
    </row>
    <row r="154" spans="1:9" x14ac:dyDescent="0.25">
      <c r="A154" s="2" t="s">
        <v>1345</v>
      </c>
      <c r="B154" s="2" t="s">
        <v>1346</v>
      </c>
      <c r="C154" s="2" t="s">
        <v>1347</v>
      </c>
      <c r="D154" s="2" t="s">
        <v>1348</v>
      </c>
      <c r="E154" s="2" t="s">
        <v>1349</v>
      </c>
      <c r="F154" s="2" t="s">
        <v>73</v>
      </c>
      <c r="G154" s="2" t="s">
        <v>19</v>
      </c>
      <c r="H154" s="2">
        <v>96805</v>
      </c>
      <c r="I154" t="s">
        <v>6190</v>
      </c>
    </row>
    <row r="155" spans="1:9" x14ac:dyDescent="0.25">
      <c r="A155" s="2" t="s">
        <v>1351</v>
      </c>
      <c r="B155" s="2" t="s">
        <v>1352</v>
      </c>
      <c r="C155" s="2"/>
      <c r="D155" s="2" t="s">
        <v>1353</v>
      </c>
      <c r="E155" s="2" t="s">
        <v>1354</v>
      </c>
      <c r="F155" s="2" t="s">
        <v>271</v>
      </c>
      <c r="G155" s="2" t="s">
        <v>19</v>
      </c>
      <c r="H155" s="2">
        <v>33345</v>
      </c>
      <c r="I155" t="s">
        <v>6191</v>
      </c>
    </row>
    <row r="156" spans="1:9" x14ac:dyDescent="0.25">
      <c r="A156" s="2" t="s">
        <v>1356</v>
      </c>
      <c r="B156" s="2" t="s">
        <v>1357</v>
      </c>
      <c r="C156" s="2" t="s">
        <v>1358</v>
      </c>
      <c r="D156" s="2" t="s">
        <v>1359</v>
      </c>
      <c r="E156" s="2" t="s">
        <v>1360</v>
      </c>
      <c r="F156" s="2" t="s">
        <v>46</v>
      </c>
      <c r="G156" s="2" t="s">
        <v>19</v>
      </c>
      <c r="H156" s="2">
        <v>19172</v>
      </c>
      <c r="I156" t="s">
        <v>6191</v>
      </c>
    </row>
    <row r="157" spans="1:9" x14ac:dyDescent="0.25">
      <c r="A157" s="2" t="s">
        <v>1362</v>
      </c>
      <c r="B157" s="2" t="s">
        <v>1363</v>
      </c>
      <c r="C157" s="2" t="s">
        <v>1364</v>
      </c>
      <c r="D157" s="2" t="s">
        <v>1365</v>
      </c>
      <c r="E157" s="2" t="s">
        <v>1366</v>
      </c>
      <c r="F157" s="2" t="s">
        <v>124</v>
      </c>
      <c r="G157" s="2" t="s">
        <v>19</v>
      </c>
      <c r="H157" s="2">
        <v>6854</v>
      </c>
      <c r="I157" t="s">
        <v>6190</v>
      </c>
    </row>
    <row r="158" spans="1:9" x14ac:dyDescent="0.25">
      <c r="A158" s="2" t="s">
        <v>1368</v>
      </c>
      <c r="B158" s="2" t="s">
        <v>1369</v>
      </c>
      <c r="C158" s="2" t="s">
        <v>1370</v>
      </c>
      <c r="D158" s="2" t="s">
        <v>1371</v>
      </c>
      <c r="E158" s="2" t="s">
        <v>1372</v>
      </c>
      <c r="F158" s="2" t="s">
        <v>59</v>
      </c>
      <c r="G158" s="2" t="s">
        <v>19</v>
      </c>
      <c r="H158" s="2">
        <v>76011</v>
      </c>
      <c r="I158" t="s">
        <v>6190</v>
      </c>
    </row>
    <row r="159" spans="1:9" x14ac:dyDescent="0.25">
      <c r="A159" s="2" t="s">
        <v>1374</v>
      </c>
      <c r="B159" s="2" t="s">
        <v>1375</v>
      </c>
      <c r="C159" s="2" t="s">
        <v>1376</v>
      </c>
      <c r="D159" s="2" t="s">
        <v>1377</v>
      </c>
      <c r="E159" s="2" t="s">
        <v>1378</v>
      </c>
      <c r="F159" s="2" t="s">
        <v>360</v>
      </c>
      <c r="G159" s="2" t="s">
        <v>318</v>
      </c>
      <c r="H159" s="2" t="s">
        <v>361</v>
      </c>
      <c r="I159" t="s">
        <v>6191</v>
      </c>
    </row>
    <row r="160" spans="1:9" x14ac:dyDescent="0.25">
      <c r="A160" s="2" t="s">
        <v>1380</v>
      </c>
      <c r="B160" s="2" t="s">
        <v>1381</v>
      </c>
      <c r="C160" s="2"/>
      <c r="D160" s="2" t="s">
        <v>1382</v>
      </c>
      <c r="E160" s="2" t="s">
        <v>1383</v>
      </c>
      <c r="F160" s="2" t="s">
        <v>65</v>
      </c>
      <c r="G160" s="2" t="s">
        <v>19</v>
      </c>
      <c r="H160" s="2">
        <v>37416</v>
      </c>
      <c r="I160" t="s">
        <v>6190</v>
      </c>
    </row>
    <row r="161" spans="1:9" x14ac:dyDescent="0.25">
      <c r="A161" s="2" t="s">
        <v>1385</v>
      </c>
      <c r="B161" s="2" t="s">
        <v>1386</v>
      </c>
      <c r="C161" s="2"/>
      <c r="D161" s="2" t="s">
        <v>1387</v>
      </c>
      <c r="E161" s="2" t="s">
        <v>1388</v>
      </c>
      <c r="F161" s="2" t="s">
        <v>189</v>
      </c>
      <c r="G161" s="2" t="s">
        <v>19</v>
      </c>
      <c r="H161" s="2">
        <v>97296</v>
      </c>
      <c r="I161" t="s">
        <v>6191</v>
      </c>
    </row>
    <row r="162" spans="1:9" x14ac:dyDescent="0.25">
      <c r="A162" s="2" t="s">
        <v>1390</v>
      </c>
      <c r="B162" s="2" t="s">
        <v>1391</v>
      </c>
      <c r="C162" s="2" t="s">
        <v>1392</v>
      </c>
      <c r="D162" s="2" t="s">
        <v>1393</v>
      </c>
      <c r="E162" s="2" t="s">
        <v>1394</v>
      </c>
      <c r="F162" s="2" t="s">
        <v>77</v>
      </c>
      <c r="G162" s="2" t="s">
        <v>19</v>
      </c>
      <c r="H162" s="2">
        <v>73135</v>
      </c>
      <c r="I162" t="s">
        <v>6191</v>
      </c>
    </row>
    <row r="163" spans="1:9" x14ac:dyDescent="0.25">
      <c r="A163" s="2" t="s">
        <v>1396</v>
      </c>
      <c r="B163" s="2" t="s">
        <v>1397</v>
      </c>
      <c r="C163" s="2" t="s">
        <v>1398</v>
      </c>
      <c r="D163" s="2" t="s">
        <v>1399</v>
      </c>
      <c r="E163" s="2" t="s">
        <v>1400</v>
      </c>
      <c r="F163" s="2" t="s">
        <v>47</v>
      </c>
      <c r="G163" s="2" t="s">
        <v>19</v>
      </c>
      <c r="H163" s="2">
        <v>20520</v>
      </c>
      <c r="I163" t="s">
        <v>6191</v>
      </c>
    </row>
    <row r="164" spans="1:9" x14ac:dyDescent="0.25">
      <c r="A164" s="2" t="s">
        <v>1402</v>
      </c>
      <c r="B164" s="2" t="s">
        <v>1403</v>
      </c>
      <c r="C164" s="2" t="s">
        <v>1404</v>
      </c>
      <c r="D164" s="2" t="s">
        <v>1405</v>
      </c>
      <c r="E164" s="2" t="s">
        <v>1406</v>
      </c>
      <c r="F164" s="2" t="s">
        <v>82</v>
      </c>
      <c r="G164" s="2" t="s">
        <v>19</v>
      </c>
      <c r="H164" s="2">
        <v>27415</v>
      </c>
      <c r="I164" t="s">
        <v>6190</v>
      </c>
    </row>
    <row r="165" spans="1:9" x14ac:dyDescent="0.25">
      <c r="A165" s="2" t="s">
        <v>1408</v>
      </c>
      <c r="B165" s="2" t="s">
        <v>1409</v>
      </c>
      <c r="C165" s="2" t="s">
        <v>1410</v>
      </c>
      <c r="D165" s="2" t="s">
        <v>1411</v>
      </c>
      <c r="E165" s="2" t="s">
        <v>1412</v>
      </c>
      <c r="F165" s="2" t="s">
        <v>164</v>
      </c>
      <c r="G165" s="2" t="s">
        <v>19</v>
      </c>
      <c r="H165" s="2">
        <v>22313</v>
      </c>
      <c r="I165" t="s">
        <v>6191</v>
      </c>
    </row>
    <row r="166" spans="1:9" x14ac:dyDescent="0.25">
      <c r="A166" s="2" t="s">
        <v>1414</v>
      </c>
      <c r="B166" s="2" t="s">
        <v>1415</v>
      </c>
      <c r="C166" s="2" t="s">
        <v>1416</v>
      </c>
      <c r="D166" s="2" t="s">
        <v>1417</v>
      </c>
      <c r="E166" s="2" t="s">
        <v>1418</v>
      </c>
      <c r="F166" s="2" t="s">
        <v>1419</v>
      </c>
      <c r="G166" s="2" t="s">
        <v>318</v>
      </c>
      <c r="H166" s="2" t="s">
        <v>370</v>
      </c>
      <c r="I166" t="s">
        <v>6191</v>
      </c>
    </row>
    <row r="167" spans="1:9" x14ac:dyDescent="0.25">
      <c r="A167" s="2" t="s">
        <v>1421</v>
      </c>
      <c r="B167" s="2" t="s">
        <v>1422</v>
      </c>
      <c r="C167" s="2"/>
      <c r="D167" s="2" t="s">
        <v>1423</v>
      </c>
      <c r="E167" s="2" t="s">
        <v>1424</v>
      </c>
      <c r="F167" s="2" t="s">
        <v>163</v>
      </c>
      <c r="G167" s="2" t="s">
        <v>19</v>
      </c>
      <c r="H167" s="2">
        <v>53405</v>
      </c>
      <c r="I167" t="s">
        <v>6190</v>
      </c>
    </row>
    <row r="168" spans="1:9" x14ac:dyDescent="0.25">
      <c r="A168" s="2" t="s">
        <v>1426</v>
      </c>
      <c r="B168" s="2" t="s">
        <v>1427</v>
      </c>
      <c r="C168" s="2"/>
      <c r="D168" s="2" t="s">
        <v>1428</v>
      </c>
      <c r="E168" s="2" t="s">
        <v>1429</v>
      </c>
      <c r="F168" s="2" t="s">
        <v>209</v>
      </c>
      <c r="G168" s="2" t="s">
        <v>19</v>
      </c>
      <c r="H168" s="2">
        <v>34629</v>
      </c>
      <c r="I168" t="s">
        <v>6190</v>
      </c>
    </row>
    <row r="169" spans="1:9" x14ac:dyDescent="0.25">
      <c r="A169" s="2" t="s">
        <v>1431</v>
      </c>
      <c r="B169" s="2" t="s">
        <v>1432</v>
      </c>
      <c r="C169" s="2" t="s">
        <v>1433</v>
      </c>
      <c r="D169" s="2" t="s">
        <v>1434</v>
      </c>
      <c r="E169" s="2" t="s">
        <v>1435</v>
      </c>
      <c r="F169" s="2" t="s">
        <v>163</v>
      </c>
      <c r="G169" s="2" t="s">
        <v>19</v>
      </c>
      <c r="H169" s="2">
        <v>53405</v>
      </c>
      <c r="I169" t="s">
        <v>6190</v>
      </c>
    </row>
    <row r="170" spans="1:9" x14ac:dyDescent="0.25">
      <c r="A170" s="2" t="s">
        <v>1437</v>
      </c>
      <c r="B170" s="2" t="s">
        <v>1438</v>
      </c>
      <c r="C170" s="2"/>
      <c r="D170" s="2" t="s">
        <v>1439</v>
      </c>
      <c r="E170" s="2" t="s">
        <v>1440</v>
      </c>
      <c r="F170" s="2" t="s">
        <v>1419</v>
      </c>
      <c r="G170" s="2" t="s">
        <v>318</v>
      </c>
      <c r="H170" s="2" t="s">
        <v>370</v>
      </c>
      <c r="I170" t="s">
        <v>6191</v>
      </c>
    </row>
    <row r="171" spans="1:9" x14ac:dyDescent="0.25">
      <c r="A171" s="2" t="s">
        <v>1442</v>
      </c>
      <c r="B171" s="2" t="s">
        <v>1443</v>
      </c>
      <c r="C171" s="2" t="s">
        <v>1444</v>
      </c>
      <c r="D171" s="2" t="s">
        <v>1445</v>
      </c>
      <c r="E171" s="2" t="s">
        <v>1446</v>
      </c>
      <c r="F171" s="2" t="s">
        <v>1447</v>
      </c>
      <c r="G171" s="2" t="s">
        <v>318</v>
      </c>
      <c r="H171" s="2" t="s">
        <v>460</v>
      </c>
      <c r="I171" t="s">
        <v>6191</v>
      </c>
    </row>
    <row r="172" spans="1:9" x14ac:dyDescent="0.25">
      <c r="A172" s="2" t="s">
        <v>1449</v>
      </c>
      <c r="B172" s="2" t="s">
        <v>1450</v>
      </c>
      <c r="C172" s="2" t="s">
        <v>1451</v>
      </c>
      <c r="D172" s="2"/>
      <c r="E172" s="2" t="s">
        <v>1452</v>
      </c>
      <c r="F172" s="2" t="s">
        <v>102</v>
      </c>
      <c r="G172" s="2" t="s">
        <v>28</v>
      </c>
      <c r="H172" s="2" t="s">
        <v>103</v>
      </c>
      <c r="I172" t="s">
        <v>6191</v>
      </c>
    </row>
    <row r="173" spans="1:9" x14ac:dyDescent="0.25">
      <c r="A173" s="2" t="s">
        <v>1454</v>
      </c>
      <c r="B173" s="2" t="s">
        <v>1455</v>
      </c>
      <c r="C173" s="2" t="s">
        <v>1456</v>
      </c>
      <c r="D173" s="2" t="s">
        <v>1457</v>
      </c>
      <c r="E173" s="2" t="s">
        <v>1458</v>
      </c>
      <c r="F173" s="2" t="s">
        <v>137</v>
      </c>
      <c r="G173" s="2" t="s">
        <v>19</v>
      </c>
      <c r="H173" s="2">
        <v>33686</v>
      </c>
      <c r="I173" t="s">
        <v>6190</v>
      </c>
    </row>
    <row r="174" spans="1:9" x14ac:dyDescent="0.25">
      <c r="A174" s="2" t="s">
        <v>1460</v>
      </c>
      <c r="B174" s="2" t="s">
        <v>1461</v>
      </c>
      <c r="C174" s="2" t="s">
        <v>1462</v>
      </c>
      <c r="D174" s="2"/>
      <c r="E174" s="2" t="s">
        <v>1463</v>
      </c>
      <c r="F174" s="2" t="s">
        <v>440</v>
      </c>
      <c r="G174" s="2" t="s">
        <v>318</v>
      </c>
      <c r="H174" s="2" t="s">
        <v>369</v>
      </c>
      <c r="I174" t="s">
        <v>6191</v>
      </c>
    </row>
    <row r="175" spans="1:9" x14ac:dyDescent="0.25">
      <c r="A175" s="2" t="s">
        <v>1465</v>
      </c>
      <c r="B175" s="2" t="s">
        <v>1466</v>
      </c>
      <c r="C175" s="2" t="s">
        <v>1467</v>
      </c>
      <c r="D175" s="2" t="s">
        <v>1468</v>
      </c>
      <c r="E175" s="2" t="s">
        <v>1469</v>
      </c>
      <c r="F175" s="2" t="s">
        <v>187</v>
      </c>
      <c r="G175" s="2" t="s">
        <v>19</v>
      </c>
      <c r="H175" s="2">
        <v>36195</v>
      </c>
      <c r="I175" t="s">
        <v>6191</v>
      </c>
    </row>
    <row r="176" spans="1:9" x14ac:dyDescent="0.25">
      <c r="A176" s="2" t="s">
        <v>1471</v>
      </c>
      <c r="B176" s="2" t="s">
        <v>1472</v>
      </c>
      <c r="C176" s="2"/>
      <c r="D176" s="2" t="s">
        <v>1473</v>
      </c>
      <c r="E176" s="2" t="s">
        <v>1474</v>
      </c>
      <c r="F176" s="2" t="s">
        <v>351</v>
      </c>
      <c r="G176" s="2" t="s">
        <v>19</v>
      </c>
      <c r="H176" s="2">
        <v>89436</v>
      </c>
      <c r="I176" t="s">
        <v>6190</v>
      </c>
    </row>
    <row r="177" spans="1:9" x14ac:dyDescent="0.25">
      <c r="A177" s="2" t="s">
        <v>1476</v>
      </c>
      <c r="B177" s="2" t="s">
        <v>1477</v>
      </c>
      <c r="C177" s="2" t="s">
        <v>1478</v>
      </c>
      <c r="D177" s="2" t="s">
        <v>1479</v>
      </c>
      <c r="E177" s="2" t="s">
        <v>1480</v>
      </c>
      <c r="F177" s="2" t="s">
        <v>167</v>
      </c>
      <c r="G177" s="2" t="s">
        <v>19</v>
      </c>
      <c r="H177" s="2">
        <v>31205</v>
      </c>
      <c r="I177" t="s">
        <v>6190</v>
      </c>
    </row>
    <row r="178" spans="1:9" x14ac:dyDescent="0.25">
      <c r="A178" s="2" t="s">
        <v>1482</v>
      </c>
      <c r="B178" s="2" t="s">
        <v>1483</v>
      </c>
      <c r="C178" s="2" t="s">
        <v>1484</v>
      </c>
      <c r="D178" s="2" t="s">
        <v>1485</v>
      </c>
      <c r="E178" s="2" t="s">
        <v>1486</v>
      </c>
      <c r="F178" s="2" t="s">
        <v>146</v>
      </c>
      <c r="G178" s="2" t="s">
        <v>19</v>
      </c>
      <c r="H178" s="2">
        <v>90605</v>
      </c>
      <c r="I178" t="s">
        <v>6190</v>
      </c>
    </row>
    <row r="179" spans="1:9" x14ac:dyDescent="0.25">
      <c r="A179" s="2" t="s">
        <v>1488</v>
      </c>
      <c r="B179" s="2" t="s">
        <v>1489</v>
      </c>
      <c r="C179" s="2" t="s">
        <v>1490</v>
      </c>
      <c r="D179" s="2"/>
      <c r="E179" s="2" t="s">
        <v>1491</v>
      </c>
      <c r="F179" s="2" t="s">
        <v>193</v>
      </c>
      <c r="G179" s="2" t="s">
        <v>19</v>
      </c>
      <c r="H179" s="2">
        <v>37605</v>
      </c>
      <c r="I179" t="s">
        <v>6190</v>
      </c>
    </row>
    <row r="180" spans="1:9" x14ac:dyDescent="0.25">
      <c r="A180" s="2" t="s">
        <v>1493</v>
      </c>
      <c r="B180" s="2" t="s">
        <v>1494</v>
      </c>
      <c r="C180" s="2" t="s">
        <v>1495</v>
      </c>
      <c r="D180" s="2" t="s">
        <v>1496</v>
      </c>
      <c r="E180" s="2" t="s">
        <v>1497</v>
      </c>
      <c r="F180" s="2" t="s">
        <v>219</v>
      </c>
      <c r="G180" s="2" t="s">
        <v>19</v>
      </c>
      <c r="H180" s="2">
        <v>14614</v>
      </c>
      <c r="I180" t="s">
        <v>6191</v>
      </c>
    </row>
    <row r="181" spans="1:9" x14ac:dyDescent="0.25">
      <c r="A181" s="2" t="s">
        <v>1499</v>
      </c>
      <c r="B181" s="2" t="s">
        <v>1500</v>
      </c>
      <c r="C181" s="2"/>
      <c r="D181" s="2" t="s">
        <v>1501</v>
      </c>
      <c r="E181" s="2" t="s">
        <v>1502</v>
      </c>
      <c r="F181" s="2" t="s">
        <v>362</v>
      </c>
      <c r="G181" s="2" t="s">
        <v>318</v>
      </c>
      <c r="H181" s="2" t="s">
        <v>363</v>
      </c>
      <c r="I181" t="s">
        <v>6191</v>
      </c>
    </row>
    <row r="182" spans="1:9" x14ac:dyDescent="0.25">
      <c r="A182" s="2" t="s">
        <v>1504</v>
      </c>
      <c r="B182" s="2" t="s">
        <v>1505</v>
      </c>
      <c r="C182" s="2" t="s">
        <v>1506</v>
      </c>
      <c r="D182" s="2" t="s">
        <v>1507</v>
      </c>
      <c r="E182" s="2" t="s">
        <v>1508</v>
      </c>
      <c r="F182" s="2" t="s">
        <v>139</v>
      </c>
      <c r="G182" s="2" t="s">
        <v>19</v>
      </c>
      <c r="H182" s="2">
        <v>11254</v>
      </c>
      <c r="I182" t="s">
        <v>6191</v>
      </c>
    </row>
    <row r="183" spans="1:9" x14ac:dyDescent="0.25">
      <c r="A183" s="2" t="s">
        <v>1509</v>
      </c>
      <c r="B183" s="2" t="s">
        <v>1510</v>
      </c>
      <c r="C183" s="2" t="s">
        <v>1511</v>
      </c>
      <c r="D183" s="2" t="s">
        <v>1512</v>
      </c>
      <c r="E183" s="2" t="s">
        <v>1513</v>
      </c>
      <c r="F183" s="2" t="s">
        <v>83</v>
      </c>
      <c r="G183" s="2" t="s">
        <v>19</v>
      </c>
      <c r="H183" s="2">
        <v>1114</v>
      </c>
      <c r="I183" t="s">
        <v>6191</v>
      </c>
    </row>
    <row r="184" spans="1:9" x14ac:dyDescent="0.25">
      <c r="A184" s="2" t="s">
        <v>1515</v>
      </c>
      <c r="B184" s="2" t="s">
        <v>1516</v>
      </c>
      <c r="C184" s="2" t="s">
        <v>1517</v>
      </c>
      <c r="D184" s="2" t="s">
        <v>1518</v>
      </c>
      <c r="E184" s="2" t="s">
        <v>1519</v>
      </c>
      <c r="F184" s="2" t="s">
        <v>232</v>
      </c>
      <c r="G184" s="2" t="s">
        <v>19</v>
      </c>
      <c r="H184" s="2">
        <v>22908</v>
      </c>
      <c r="I184" t="s">
        <v>6191</v>
      </c>
    </row>
    <row r="185" spans="1:9" x14ac:dyDescent="0.25">
      <c r="A185" s="2" t="s">
        <v>1521</v>
      </c>
      <c r="B185" s="2" t="s">
        <v>1522</v>
      </c>
      <c r="C185" s="2" t="s">
        <v>1523</v>
      </c>
      <c r="D185" s="2" t="s">
        <v>1524</v>
      </c>
      <c r="E185" s="2" t="s">
        <v>1525</v>
      </c>
      <c r="F185" s="2" t="s">
        <v>115</v>
      </c>
      <c r="G185" s="2" t="s">
        <v>19</v>
      </c>
      <c r="H185" s="2">
        <v>75044</v>
      </c>
      <c r="I185" t="s">
        <v>6191</v>
      </c>
    </row>
    <row r="186" spans="1:9" x14ac:dyDescent="0.25">
      <c r="A186" s="2" t="s">
        <v>1527</v>
      </c>
      <c r="B186" s="2" t="s">
        <v>1528</v>
      </c>
      <c r="C186" s="2" t="s">
        <v>1529</v>
      </c>
      <c r="D186" s="2" t="s">
        <v>1530</v>
      </c>
      <c r="E186" s="2" t="s">
        <v>1531</v>
      </c>
      <c r="F186" s="2" t="s">
        <v>33</v>
      </c>
      <c r="G186" s="2" t="s">
        <v>19</v>
      </c>
      <c r="H186" s="2">
        <v>55448</v>
      </c>
      <c r="I186" t="s">
        <v>6191</v>
      </c>
    </row>
    <row r="187" spans="1:9" x14ac:dyDescent="0.25">
      <c r="A187" s="2" t="s">
        <v>1533</v>
      </c>
      <c r="B187" s="2" t="s">
        <v>1534</v>
      </c>
      <c r="C187" s="2" t="s">
        <v>1535</v>
      </c>
      <c r="D187" s="2" t="s">
        <v>1536</v>
      </c>
      <c r="E187" s="2" t="s">
        <v>1537</v>
      </c>
      <c r="F187" s="2" t="s">
        <v>174</v>
      </c>
      <c r="G187" s="2" t="s">
        <v>19</v>
      </c>
      <c r="H187" s="2">
        <v>48919</v>
      </c>
      <c r="I187" t="s">
        <v>6190</v>
      </c>
    </row>
    <row r="188" spans="1:9" x14ac:dyDescent="0.25">
      <c r="A188" s="2" t="s">
        <v>1539</v>
      </c>
      <c r="B188" s="2" t="s">
        <v>1540</v>
      </c>
      <c r="C188" s="2" t="s">
        <v>1541</v>
      </c>
      <c r="D188" s="2" t="s">
        <v>1542</v>
      </c>
      <c r="E188" s="2" t="s">
        <v>1543</v>
      </c>
      <c r="F188" s="2" t="s">
        <v>141</v>
      </c>
      <c r="G188" s="2" t="s">
        <v>19</v>
      </c>
      <c r="H188" s="2">
        <v>58207</v>
      </c>
      <c r="I188" t="s">
        <v>6191</v>
      </c>
    </row>
    <row r="189" spans="1:9" x14ac:dyDescent="0.25">
      <c r="A189" s="2" t="s">
        <v>1545</v>
      </c>
      <c r="B189" s="2" t="s">
        <v>1546</v>
      </c>
      <c r="C189" s="2" t="s">
        <v>1547</v>
      </c>
      <c r="D189" s="2"/>
      <c r="E189" s="2" t="s">
        <v>1548</v>
      </c>
      <c r="F189" s="2" t="s">
        <v>72</v>
      </c>
      <c r="G189" s="2" t="s">
        <v>19</v>
      </c>
      <c r="H189" s="2">
        <v>99522</v>
      </c>
      <c r="I189" t="s">
        <v>6190</v>
      </c>
    </row>
    <row r="190" spans="1:9" x14ac:dyDescent="0.25">
      <c r="A190" s="2" t="s">
        <v>1550</v>
      </c>
      <c r="B190" s="2" t="s">
        <v>1551</v>
      </c>
      <c r="C190" s="2" t="s">
        <v>1552</v>
      </c>
      <c r="D190" s="2" t="s">
        <v>1553</v>
      </c>
      <c r="E190" s="2" t="s">
        <v>1554</v>
      </c>
      <c r="F190" s="2" t="s">
        <v>77</v>
      </c>
      <c r="G190" s="2" t="s">
        <v>19</v>
      </c>
      <c r="H190" s="2">
        <v>73129</v>
      </c>
      <c r="I190" t="s">
        <v>6190</v>
      </c>
    </row>
    <row r="191" spans="1:9" x14ac:dyDescent="0.25">
      <c r="A191" s="2" t="s">
        <v>1556</v>
      </c>
      <c r="B191" s="2" t="s">
        <v>1557</v>
      </c>
      <c r="C191" s="2" t="s">
        <v>1558</v>
      </c>
      <c r="D191" s="2" t="s">
        <v>1559</v>
      </c>
      <c r="E191" s="2" t="s">
        <v>1560</v>
      </c>
      <c r="F191" s="2" t="s">
        <v>90</v>
      </c>
      <c r="G191" s="2" t="s">
        <v>19</v>
      </c>
      <c r="H191" s="2">
        <v>74103</v>
      </c>
      <c r="I191" t="s">
        <v>6190</v>
      </c>
    </row>
    <row r="192" spans="1:9" x14ac:dyDescent="0.25">
      <c r="A192" s="2" t="s">
        <v>1562</v>
      </c>
      <c r="B192" s="2" t="s">
        <v>1563</v>
      </c>
      <c r="C192" s="2" t="s">
        <v>1564</v>
      </c>
      <c r="D192" s="2" t="s">
        <v>1565</v>
      </c>
      <c r="E192" s="2" t="s">
        <v>1566</v>
      </c>
      <c r="F192" s="2" t="s">
        <v>41</v>
      </c>
      <c r="G192" s="2" t="s">
        <v>19</v>
      </c>
      <c r="H192" s="2">
        <v>48211</v>
      </c>
      <c r="I192" t="s">
        <v>6190</v>
      </c>
    </row>
    <row r="193" spans="1:9" x14ac:dyDescent="0.25">
      <c r="A193" s="2" t="s">
        <v>1568</v>
      </c>
      <c r="B193" s="2" t="s">
        <v>1569</v>
      </c>
      <c r="C193" s="2" t="s">
        <v>1570</v>
      </c>
      <c r="D193" s="2" t="s">
        <v>1571</v>
      </c>
      <c r="E193" s="2" t="s">
        <v>1572</v>
      </c>
      <c r="F193" s="2" t="s">
        <v>47</v>
      </c>
      <c r="G193" s="2" t="s">
        <v>19</v>
      </c>
      <c r="H193" s="2">
        <v>20436</v>
      </c>
      <c r="I193" t="s">
        <v>6190</v>
      </c>
    </row>
    <row r="194" spans="1:9" x14ac:dyDescent="0.25">
      <c r="A194" s="2" t="s">
        <v>1574</v>
      </c>
      <c r="B194" s="2" t="s">
        <v>1575</v>
      </c>
      <c r="C194" s="2" t="s">
        <v>1576</v>
      </c>
      <c r="D194" s="2" t="s">
        <v>1577</v>
      </c>
      <c r="E194" s="2" t="s">
        <v>1578</v>
      </c>
      <c r="F194" s="2" t="s">
        <v>323</v>
      </c>
      <c r="G194" s="2" t="s">
        <v>318</v>
      </c>
      <c r="H194" s="2" t="s">
        <v>324</v>
      </c>
      <c r="I194" t="s">
        <v>6190</v>
      </c>
    </row>
    <row r="195" spans="1:9" x14ac:dyDescent="0.25">
      <c r="A195" s="2" t="s">
        <v>1580</v>
      </c>
      <c r="B195" s="2" t="s">
        <v>1581</v>
      </c>
      <c r="C195" s="2"/>
      <c r="D195" s="2" t="s">
        <v>1582</v>
      </c>
      <c r="E195" s="2" t="s">
        <v>1583</v>
      </c>
      <c r="F195" s="2" t="s">
        <v>188</v>
      </c>
      <c r="G195" s="2" t="s">
        <v>19</v>
      </c>
      <c r="H195" s="2">
        <v>85215</v>
      </c>
      <c r="I195" t="s">
        <v>6191</v>
      </c>
    </row>
    <row r="196" spans="1:9" x14ac:dyDescent="0.25">
      <c r="A196" s="2" t="s">
        <v>1585</v>
      </c>
      <c r="B196" s="2" t="s">
        <v>1586</v>
      </c>
      <c r="C196" s="2" t="s">
        <v>1587</v>
      </c>
      <c r="D196" s="2" t="s">
        <v>1588</v>
      </c>
      <c r="E196" s="2" t="s">
        <v>1589</v>
      </c>
      <c r="F196" s="2" t="s">
        <v>181</v>
      </c>
      <c r="G196" s="2" t="s">
        <v>19</v>
      </c>
      <c r="H196" s="2">
        <v>44485</v>
      </c>
      <c r="I196" t="s">
        <v>6191</v>
      </c>
    </row>
    <row r="197" spans="1:9" x14ac:dyDescent="0.25">
      <c r="A197" s="2" t="s">
        <v>1591</v>
      </c>
      <c r="B197" s="2" t="s">
        <v>1592</v>
      </c>
      <c r="C197" s="2" t="s">
        <v>1593</v>
      </c>
      <c r="D197" s="2" t="s">
        <v>1594</v>
      </c>
      <c r="E197" s="2" t="s">
        <v>1595</v>
      </c>
      <c r="F197" s="2" t="s">
        <v>23</v>
      </c>
      <c r="G197" s="2" t="s">
        <v>19</v>
      </c>
      <c r="H197" s="2">
        <v>38150</v>
      </c>
      <c r="I197" t="s">
        <v>6191</v>
      </c>
    </row>
    <row r="198" spans="1:9" x14ac:dyDescent="0.25">
      <c r="A198" s="2" t="s">
        <v>1597</v>
      </c>
      <c r="B198" s="2" t="s">
        <v>1598</v>
      </c>
      <c r="C198" s="2" t="s">
        <v>1599</v>
      </c>
      <c r="D198" s="2"/>
      <c r="E198" s="2" t="s">
        <v>1600</v>
      </c>
      <c r="F198" s="2" t="s">
        <v>47</v>
      </c>
      <c r="G198" s="2" t="s">
        <v>19</v>
      </c>
      <c r="H198" s="2">
        <v>20535</v>
      </c>
      <c r="I198" t="s">
        <v>6191</v>
      </c>
    </row>
    <row r="199" spans="1:9" x14ac:dyDescent="0.25">
      <c r="A199" s="2" t="s">
        <v>1601</v>
      </c>
      <c r="B199" s="2" t="s">
        <v>1602</v>
      </c>
      <c r="C199" s="2" t="s">
        <v>1603</v>
      </c>
      <c r="D199" s="2" t="s">
        <v>1604</v>
      </c>
      <c r="E199" s="2" t="s">
        <v>1605</v>
      </c>
      <c r="F199" s="2" t="s">
        <v>475</v>
      </c>
      <c r="G199" s="2" t="s">
        <v>318</v>
      </c>
      <c r="H199" s="2" t="s">
        <v>425</v>
      </c>
      <c r="I199" t="s">
        <v>6190</v>
      </c>
    </row>
    <row r="200" spans="1:9" x14ac:dyDescent="0.25">
      <c r="A200" s="2" t="s">
        <v>1606</v>
      </c>
      <c r="B200" s="2" t="s">
        <v>1607</v>
      </c>
      <c r="C200" s="2" t="s">
        <v>1608</v>
      </c>
      <c r="D200" s="2" t="s">
        <v>1609</v>
      </c>
      <c r="E200" s="2" t="s">
        <v>1610</v>
      </c>
      <c r="F200" s="2" t="s">
        <v>121</v>
      </c>
      <c r="G200" s="2" t="s">
        <v>19</v>
      </c>
      <c r="H200" s="2">
        <v>33064</v>
      </c>
      <c r="I200" t="s">
        <v>6191</v>
      </c>
    </row>
    <row r="201" spans="1:9" x14ac:dyDescent="0.25">
      <c r="A201" s="2" t="s">
        <v>1611</v>
      </c>
      <c r="B201" s="2" t="s">
        <v>1612</v>
      </c>
      <c r="C201" s="2" t="s">
        <v>1613</v>
      </c>
      <c r="D201" s="2" t="s">
        <v>1614</v>
      </c>
      <c r="E201" s="2" t="s">
        <v>1615</v>
      </c>
      <c r="F201" s="2" t="s">
        <v>56</v>
      </c>
      <c r="G201" s="2" t="s">
        <v>19</v>
      </c>
      <c r="H201" s="2">
        <v>60604</v>
      </c>
      <c r="I201" t="s">
        <v>6191</v>
      </c>
    </row>
    <row r="202" spans="1:9" x14ac:dyDescent="0.25">
      <c r="A202" s="2" t="s">
        <v>1616</v>
      </c>
      <c r="B202" s="2" t="s">
        <v>1617</v>
      </c>
      <c r="C202" s="2" t="s">
        <v>1618</v>
      </c>
      <c r="D202" s="2" t="s">
        <v>1619</v>
      </c>
      <c r="E202" s="2" t="s">
        <v>1620</v>
      </c>
      <c r="F202" s="2" t="s">
        <v>299</v>
      </c>
      <c r="G202" s="2" t="s">
        <v>28</v>
      </c>
      <c r="H202" s="2" t="s">
        <v>300</v>
      </c>
      <c r="I202" t="s">
        <v>6191</v>
      </c>
    </row>
    <row r="203" spans="1:9" x14ac:dyDescent="0.25">
      <c r="A203" s="2" t="s">
        <v>1622</v>
      </c>
      <c r="B203" s="2" t="s">
        <v>1623</v>
      </c>
      <c r="C203" s="2"/>
      <c r="D203" s="2" t="s">
        <v>1624</v>
      </c>
      <c r="E203" s="2" t="s">
        <v>1625</v>
      </c>
      <c r="F203" s="2" t="s">
        <v>732</v>
      </c>
      <c r="G203" s="2" t="s">
        <v>19</v>
      </c>
      <c r="H203" s="2">
        <v>84409</v>
      </c>
      <c r="I203" t="s">
        <v>6191</v>
      </c>
    </row>
    <row r="204" spans="1:9" x14ac:dyDescent="0.25">
      <c r="A204" s="2" t="s">
        <v>1627</v>
      </c>
      <c r="B204" s="2" t="s">
        <v>1628</v>
      </c>
      <c r="C204" s="2" t="s">
        <v>1629</v>
      </c>
      <c r="D204" s="2" t="s">
        <v>1630</v>
      </c>
      <c r="E204" s="2" t="s">
        <v>1631</v>
      </c>
      <c r="F204" s="2" t="s">
        <v>198</v>
      </c>
      <c r="G204" s="2" t="s">
        <v>19</v>
      </c>
      <c r="H204" s="2">
        <v>12205</v>
      </c>
      <c r="I204" t="s">
        <v>6190</v>
      </c>
    </row>
    <row r="205" spans="1:9" x14ac:dyDescent="0.25">
      <c r="A205" s="2" t="s">
        <v>1633</v>
      </c>
      <c r="B205" s="2" t="s">
        <v>1634</v>
      </c>
      <c r="C205" s="2" t="s">
        <v>1635</v>
      </c>
      <c r="D205" s="2" t="s">
        <v>1636</v>
      </c>
      <c r="E205" s="2" t="s">
        <v>1637</v>
      </c>
      <c r="F205" s="2" t="s">
        <v>295</v>
      </c>
      <c r="G205" s="2" t="s">
        <v>19</v>
      </c>
      <c r="H205" s="2">
        <v>29305</v>
      </c>
      <c r="I205" t="s">
        <v>6191</v>
      </c>
    </row>
    <row r="206" spans="1:9" x14ac:dyDescent="0.25">
      <c r="A206" s="2" t="s">
        <v>1639</v>
      </c>
      <c r="B206" s="2" t="s">
        <v>1640</v>
      </c>
      <c r="C206" s="2"/>
      <c r="D206" s="2" t="s">
        <v>1641</v>
      </c>
      <c r="E206" s="2" t="s">
        <v>1642</v>
      </c>
      <c r="F206" s="2" t="s">
        <v>302</v>
      </c>
      <c r="G206" s="2" t="s">
        <v>19</v>
      </c>
      <c r="H206" s="2">
        <v>10310</v>
      </c>
      <c r="I206" t="s">
        <v>6191</v>
      </c>
    </row>
    <row r="207" spans="1:9" x14ac:dyDescent="0.25">
      <c r="A207" s="2" t="s">
        <v>1644</v>
      </c>
      <c r="B207" s="2" t="s">
        <v>1645</v>
      </c>
      <c r="C207" s="2"/>
      <c r="D207" s="2" t="s">
        <v>1646</v>
      </c>
      <c r="E207" s="2" t="s">
        <v>1647</v>
      </c>
      <c r="F207" s="2" t="s">
        <v>47</v>
      </c>
      <c r="G207" s="2" t="s">
        <v>19</v>
      </c>
      <c r="H207" s="2">
        <v>20337</v>
      </c>
      <c r="I207" t="s">
        <v>6190</v>
      </c>
    </row>
    <row r="208" spans="1:9" x14ac:dyDescent="0.25">
      <c r="A208" s="2" t="s">
        <v>1649</v>
      </c>
      <c r="B208" s="2" t="s">
        <v>1650</v>
      </c>
      <c r="C208" s="2" t="s">
        <v>1651</v>
      </c>
      <c r="D208" s="2"/>
      <c r="E208" s="2" t="s">
        <v>1652</v>
      </c>
      <c r="F208" s="2" t="s">
        <v>35</v>
      </c>
      <c r="G208" s="2" t="s">
        <v>19</v>
      </c>
      <c r="H208" s="2">
        <v>28225</v>
      </c>
      <c r="I208" t="s">
        <v>6191</v>
      </c>
    </row>
    <row r="209" spans="1:9" x14ac:dyDescent="0.25">
      <c r="A209" s="2" t="s">
        <v>1654</v>
      </c>
      <c r="B209" s="2" t="s">
        <v>1655</v>
      </c>
      <c r="C209" s="2" t="s">
        <v>1656</v>
      </c>
      <c r="D209" s="2" t="s">
        <v>1657</v>
      </c>
      <c r="E209" s="2" t="s">
        <v>1658</v>
      </c>
      <c r="F209" s="2" t="s">
        <v>297</v>
      </c>
      <c r="G209" s="2" t="s">
        <v>19</v>
      </c>
      <c r="H209" s="2">
        <v>79491</v>
      </c>
      <c r="I209" t="s">
        <v>6190</v>
      </c>
    </row>
    <row r="210" spans="1:9" x14ac:dyDescent="0.25">
      <c r="A210" s="2" t="s">
        <v>1660</v>
      </c>
      <c r="B210" s="2" t="s">
        <v>1661</v>
      </c>
      <c r="C210" s="2" t="s">
        <v>1662</v>
      </c>
      <c r="D210" s="2" t="s">
        <v>1663</v>
      </c>
      <c r="E210" s="2" t="s">
        <v>1664</v>
      </c>
      <c r="F210" s="2" t="s">
        <v>451</v>
      </c>
      <c r="G210" s="2" t="s">
        <v>318</v>
      </c>
      <c r="H210" s="2" t="s">
        <v>452</v>
      </c>
      <c r="I210" t="s">
        <v>6190</v>
      </c>
    </row>
    <row r="211" spans="1:9" x14ac:dyDescent="0.25">
      <c r="A211" s="2" t="s">
        <v>1666</v>
      </c>
      <c r="B211" s="2" t="s">
        <v>1667</v>
      </c>
      <c r="C211" s="2" t="s">
        <v>1668</v>
      </c>
      <c r="D211" s="2" t="s">
        <v>1669</v>
      </c>
      <c r="E211" s="2" t="s">
        <v>1670</v>
      </c>
      <c r="F211" s="2" t="s">
        <v>264</v>
      </c>
      <c r="G211" s="2" t="s">
        <v>28</v>
      </c>
      <c r="H211" s="2" t="s">
        <v>265</v>
      </c>
      <c r="I211" t="s">
        <v>6191</v>
      </c>
    </row>
    <row r="212" spans="1:9" x14ac:dyDescent="0.25">
      <c r="A212" s="2" t="s">
        <v>1672</v>
      </c>
      <c r="B212" s="2" t="s">
        <v>1673</v>
      </c>
      <c r="C212" s="2" t="s">
        <v>1674</v>
      </c>
      <c r="D212" s="2" t="s">
        <v>1675</v>
      </c>
      <c r="E212" s="2" t="s">
        <v>1676</v>
      </c>
      <c r="F212" s="2" t="s">
        <v>232</v>
      </c>
      <c r="G212" s="2" t="s">
        <v>19</v>
      </c>
      <c r="H212" s="2">
        <v>22908</v>
      </c>
      <c r="I212" t="s">
        <v>6190</v>
      </c>
    </row>
    <row r="213" spans="1:9" x14ac:dyDescent="0.25">
      <c r="A213" s="2" t="s">
        <v>1678</v>
      </c>
      <c r="B213" s="2" t="s">
        <v>1679</v>
      </c>
      <c r="C213" s="2" t="s">
        <v>1680</v>
      </c>
      <c r="D213" s="2"/>
      <c r="E213" s="2" t="s">
        <v>1681</v>
      </c>
      <c r="F213" s="2" t="s">
        <v>57</v>
      </c>
      <c r="G213" s="2" t="s">
        <v>19</v>
      </c>
      <c r="H213" s="2">
        <v>10105</v>
      </c>
      <c r="I213" t="s">
        <v>6191</v>
      </c>
    </row>
    <row r="214" spans="1:9" x14ac:dyDescent="0.25">
      <c r="A214" s="2" t="s">
        <v>1683</v>
      </c>
      <c r="B214" s="2" t="s">
        <v>1684</v>
      </c>
      <c r="C214" s="2" t="s">
        <v>1685</v>
      </c>
      <c r="D214" s="2" t="s">
        <v>1686</v>
      </c>
      <c r="E214" s="2" t="s">
        <v>1687</v>
      </c>
      <c r="F214" s="2" t="s">
        <v>24</v>
      </c>
      <c r="G214" s="2" t="s">
        <v>19</v>
      </c>
      <c r="H214" s="2">
        <v>24009</v>
      </c>
      <c r="I214" t="s">
        <v>6190</v>
      </c>
    </row>
    <row r="215" spans="1:9" x14ac:dyDescent="0.25">
      <c r="A215" s="2" t="s">
        <v>1689</v>
      </c>
      <c r="B215" s="2" t="s">
        <v>1690</v>
      </c>
      <c r="C215" s="2" t="s">
        <v>1691</v>
      </c>
      <c r="D215" s="2" t="s">
        <v>1692</v>
      </c>
      <c r="E215" s="2" t="s">
        <v>1693</v>
      </c>
      <c r="F215" s="2" t="s">
        <v>57</v>
      </c>
      <c r="G215" s="2" t="s">
        <v>19</v>
      </c>
      <c r="H215" s="2">
        <v>10009</v>
      </c>
      <c r="I215" t="s">
        <v>6191</v>
      </c>
    </row>
    <row r="216" spans="1:9" x14ac:dyDescent="0.25">
      <c r="A216" s="2" t="s">
        <v>1695</v>
      </c>
      <c r="B216" s="2" t="s">
        <v>1696</v>
      </c>
      <c r="C216" s="2" t="s">
        <v>1697</v>
      </c>
      <c r="D216" s="2" t="s">
        <v>1698</v>
      </c>
      <c r="E216" s="2" t="s">
        <v>1699</v>
      </c>
      <c r="F216" s="2" t="s">
        <v>1700</v>
      </c>
      <c r="G216" s="2" t="s">
        <v>318</v>
      </c>
      <c r="H216" s="2" t="s">
        <v>348</v>
      </c>
      <c r="I216" t="s">
        <v>6191</v>
      </c>
    </row>
    <row r="217" spans="1:9" x14ac:dyDescent="0.25">
      <c r="A217" s="2" t="s">
        <v>1702</v>
      </c>
      <c r="B217" s="2" t="s">
        <v>1703</v>
      </c>
      <c r="C217" s="2" t="s">
        <v>1704</v>
      </c>
      <c r="D217" s="2" t="s">
        <v>1705</v>
      </c>
      <c r="E217" s="2" t="s">
        <v>1706</v>
      </c>
      <c r="F217" s="2" t="s">
        <v>216</v>
      </c>
      <c r="G217" s="2" t="s">
        <v>19</v>
      </c>
      <c r="H217" s="2">
        <v>84120</v>
      </c>
      <c r="I217" t="s">
        <v>6191</v>
      </c>
    </row>
    <row r="218" spans="1:9" x14ac:dyDescent="0.25">
      <c r="A218" s="2" t="s">
        <v>1708</v>
      </c>
      <c r="B218" s="2" t="s">
        <v>1709</v>
      </c>
      <c r="C218" s="2" t="s">
        <v>1710</v>
      </c>
      <c r="D218" s="2" t="s">
        <v>1711</v>
      </c>
      <c r="E218" s="2" t="s">
        <v>1712</v>
      </c>
      <c r="F218" s="2" t="s">
        <v>260</v>
      </c>
      <c r="G218" s="2" t="s">
        <v>19</v>
      </c>
      <c r="H218" s="2">
        <v>43635</v>
      </c>
      <c r="I218" t="s">
        <v>6190</v>
      </c>
    </row>
    <row r="219" spans="1:9" x14ac:dyDescent="0.25">
      <c r="A219" s="2" t="s">
        <v>1714</v>
      </c>
      <c r="B219" s="2" t="s">
        <v>1715</v>
      </c>
      <c r="C219" s="2" t="s">
        <v>1716</v>
      </c>
      <c r="D219" s="2" t="s">
        <v>1717</v>
      </c>
      <c r="E219" s="2" t="s">
        <v>1718</v>
      </c>
      <c r="F219" s="2" t="s">
        <v>87</v>
      </c>
      <c r="G219" s="2" t="s">
        <v>19</v>
      </c>
      <c r="H219" s="2">
        <v>91131</v>
      </c>
      <c r="I219" t="s">
        <v>6191</v>
      </c>
    </row>
    <row r="220" spans="1:9" x14ac:dyDescent="0.25">
      <c r="A220" s="2" t="s">
        <v>1720</v>
      </c>
      <c r="B220" s="2" t="s">
        <v>1721</v>
      </c>
      <c r="C220" s="2" t="s">
        <v>1722</v>
      </c>
      <c r="D220" s="2" t="s">
        <v>1723</v>
      </c>
      <c r="E220" s="2" t="s">
        <v>1724</v>
      </c>
      <c r="F220" s="2" t="s">
        <v>342</v>
      </c>
      <c r="G220" s="2" t="s">
        <v>318</v>
      </c>
      <c r="H220" s="2" t="s">
        <v>343</v>
      </c>
      <c r="I220" t="s">
        <v>6190</v>
      </c>
    </row>
    <row r="221" spans="1:9" x14ac:dyDescent="0.25">
      <c r="A221" s="2" t="s">
        <v>1726</v>
      </c>
      <c r="B221" s="2" t="s">
        <v>1727</v>
      </c>
      <c r="C221" s="2" t="s">
        <v>1728</v>
      </c>
      <c r="D221" s="2" t="s">
        <v>1729</v>
      </c>
      <c r="E221" s="2" t="s">
        <v>1730</v>
      </c>
      <c r="F221" s="2" t="s">
        <v>37</v>
      </c>
      <c r="G221" s="2" t="s">
        <v>19</v>
      </c>
      <c r="H221" s="2">
        <v>64082</v>
      </c>
      <c r="I221" t="s">
        <v>6191</v>
      </c>
    </row>
    <row r="222" spans="1:9" x14ac:dyDescent="0.25">
      <c r="A222" s="2" t="s">
        <v>1731</v>
      </c>
      <c r="B222" s="2" t="s">
        <v>1732</v>
      </c>
      <c r="C222" s="2" t="s">
        <v>1733</v>
      </c>
      <c r="D222" s="2" t="s">
        <v>1734</v>
      </c>
      <c r="E222" s="2" t="s">
        <v>1735</v>
      </c>
      <c r="F222" s="2" t="s">
        <v>106</v>
      </c>
      <c r="G222" s="2" t="s">
        <v>19</v>
      </c>
      <c r="H222" s="2">
        <v>76121</v>
      </c>
      <c r="I222" t="s">
        <v>6191</v>
      </c>
    </row>
    <row r="223" spans="1:9" x14ac:dyDescent="0.25">
      <c r="A223" s="2" t="s">
        <v>1737</v>
      </c>
      <c r="B223" s="2" t="s">
        <v>1738</v>
      </c>
      <c r="C223" s="2" t="s">
        <v>1739</v>
      </c>
      <c r="D223" s="2" t="s">
        <v>1740</v>
      </c>
      <c r="E223" s="2" t="s">
        <v>1741</v>
      </c>
      <c r="F223" s="2" t="s">
        <v>422</v>
      </c>
      <c r="G223" s="2" t="s">
        <v>19</v>
      </c>
      <c r="H223" s="2">
        <v>92619</v>
      </c>
      <c r="I223" t="s">
        <v>6190</v>
      </c>
    </row>
    <row r="224" spans="1:9" x14ac:dyDescent="0.25">
      <c r="A224" s="2" t="s">
        <v>1743</v>
      </c>
      <c r="B224" s="2" t="s">
        <v>1744</v>
      </c>
      <c r="C224" s="2" t="s">
        <v>1745</v>
      </c>
      <c r="D224" s="2" t="s">
        <v>1746</v>
      </c>
      <c r="E224" s="2" t="s">
        <v>1747</v>
      </c>
      <c r="F224" s="2" t="s">
        <v>218</v>
      </c>
      <c r="G224" s="2" t="s">
        <v>19</v>
      </c>
      <c r="H224" s="2">
        <v>11854</v>
      </c>
      <c r="I224" t="s">
        <v>6191</v>
      </c>
    </row>
    <row r="225" spans="1:9" x14ac:dyDescent="0.25">
      <c r="A225" s="2" t="s">
        <v>1749</v>
      </c>
      <c r="B225" s="2" t="s">
        <v>1750</v>
      </c>
      <c r="C225" s="2"/>
      <c r="D225" s="2" t="s">
        <v>1751</v>
      </c>
      <c r="E225" s="2" t="s">
        <v>1752</v>
      </c>
      <c r="F225" s="2" t="s">
        <v>47</v>
      </c>
      <c r="G225" s="2" t="s">
        <v>19</v>
      </c>
      <c r="H225" s="2">
        <v>20546</v>
      </c>
      <c r="I225" t="s">
        <v>6190</v>
      </c>
    </row>
    <row r="226" spans="1:9" x14ac:dyDescent="0.25">
      <c r="A226" s="2" t="s">
        <v>1754</v>
      </c>
      <c r="B226" s="2" t="s">
        <v>1755</v>
      </c>
      <c r="C226" s="2" t="s">
        <v>1756</v>
      </c>
      <c r="D226" s="2" t="s">
        <v>1757</v>
      </c>
      <c r="E226" s="2" t="s">
        <v>1758</v>
      </c>
      <c r="F226" s="2" t="s">
        <v>57</v>
      </c>
      <c r="G226" s="2" t="s">
        <v>19</v>
      </c>
      <c r="H226" s="2">
        <v>10060</v>
      </c>
      <c r="I226" t="s">
        <v>6190</v>
      </c>
    </row>
    <row r="227" spans="1:9" x14ac:dyDescent="0.25">
      <c r="A227" s="2" t="s">
        <v>1760</v>
      </c>
      <c r="B227" s="2" t="s">
        <v>1761</v>
      </c>
      <c r="C227" s="2" t="s">
        <v>1762</v>
      </c>
      <c r="D227" s="2" t="s">
        <v>1763</v>
      </c>
      <c r="E227" s="2" t="s">
        <v>1764</v>
      </c>
      <c r="F227" s="2" t="s">
        <v>408</v>
      </c>
      <c r="G227" s="2" t="s">
        <v>318</v>
      </c>
      <c r="H227" s="2" t="s">
        <v>343</v>
      </c>
      <c r="I227" t="s">
        <v>6191</v>
      </c>
    </row>
    <row r="228" spans="1:9" x14ac:dyDescent="0.25">
      <c r="A228" s="2" t="s">
        <v>1766</v>
      </c>
      <c r="B228" s="2" t="s">
        <v>1767</v>
      </c>
      <c r="C228" s="2" t="s">
        <v>1768</v>
      </c>
      <c r="D228" s="2" t="s">
        <v>1769</v>
      </c>
      <c r="E228" s="2" t="s">
        <v>1770</v>
      </c>
      <c r="F228" s="2" t="s">
        <v>67</v>
      </c>
      <c r="G228" s="2" t="s">
        <v>19</v>
      </c>
      <c r="H228" s="2">
        <v>66276</v>
      </c>
      <c r="I228" t="s">
        <v>6191</v>
      </c>
    </row>
    <row r="229" spans="1:9" x14ac:dyDescent="0.25">
      <c r="A229" s="2" t="s">
        <v>1772</v>
      </c>
      <c r="B229" s="2" t="s">
        <v>1773</v>
      </c>
      <c r="C229" s="2" t="s">
        <v>1774</v>
      </c>
      <c r="D229" s="2" t="s">
        <v>1775</v>
      </c>
      <c r="E229" s="2" t="s">
        <v>1776</v>
      </c>
      <c r="F229" s="2" t="s">
        <v>246</v>
      </c>
      <c r="G229" s="2" t="s">
        <v>28</v>
      </c>
      <c r="H229" s="2" t="s">
        <v>247</v>
      </c>
      <c r="I229" t="s">
        <v>6190</v>
      </c>
    </row>
    <row r="230" spans="1:9" x14ac:dyDescent="0.25">
      <c r="A230" s="2" t="s">
        <v>1778</v>
      </c>
      <c r="B230" s="2" t="s">
        <v>1779</v>
      </c>
      <c r="C230" s="2" t="s">
        <v>1780</v>
      </c>
      <c r="D230" s="2" t="s">
        <v>1781</v>
      </c>
      <c r="E230" s="2" t="s">
        <v>1782</v>
      </c>
      <c r="F230" s="2" t="s">
        <v>131</v>
      </c>
      <c r="G230" s="2" t="s">
        <v>19</v>
      </c>
      <c r="H230" s="2">
        <v>94291</v>
      </c>
      <c r="I230" t="s">
        <v>6191</v>
      </c>
    </row>
    <row r="231" spans="1:9" x14ac:dyDescent="0.25">
      <c r="A231" s="2" t="s">
        <v>1784</v>
      </c>
      <c r="B231" s="2" t="s">
        <v>1785</v>
      </c>
      <c r="C231" s="2" t="s">
        <v>1786</v>
      </c>
      <c r="D231" s="2" t="s">
        <v>1787</v>
      </c>
      <c r="E231" s="2" t="s">
        <v>1788</v>
      </c>
      <c r="F231" s="2" t="s">
        <v>202</v>
      </c>
      <c r="G231" s="2" t="s">
        <v>19</v>
      </c>
      <c r="H231" s="2">
        <v>18706</v>
      </c>
      <c r="I231" t="s">
        <v>6191</v>
      </c>
    </row>
    <row r="232" spans="1:9" x14ac:dyDescent="0.25">
      <c r="A232" s="2" t="s">
        <v>1790</v>
      </c>
      <c r="B232" s="2" t="s">
        <v>1791</v>
      </c>
      <c r="C232" s="2" t="s">
        <v>1792</v>
      </c>
      <c r="D232" s="2" t="s">
        <v>1793</v>
      </c>
      <c r="E232" s="2" t="s">
        <v>1794</v>
      </c>
      <c r="F232" s="2" t="s">
        <v>82</v>
      </c>
      <c r="G232" s="2" t="s">
        <v>19</v>
      </c>
      <c r="H232" s="2">
        <v>27499</v>
      </c>
      <c r="I232" t="s">
        <v>6191</v>
      </c>
    </row>
    <row r="233" spans="1:9" x14ac:dyDescent="0.25">
      <c r="A233" s="2" t="s">
        <v>1796</v>
      </c>
      <c r="B233" s="2" t="s">
        <v>1797</v>
      </c>
      <c r="C233" s="2"/>
      <c r="D233" s="2" t="s">
        <v>1798</v>
      </c>
      <c r="E233" s="2" t="s">
        <v>1799</v>
      </c>
      <c r="F233" s="2" t="s">
        <v>199</v>
      </c>
      <c r="G233" s="2" t="s">
        <v>19</v>
      </c>
      <c r="H233" s="2">
        <v>19725</v>
      </c>
      <c r="I233" t="s">
        <v>6190</v>
      </c>
    </row>
    <row r="234" spans="1:9" x14ac:dyDescent="0.25">
      <c r="A234" s="2" t="s">
        <v>1801</v>
      </c>
      <c r="B234" s="2" t="s">
        <v>1802</v>
      </c>
      <c r="C234" s="2" t="s">
        <v>1803</v>
      </c>
      <c r="D234" s="2" t="s">
        <v>1804</v>
      </c>
      <c r="E234" s="2" t="s">
        <v>1805</v>
      </c>
      <c r="F234" s="2" t="s">
        <v>248</v>
      </c>
      <c r="G234" s="2" t="s">
        <v>28</v>
      </c>
      <c r="H234" s="2" t="s">
        <v>249</v>
      </c>
      <c r="I234" t="s">
        <v>6191</v>
      </c>
    </row>
    <row r="235" spans="1:9" x14ac:dyDescent="0.25">
      <c r="A235" s="2" t="s">
        <v>1807</v>
      </c>
      <c r="B235" s="2" t="s">
        <v>1808</v>
      </c>
      <c r="C235" s="2" t="s">
        <v>1809</v>
      </c>
      <c r="D235" s="2" t="s">
        <v>1810</v>
      </c>
      <c r="E235" s="2" t="s">
        <v>1811</v>
      </c>
      <c r="F235" s="2" t="s">
        <v>73</v>
      </c>
      <c r="G235" s="2" t="s">
        <v>19</v>
      </c>
      <c r="H235" s="2">
        <v>96825</v>
      </c>
      <c r="I235" t="s">
        <v>6191</v>
      </c>
    </row>
    <row r="236" spans="1:9" x14ac:dyDescent="0.25">
      <c r="A236" s="2" t="s">
        <v>1813</v>
      </c>
      <c r="B236" s="2" t="s">
        <v>1814</v>
      </c>
      <c r="C236" s="2" t="s">
        <v>1815</v>
      </c>
      <c r="D236" s="2" t="s">
        <v>1816</v>
      </c>
      <c r="E236" s="2" t="s">
        <v>1817</v>
      </c>
      <c r="F236" s="2" t="s">
        <v>57</v>
      </c>
      <c r="G236" s="2" t="s">
        <v>19</v>
      </c>
      <c r="H236" s="2">
        <v>10150</v>
      </c>
      <c r="I236" t="s">
        <v>6191</v>
      </c>
    </row>
    <row r="237" spans="1:9" x14ac:dyDescent="0.25">
      <c r="A237" s="2" t="s">
        <v>1819</v>
      </c>
      <c r="B237" s="2" t="s">
        <v>1820</v>
      </c>
      <c r="C237" s="2"/>
      <c r="D237" s="2"/>
      <c r="E237" s="2" t="s">
        <v>1821</v>
      </c>
      <c r="F237" s="2" t="s">
        <v>472</v>
      </c>
      <c r="G237" s="2" t="s">
        <v>318</v>
      </c>
      <c r="H237" s="2" t="s">
        <v>473</v>
      </c>
      <c r="I237" t="s">
        <v>6191</v>
      </c>
    </row>
    <row r="238" spans="1:9" x14ac:dyDescent="0.25">
      <c r="A238" s="2" t="s">
        <v>1823</v>
      </c>
      <c r="B238" s="2" t="s">
        <v>1824</v>
      </c>
      <c r="C238" s="2" t="s">
        <v>1825</v>
      </c>
      <c r="D238" s="2" t="s">
        <v>1826</v>
      </c>
      <c r="E238" s="2" t="s">
        <v>1827</v>
      </c>
      <c r="F238" s="2" t="s">
        <v>463</v>
      </c>
      <c r="G238" s="2" t="s">
        <v>318</v>
      </c>
      <c r="H238" s="2" t="s">
        <v>389</v>
      </c>
      <c r="I238" t="s">
        <v>6191</v>
      </c>
    </row>
    <row r="239" spans="1:9" x14ac:dyDescent="0.25">
      <c r="A239" s="2" t="s">
        <v>1829</v>
      </c>
      <c r="B239" s="2" t="s">
        <v>1830</v>
      </c>
      <c r="C239" s="2"/>
      <c r="D239" s="2" t="s">
        <v>1831</v>
      </c>
      <c r="E239" s="2" t="s">
        <v>1832</v>
      </c>
      <c r="F239" s="2" t="s">
        <v>51</v>
      </c>
      <c r="G239" s="2" t="s">
        <v>19</v>
      </c>
      <c r="H239" s="2">
        <v>45218</v>
      </c>
      <c r="I239" t="s">
        <v>6190</v>
      </c>
    </row>
    <row r="240" spans="1:9" x14ac:dyDescent="0.25">
      <c r="A240" s="2" t="s">
        <v>1834</v>
      </c>
      <c r="B240" s="2" t="s">
        <v>1835</v>
      </c>
      <c r="C240" s="2" t="s">
        <v>1836</v>
      </c>
      <c r="D240" s="2" t="s">
        <v>1837</v>
      </c>
      <c r="E240" s="2" t="s">
        <v>1838</v>
      </c>
      <c r="F240" s="2" t="s">
        <v>212</v>
      </c>
      <c r="G240" s="2" t="s">
        <v>19</v>
      </c>
      <c r="H240" s="2">
        <v>48670</v>
      </c>
      <c r="I240" t="s">
        <v>6190</v>
      </c>
    </row>
    <row r="241" spans="1:9" x14ac:dyDescent="0.25">
      <c r="A241" s="2" t="s">
        <v>1840</v>
      </c>
      <c r="B241" s="2" t="s">
        <v>1841</v>
      </c>
      <c r="C241" s="2" t="s">
        <v>1842</v>
      </c>
      <c r="D241" s="2" t="s">
        <v>1843</v>
      </c>
      <c r="E241" s="2" t="s">
        <v>1844</v>
      </c>
      <c r="F241" s="2" t="s">
        <v>154</v>
      </c>
      <c r="G241" s="2" t="s">
        <v>19</v>
      </c>
      <c r="H241" s="2">
        <v>82007</v>
      </c>
      <c r="I241" t="s">
        <v>6191</v>
      </c>
    </row>
    <row r="242" spans="1:9" x14ac:dyDescent="0.25">
      <c r="A242" s="2" t="s">
        <v>1846</v>
      </c>
      <c r="B242" s="2" t="s">
        <v>1847</v>
      </c>
      <c r="C242" s="2"/>
      <c r="D242" s="2"/>
      <c r="E242" s="2" t="s">
        <v>1848</v>
      </c>
      <c r="F242" s="2" t="s">
        <v>84</v>
      </c>
      <c r="G242" s="2" t="s">
        <v>19</v>
      </c>
      <c r="H242" s="2">
        <v>31119</v>
      </c>
      <c r="I242" t="s">
        <v>6190</v>
      </c>
    </row>
    <row r="243" spans="1:9" x14ac:dyDescent="0.25">
      <c r="A243" s="2" t="s">
        <v>1850</v>
      </c>
      <c r="B243" s="2" t="s">
        <v>1851</v>
      </c>
      <c r="C243" s="2"/>
      <c r="D243" s="2" t="s">
        <v>1852</v>
      </c>
      <c r="E243" s="2" t="s">
        <v>1853</v>
      </c>
      <c r="F243" s="2" t="s">
        <v>64</v>
      </c>
      <c r="G243" s="2" t="s">
        <v>19</v>
      </c>
      <c r="H243" s="2">
        <v>30096</v>
      </c>
      <c r="I243" t="s">
        <v>6191</v>
      </c>
    </row>
    <row r="244" spans="1:9" x14ac:dyDescent="0.25">
      <c r="A244" s="2" t="s">
        <v>1855</v>
      </c>
      <c r="B244" s="2" t="s">
        <v>1856</v>
      </c>
      <c r="C244" s="2" t="s">
        <v>1857</v>
      </c>
      <c r="D244" s="2" t="s">
        <v>1858</v>
      </c>
      <c r="E244" s="2" t="s">
        <v>1859</v>
      </c>
      <c r="F244" s="2" t="s">
        <v>131</v>
      </c>
      <c r="G244" s="2" t="s">
        <v>19</v>
      </c>
      <c r="H244" s="2">
        <v>94250</v>
      </c>
      <c r="I244" t="s">
        <v>6190</v>
      </c>
    </row>
    <row r="245" spans="1:9" x14ac:dyDescent="0.25">
      <c r="A245" s="2" t="s">
        <v>1861</v>
      </c>
      <c r="B245" s="2" t="s">
        <v>1862</v>
      </c>
      <c r="C245" s="2" t="s">
        <v>1863</v>
      </c>
      <c r="D245" s="2" t="s">
        <v>1864</v>
      </c>
      <c r="E245" s="2" t="s">
        <v>1865</v>
      </c>
      <c r="F245" s="2" t="s">
        <v>137</v>
      </c>
      <c r="G245" s="2" t="s">
        <v>19</v>
      </c>
      <c r="H245" s="2">
        <v>33661</v>
      </c>
      <c r="I245" t="s">
        <v>6190</v>
      </c>
    </row>
    <row r="246" spans="1:9" x14ac:dyDescent="0.25">
      <c r="A246" s="2" t="s">
        <v>1867</v>
      </c>
      <c r="B246" s="2" t="s">
        <v>1868</v>
      </c>
      <c r="C246" s="2" t="s">
        <v>1869</v>
      </c>
      <c r="D246" s="2" t="s">
        <v>1870</v>
      </c>
      <c r="E246" s="2" t="s">
        <v>1871</v>
      </c>
      <c r="F246" s="2" t="s">
        <v>73</v>
      </c>
      <c r="G246" s="2" t="s">
        <v>19</v>
      </c>
      <c r="H246" s="2">
        <v>96805</v>
      </c>
      <c r="I246" t="s">
        <v>6191</v>
      </c>
    </row>
    <row r="247" spans="1:9" x14ac:dyDescent="0.25">
      <c r="A247" s="2" t="s">
        <v>1873</v>
      </c>
      <c r="B247" s="2" t="s">
        <v>1874</v>
      </c>
      <c r="C247" s="2" t="s">
        <v>1875</v>
      </c>
      <c r="D247" s="2" t="s">
        <v>1876</v>
      </c>
      <c r="E247" s="2" t="s">
        <v>1877</v>
      </c>
      <c r="F247" s="2" t="s">
        <v>32</v>
      </c>
      <c r="G247" s="2" t="s">
        <v>19</v>
      </c>
      <c r="H247" s="2">
        <v>70820</v>
      </c>
      <c r="I247" t="s">
        <v>6190</v>
      </c>
    </row>
    <row r="248" spans="1:9" x14ac:dyDescent="0.25">
      <c r="A248" s="2" t="s">
        <v>1879</v>
      </c>
      <c r="B248" s="2" t="s">
        <v>1880</v>
      </c>
      <c r="C248" s="2" t="s">
        <v>1881</v>
      </c>
      <c r="D248" s="2" t="s">
        <v>1882</v>
      </c>
      <c r="E248" s="2" t="s">
        <v>1883</v>
      </c>
      <c r="F248" s="2" t="s">
        <v>229</v>
      </c>
      <c r="G248" s="2" t="s">
        <v>28</v>
      </c>
      <c r="H248" s="2" t="s">
        <v>230</v>
      </c>
      <c r="I248" t="s">
        <v>6191</v>
      </c>
    </row>
    <row r="249" spans="1:9" x14ac:dyDescent="0.25">
      <c r="A249" s="2" t="s">
        <v>1885</v>
      </c>
      <c r="B249" s="2" t="s">
        <v>1886</v>
      </c>
      <c r="C249" s="2"/>
      <c r="D249" s="2" t="s">
        <v>1887</v>
      </c>
      <c r="E249" s="2" t="s">
        <v>1888</v>
      </c>
      <c r="F249" s="2" t="s">
        <v>393</v>
      </c>
      <c r="G249" s="2" t="s">
        <v>318</v>
      </c>
      <c r="H249" s="2" t="s">
        <v>394</v>
      </c>
      <c r="I249" t="s">
        <v>6190</v>
      </c>
    </row>
    <row r="250" spans="1:9" x14ac:dyDescent="0.25">
      <c r="A250" s="2" t="s">
        <v>1890</v>
      </c>
      <c r="B250" s="2" t="s">
        <v>1891</v>
      </c>
      <c r="C250" s="2" t="s">
        <v>1892</v>
      </c>
      <c r="D250" s="2" t="s">
        <v>1893</v>
      </c>
      <c r="E250" s="2" t="s">
        <v>1894</v>
      </c>
      <c r="F250" s="2" t="s">
        <v>33</v>
      </c>
      <c r="G250" s="2" t="s">
        <v>19</v>
      </c>
      <c r="H250" s="2">
        <v>55458</v>
      </c>
      <c r="I250" t="s">
        <v>6190</v>
      </c>
    </row>
    <row r="251" spans="1:9" x14ac:dyDescent="0.25">
      <c r="A251" s="2" t="s">
        <v>1896</v>
      </c>
      <c r="B251" s="2" t="s">
        <v>1897</v>
      </c>
      <c r="C251" s="2"/>
      <c r="D251" s="2" t="s">
        <v>1898</v>
      </c>
      <c r="E251" s="2" t="s">
        <v>1899</v>
      </c>
      <c r="F251" s="2" t="s">
        <v>150</v>
      </c>
      <c r="G251" s="2" t="s">
        <v>19</v>
      </c>
      <c r="H251" s="2">
        <v>94159</v>
      </c>
      <c r="I251" t="s">
        <v>6191</v>
      </c>
    </row>
    <row r="252" spans="1:9" x14ac:dyDescent="0.25">
      <c r="A252" s="2" t="s">
        <v>1901</v>
      </c>
      <c r="B252" s="2" t="s">
        <v>1902</v>
      </c>
      <c r="C252" s="2" t="s">
        <v>1903</v>
      </c>
      <c r="D252" s="2" t="s">
        <v>1904</v>
      </c>
      <c r="E252" s="2" t="s">
        <v>1905</v>
      </c>
      <c r="F252" s="2" t="s">
        <v>35</v>
      </c>
      <c r="G252" s="2" t="s">
        <v>19</v>
      </c>
      <c r="H252" s="2">
        <v>28225</v>
      </c>
      <c r="I252" t="s">
        <v>6190</v>
      </c>
    </row>
    <row r="253" spans="1:9" x14ac:dyDescent="0.25">
      <c r="A253" s="2" t="s">
        <v>1907</v>
      </c>
      <c r="B253" s="2" t="s">
        <v>1908</v>
      </c>
      <c r="C253" s="2" t="s">
        <v>1909</v>
      </c>
      <c r="D253" s="2" t="s">
        <v>1910</v>
      </c>
      <c r="E253" s="2" t="s">
        <v>1911</v>
      </c>
      <c r="F253" s="2" t="s">
        <v>184</v>
      </c>
      <c r="G253" s="2" t="s">
        <v>19</v>
      </c>
      <c r="H253" s="2">
        <v>85099</v>
      </c>
      <c r="I253" t="s">
        <v>6190</v>
      </c>
    </row>
    <row r="254" spans="1:9" x14ac:dyDescent="0.25">
      <c r="A254" s="2" t="s">
        <v>1913</v>
      </c>
      <c r="B254" s="2" t="s">
        <v>1914</v>
      </c>
      <c r="C254" s="2"/>
      <c r="D254" s="2" t="s">
        <v>1915</v>
      </c>
      <c r="E254" s="2" t="s">
        <v>1916</v>
      </c>
      <c r="F254" s="2" t="s">
        <v>132</v>
      </c>
      <c r="G254" s="2" t="s">
        <v>19</v>
      </c>
      <c r="H254" s="2">
        <v>11407</v>
      </c>
      <c r="I254" t="s">
        <v>6191</v>
      </c>
    </row>
    <row r="255" spans="1:9" x14ac:dyDescent="0.25">
      <c r="A255" s="2" t="s">
        <v>1918</v>
      </c>
      <c r="B255" s="2" t="s">
        <v>1919</v>
      </c>
      <c r="C255" s="2" t="s">
        <v>1920</v>
      </c>
      <c r="D255" s="2" t="s">
        <v>1921</v>
      </c>
      <c r="E255" s="2" t="s">
        <v>1922</v>
      </c>
      <c r="F255" s="2" t="s">
        <v>194</v>
      </c>
      <c r="G255" s="2" t="s">
        <v>19</v>
      </c>
      <c r="H255" s="2">
        <v>61825</v>
      </c>
      <c r="I255" t="s">
        <v>6191</v>
      </c>
    </row>
    <row r="256" spans="1:9" x14ac:dyDescent="0.25">
      <c r="A256" s="2" t="s">
        <v>1924</v>
      </c>
      <c r="B256" s="2" t="s">
        <v>1925</v>
      </c>
      <c r="C256" s="2" t="s">
        <v>1926</v>
      </c>
      <c r="D256" s="2"/>
      <c r="E256" s="2" t="s">
        <v>1927</v>
      </c>
      <c r="F256" s="2" t="s">
        <v>238</v>
      </c>
      <c r="G256" s="2" t="s">
        <v>28</v>
      </c>
      <c r="H256" s="2" t="s">
        <v>239</v>
      </c>
      <c r="I256" t="s">
        <v>6191</v>
      </c>
    </row>
    <row r="257" spans="1:9" x14ac:dyDescent="0.25">
      <c r="A257" s="2" t="s">
        <v>1929</v>
      </c>
      <c r="B257" s="2" t="s">
        <v>1930</v>
      </c>
      <c r="C257" s="2" t="s">
        <v>1931</v>
      </c>
      <c r="D257" s="2" t="s">
        <v>1932</v>
      </c>
      <c r="E257" s="2" t="s">
        <v>1933</v>
      </c>
      <c r="F257" s="2" t="s">
        <v>126</v>
      </c>
      <c r="G257" s="2" t="s">
        <v>19</v>
      </c>
      <c r="H257" s="2">
        <v>85715</v>
      </c>
      <c r="I257" t="s">
        <v>6191</v>
      </c>
    </row>
    <row r="258" spans="1:9" x14ac:dyDescent="0.25">
      <c r="A258" s="2" t="s">
        <v>1935</v>
      </c>
      <c r="B258" s="2" t="s">
        <v>1936</v>
      </c>
      <c r="C258" s="2" t="s">
        <v>1937</v>
      </c>
      <c r="D258" s="2" t="s">
        <v>1938</v>
      </c>
      <c r="E258" s="2" t="s">
        <v>1939</v>
      </c>
      <c r="F258" s="2" t="s">
        <v>45</v>
      </c>
      <c r="G258" s="2" t="s">
        <v>19</v>
      </c>
      <c r="H258" s="2">
        <v>53205</v>
      </c>
      <c r="I258" t="s">
        <v>6190</v>
      </c>
    </row>
    <row r="259" spans="1:9" x14ac:dyDescent="0.25">
      <c r="A259" s="2" t="s">
        <v>1941</v>
      </c>
      <c r="B259" s="2" t="s">
        <v>1942</v>
      </c>
      <c r="C259" s="2" t="s">
        <v>1943</v>
      </c>
      <c r="D259" s="2" t="s">
        <v>1944</v>
      </c>
      <c r="E259" s="2" t="s">
        <v>1945</v>
      </c>
      <c r="F259" s="2" t="s">
        <v>121</v>
      </c>
      <c r="G259" s="2" t="s">
        <v>19</v>
      </c>
      <c r="H259" s="2">
        <v>33064</v>
      </c>
      <c r="I259" t="s">
        <v>6190</v>
      </c>
    </row>
    <row r="260" spans="1:9" x14ac:dyDescent="0.25">
      <c r="A260" s="2" t="s">
        <v>1947</v>
      </c>
      <c r="B260" s="2" t="s">
        <v>1948</v>
      </c>
      <c r="C260" s="2" t="s">
        <v>1949</v>
      </c>
      <c r="D260" s="2" t="s">
        <v>1950</v>
      </c>
      <c r="E260" s="2" t="s">
        <v>1951</v>
      </c>
      <c r="F260" s="2" t="s">
        <v>146</v>
      </c>
      <c r="G260" s="2" t="s">
        <v>19</v>
      </c>
      <c r="H260" s="2">
        <v>90610</v>
      </c>
      <c r="I260" t="s">
        <v>6191</v>
      </c>
    </row>
    <row r="261" spans="1:9" x14ac:dyDescent="0.25">
      <c r="A261" s="2" t="s">
        <v>1953</v>
      </c>
      <c r="B261" s="2" t="s">
        <v>1954</v>
      </c>
      <c r="C261" s="2" t="s">
        <v>1955</v>
      </c>
      <c r="D261" s="2" t="s">
        <v>1956</v>
      </c>
      <c r="E261" s="2" t="s">
        <v>1957</v>
      </c>
      <c r="F261" s="2" t="s">
        <v>176</v>
      </c>
      <c r="G261" s="2" t="s">
        <v>28</v>
      </c>
      <c r="H261" s="2" t="s">
        <v>177</v>
      </c>
      <c r="I261" t="s">
        <v>6191</v>
      </c>
    </row>
    <row r="262" spans="1:9" x14ac:dyDescent="0.25">
      <c r="A262" s="2" t="s">
        <v>1959</v>
      </c>
      <c r="B262" s="2" t="s">
        <v>1960</v>
      </c>
      <c r="C262" s="2" t="s">
        <v>1961</v>
      </c>
      <c r="D262" s="2"/>
      <c r="E262" s="2" t="s">
        <v>1962</v>
      </c>
      <c r="F262" s="2" t="s">
        <v>104</v>
      </c>
      <c r="G262" s="2" t="s">
        <v>19</v>
      </c>
      <c r="H262" s="2">
        <v>63180</v>
      </c>
      <c r="I262" t="s">
        <v>6190</v>
      </c>
    </row>
    <row r="263" spans="1:9" x14ac:dyDescent="0.25">
      <c r="A263" s="2" t="s">
        <v>1964</v>
      </c>
      <c r="B263" s="2" t="s">
        <v>1965</v>
      </c>
      <c r="C263" s="2" t="s">
        <v>1966</v>
      </c>
      <c r="D263" s="2" t="s">
        <v>1967</v>
      </c>
      <c r="E263" s="2" t="s">
        <v>1968</v>
      </c>
      <c r="F263" s="2" t="s">
        <v>179</v>
      </c>
      <c r="G263" s="2" t="s">
        <v>19</v>
      </c>
      <c r="H263" s="2">
        <v>16522</v>
      </c>
      <c r="I263" t="s">
        <v>6190</v>
      </c>
    </row>
    <row r="264" spans="1:9" x14ac:dyDescent="0.25">
      <c r="A264" s="2" t="s">
        <v>1970</v>
      </c>
      <c r="B264" s="2" t="s">
        <v>1971</v>
      </c>
      <c r="C264" s="2" t="s">
        <v>1972</v>
      </c>
      <c r="D264" s="2" t="s">
        <v>1973</v>
      </c>
      <c r="E264" s="2" t="s">
        <v>1974</v>
      </c>
      <c r="F264" s="2" t="s">
        <v>134</v>
      </c>
      <c r="G264" s="2" t="s">
        <v>19</v>
      </c>
      <c r="H264" s="2">
        <v>98464</v>
      </c>
      <c r="I264" t="s">
        <v>6191</v>
      </c>
    </row>
    <row r="265" spans="1:9" x14ac:dyDescent="0.25">
      <c r="A265" s="2" t="s">
        <v>1976</v>
      </c>
      <c r="B265" s="2" t="s">
        <v>1977</v>
      </c>
      <c r="C265" s="2"/>
      <c r="D265" s="2" t="s">
        <v>1978</v>
      </c>
      <c r="E265" s="2" t="s">
        <v>1979</v>
      </c>
      <c r="F265" s="2" t="s">
        <v>38</v>
      </c>
      <c r="G265" s="2" t="s">
        <v>19</v>
      </c>
      <c r="H265" s="2">
        <v>23277</v>
      </c>
      <c r="I265" t="s">
        <v>6191</v>
      </c>
    </row>
    <row r="266" spans="1:9" x14ac:dyDescent="0.25">
      <c r="A266" s="2" t="s">
        <v>1981</v>
      </c>
      <c r="B266" s="2" t="s">
        <v>1982</v>
      </c>
      <c r="C266" s="2"/>
      <c r="D266" s="2" t="s">
        <v>1983</v>
      </c>
      <c r="E266" s="2" t="s">
        <v>1984</v>
      </c>
      <c r="F266" s="2" t="s">
        <v>1985</v>
      </c>
      <c r="G266" s="2" t="s">
        <v>318</v>
      </c>
      <c r="H266" s="2" t="s">
        <v>444</v>
      </c>
      <c r="I266" t="s">
        <v>6190</v>
      </c>
    </row>
    <row r="267" spans="1:9" x14ac:dyDescent="0.25">
      <c r="A267" s="2" t="s">
        <v>1987</v>
      </c>
      <c r="B267" s="2" t="s">
        <v>1988</v>
      </c>
      <c r="C267" s="2" t="s">
        <v>1989</v>
      </c>
      <c r="D267" s="2" t="s">
        <v>1990</v>
      </c>
      <c r="E267" s="2" t="s">
        <v>1991</v>
      </c>
      <c r="F267" s="2" t="s">
        <v>88</v>
      </c>
      <c r="G267" s="2" t="s">
        <v>19</v>
      </c>
      <c r="H267" s="2">
        <v>72204</v>
      </c>
      <c r="I267" t="s">
        <v>6190</v>
      </c>
    </row>
    <row r="268" spans="1:9" x14ac:dyDescent="0.25">
      <c r="A268" s="2" t="s">
        <v>1993</v>
      </c>
      <c r="B268" s="2" t="s">
        <v>1994</v>
      </c>
      <c r="C268" s="2" t="s">
        <v>1995</v>
      </c>
      <c r="D268" s="2" t="s">
        <v>1996</v>
      </c>
      <c r="E268" s="2" t="s">
        <v>1997</v>
      </c>
      <c r="F268" s="2" t="s">
        <v>280</v>
      </c>
      <c r="G268" s="2" t="s">
        <v>28</v>
      </c>
      <c r="H268" s="2" t="s">
        <v>310</v>
      </c>
      <c r="I268" t="s">
        <v>6191</v>
      </c>
    </row>
    <row r="269" spans="1:9" x14ac:dyDescent="0.25">
      <c r="A269" s="2" t="s">
        <v>1999</v>
      </c>
      <c r="B269" s="2" t="s">
        <v>2000</v>
      </c>
      <c r="C269" s="2" t="s">
        <v>2001</v>
      </c>
      <c r="D269" s="2" t="s">
        <v>2002</v>
      </c>
      <c r="E269" s="2" t="s">
        <v>2003</v>
      </c>
      <c r="F269" s="2" t="s">
        <v>351</v>
      </c>
      <c r="G269" s="2" t="s">
        <v>19</v>
      </c>
      <c r="H269" s="2">
        <v>89436</v>
      </c>
      <c r="I269" t="s">
        <v>6190</v>
      </c>
    </row>
    <row r="270" spans="1:9" x14ac:dyDescent="0.25">
      <c r="A270" s="2" t="s">
        <v>2005</v>
      </c>
      <c r="B270" s="2" t="s">
        <v>2006</v>
      </c>
      <c r="C270" s="2"/>
      <c r="D270" s="2" t="s">
        <v>2007</v>
      </c>
      <c r="E270" s="2" t="s">
        <v>2008</v>
      </c>
      <c r="F270" s="2" t="s">
        <v>242</v>
      </c>
      <c r="G270" s="2" t="s">
        <v>19</v>
      </c>
      <c r="H270" s="2">
        <v>77806</v>
      </c>
      <c r="I270" t="s">
        <v>6190</v>
      </c>
    </row>
    <row r="271" spans="1:9" x14ac:dyDescent="0.25">
      <c r="A271" s="2" t="s">
        <v>2010</v>
      </c>
      <c r="B271" s="2" t="s">
        <v>2011</v>
      </c>
      <c r="C271" s="2" t="s">
        <v>2012</v>
      </c>
      <c r="D271" s="2" t="s">
        <v>2013</v>
      </c>
      <c r="E271" s="2" t="s">
        <v>2014</v>
      </c>
      <c r="F271" s="2" t="s">
        <v>190</v>
      </c>
      <c r="G271" s="2" t="s">
        <v>19</v>
      </c>
      <c r="H271" s="2">
        <v>76210</v>
      </c>
      <c r="I271" t="s">
        <v>6191</v>
      </c>
    </row>
    <row r="272" spans="1:9" x14ac:dyDescent="0.25">
      <c r="A272" s="2" t="s">
        <v>2016</v>
      </c>
      <c r="B272" s="2" t="s">
        <v>2017</v>
      </c>
      <c r="C272" s="2"/>
      <c r="D272" s="2"/>
      <c r="E272" s="2" t="s">
        <v>2018</v>
      </c>
      <c r="F272" s="2" t="s">
        <v>441</v>
      </c>
      <c r="G272" s="2" t="s">
        <v>318</v>
      </c>
      <c r="H272" s="2" t="s">
        <v>442</v>
      </c>
      <c r="I272" t="s">
        <v>6190</v>
      </c>
    </row>
    <row r="273" spans="1:9" x14ac:dyDescent="0.25">
      <c r="A273" s="2" t="s">
        <v>2020</v>
      </c>
      <c r="B273" s="2" t="s">
        <v>2021</v>
      </c>
      <c r="C273" s="2" t="s">
        <v>2022</v>
      </c>
      <c r="D273" s="2" t="s">
        <v>2023</v>
      </c>
      <c r="E273" s="2" t="s">
        <v>2024</v>
      </c>
      <c r="F273" s="2" t="s">
        <v>335</v>
      </c>
      <c r="G273" s="2" t="s">
        <v>19</v>
      </c>
      <c r="H273" s="2">
        <v>27635</v>
      </c>
      <c r="I273" t="s">
        <v>6190</v>
      </c>
    </row>
    <row r="274" spans="1:9" x14ac:dyDescent="0.25">
      <c r="A274" s="2" t="s">
        <v>2026</v>
      </c>
      <c r="B274" s="2" t="s">
        <v>2027</v>
      </c>
      <c r="C274" s="2" t="s">
        <v>2028</v>
      </c>
      <c r="D274" s="2" t="s">
        <v>2029</v>
      </c>
      <c r="E274" s="2" t="s">
        <v>2030</v>
      </c>
      <c r="F274" s="2" t="s">
        <v>2031</v>
      </c>
      <c r="G274" s="2" t="s">
        <v>318</v>
      </c>
      <c r="H274" s="2" t="s">
        <v>454</v>
      </c>
      <c r="I274" t="s">
        <v>6190</v>
      </c>
    </row>
    <row r="275" spans="1:9" x14ac:dyDescent="0.25">
      <c r="A275" s="2" t="s">
        <v>2033</v>
      </c>
      <c r="B275" s="2" t="s">
        <v>2034</v>
      </c>
      <c r="C275" s="2" t="s">
        <v>2035</v>
      </c>
      <c r="D275" s="2" t="s">
        <v>2036</v>
      </c>
      <c r="E275" s="2" t="s">
        <v>2037</v>
      </c>
      <c r="F275" s="2" t="s">
        <v>57</v>
      </c>
      <c r="G275" s="2" t="s">
        <v>19</v>
      </c>
      <c r="H275" s="2">
        <v>10105</v>
      </c>
      <c r="I275" t="s">
        <v>6191</v>
      </c>
    </row>
    <row r="276" spans="1:9" x14ac:dyDescent="0.25">
      <c r="A276" s="2" t="s">
        <v>2039</v>
      </c>
      <c r="B276" s="2" t="s">
        <v>2040</v>
      </c>
      <c r="C276" s="2" t="s">
        <v>2041</v>
      </c>
      <c r="D276" s="2" t="s">
        <v>2042</v>
      </c>
      <c r="E276" s="2" t="s">
        <v>2043</v>
      </c>
      <c r="F276" s="2" t="s">
        <v>165</v>
      </c>
      <c r="G276" s="2" t="s">
        <v>19</v>
      </c>
      <c r="H276" s="2">
        <v>6905</v>
      </c>
      <c r="I276" t="s">
        <v>6191</v>
      </c>
    </row>
    <row r="277" spans="1:9" x14ac:dyDescent="0.25">
      <c r="A277" s="2" t="s">
        <v>2045</v>
      </c>
      <c r="B277" s="2" t="s">
        <v>2046</v>
      </c>
      <c r="C277" s="2" t="s">
        <v>2047</v>
      </c>
      <c r="D277" s="2" t="s">
        <v>2048</v>
      </c>
      <c r="E277" s="2" t="s">
        <v>2049</v>
      </c>
      <c r="F277" s="2" t="s">
        <v>260</v>
      </c>
      <c r="G277" s="2" t="s">
        <v>19</v>
      </c>
      <c r="H277" s="2">
        <v>43666</v>
      </c>
      <c r="I277" t="s">
        <v>6191</v>
      </c>
    </row>
    <row r="278" spans="1:9" x14ac:dyDescent="0.25">
      <c r="A278" s="2" t="s">
        <v>2051</v>
      </c>
      <c r="B278" s="2" t="s">
        <v>2052</v>
      </c>
      <c r="C278" s="2" t="s">
        <v>2053</v>
      </c>
      <c r="D278" s="2" t="s">
        <v>2054</v>
      </c>
      <c r="E278" s="2" t="s">
        <v>2055</v>
      </c>
      <c r="F278" s="2" t="s">
        <v>325</v>
      </c>
      <c r="G278" s="2" t="s">
        <v>318</v>
      </c>
      <c r="H278" s="2" t="s">
        <v>326</v>
      </c>
      <c r="I278" t="s">
        <v>6190</v>
      </c>
    </row>
    <row r="279" spans="1:9" x14ac:dyDescent="0.25">
      <c r="A279" s="2" t="s">
        <v>2057</v>
      </c>
      <c r="B279" s="2" t="s">
        <v>2058</v>
      </c>
      <c r="C279" s="2" t="s">
        <v>2059</v>
      </c>
      <c r="D279" s="2" t="s">
        <v>2060</v>
      </c>
      <c r="E279" s="2" t="s">
        <v>2061</v>
      </c>
      <c r="F279" s="2" t="s">
        <v>60</v>
      </c>
      <c r="G279" s="2" t="s">
        <v>19</v>
      </c>
      <c r="H279" s="2">
        <v>65211</v>
      </c>
      <c r="I279" t="s">
        <v>6191</v>
      </c>
    </row>
    <row r="280" spans="1:9" x14ac:dyDescent="0.25">
      <c r="A280" s="2" t="s">
        <v>2063</v>
      </c>
      <c r="B280" s="2" t="s">
        <v>2064</v>
      </c>
      <c r="C280" s="2" t="s">
        <v>2065</v>
      </c>
      <c r="D280" s="2" t="s">
        <v>2066</v>
      </c>
      <c r="E280" s="2" t="s">
        <v>2067</v>
      </c>
      <c r="F280" s="2" t="s">
        <v>66</v>
      </c>
      <c r="G280" s="2" t="s">
        <v>19</v>
      </c>
      <c r="H280" s="2">
        <v>46852</v>
      </c>
      <c r="I280" t="s">
        <v>6190</v>
      </c>
    </row>
    <row r="281" spans="1:9" x14ac:dyDescent="0.25">
      <c r="A281" s="2" t="s">
        <v>2069</v>
      </c>
      <c r="B281" s="2" t="s">
        <v>2070</v>
      </c>
      <c r="C281" s="2" t="s">
        <v>2071</v>
      </c>
      <c r="D281" s="2" t="s">
        <v>2072</v>
      </c>
      <c r="E281" s="2" t="s">
        <v>2073</v>
      </c>
      <c r="F281" s="2" t="s">
        <v>104</v>
      </c>
      <c r="G281" s="2" t="s">
        <v>19</v>
      </c>
      <c r="H281" s="2">
        <v>63143</v>
      </c>
      <c r="I281" t="s">
        <v>6190</v>
      </c>
    </row>
    <row r="282" spans="1:9" x14ac:dyDescent="0.25">
      <c r="A282" s="2" t="s">
        <v>2075</v>
      </c>
      <c r="B282" s="2" t="s">
        <v>2076</v>
      </c>
      <c r="C282" s="2"/>
      <c r="D282" s="2" t="s">
        <v>2077</v>
      </c>
      <c r="E282" s="2" t="s">
        <v>2078</v>
      </c>
      <c r="F282" s="2" t="s">
        <v>189</v>
      </c>
      <c r="G282" s="2" t="s">
        <v>19</v>
      </c>
      <c r="H282" s="2">
        <v>97211</v>
      </c>
      <c r="I282" t="s">
        <v>6190</v>
      </c>
    </row>
    <row r="283" spans="1:9" x14ac:dyDescent="0.25">
      <c r="A283" s="2" t="s">
        <v>2080</v>
      </c>
      <c r="B283" s="2" t="s">
        <v>2081</v>
      </c>
      <c r="C283" s="2" t="s">
        <v>2082</v>
      </c>
      <c r="D283" s="2" t="s">
        <v>2083</v>
      </c>
      <c r="E283" s="2" t="s">
        <v>2084</v>
      </c>
      <c r="F283" s="2" t="s">
        <v>112</v>
      </c>
      <c r="G283" s="2" t="s">
        <v>19</v>
      </c>
      <c r="H283" s="2">
        <v>80305</v>
      </c>
      <c r="I283" t="s">
        <v>6190</v>
      </c>
    </row>
    <row r="284" spans="1:9" x14ac:dyDescent="0.25">
      <c r="A284" s="2" t="s">
        <v>2086</v>
      </c>
      <c r="B284" s="2" t="s">
        <v>2087</v>
      </c>
      <c r="C284" s="2" t="s">
        <v>2088</v>
      </c>
      <c r="D284" s="2" t="s">
        <v>2089</v>
      </c>
      <c r="E284" s="2" t="s">
        <v>2090</v>
      </c>
      <c r="F284" s="2" t="s">
        <v>220</v>
      </c>
      <c r="G284" s="2" t="s">
        <v>28</v>
      </c>
      <c r="H284" s="2" t="s">
        <v>336</v>
      </c>
      <c r="I284" t="s">
        <v>6191</v>
      </c>
    </row>
    <row r="285" spans="1:9" x14ac:dyDescent="0.25">
      <c r="A285" s="2" t="s">
        <v>2092</v>
      </c>
      <c r="B285" s="2" t="s">
        <v>2093</v>
      </c>
      <c r="C285" s="2" t="s">
        <v>2094</v>
      </c>
      <c r="D285" s="2" t="s">
        <v>2095</v>
      </c>
      <c r="E285" s="2" t="s">
        <v>2096</v>
      </c>
      <c r="F285" s="2" t="s">
        <v>176</v>
      </c>
      <c r="G285" s="2" t="s">
        <v>28</v>
      </c>
      <c r="H285" s="2" t="s">
        <v>177</v>
      </c>
      <c r="I285" t="s">
        <v>6190</v>
      </c>
    </row>
    <row r="286" spans="1:9" x14ac:dyDescent="0.25">
      <c r="A286" s="2" t="s">
        <v>2098</v>
      </c>
      <c r="B286" s="2" t="s">
        <v>2099</v>
      </c>
      <c r="C286" s="2"/>
      <c r="D286" s="2" t="s">
        <v>2100</v>
      </c>
      <c r="E286" s="2" t="s">
        <v>2101</v>
      </c>
      <c r="F286" s="2" t="s">
        <v>44</v>
      </c>
      <c r="G286" s="2" t="s">
        <v>19</v>
      </c>
      <c r="H286" s="2">
        <v>40298</v>
      </c>
      <c r="I286" t="s">
        <v>6191</v>
      </c>
    </row>
    <row r="287" spans="1:9" x14ac:dyDescent="0.25">
      <c r="A287" s="2" t="s">
        <v>2103</v>
      </c>
      <c r="B287" s="2" t="s">
        <v>2104</v>
      </c>
      <c r="C287" s="2"/>
      <c r="D287" s="2" t="s">
        <v>2105</v>
      </c>
      <c r="E287" s="2" t="s">
        <v>2106</v>
      </c>
      <c r="F287" s="2" t="s">
        <v>120</v>
      </c>
      <c r="G287" s="2" t="s">
        <v>19</v>
      </c>
      <c r="H287" s="2">
        <v>14276</v>
      </c>
      <c r="I287" t="s">
        <v>6191</v>
      </c>
    </row>
    <row r="288" spans="1:9" x14ac:dyDescent="0.25">
      <c r="A288" s="2" t="s">
        <v>2108</v>
      </c>
      <c r="B288" s="2" t="s">
        <v>2109</v>
      </c>
      <c r="C288" s="2" t="s">
        <v>2110</v>
      </c>
      <c r="D288" s="2"/>
      <c r="E288" s="2" t="s">
        <v>2111</v>
      </c>
      <c r="F288" s="2" t="s">
        <v>303</v>
      </c>
      <c r="G288" s="2" t="s">
        <v>19</v>
      </c>
      <c r="H288" s="2">
        <v>44710</v>
      </c>
      <c r="I288" t="s">
        <v>6190</v>
      </c>
    </row>
    <row r="289" spans="1:9" x14ac:dyDescent="0.25">
      <c r="A289" s="2" t="s">
        <v>2113</v>
      </c>
      <c r="B289" s="2" t="s">
        <v>2114</v>
      </c>
      <c r="C289" s="2" t="s">
        <v>2115</v>
      </c>
      <c r="D289" s="2" t="s">
        <v>2116</v>
      </c>
      <c r="E289" s="2" t="s">
        <v>2117</v>
      </c>
      <c r="F289" s="2" t="s">
        <v>241</v>
      </c>
      <c r="G289" s="2" t="s">
        <v>19</v>
      </c>
      <c r="H289" s="2">
        <v>2114</v>
      </c>
      <c r="I289" t="s">
        <v>6191</v>
      </c>
    </row>
    <row r="290" spans="1:9" x14ac:dyDescent="0.25">
      <c r="A290" s="2" t="s">
        <v>2119</v>
      </c>
      <c r="B290" s="2" t="s">
        <v>2120</v>
      </c>
      <c r="C290" s="2"/>
      <c r="D290" s="2" t="s">
        <v>2121</v>
      </c>
      <c r="E290" s="2" t="s">
        <v>2122</v>
      </c>
      <c r="F290" s="2" t="s">
        <v>403</v>
      </c>
      <c r="G290" s="2" t="s">
        <v>318</v>
      </c>
      <c r="H290" s="2" t="s">
        <v>404</v>
      </c>
      <c r="I290" t="s">
        <v>6190</v>
      </c>
    </row>
    <row r="291" spans="1:9" x14ac:dyDescent="0.25">
      <c r="A291" s="2" t="s">
        <v>2124</v>
      </c>
      <c r="B291" s="2" t="s">
        <v>2125</v>
      </c>
      <c r="C291" s="2"/>
      <c r="D291" s="2"/>
      <c r="E291" s="2" t="s">
        <v>2126</v>
      </c>
      <c r="F291" s="2" t="s">
        <v>222</v>
      </c>
      <c r="G291" s="2" t="s">
        <v>19</v>
      </c>
      <c r="H291" s="2">
        <v>24515</v>
      </c>
      <c r="I291" t="s">
        <v>6190</v>
      </c>
    </row>
    <row r="292" spans="1:9" x14ac:dyDescent="0.25">
      <c r="A292" s="2" t="s">
        <v>2128</v>
      </c>
      <c r="B292" s="2" t="s">
        <v>2129</v>
      </c>
      <c r="C292" s="2" t="s">
        <v>2130</v>
      </c>
      <c r="D292" s="2" t="s">
        <v>2131</v>
      </c>
      <c r="E292" s="2" t="s">
        <v>2132</v>
      </c>
      <c r="F292" s="2" t="s">
        <v>27</v>
      </c>
      <c r="G292" s="2" t="s">
        <v>19</v>
      </c>
      <c r="H292" s="2">
        <v>90071</v>
      </c>
      <c r="I292" t="s">
        <v>6191</v>
      </c>
    </row>
    <row r="293" spans="1:9" x14ac:dyDescent="0.25">
      <c r="A293" s="2" t="s">
        <v>2134</v>
      </c>
      <c r="B293" s="2" t="s">
        <v>2135</v>
      </c>
      <c r="C293" s="2"/>
      <c r="D293" s="2"/>
      <c r="E293" s="2" t="s">
        <v>2136</v>
      </c>
      <c r="F293" s="2" t="s">
        <v>447</v>
      </c>
      <c r="G293" s="2" t="s">
        <v>318</v>
      </c>
      <c r="H293" s="2" t="s">
        <v>410</v>
      </c>
      <c r="I293" t="s">
        <v>6191</v>
      </c>
    </row>
    <row r="294" spans="1:9" x14ac:dyDescent="0.25">
      <c r="A294" s="2" t="s">
        <v>2138</v>
      </c>
      <c r="B294" s="2" t="s">
        <v>2139</v>
      </c>
      <c r="C294" s="2" t="s">
        <v>2140</v>
      </c>
      <c r="D294" s="2"/>
      <c r="E294" s="2" t="s">
        <v>2141</v>
      </c>
      <c r="F294" s="2" t="s">
        <v>144</v>
      </c>
      <c r="G294" s="2" t="s">
        <v>19</v>
      </c>
      <c r="H294" s="2">
        <v>35236</v>
      </c>
      <c r="I294" t="s">
        <v>6191</v>
      </c>
    </row>
    <row r="295" spans="1:9" x14ac:dyDescent="0.25">
      <c r="A295" s="2" t="s">
        <v>2143</v>
      </c>
      <c r="B295" s="2" t="s">
        <v>2144</v>
      </c>
      <c r="C295" s="2" t="s">
        <v>2145</v>
      </c>
      <c r="D295" s="2" t="s">
        <v>2146</v>
      </c>
      <c r="E295" s="2" t="s">
        <v>2147</v>
      </c>
      <c r="F295" s="2" t="s">
        <v>164</v>
      </c>
      <c r="G295" s="2" t="s">
        <v>19</v>
      </c>
      <c r="H295" s="2">
        <v>22309</v>
      </c>
      <c r="I295" t="s">
        <v>6191</v>
      </c>
    </row>
    <row r="296" spans="1:9" x14ac:dyDescent="0.25">
      <c r="A296" s="2" t="s">
        <v>2149</v>
      </c>
      <c r="B296" s="2" t="s">
        <v>2150</v>
      </c>
      <c r="C296" s="2"/>
      <c r="D296" s="2" t="s">
        <v>2151</v>
      </c>
      <c r="E296" s="2" t="s">
        <v>2152</v>
      </c>
      <c r="F296" s="2" t="s">
        <v>170</v>
      </c>
      <c r="G296" s="2" t="s">
        <v>19</v>
      </c>
      <c r="H296" s="2">
        <v>6816</v>
      </c>
      <c r="I296" t="s">
        <v>6191</v>
      </c>
    </row>
    <row r="297" spans="1:9" x14ac:dyDescent="0.25">
      <c r="A297" s="2" t="s">
        <v>2154</v>
      </c>
      <c r="B297" s="2" t="s">
        <v>2155</v>
      </c>
      <c r="C297" s="2"/>
      <c r="D297" s="2"/>
      <c r="E297" s="2" t="s">
        <v>2156</v>
      </c>
      <c r="F297" s="2" t="s">
        <v>198</v>
      </c>
      <c r="G297" s="2" t="s">
        <v>19</v>
      </c>
      <c r="H297" s="2">
        <v>12205</v>
      </c>
      <c r="I297" t="s">
        <v>6191</v>
      </c>
    </row>
    <row r="298" spans="1:9" x14ac:dyDescent="0.25">
      <c r="A298" s="2" t="s">
        <v>2158</v>
      </c>
      <c r="B298" s="2" t="s">
        <v>2159</v>
      </c>
      <c r="C298" s="2" t="s">
        <v>2160</v>
      </c>
      <c r="D298" s="2" t="s">
        <v>2161</v>
      </c>
      <c r="E298" s="2" t="s">
        <v>2162</v>
      </c>
      <c r="F298" s="2" t="s">
        <v>267</v>
      </c>
      <c r="G298" s="2" t="s">
        <v>19</v>
      </c>
      <c r="H298" s="2">
        <v>34108</v>
      </c>
      <c r="I298" t="s">
        <v>6190</v>
      </c>
    </row>
    <row r="299" spans="1:9" x14ac:dyDescent="0.25">
      <c r="A299" s="2" t="s">
        <v>2164</v>
      </c>
      <c r="B299" s="2" t="s">
        <v>2165</v>
      </c>
      <c r="C299" s="2" t="s">
        <v>2166</v>
      </c>
      <c r="D299" s="2" t="s">
        <v>2167</v>
      </c>
      <c r="E299" s="2" t="s">
        <v>2168</v>
      </c>
      <c r="F299" s="2" t="s">
        <v>195</v>
      </c>
      <c r="G299" s="2" t="s">
        <v>19</v>
      </c>
      <c r="H299" s="2">
        <v>33141</v>
      </c>
      <c r="I299" t="s">
        <v>6190</v>
      </c>
    </row>
    <row r="300" spans="1:9" x14ac:dyDescent="0.25">
      <c r="A300" s="2" t="s">
        <v>2170</v>
      </c>
      <c r="B300" s="2" t="s">
        <v>2171</v>
      </c>
      <c r="C300" s="2" t="s">
        <v>2172</v>
      </c>
      <c r="D300" s="2" t="s">
        <v>2173</v>
      </c>
      <c r="E300" s="2" t="s">
        <v>2174</v>
      </c>
      <c r="F300" s="2" t="s">
        <v>84</v>
      </c>
      <c r="G300" s="2" t="s">
        <v>19</v>
      </c>
      <c r="H300" s="2">
        <v>30358</v>
      </c>
      <c r="I300" t="s">
        <v>6190</v>
      </c>
    </row>
    <row r="301" spans="1:9" x14ac:dyDescent="0.25">
      <c r="A301" s="2" t="s">
        <v>2176</v>
      </c>
      <c r="B301" s="2" t="s">
        <v>2177</v>
      </c>
      <c r="C301" s="2" t="s">
        <v>2178</v>
      </c>
      <c r="D301" s="2" t="s">
        <v>2179</v>
      </c>
      <c r="E301" s="2" t="s">
        <v>2180</v>
      </c>
      <c r="F301" s="2" t="s">
        <v>228</v>
      </c>
      <c r="G301" s="2" t="s">
        <v>19</v>
      </c>
      <c r="H301" s="2">
        <v>78405</v>
      </c>
      <c r="I301" t="s">
        <v>6190</v>
      </c>
    </row>
    <row r="302" spans="1:9" x14ac:dyDescent="0.25">
      <c r="A302" s="2" t="s">
        <v>2182</v>
      </c>
      <c r="B302" s="2" t="s">
        <v>2183</v>
      </c>
      <c r="C302" s="2" t="s">
        <v>2184</v>
      </c>
      <c r="D302" s="2" t="s">
        <v>2185</v>
      </c>
      <c r="E302" s="2" t="s">
        <v>2186</v>
      </c>
      <c r="F302" s="2" t="s">
        <v>73</v>
      </c>
      <c r="G302" s="2" t="s">
        <v>19</v>
      </c>
      <c r="H302" s="2">
        <v>96835</v>
      </c>
      <c r="I302" t="s">
        <v>6190</v>
      </c>
    </row>
    <row r="303" spans="1:9" x14ac:dyDescent="0.25">
      <c r="A303" s="2" t="s">
        <v>2188</v>
      </c>
      <c r="B303" s="2" t="s">
        <v>2189</v>
      </c>
      <c r="C303" s="2" t="s">
        <v>2190</v>
      </c>
      <c r="D303" s="2" t="s">
        <v>2191</v>
      </c>
      <c r="E303" s="2" t="s">
        <v>2192</v>
      </c>
      <c r="F303" s="2" t="s">
        <v>123</v>
      </c>
      <c r="G303" s="2" t="s">
        <v>19</v>
      </c>
      <c r="H303" s="2">
        <v>78737</v>
      </c>
      <c r="I303" t="s">
        <v>6190</v>
      </c>
    </row>
    <row r="304" spans="1:9" x14ac:dyDescent="0.25">
      <c r="A304" s="2" t="s">
        <v>2194</v>
      </c>
      <c r="B304" s="2" t="s">
        <v>2195</v>
      </c>
      <c r="C304" s="2" t="s">
        <v>2196</v>
      </c>
      <c r="D304" s="2" t="s">
        <v>2197</v>
      </c>
      <c r="E304" s="2" t="s">
        <v>2198</v>
      </c>
      <c r="F304" s="2" t="s">
        <v>20</v>
      </c>
      <c r="G304" s="2" t="s">
        <v>19</v>
      </c>
      <c r="H304" s="2">
        <v>21290</v>
      </c>
      <c r="I304" t="s">
        <v>6191</v>
      </c>
    </row>
    <row r="305" spans="1:9" x14ac:dyDescent="0.25">
      <c r="A305" s="2" t="s">
        <v>2200</v>
      </c>
      <c r="B305" s="2" t="s">
        <v>2201</v>
      </c>
      <c r="C305" s="2" t="s">
        <v>2202</v>
      </c>
      <c r="D305" s="2"/>
      <c r="E305" s="2" t="s">
        <v>2203</v>
      </c>
      <c r="F305" s="2" t="s">
        <v>43</v>
      </c>
      <c r="G305" s="2" t="s">
        <v>19</v>
      </c>
      <c r="H305" s="2">
        <v>40596</v>
      </c>
      <c r="I305" t="s">
        <v>6190</v>
      </c>
    </row>
    <row r="306" spans="1:9" x14ac:dyDescent="0.25">
      <c r="A306" s="2" t="s">
        <v>2205</v>
      </c>
      <c r="B306" s="2" t="s">
        <v>2206</v>
      </c>
      <c r="C306" s="2" t="s">
        <v>2207</v>
      </c>
      <c r="D306" s="2"/>
      <c r="E306" s="2" t="s">
        <v>2208</v>
      </c>
      <c r="F306" s="2" t="s">
        <v>316</v>
      </c>
      <c r="G306" s="2" t="s">
        <v>19</v>
      </c>
      <c r="H306" s="2">
        <v>60435</v>
      </c>
      <c r="I306" t="s">
        <v>6190</v>
      </c>
    </row>
    <row r="307" spans="1:9" x14ac:dyDescent="0.25">
      <c r="A307" s="2" t="s">
        <v>2210</v>
      </c>
      <c r="B307" s="2" t="s">
        <v>2211</v>
      </c>
      <c r="C307" s="2" t="s">
        <v>2212</v>
      </c>
      <c r="D307" s="2" t="s">
        <v>2213</v>
      </c>
      <c r="E307" s="2" t="s">
        <v>2214</v>
      </c>
      <c r="F307" s="2" t="s">
        <v>273</v>
      </c>
      <c r="G307" s="2" t="s">
        <v>28</v>
      </c>
      <c r="H307" s="2" t="s">
        <v>274</v>
      </c>
      <c r="I307" t="s">
        <v>6191</v>
      </c>
    </row>
    <row r="308" spans="1:9" x14ac:dyDescent="0.25">
      <c r="A308" s="2" t="s">
        <v>2216</v>
      </c>
      <c r="B308" s="2" t="s">
        <v>2217</v>
      </c>
      <c r="C308" s="2" t="s">
        <v>2218</v>
      </c>
      <c r="D308" s="2" t="s">
        <v>2219</v>
      </c>
      <c r="E308" s="2" t="s">
        <v>2220</v>
      </c>
      <c r="F308" s="2" t="s">
        <v>236</v>
      </c>
      <c r="G308" s="2" t="s">
        <v>19</v>
      </c>
      <c r="H308" s="2">
        <v>68505</v>
      </c>
      <c r="I308" t="s">
        <v>6191</v>
      </c>
    </row>
    <row r="309" spans="1:9" x14ac:dyDescent="0.25">
      <c r="A309" s="2" t="s">
        <v>2222</v>
      </c>
      <c r="B309" s="2" t="s">
        <v>2223</v>
      </c>
      <c r="C309" s="2" t="s">
        <v>2224</v>
      </c>
      <c r="D309" s="2" t="s">
        <v>2225</v>
      </c>
      <c r="E309" s="2" t="s">
        <v>2226</v>
      </c>
      <c r="F309" s="2" t="s">
        <v>51</v>
      </c>
      <c r="G309" s="2" t="s">
        <v>19</v>
      </c>
      <c r="H309" s="2">
        <v>45254</v>
      </c>
      <c r="I309" t="s">
        <v>6190</v>
      </c>
    </row>
    <row r="310" spans="1:9" x14ac:dyDescent="0.25">
      <c r="A310" s="2" t="s">
        <v>2228</v>
      </c>
      <c r="B310" s="2" t="s">
        <v>2229</v>
      </c>
      <c r="C310" s="2" t="s">
        <v>2230</v>
      </c>
      <c r="D310" s="2"/>
      <c r="E310" s="2" t="s">
        <v>2231</v>
      </c>
      <c r="F310" s="2" t="s">
        <v>176</v>
      </c>
      <c r="G310" s="2" t="s">
        <v>28</v>
      </c>
      <c r="H310" s="2" t="s">
        <v>177</v>
      </c>
      <c r="I310" t="s">
        <v>6191</v>
      </c>
    </row>
    <row r="311" spans="1:9" x14ac:dyDescent="0.25">
      <c r="A311" s="2" t="s">
        <v>2233</v>
      </c>
      <c r="B311" s="2" t="s">
        <v>2234</v>
      </c>
      <c r="C311" s="2" t="s">
        <v>2235</v>
      </c>
      <c r="D311" s="2" t="s">
        <v>2236</v>
      </c>
      <c r="E311" s="2" t="s">
        <v>2237</v>
      </c>
      <c r="F311" s="2" t="s">
        <v>379</v>
      </c>
      <c r="G311" s="2" t="s">
        <v>19</v>
      </c>
      <c r="H311" s="2">
        <v>6127</v>
      </c>
      <c r="I311" t="s">
        <v>6190</v>
      </c>
    </row>
    <row r="312" spans="1:9" x14ac:dyDescent="0.25">
      <c r="A312" s="2" t="s">
        <v>2239</v>
      </c>
      <c r="B312" s="2" t="s">
        <v>2240</v>
      </c>
      <c r="C312" s="2" t="s">
        <v>2241</v>
      </c>
      <c r="D312" s="2" t="s">
        <v>2242</v>
      </c>
      <c r="E312" s="2" t="s">
        <v>2243</v>
      </c>
      <c r="F312" s="2" t="s">
        <v>327</v>
      </c>
      <c r="G312" s="2" t="s">
        <v>318</v>
      </c>
      <c r="H312" s="2" t="s">
        <v>321</v>
      </c>
      <c r="I312" t="s">
        <v>6191</v>
      </c>
    </row>
    <row r="313" spans="1:9" x14ac:dyDescent="0.25">
      <c r="A313" s="2" t="s">
        <v>2245</v>
      </c>
      <c r="B313" s="2" t="s">
        <v>2246</v>
      </c>
      <c r="C313" s="2" t="s">
        <v>2247</v>
      </c>
      <c r="D313" s="2" t="s">
        <v>2248</v>
      </c>
      <c r="E313" s="2" t="s">
        <v>2249</v>
      </c>
      <c r="F313" s="2" t="s">
        <v>35</v>
      </c>
      <c r="G313" s="2" t="s">
        <v>19</v>
      </c>
      <c r="H313" s="2">
        <v>28299</v>
      </c>
      <c r="I313" t="s">
        <v>6190</v>
      </c>
    </row>
    <row r="314" spans="1:9" x14ac:dyDescent="0.25">
      <c r="A314" s="2" t="s">
        <v>2251</v>
      </c>
      <c r="B314" s="2" t="s">
        <v>2252</v>
      </c>
      <c r="C314" s="2" t="s">
        <v>2253</v>
      </c>
      <c r="D314" s="2" t="s">
        <v>2254</v>
      </c>
      <c r="E314" s="2" t="s">
        <v>2255</v>
      </c>
      <c r="F314" s="2" t="s">
        <v>164</v>
      </c>
      <c r="G314" s="2" t="s">
        <v>19</v>
      </c>
      <c r="H314" s="2">
        <v>71307</v>
      </c>
      <c r="I314" t="s">
        <v>6190</v>
      </c>
    </row>
    <row r="315" spans="1:9" x14ac:dyDescent="0.25">
      <c r="A315" s="2" t="s">
        <v>2257</v>
      </c>
      <c r="B315" s="2" t="s">
        <v>2258</v>
      </c>
      <c r="C315" s="2" t="s">
        <v>2259</v>
      </c>
      <c r="D315" s="2" t="s">
        <v>2260</v>
      </c>
      <c r="E315" s="2" t="s">
        <v>2261</v>
      </c>
      <c r="F315" s="2" t="s">
        <v>365</v>
      </c>
      <c r="G315" s="2" t="s">
        <v>28</v>
      </c>
      <c r="H315" s="2" t="s">
        <v>366</v>
      </c>
      <c r="I315" t="s">
        <v>6190</v>
      </c>
    </row>
    <row r="316" spans="1:9" x14ac:dyDescent="0.25">
      <c r="A316" s="2" t="s">
        <v>2263</v>
      </c>
      <c r="B316" s="2" t="s">
        <v>2264</v>
      </c>
      <c r="C316" s="2"/>
      <c r="D316" s="2" t="s">
        <v>2265</v>
      </c>
      <c r="E316" s="2" t="s">
        <v>2266</v>
      </c>
      <c r="F316" s="2" t="s">
        <v>107</v>
      </c>
      <c r="G316" s="2" t="s">
        <v>19</v>
      </c>
      <c r="H316" s="2">
        <v>89115</v>
      </c>
      <c r="I316" t="s">
        <v>6191</v>
      </c>
    </row>
    <row r="317" spans="1:9" x14ac:dyDescent="0.25">
      <c r="A317" s="2" t="s">
        <v>2268</v>
      </c>
      <c r="B317" s="2" t="s">
        <v>2269</v>
      </c>
      <c r="C317" s="2" t="s">
        <v>2270</v>
      </c>
      <c r="D317" s="2" t="s">
        <v>2271</v>
      </c>
      <c r="E317" s="2" t="s">
        <v>2272</v>
      </c>
      <c r="F317" s="2" t="s">
        <v>169</v>
      </c>
      <c r="G317" s="2" t="s">
        <v>19</v>
      </c>
      <c r="H317" s="2">
        <v>50369</v>
      </c>
      <c r="I317" t="s">
        <v>6190</v>
      </c>
    </row>
    <row r="318" spans="1:9" x14ac:dyDescent="0.25">
      <c r="A318" s="2" t="s">
        <v>2274</v>
      </c>
      <c r="B318" s="2" t="s">
        <v>2275</v>
      </c>
      <c r="C318" s="2" t="s">
        <v>2276</v>
      </c>
      <c r="D318" s="2" t="s">
        <v>2277</v>
      </c>
      <c r="E318" s="2" t="s">
        <v>2278</v>
      </c>
      <c r="F318" s="2" t="s">
        <v>1282</v>
      </c>
      <c r="G318" s="2" t="s">
        <v>318</v>
      </c>
      <c r="H318" s="2" t="s">
        <v>444</v>
      </c>
      <c r="I318" t="s">
        <v>6191</v>
      </c>
    </row>
    <row r="319" spans="1:9" x14ac:dyDescent="0.25">
      <c r="A319" s="2" t="s">
        <v>2280</v>
      </c>
      <c r="B319" s="2" t="s">
        <v>2281</v>
      </c>
      <c r="C319" s="2" t="s">
        <v>2282</v>
      </c>
      <c r="D319" s="2" t="s">
        <v>2283</v>
      </c>
      <c r="E319" s="2" t="s">
        <v>2284</v>
      </c>
      <c r="F319" s="2" t="s">
        <v>75</v>
      </c>
      <c r="G319" s="2" t="s">
        <v>19</v>
      </c>
      <c r="H319" s="2">
        <v>44315</v>
      </c>
      <c r="I319" t="s">
        <v>6191</v>
      </c>
    </row>
    <row r="320" spans="1:9" x14ac:dyDescent="0.25">
      <c r="A320" s="2" t="s">
        <v>2286</v>
      </c>
      <c r="B320" s="2" t="s">
        <v>2287</v>
      </c>
      <c r="C320" s="2" t="s">
        <v>2288</v>
      </c>
      <c r="D320" s="2" t="s">
        <v>2289</v>
      </c>
      <c r="E320" s="2" t="s">
        <v>2290</v>
      </c>
      <c r="F320" s="2" t="s">
        <v>29</v>
      </c>
      <c r="G320" s="2" t="s">
        <v>19</v>
      </c>
      <c r="H320" s="2">
        <v>33405</v>
      </c>
      <c r="I320" t="s">
        <v>6190</v>
      </c>
    </row>
    <row r="321" spans="1:9" x14ac:dyDescent="0.25">
      <c r="A321" s="2" t="s">
        <v>2292</v>
      </c>
      <c r="B321" s="2" t="s">
        <v>2293</v>
      </c>
      <c r="C321" s="2" t="s">
        <v>2294</v>
      </c>
      <c r="D321" s="2"/>
      <c r="E321" s="2" t="s">
        <v>2295</v>
      </c>
      <c r="F321" s="2" t="s">
        <v>30</v>
      </c>
      <c r="G321" s="2" t="s">
        <v>19</v>
      </c>
      <c r="H321" s="2">
        <v>93715</v>
      </c>
      <c r="I321" t="s">
        <v>6190</v>
      </c>
    </row>
    <row r="322" spans="1:9" x14ac:dyDescent="0.25">
      <c r="A322" s="2" t="s">
        <v>2296</v>
      </c>
      <c r="B322" s="2" t="s">
        <v>2297</v>
      </c>
      <c r="C322" s="2" t="s">
        <v>2298</v>
      </c>
      <c r="D322" s="2" t="s">
        <v>2299</v>
      </c>
      <c r="E322" s="2" t="s">
        <v>2300</v>
      </c>
      <c r="F322" s="2" t="s">
        <v>213</v>
      </c>
      <c r="G322" s="2" t="s">
        <v>19</v>
      </c>
      <c r="H322" s="2">
        <v>52245</v>
      </c>
      <c r="I322" t="s">
        <v>6190</v>
      </c>
    </row>
    <row r="323" spans="1:9" x14ac:dyDescent="0.25">
      <c r="A323" s="2" t="s">
        <v>2302</v>
      </c>
      <c r="B323" s="2" t="s">
        <v>2303</v>
      </c>
      <c r="C323" s="2" t="s">
        <v>2304</v>
      </c>
      <c r="D323" s="2" t="s">
        <v>2305</v>
      </c>
      <c r="E323" s="2" t="s">
        <v>2306</v>
      </c>
      <c r="F323" s="2" t="s">
        <v>390</v>
      </c>
      <c r="G323" s="2" t="s">
        <v>318</v>
      </c>
      <c r="H323" s="2" t="s">
        <v>348</v>
      </c>
      <c r="I323" t="s">
        <v>6190</v>
      </c>
    </row>
    <row r="324" spans="1:9" x14ac:dyDescent="0.25">
      <c r="A324" s="2" t="s">
        <v>2308</v>
      </c>
      <c r="B324" s="2" t="s">
        <v>2309</v>
      </c>
      <c r="C324" s="2" t="s">
        <v>2310</v>
      </c>
      <c r="D324" s="2" t="s">
        <v>2311</v>
      </c>
      <c r="E324" s="2" t="s">
        <v>2312</v>
      </c>
      <c r="F324" s="2" t="s">
        <v>455</v>
      </c>
      <c r="G324" s="2" t="s">
        <v>318</v>
      </c>
      <c r="H324" s="2" t="s">
        <v>348</v>
      </c>
      <c r="I324" t="s">
        <v>6191</v>
      </c>
    </row>
    <row r="325" spans="1:9" x14ac:dyDescent="0.25">
      <c r="A325" s="2" t="s">
        <v>2314</v>
      </c>
      <c r="B325" s="2" t="s">
        <v>2315</v>
      </c>
      <c r="C325" s="2" t="s">
        <v>2316</v>
      </c>
      <c r="D325" s="2" t="s">
        <v>2317</v>
      </c>
      <c r="E325" s="2" t="s">
        <v>2318</v>
      </c>
      <c r="F325" s="2" t="s">
        <v>49</v>
      </c>
      <c r="G325" s="2" t="s">
        <v>19</v>
      </c>
      <c r="H325" s="2">
        <v>37924</v>
      </c>
      <c r="I325" t="s">
        <v>6190</v>
      </c>
    </row>
    <row r="326" spans="1:9" x14ac:dyDescent="0.25">
      <c r="A326" s="2" t="s">
        <v>2320</v>
      </c>
      <c r="B326" s="2" t="s">
        <v>2321</v>
      </c>
      <c r="C326" s="2"/>
      <c r="D326" s="2" t="s">
        <v>2322</v>
      </c>
      <c r="E326" s="2" t="s">
        <v>2323</v>
      </c>
      <c r="F326" s="2" t="s">
        <v>67</v>
      </c>
      <c r="G326" s="2" t="s">
        <v>19</v>
      </c>
      <c r="H326" s="2">
        <v>66276</v>
      </c>
      <c r="I326" t="s">
        <v>6191</v>
      </c>
    </row>
    <row r="327" spans="1:9" x14ac:dyDescent="0.25">
      <c r="A327" s="2" t="s">
        <v>2325</v>
      </c>
      <c r="B327" s="2" t="s">
        <v>2326</v>
      </c>
      <c r="C327" s="2" t="s">
        <v>2327</v>
      </c>
      <c r="D327" s="2" t="s">
        <v>2328</v>
      </c>
      <c r="E327" s="2" t="s">
        <v>2329</v>
      </c>
      <c r="F327" s="2" t="s">
        <v>150</v>
      </c>
      <c r="G327" s="2" t="s">
        <v>19</v>
      </c>
      <c r="H327" s="2">
        <v>94132</v>
      </c>
      <c r="I327" t="s">
        <v>6190</v>
      </c>
    </row>
    <row r="328" spans="1:9" x14ac:dyDescent="0.25">
      <c r="A328" s="2" t="s">
        <v>2331</v>
      </c>
      <c r="B328" s="2" t="s">
        <v>2332</v>
      </c>
      <c r="C328" s="2"/>
      <c r="D328" s="2" t="s">
        <v>2333</v>
      </c>
      <c r="E328" s="2" t="s">
        <v>2334</v>
      </c>
      <c r="F328" s="2" t="s">
        <v>144</v>
      </c>
      <c r="G328" s="2" t="s">
        <v>19</v>
      </c>
      <c r="H328" s="2">
        <v>35244</v>
      </c>
      <c r="I328" t="s">
        <v>6191</v>
      </c>
    </row>
    <row r="329" spans="1:9" x14ac:dyDescent="0.25">
      <c r="A329" s="2" t="s">
        <v>2336</v>
      </c>
      <c r="B329" s="2" t="s">
        <v>2337</v>
      </c>
      <c r="C329" s="2" t="s">
        <v>2338</v>
      </c>
      <c r="D329" s="2" t="s">
        <v>2339</v>
      </c>
      <c r="E329" s="2" t="s">
        <v>2340</v>
      </c>
      <c r="F329" s="2" t="s">
        <v>139</v>
      </c>
      <c r="G329" s="2" t="s">
        <v>19</v>
      </c>
      <c r="H329" s="2">
        <v>11215</v>
      </c>
      <c r="I329" t="s">
        <v>6190</v>
      </c>
    </row>
    <row r="330" spans="1:9" x14ac:dyDescent="0.25">
      <c r="A330" s="2" t="s">
        <v>2342</v>
      </c>
      <c r="B330" s="2" t="s">
        <v>2343</v>
      </c>
      <c r="C330" s="2"/>
      <c r="D330" s="2" t="s">
        <v>2344</v>
      </c>
      <c r="E330" s="2" t="s">
        <v>2345</v>
      </c>
      <c r="F330" s="2" t="s">
        <v>50</v>
      </c>
      <c r="G330" s="2" t="s">
        <v>19</v>
      </c>
      <c r="H330" s="2">
        <v>79934</v>
      </c>
      <c r="I330" t="s">
        <v>6190</v>
      </c>
    </row>
    <row r="331" spans="1:9" x14ac:dyDescent="0.25">
      <c r="A331" s="2" t="s">
        <v>2347</v>
      </c>
      <c r="B331" s="2" t="s">
        <v>2348</v>
      </c>
      <c r="C331" s="2" t="s">
        <v>2349</v>
      </c>
      <c r="D331" s="2"/>
      <c r="E331" s="2" t="s">
        <v>2350</v>
      </c>
      <c r="F331" s="2" t="s">
        <v>131</v>
      </c>
      <c r="G331" s="2" t="s">
        <v>19</v>
      </c>
      <c r="H331" s="2">
        <v>94250</v>
      </c>
      <c r="I331" t="s">
        <v>6190</v>
      </c>
    </row>
    <row r="332" spans="1:9" x14ac:dyDescent="0.25">
      <c r="A332" s="2" t="s">
        <v>2352</v>
      </c>
      <c r="B332" s="2" t="s">
        <v>2353</v>
      </c>
      <c r="C332" s="2" t="s">
        <v>2354</v>
      </c>
      <c r="D332" s="2" t="s">
        <v>2355</v>
      </c>
      <c r="E332" s="2" t="s">
        <v>2356</v>
      </c>
      <c r="F332" s="2" t="s">
        <v>47</v>
      </c>
      <c r="G332" s="2" t="s">
        <v>19</v>
      </c>
      <c r="H332" s="2">
        <v>20220</v>
      </c>
      <c r="I332" t="s">
        <v>6191</v>
      </c>
    </row>
    <row r="333" spans="1:9" x14ac:dyDescent="0.25">
      <c r="A333" s="2" t="s">
        <v>2358</v>
      </c>
      <c r="B333" s="2" t="s">
        <v>2359</v>
      </c>
      <c r="C333" s="2" t="s">
        <v>2360</v>
      </c>
      <c r="D333" s="2" t="s">
        <v>2361</v>
      </c>
      <c r="E333" s="2" t="s">
        <v>2362</v>
      </c>
      <c r="F333" s="2" t="s">
        <v>117</v>
      </c>
      <c r="G333" s="2" t="s">
        <v>19</v>
      </c>
      <c r="H333" s="2">
        <v>33436</v>
      </c>
      <c r="I333" t="s">
        <v>6190</v>
      </c>
    </row>
    <row r="334" spans="1:9" x14ac:dyDescent="0.25">
      <c r="A334" s="2" t="s">
        <v>2364</v>
      </c>
      <c r="B334" s="2" t="s">
        <v>2365</v>
      </c>
      <c r="C334" s="2" t="s">
        <v>2366</v>
      </c>
      <c r="D334" s="2" t="s">
        <v>2367</v>
      </c>
      <c r="E334" s="2" t="s">
        <v>2368</v>
      </c>
      <c r="F334" s="2" t="s">
        <v>27</v>
      </c>
      <c r="G334" s="2" t="s">
        <v>19</v>
      </c>
      <c r="H334" s="2">
        <v>90094</v>
      </c>
      <c r="I334" t="s">
        <v>6190</v>
      </c>
    </row>
    <row r="335" spans="1:9" x14ac:dyDescent="0.25">
      <c r="A335" s="2" t="s">
        <v>2370</v>
      </c>
      <c r="B335" s="2" t="s">
        <v>2371</v>
      </c>
      <c r="C335" s="2" t="s">
        <v>2372</v>
      </c>
      <c r="D335" s="2" t="s">
        <v>2373</v>
      </c>
      <c r="E335" s="2" t="s">
        <v>2374</v>
      </c>
      <c r="F335" s="2" t="s">
        <v>20</v>
      </c>
      <c r="G335" s="2" t="s">
        <v>19</v>
      </c>
      <c r="H335" s="2">
        <v>21275</v>
      </c>
      <c r="I335" t="s">
        <v>6190</v>
      </c>
    </row>
    <row r="336" spans="1:9" x14ac:dyDescent="0.25">
      <c r="A336" s="2" t="s">
        <v>2376</v>
      </c>
      <c r="B336" s="2" t="s">
        <v>2377</v>
      </c>
      <c r="C336" s="2"/>
      <c r="D336" s="2"/>
      <c r="E336" s="2" t="s">
        <v>2378</v>
      </c>
      <c r="F336" s="2" t="s">
        <v>216</v>
      </c>
      <c r="G336" s="2" t="s">
        <v>19</v>
      </c>
      <c r="H336" s="2">
        <v>84125</v>
      </c>
      <c r="I336" t="s">
        <v>6191</v>
      </c>
    </row>
    <row r="337" spans="1:9" x14ac:dyDescent="0.25">
      <c r="A337" s="2" t="s">
        <v>2380</v>
      </c>
      <c r="B337" s="2" t="s">
        <v>2381</v>
      </c>
      <c r="C337" s="2" t="s">
        <v>2382</v>
      </c>
      <c r="D337" s="2" t="s">
        <v>2383</v>
      </c>
      <c r="E337" s="2" t="s">
        <v>2384</v>
      </c>
      <c r="F337" s="2" t="s">
        <v>115</v>
      </c>
      <c r="G337" s="2" t="s">
        <v>19</v>
      </c>
      <c r="H337" s="2">
        <v>75049</v>
      </c>
      <c r="I337" t="s">
        <v>6190</v>
      </c>
    </row>
    <row r="338" spans="1:9" x14ac:dyDescent="0.25">
      <c r="A338" s="2" t="s">
        <v>2386</v>
      </c>
      <c r="B338" s="2" t="s">
        <v>2387</v>
      </c>
      <c r="C338" s="2" t="s">
        <v>2388</v>
      </c>
      <c r="D338" s="2" t="s">
        <v>2389</v>
      </c>
      <c r="E338" s="2" t="s">
        <v>2390</v>
      </c>
      <c r="F338" s="2" t="s">
        <v>253</v>
      </c>
      <c r="G338" s="2" t="s">
        <v>28</v>
      </c>
      <c r="H338" s="2" t="s">
        <v>254</v>
      </c>
      <c r="I338" t="s">
        <v>6191</v>
      </c>
    </row>
    <row r="339" spans="1:9" x14ac:dyDescent="0.25">
      <c r="A339" s="2" t="s">
        <v>2392</v>
      </c>
      <c r="B339" s="2" t="s">
        <v>2393</v>
      </c>
      <c r="C339" s="2"/>
      <c r="D339" s="2" t="s">
        <v>2394</v>
      </c>
      <c r="E339" s="2" t="s">
        <v>2395</v>
      </c>
      <c r="F339" s="2" t="s">
        <v>39</v>
      </c>
      <c r="G339" s="2" t="s">
        <v>19</v>
      </c>
      <c r="H339" s="2">
        <v>43240</v>
      </c>
      <c r="I339" t="s">
        <v>6191</v>
      </c>
    </row>
    <row r="340" spans="1:9" x14ac:dyDescent="0.25">
      <c r="A340" s="2" t="s">
        <v>2397</v>
      </c>
      <c r="B340" s="2" t="s">
        <v>2398</v>
      </c>
      <c r="C340" s="2" t="s">
        <v>2399</v>
      </c>
      <c r="D340" s="2" t="s">
        <v>2400</v>
      </c>
      <c r="E340" s="2" t="s">
        <v>2401</v>
      </c>
      <c r="F340" s="2" t="s">
        <v>57</v>
      </c>
      <c r="G340" s="2" t="s">
        <v>19</v>
      </c>
      <c r="H340" s="2">
        <v>10184</v>
      </c>
      <c r="I340" t="s">
        <v>6191</v>
      </c>
    </row>
    <row r="341" spans="1:9" x14ac:dyDescent="0.25">
      <c r="A341" s="2" t="s">
        <v>2403</v>
      </c>
      <c r="B341" s="2" t="s">
        <v>2404</v>
      </c>
      <c r="C341" s="2" t="s">
        <v>2405</v>
      </c>
      <c r="D341" s="2" t="s">
        <v>2406</v>
      </c>
      <c r="E341" s="2" t="s">
        <v>2407</v>
      </c>
      <c r="F341" s="2" t="s">
        <v>241</v>
      </c>
      <c r="G341" s="2" t="s">
        <v>19</v>
      </c>
      <c r="H341" s="2">
        <v>2216</v>
      </c>
      <c r="I341" t="s">
        <v>6190</v>
      </c>
    </row>
    <row r="342" spans="1:9" x14ac:dyDescent="0.25">
      <c r="A342" s="2" t="s">
        <v>2409</v>
      </c>
      <c r="B342" s="2" t="s">
        <v>2410</v>
      </c>
      <c r="C342" s="2" t="s">
        <v>2411</v>
      </c>
      <c r="D342" s="2" t="s">
        <v>2412</v>
      </c>
      <c r="E342" s="2" t="s">
        <v>2413</v>
      </c>
      <c r="F342" s="2" t="s">
        <v>150</v>
      </c>
      <c r="G342" s="2" t="s">
        <v>19</v>
      </c>
      <c r="H342" s="2">
        <v>94132</v>
      </c>
      <c r="I342" t="s">
        <v>6190</v>
      </c>
    </row>
    <row r="343" spans="1:9" x14ac:dyDescent="0.25">
      <c r="A343" s="2" t="s">
        <v>2415</v>
      </c>
      <c r="B343" s="2" t="s">
        <v>2416</v>
      </c>
      <c r="C343" s="2" t="s">
        <v>2417</v>
      </c>
      <c r="D343" s="2" t="s">
        <v>2418</v>
      </c>
      <c r="E343" s="2" t="s">
        <v>2419</v>
      </c>
      <c r="F343" s="2" t="s">
        <v>36</v>
      </c>
      <c r="G343" s="2" t="s">
        <v>19</v>
      </c>
      <c r="H343" s="2">
        <v>46295</v>
      </c>
      <c r="I343" t="s">
        <v>6191</v>
      </c>
    </row>
    <row r="344" spans="1:9" x14ac:dyDescent="0.25">
      <c r="A344" s="2" t="s">
        <v>2420</v>
      </c>
      <c r="B344" s="2" t="s">
        <v>2421</v>
      </c>
      <c r="C344" s="2" t="s">
        <v>2422</v>
      </c>
      <c r="D344" s="2"/>
      <c r="E344" s="2" t="s">
        <v>2423</v>
      </c>
      <c r="F344" s="2" t="s">
        <v>22</v>
      </c>
      <c r="G344" s="2" t="s">
        <v>19</v>
      </c>
      <c r="H344" s="2">
        <v>32209</v>
      </c>
      <c r="I344" t="s">
        <v>6191</v>
      </c>
    </row>
    <row r="345" spans="1:9" x14ac:dyDescent="0.25">
      <c r="A345" s="2" t="s">
        <v>2425</v>
      </c>
      <c r="B345" s="2" t="s">
        <v>2426</v>
      </c>
      <c r="C345" s="2" t="s">
        <v>2427</v>
      </c>
      <c r="D345" s="2"/>
      <c r="E345" s="2" t="s">
        <v>2428</v>
      </c>
      <c r="F345" s="2" t="s">
        <v>105</v>
      </c>
      <c r="G345" s="2" t="s">
        <v>19</v>
      </c>
      <c r="H345" s="2">
        <v>98148</v>
      </c>
      <c r="I345" t="s">
        <v>6191</v>
      </c>
    </row>
    <row r="346" spans="1:9" x14ac:dyDescent="0.25">
      <c r="A346" s="2" t="s">
        <v>2430</v>
      </c>
      <c r="B346" s="2" t="s">
        <v>2431</v>
      </c>
      <c r="C346" s="2"/>
      <c r="D346" s="2" t="s">
        <v>2432</v>
      </c>
      <c r="E346" s="2" t="s">
        <v>2433</v>
      </c>
      <c r="F346" s="2" t="s">
        <v>428</v>
      </c>
      <c r="G346" s="2" t="s">
        <v>318</v>
      </c>
      <c r="H346" s="2" t="s">
        <v>429</v>
      </c>
      <c r="I346" t="s">
        <v>6190</v>
      </c>
    </row>
    <row r="347" spans="1:9" x14ac:dyDescent="0.25">
      <c r="A347" s="2" t="s">
        <v>2435</v>
      </c>
      <c r="B347" s="2" t="s">
        <v>2436</v>
      </c>
      <c r="C347" s="2" t="s">
        <v>2437</v>
      </c>
      <c r="D347" s="2" t="s">
        <v>2438</v>
      </c>
      <c r="E347" s="2" t="s">
        <v>2439</v>
      </c>
      <c r="F347" s="2" t="s">
        <v>187</v>
      </c>
      <c r="G347" s="2" t="s">
        <v>19</v>
      </c>
      <c r="H347" s="2">
        <v>36109</v>
      </c>
      <c r="I347" t="s">
        <v>6191</v>
      </c>
    </row>
    <row r="348" spans="1:9" x14ac:dyDescent="0.25">
      <c r="A348" s="2" t="s">
        <v>2441</v>
      </c>
      <c r="B348" s="2" t="s">
        <v>2442</v>
      </c>
      <c r="C348" s="2" t="s">
        <v>2443</v>
      </c>
      <c r="D348" s="2" t="s">
        <v>2444</v>
      </c>
      <c r="E348" s="2" t="s">
        <v>2445</v>
      </c>
      <c r="F348" s="2" t="s">
        <v>52</v>
      </c>
      <c r="G348" s="2" t="s">
        <v>19</v>
      </c>
      <c r="H348" s="2">
        <v>75372</v>
      </c>
      <c r="I348" t="s">
        <v>6190</v>
      </c>
    </row>
    <row r="349" spans="1:9" x14ac:dyDescent="0.25">
      <c r="A349" s="2" t="s">
        <v>2447</v>
      </c>
      <c r="B349" s="2" t="s">
        <v>2448</v>
      </c>
      <c r="C349" s="2" t="s">
        <v>2449</v>
      </c>
      <c r="D349" s="2" t="s">
        <v>2450</v>
      </c>
      <c r="E349" s="2" t="s">
        <v>2451</v>
      </c>
      <c r="F349" s="2" t="s">
        <v>148</v>
      </c>
      <c r="G349" s="2" t="s">
        <v>19</v>
      </c>
      <c r="H349" s="2">
        <v>66622</v>
      </c>
      <c r="I349" t="s">
        <v>6191</v>
      </c>
    </row>
    <row r="350" spans="1:9" x14ac:dyDescent="0.25">
      <c r="A350" s="2" t="s">
        <v>2453</v>
      </c>
      <c r="B350" s="2" t="s">
        <v>2454</v>
      </c>
      <c r="C350" s="2" t="s">
        <v>2455</v>
      </c>
      <c r="D350" s="2" t="s">
        <v>2456</v>
      </c>
      <c r="E350" s="2" t="s">
        <v>2457</v>
      </c>
      <c r="F350" s="2" t="s">
        <v>185</v>
      </c>
      <c r="G350" s="2" t="s">
        <v>19</v>
      </c>
      <c r="H350" s="2">
        <v>75799</v>
      </c>
      <c r="I350" t="s">
        <v>6191</v>
      </c>
    </row>
    <row r="351" spans="1:9" x14ac:dyDescent="0.25">
      <c r="A351" s="2" t="s">
        <v>2459</v>
      </c>
      <c r="B351" s="2" t="s">
        <v>2460</v>
      </c>
      <c r="C351" s="2" t="s">
        <v>2461</v>
      </c>
      <c r="D351" s="2" t="s">
        <v>2462</v>
      </c>
      <c r="E351" s="2" t="s">
        <v>2463</v>
      </c>
      <c r="F351" s="2" t="s">
        <v>27</v>
      </c>
      <c r="G351" s="2" t="s">
        <v>19</v>
      </c>
      <c r="H351" s="2">
        <v>90065</v>
      </c>
      <c r="I351" t="s">
        <v>6191</v>
      </c>
    </row>
    <row r="352" spans="1:9" x14ac:dyDescent="0.25">
      <c r="A352" s="2" t="s">
        <v>2465</v>
      </c>
      <c r="B352" s="2" t="s">
        <v>2466</v>
      </c>
      <c r="C352" s="2" t="s">
        <v>2467</v>
      </c>
      <c r="D352" s="2" t="s">
        <v>2468</v>
      </c>
      <c r="E352" s="2" t="s">
        <v>2469</v>
      </c>
      <c r="F352" s="2" t="s">
        <v>175</v>
      </c>
      <c r="G352" s="2" t="s">
        <v>19</v>
      </c>
      <c r="H352" s="2">
        <v>71137</v>
      </c>
      <c r="I352" t="s">
        <v>6191</v>
      </c>
    </row>
    <row r="353" spans="1:9" x14ac:dyDescent="0.25">
      <c r="A353" s="2" t="s">
        <v>2471</v>
      </c>
      <c r="B353" s="2" t="s">
        <v>2472</v>
      </c>
      <c r="C353" s="2" t="s">
        <v>2473</v>
      </c>
      <c r="D353" s="2" t="s">
        <v>2474</v>
      </c>
      <c r="E353" s="2" t="s">
        <v>2475</v>
      </c>
      <c r="F353" s="2" t="s">
        <v>196</v>
      </c>
      <c r="G353" s="2" t="s">
        <v>19</v>
      </c>
      <c r="H353" s="2">
        <v>83722</v>
      </c>
      <c r="I353" t="s">
        <v>6191</v>
      </c>
    </row>
    <row r="354" spans="1:9" x14ac:dyDescent="0.25">
      <c r="A354" s="2" t="s">
        <v>2477</v>
      </c>
      <c r="B354" s="2" t="s">
        <v>2478</v>
      </c>
      <c r="C354" s="2" t="s">
        <v>2479</v>
      </c>
      <c r="D354" s="2" t="s">
        <v>2480</v>
      </c>
      <c r="E354" s="2" t="s">
        <v>2481</v>
      </c>
      <c r="F354" s="2" t="s">
        <v>272</v>
      </c>
      <c r="G354" s="2" t="s">
        <v>19</v>
      </c>
      <c r="H354" s="2">
        <v>92415</v>
      </c>
      <c r="I354" t="s">
        <v>6191</v>
      </c>
    </row>
    <row r="355" spans="1:9" x14ac:dyDescent="0.25">
      <c r="A355" s="2" t="s">
        <v>2483</v>
      </c>
      <c r="B355" s="2" t="s">
        <v>2484</v>
      </c>
      <c r="C355" s="2"/>
      <c r="D355" s="2" t="s">
        <v>2485</v>
      </c>
      <c r="E355" s="2" t="s">
        <v>2486</v>
      </c>
      <c r="F355" s="2" t="s">
        <v>187</v>
      </c>
      <c r="G355" s="2" t="s">
        <v>19</v>
      </c>
      <c r="H355" s="2">
        <v>36177</v>
      </c>
      <c r="I355" t="s">
        <v>6190</v>
      </c>
    </row>
    <row r="356" spans="1:9" x14ac:dyDescent="0.25">
      <c r="A356" s="2" t="s">
        <v>2488</v>
      </c>
      <c r="B356" s="2" t="s">
        <v>2489</v>
      </c>
      <c r="C356" s="2" t="s">
        <v>2490</v>
      </c>
      <c r="D356" s="2"/>
      <c r="E356" s="2" t="s">
        <v>2491</v>
      </c>
      <c r="F356" s="2" t="s">
        <v>270</v>
      </c>
      <c r="G356" s="2" t="s">
        <v>19</v>
      </c>
      <c r="H356" s="2">
        <v>34981</v>
      </c>
      <c r="I356" t="s">
        <v>6191</v>
      </c>
    </row>
    <row r="357" spans="1:9" x14ac:dyDescent="0.25">
      <c r="A357" s="2" t="s">
        <v>2493</v>
      </c>
      <c r="B357" s="2" t="s">
        <v>2494</v>
      </c>
      <c r="C357" s="2" t="s">
        <v>2495</v>
      </c>
      <c r="D357" s="2" t="s">
        <v>2496</v>
      </c>
      <c r="E357" s="2" t="s">
        <v>2497</v>
      </c>
      <c r="F357" s="2" t="s">
        <v>82</v>
      </c>
      <c r="G357" s="2" t="s">
        <v>19</v>
      </c>
      <c r="H357" s="2">
        <v>27415</v>
      </c>
      <c r="I357" t="s">
        <v>6190</v>
      </c>
    </row>
    <row r="358" spans="1:9" x14ac:dyDescent="0.25">
      <c r="A358" s="2" t="s">
        <v>2499</v>
      </c>
      <c r="B358" s="2" t="s">
        <v>2500</v>
      </c>
      <c r="C358" s="2" t="s">
        <v>2501</v>
      </c>
      <c r="D358" s="2" t="s">
        <v>2502</v>
      </c>
      <c r="E358" s="2" t="s">
        <v>2503</v>
      </c>
      <c r="F358" s="2" t="s">
        <v>131</v>
      </c>
      <c r="G358" s="2" t="s">
        <v>19</v>
      </c>
      <c r="H358" s="2">
        <v>94237</v>
      </c>
      <c r="I358" t="s">
        <v>6190</v>
      </c>
    </row>
    <row r="359" spans="1:9" x14ac:dyDescent="0.25">
      <c r="A359" s="2" t="s">
        <v>2505</v>
      </c>
      <c r="B359" s="2" t="s">
        <v>2506</v>
      </c>
      <c r="C359" s="2"/>
      <c r="D359" s="2" t="s">
        <v>2507</v>
      </c>
      <c r="E359" s="2" t="s">
        <v>2508</v>
      </c>
      <c r="F359" s="2" t="s">
        <v>296</v>
      </c>
      <c r="G359" s="2" t="s">
        <v>19</v>
      </c>
      <c r="H359" s="2">
        <v>78682</v>
      </c>
      <c r="I359" t="s">
        <v>6191</v>
      </c>
    </row>
    <row r="360" spans="1:9" x14ac:dyDescent="0.25">
      <c r="A360" s="2" t="s">
        <v>2510</v>
      </c>
      <c r="B360" s="2" t="s">
        <v>2511</v>
      </c>
      <c r="C360" s="2" t="s">
        <v>2512</v>
      </c>
      <c r="D360" s="2" t="s">
        <v>2513</v>
      </c>
      <c r="E360" s="2" t="s">
        <v>2514</v>
      </c>
      <c r="F360" s="2" t="s">
        <v>143</v>
      </c>
      <c r="G360" s="2" t="s">
        <v>19</v>
      </c>
      <c r="H360" s="2">
        <v>22096</v>
      </c>
      <c r="I360" t="s">
        <v>6191</v>
      </c>
    </row>
    <row r="361" spans="1:9" x14ac:dyDescent="0.25">
      <c r="A361" s="2" t="s">
        <v>2516</v>
      </c>
      <c r="B361" s="2" t="s">
        <v>2517</v>
      </c>
      <c r="C361" s="2" t="s">
        <v>2518</v>
      </c>
      <c r="D361" s="2" t="s">
        <v>2519</v>
      </c>
      <c r="E361" s="2" t="s">
        <v>2520</v>
      </c>
      <c r="F361" s="2" t="s">
        <v>286</v>
      </c>
      <c r="G361" s="2" t="s">
        <v>28</v>
      </c>
      <c r="H361" s="2" t="s">
        <v>287</v>
      </c>
      <c r="I361" t="s">
        <v>6191</v>
      </c>
    </row>
    <row r="362" spans="1:9" x14ac:dyDescent="0.25">
      <c r="A362" s="2" t="s">
        <v>2522</v>
      </c>
      <c r="B362" s="2" t="s">
        <v>2523</v>
      </c>
      <c r="C362" s="2" t="s">
        <v>2524</v>
      </c>
      <c r="D362" s="2" t="s">
        <v>2525</v>
      </c>
      <c r="E362" s="2" t="s">
        <v>2526</v>
      </c>
      <c r="F362" s="2" t="s">
        <v>60</v>
      </c>
      <c r="G362" s="2" t="s">
        <v>19</v>
      </c>
      <c r="H362" s="2">
        <v>29220</v>
      </c>
      <c r="I362" t="s">
        <v>6191</v>
      </c>
    </row>
    <row r="363" spans="1:9" x14ac:dyDescent="0.25">
      <c r="A363" s="2" t="s">
        <v>2527</v>
      </c>
      <c r="B363" s="2" t="s">
        <v>2528</v>
      </c>
      <c r="C363" s="2" t="s">
        <v>2529</v>
      </c>
      <c r="D363" s="2" t="s">
        <v>2530</v>
      </c>
      <c r="E363" s="2" t="s">
        <v>2531</v>
      </c>
      <c r="F363" s="2" t="s">
        <v>130</v>
      </c>
      <c r="G363" s="2" t="s">
        <v>19</v>
      </c>
      <c r="H363" s="2">
        <v>37215</v>
      </c>
      <c r="I363" t="s">
        <v>6190</v>
      </c>
    </row>
    <row r="364" spans="1:9" x14ac:dyDescent="0.25">
      <c r="A364" s="2" t="s">
        <v>2533</v>
      </c>
      <c r="B364" s="2" t="s">
        <v>2534</v>
      </c>
      <c r="C364" s="2" t="s">
        <v>2535</v>
      </c>
      <c r="D364" s="2" t="s">
        <v>2536</v>
      </c>
      <c r="E364" s="2" t="s">
        <v>2537</v>
      </c>
      <c r="F364" s="2" t="s">
        <v>184</v>
      </c>
      <c r="G364" s="2" t="s">
        <v>19</v>
      </c>
      <c r="H364" s="2">
        <v>85025</v>
      </c>
      <c r="I364" t="s">
        <v>6190</v>
      </c>
    </row>
    <row r="365" spans="1:9" x14ac:dyDescent="0.25">
      <c r="A365" s="2" t="s">
        <v>2539</v>
      </c>
      <c r="B365" s="2" t="s">
        <v>2540</v>
      </c>
      <c r="C365" s="2" t="s">
        <v>2541</v>
      </c>
      <c r="D365" s="2"/>
      <c r="E365" s="2" t="s">
        <v>2542</v>
      </c>
      <c r="F365" s="2" t="s">
        <v>92</v>
      </c>
      <c r="G365" s="2" t="s">
        <v>19</v>
      </c>
      <c r="H365" s="2">
        <v>33233</v>
      </c>
      <c r="I365" t="s">
        <v>6191</v>
      </c>
    </row>
    <row r="366" spans="1:9" x14ac:dyDescent="0.25">
      <c r="A366" s="2" t="s">
        <v>2544</v>
      </c>
      <c r="B366" s="2" t="s">
        <v>2545</v>
      </c>
      <c r="C366" s="2" t="s">
        <v>2546</v>
      </c>
      <c r="D366" s="2" t="s">
        <v>2547</v>
      </c>
      <c r="E366" s="2" t="s">
        <v>2548</v>
      </c>
      <c r="F366" s="2" t="s">
        <v>30</v>
      </c>
      <c r="G366" s="2" t="s">
        <v>19</v>
      </c>
      <c r="H366" s="2">
        <v>93762</v>
      </c>
      <c r="I366" t="s">
        <v>6190</v>
      </c>
    </row>
    <row r="367" spans="1:9" x14ac:dyDescent="0.25">
      <c r="A367" s="2" t="s">
        <v>2550</v>
      </c>
      <c r="B367" s="2" t="s">
        <v>2551</v>
      </c>
      <c r="C367" s="2" t="s">
        <v>2552</v>
      </c>
      <c r="D367" s="2"/>
      <c r="E367" s="2" t="s">
        <v>2553</v>
      </c>
      <c r="F367" s="2" t="s">
        <v>282</v>
      </c>
      <c r="G367" s="2" t="s">
        <v>19</v>
      </c>
      <c r="H367" s="2">
        <v>92825</v>
      </c>
      <c r="I367" t="s">
        <v>6191</v>
      </c>
    </row>
    <row r="368" spans="1:9" x14ac:dyDescent="0.25">
      <c r="A368" s="2" t="s">
        <v>2555</v>
      </c>
      <c r="B368" s="2" t="s">
        <v>2556</v>
      </c>
      <c r="C368" s="2"/>
      <c r="D368" s="2" t="s">
        <v>2557</v>
      </c>
      <c r="E368" s="2" t="s">
        <v>2558</v>
      </c>
      <c r="F368" s="2" t="s">
        <v>311</v>
      </c>
      <c r="G368" s="2" t="s">
        <v>19</v>
      </c>
      <c r="H368" s="2">
        <v>23605</v>
      </c>
      <c r="I368" t="s">
        <v>6191</v>
      </c>
    </row>
    <row r="369" spans="1:9" x14ac:dyDescent="0.25">
      <c r="A369" s="2" t="s">
        <v>2560</v>
      </c>
      <c r="B369" s="2" t="s">
        <v>2561</v>
      </c>
      <c r="C369" s="2"/>
      <c r="D369" s="2"/>
      <c r="E369" s="2" t="s">
        <v>2562</v>
      </c>
      <c r="F369" s="2" t="s">
        <v>295</v>
      </c>
      <c r="G369" s="2" t="s">
        <v>19</v>
      </c>
      <c r="H369" s="2">
        <v>29305</v>
      </c>
      <c r="I369" t="s">
        <v>6190</v>
      </c>
    </row>
    <row r="370" spans="1:9" x14ac:dyDescent="0.25">
      <c r="A370" s="2" t="s">
        <v>2564</v>
      </c>
      <c r="B370" s="2" t="s">
        <v>2565</v>
      </c>
      <c r="C370" s="2" t="s">
        <v>2566</v>
      </c>
      <c r="D370" s="2" t="s">
        <v>2567</v>
      </c>
      <c r="E370" s="2" t="s">
        <v>2568</v>
      </c>
      <c r="F370" s="2" t="s">
        <v>302</v>
      </c>
      <c r="G370" s="2" t="s">
        <v>19</v>
      </c>
      <c r="H370" s="2">
        <v>10305</v>
      </c>
      <c r="I370" t="s">
        <v>6191</v>
      </c>
    </row>
    <row r="371" spans="1:9" x14ac:dyDescent="0.25">
      <c r="A371" s="2" t="s">
        <v>2570</v>
      </c>
      <c r="B371" s="2" t="s">
        <v>2571</v>
      </c>
      <c r="C371" s="2"/>
      <c r="D371" s="2"/>
      <c r="E371" s="2" t="s">
        <v>2572</v>
      </c>
      <c r="F371" s="2" t="s">
        <v>107</v>
      </c>
      <c r="G371" s="2" t="s">
        <v>19</v>
      </c>
      <c r="H371" s="2">
        <v>89115</v>
      </c>
      <c r="I371" t="s">
        <v>6190</v>
      </c>
    </row>
    <row r="372" spans="1:9" x14ac:dyDescent="0.25">
      <c r="A372" s="2" t="s">
        <v>2574</v>
      </c>
      <c r="B372" s="2" t="s">
        <v>2575</v>
      </c>
      <c r="C372" s="2" t="s">
        <v>2576</v>
      </c>
      <c r="D372" s="2" t="s">
        <v>2577</v>
      </c>
      <c r="E372" s="2" t="s">
        <v>2578</v>
      </c>
      <c r="F372" s="2" t="s">
        <v>216</v>
      </c>
      <c r="G372" s="2" t="s">
        <v>19</v>
      </c>
      <c r="H372" s="2">
        <v>84105</v>
      </c>
      <c r="I372" t="s">
        <v>6190</v>
      </c>
    </row>
    <row r="373" spans="1:9" x14ac:dyDescent="0.25">
      <c r="A373" s="2" t="s">
        <v>2580</v>
      </c>
      <c r="B373" s="2" t="s">
        <v>2581</v>
      </c>
      <c r="C373" s="2" t="s">
        <v>2582</v>
      </c>
      <c r="D373" s="2" t="s">
        <v>2583</v>
      </c>
      <c r="E373" s="2" t="s">
        <v>2584</v>
      </c>
      <c r="F373" s="2" t="s">
        <v>105</v>
      </c>
      <c r="G373" s="2" t="s">
        <v>19</v>
      </c>
      <c r="H373" s="2">
        <v>98109</v>
      </c>
      <c r="I373" t="s">
        <v>6190</v>
      </c>
    </row>
    <row r="374" spans="1:9" x14ac:dyDescent="0.25">
      <c r="A374" s="2" t="s">
        <v>2586</v>
      </c>
      <c r="B374" s="2" t="s">
        <v>2587</v>
      </c>
      <c r="C374" s="2" t="s">
        <v>2588</v>
      </c>
      <c r="D374" s="2" t="s">
        <v>2589</v>
      </c>
      <c r="E374" s="2" t="s">
        <v>2590</v>
      </c>
      <c r="F374" s="2" t="s">
        <v>166</v>
      </c>
      <c r="G374" s="2" t="s">
        <v>19</v>
      </c>
      <c r="H374" s="2">
        <v>79764</v>
      </c>
      <c r="I374" t="s">
        <v>6191</v>
      </c>
    </row>
    <row r="375" spans="1:9" x14ac:dyDescent="0.25">
      <c r="A375" s="2" t="s">
        <v>2592</v>
      </c>
      <c r="B375" s="2" t="s">
        <v>2593</v>
      </c>
      <c r="C375" s="2"/>
      <c r="D375" s="2" t="s">
        <v>2594</v>
      </c>
      <c r="E375" s="2" t="s">
        <v>2595</v>
      </c>
      <c r="F375" s="2" t="s">
        <v>2596</v>
      </c>
      <c r="G375" s="2" t="s">
        <v>318</v>
      </c>
      <c r="H375" s="2" t="s">
        <v>427</v>
      </c>
      <c r="I375" t="s">
        <v>6190</v>
      </c>
    </row>
    <row r="376" spans="1:9" x14ac:dyDescent="0.25">
      <c r="A376" s="2" t="s">
        <v>2598</v>
      </c>
      <c r="B376" s="2" t="s">
        <v>2599</v>
      </c>
      <c r="C376" s="2" t="s">
        <v>2600</v>
      </c>
      <c r="D376" s="2" t="s">
        <v>2601</v>
      </c>
      <c r="E376" s="2" t="s">
        <v>2602</v>
      </c>
      <c r="F376" s="2" t="s">
        <v>162</v>
      </c>
      <c r="G376" s="2" t="s">
        <v>19</v>
      </c>
      <c r="H376" s="2">
        <v>75037</v>
      </c>
      <c r="I376" t="s">
        <v>6190</v>
      </c>
    </row>
    <row r="377" spans="1:9" x14ac:dyDescent="0.25">
      <c r="A377" s="2" t="s">
        <v>2604</v>
      </c>
      <c r="B377" s="2" t="s">
        <v>2605</v>
      </c>
      <c r="C377" s="2" t="s">
        <v>2606</v>
      </c>
      <c r="D377" s="2" t="s">
        <v>2607</v>
      </c>
      <c r="E377" s="2" t="s">
        <v>2608</v>
      </c>
      <c r="F377" s="2" t="s">
        <v>203</v>
      </c>
      <c r="G377" s="2" t="s">
        <v>19</v>
      </c>
      <c r="H377" s="2">
        <v>45426</v>
      </c>
      <c r="I377" t="s">
        <v>6190</v>
      </c>
    </row>
    <row r="378" spans="1:9" x14ac:dyDescent="0.25">
      <c r="A378" s="2" t="s">
        <v>2610</v>
      </c>
      <c r="B378" s="2" t="s">
        <v>2611</v>
      </c>
      <c r="C378" s="2" t="s">
        <v>2612</v>
      </c>
      <c r="D378" s="2" t="s">
        <v>2613</v>
      </c>
      <c r="E378" s="2" t="s">
        <v>2614</v>
      </c>
      <c r="F378" s="2" t="s">
        <v>183</v>
      </c>
      <c r="G378" s="2" t="s">
        <v>19</v>
      </c>
      <c r="H378" s="2">
        <v>49560</v>
      </c>
      <c r="I378" t="s">
        <v>6190</v>
      </c>
    </row>
    <row r="379" spans="1:9" x14ac:dyDescent="0.25">
      <c r="A379" s="2" t="s">
        <v>2616</v>
      </c>
      <c r="B379" s="2" t="s">
        <v>2617</v>
      </c>
      <c r="C379" s="2" t="s">
        <v>2618</v>
      </c>
      <c r="D379" s="2" t="s">
        <v>2619</v>
      </c>
      <c r="E379" s="2" t="s">
        <v>2620</v>
      </c>
      <c r="F379" s="2" t="s">
        <v>1700</v>
      </c>
      <c r="G379" s="2" t="s">
        <v>318</v>
      </c>
      <c r="H379" s="2" t="s">
        <v>348</v>
      </c>
      <c r="I379" t="s">
        <v>6191</v>
      </c>
    </row>
    <row r="380" spans="1:9" x14ac:dyDescent="0.25">
      <c r="A380" s="2" t="s">
        <v>2622</v>
      </c>
      <c r="B380" s="2" t="s">
        <v>2623</v>
      </c>
      <c r="C380" s="2" t="s">
        <v>2624</v>
      </c>
      <c r="D380" s="2" t="s">
        <v>2625</v>
      </c>
      <c r="E380" s="2" t="s">
        <v>2626</v>
      </c>
      <c r="F380" s="2" t="s">
        <v>468</v>
      </c>
      <c r="G380" s="2" t="s">
        <v>318</v>
      </c>
      <c r="H380" s="2" t="s">
        <v>438</v>
      </c>
      <c r="I380" t="s">
        <v>6190</v>
      </c>
    </row>
    <row r="381" spans="1:9" x14ac:dyDescent="0.25">
      <c r="A381" s="2" t="s">
        <v>2628</v>
      </c>
      <c r="B381" s="2" t="s">
        <v>2629</v>
      </c>
      <c r="C381" s="2" t="s">
        <v>2630</v>
      </c>
      <c r="D381" s="2"/>
      <c r="E381" s="2" t="s">
        <v>2631</v>
      </c>
      <c r="F381" s="2" t="s">
        <v>70</v>
      </c>
      <c r="G381" s="2" t="s">
        <v>28</v>
      </c>
      <c r="H381" s="2" t="s">
        <v>111</v>
      </c>
      <c r="I381" t="s">
        <v>6190</v>
      </c>
    </row>
    <row r="382" spans="1:9" x14ac:dyDescent="0.25">
      <c r="A382" s="2" t="s">
        <v>2633</v>
      </c>
      <c r="B382" s="2" t="s">
        <v>2634</v>
      </c>
      <c r="C382" s="2" t="s">
        <v>2635</v>
      </c>
      <c r="D382" s="2" t="s">
        <v>2636</v>
      </c>
      <c r="E382" s="2" t="s">
        <v>2637</v>
      </c>
      <c r="F382" s="2" t="s">
        <v>83</v>
      </c>
      <c r="G382" s="2" t="s">
        <v>19</v>
      </c>
      <c r="H382" s="2">
        <v>62756</v>
      </c>
      <c r="I382" t="s">
        <v>6191</v>
      </c>
    </row>
    <row r="383" spans="1:9" x14ac:dyDescent="0.25">
      <c r="A383" s="2" t="s">
        <v>2639</v>
      </c>
      <c r="B383" s="2" t="s">
        <v>2640</v>
      </c>
      <c r="C383" s="2" t="s">
        <v>2641</v>
      </c>
      <c r="D383" s="2" t="s">
        <v>2642</v>
      </c>
      <c r="E383" s="2" t="s">
        <v>2643</v>
      </c>
      <c r="F383" s="2" t="s">
        <v>27</v>
      </c>
      <c r="G383" s="2" t="s">
        <v>19</v>
      </c>
      <c r="H383" s="2">
        <v>90010</v>
      </c>
      <c r="I383" t="s">
        <v>6190</v>
      </c>
    </row>
    <row r="384" spans="1:9" x14ac:dyDescent="0.25">
      <c r="A384" s="2" t="s">
        <v>2645</v>
      </c>
      <c r="B384" s="2" t="s">
        <v>2646</v>
      </c>
      <c r="C384" s="2" t="s">
        <v>2647</v>
      </c>
      <c r="D384" s="2" t="s">
        <v>2648</v>
      </c>
      <c r="E384" s="2" t="s">
        <v>2649</v>
      </c>
      <c r="F384" s="2" t="s">
        <v>20</v>
      </c>
      <c r="G384" s="2" t="s">
        <v>19</v>
      </c>
      <c r="H384" s="2">
        <v>21239</v>
      </c>
      <c r="I384" t="s">
        <v>6191</v>
      </c>
    </row>
    <row r="385" spans="1:9" x14ac:dyDescent="0.25">
      <c r="A385" s="2" t="s">
        <v>2651</v>
      </c>
      <c r="B385" s="2" t="s">
        <v>2652</v>
      </c>
      <c r="C385" s="2"/>
      <c r="D385" s="2" t="s">
        <v>2653</v>
      </c>
      <c r="E385" s="2" t="s">
        <v>2654</v>
      </c>
      <c r="F385" s="2" t="s">
        <v>172</v>
      </c>
      <c r="G385" s="2" t="s">
        <v>19</v>
      </c>
      <c r="H385" s="2">
        <v>17126</v>
      </c>
      <c r="I385" t="s">
        <v>6190</v>
      </c>
    </row>
    <row r="386" spans="1:9" x14ac:dyDescent="0.25">
      <c r="A386" s="2" t="s">
        <v>2656</v>
      </c>
      <c r="B386" s="2" t="s">
        <v>2657</v>
      </c>
      <c r="C386" s="2"/>
      <c r="D386" s="2" t="s">
        <v>2658</v>
      </c>
      <c r="E386" s="2" t="s">
        <v>2659</v>
      </c>
      <c r="F386" s="2" t="s">
        <v>52</v>
      </c>
      <c r="G386" s="2" t="s">
        <v>19</v>
      </c>
      <c r="H386" s="2">
        <v>75216</v>
      </c>
      <c r="I386" t="s">
        <v>6191</v>
      </c>
    </row>
    <row r="387" spans="1:9" x14ac:dyDescent="0.25">
      <c r="A387" s="2" t="s">
        <v>2661</v>
      </c>
      <c r="B387" s="2" t="s">
        <v>2662</v>
      </c>
      <c r="C387" s="2" t="s">
        <v>2663</v>
      </c>
      <c r="D387" s="2" t="s">
        <v>2664</v>
      </c>
      <c r="E387" s="2" t="s">
        <v>2665</v>
      </c>
      <c r="F387" s="2" t="s">
        <v>116</v>
      </c>
      <c r="G387" s="2" t="s">
        <v>19</v>
      </c>
      <c r="H387" s="2">
        <v>64125</v>
      </c>
      <c r="I387" t="s">
        <v>6190</v>
      </c>
    </row>
    <row r="388" spans="1:9" x14ac:dyDescent="0.25">
      <c r="A388" s="2" t="s">
        <v>2667</v>
      </c>
      <c r="B388" s="2" t="s">
        <v>2668</v>
      </c>
      <c r="C388" s="2"/>
      <c r="D388" s="2" t="s">
        <v>2669</v>
      </c>
      <c r="E388" s="2" t="s">
        <v>2670</v>
      </c>
      <c r="F388" s="2" t="s">
        <v>83</v>
      </c>
      <c r="G388" s="2" t="s">
        <v>19</v>
      </c>
      <c r="H388" s="2">
        <v>62723</v>
      </c>
      <c r="I388" t="s">
        <v>6190</v>
      </c>
    </row>
    <row r="389" spans="1:9" x14ac:dyDescent="0.25">
      <c r="A389" s="2" t="s">
        <v>2672</v>
      </c>
      <c r="B389" s="2" t="s">
        <v>2673</v>
      </c>
      <c r="C389" s="2" t="s">
        <v>2674</v>
      </c>
      <c r="D389" s="2" t="s">
        <v>2675</v>
      </c>
      <c r="E389" s="2" t="s">
        <v>2676</v>
      </c>
      <c r="F389" s="2" t="s">
        <v>18</v>
      </c>
      <c r="G389" s="2" t="s">
        <v>19</v>
      </c>
      <c r="H389" s="2">
        <v>6510</v>
      </c>
      <c r="I389" t="s">
        <v>6190</v>
      </c>
    </row>
    <row r="390" spans="1:9" x14ac:dyDescent="0.25">
      <c r="A390" s="2" t="s">
        <v>2678</v>
      </c>
      <c r="B390" s="2" t="s">
        <v>2679</v>
      </c>
      <c r="C390" s="2" t="s">
        <v>2680</v>
      </c>
      <c r="D390" s="2" t="s">
        <v>2681</v>
      </c>
      <c r="E390" s="2" t="s">
        <v>2682</v>
      </c>
      <c r="F390" s="2" t="s">
        <v>259</v>
      </c>
      <c r="G390" s="2" t="s">
        <v>19</v>
      </c>
      <c r="H390" s="2">
        <v>30045</v>
      </c>
      <c r="I390" t="s">
        <v>6190</v>
      </c>
    </row>
    <row r="391" spans="1:9" x14ac:dyDescent="0.25">
      <c r="A391" s="2" t="s">
        <v>2684</v>
      </c>
      <c r="B391" s="2" t="s">
        <v>2685</v>
      </c>
      <c r="C391" s="2" t="s">
        <v>2686</v>
      </c>
      <c r="D391" s="2" t="s">
        <v>2687</v>
      </c>
      <c r="E391" s="2" t="s">
        <v>2688</v>
      </c>
      <c r="F391" s="2" t="s">
        <v>171</v>
      </c>
      <c r="G391" s="2" t="s">
        <v>19</v>
      </c>
      <c r="H391" s="2">
        <v>28805</v>
      </c>
      <c r="I391" t="s">
        <v>6190</v>
      </c>
    </row>
    <row r="392" spans="1:9" x14ac:dyDescent="0.25">
      <c r="A392" s="2" t="s">
        <v>2690</v>
      </c>
      <c r="B392" s="2" t="s">
        <v>2691</v>
      </c>
      <c r="C392" s="2" t="s">
        <v>2692</v>
      </c>
      <c r="D392" s="2"/>
      <c r="E392" s="2" t="s">
        <v>2693</v>
      </c>
      <c r="F392" s="2" t="s">
        <v>173</v>
      </c>
      <c r="G392" s="2" t="s">
        <v>19</v>
      </c>
      <c r="H392" s="2">
        <v>55123</v>
      </c>
      <c r="I392" t="s">
        <v>6190</v>
      </c>
    </row>
    <row r="393" spans="1:9" x14ac:dyDescent="0.25">
      <c r="A393" s="2" t="s">
        <v>2695</v>
      </c>
      <c r="B393" s="2" t="s">
        <v>2696</v>
      </c>
      <c r="C393" s="2" t="s">
        <v>2697</v>
      </c>
      <c r="D393" s="2"/>
      <c r="E393" s="2" t="s">
        <v>2698</v>
      </c>
      <c r="F393" s="2" t="s">
        <v>33</v>
      </c>
      <c r="G393" s="2" t="s">
        <v>19</v>
      </c>
      <c r="H393" s="2">
        <v>55458</v>
      </c>
      <c r="I393" t="s">
        <v>6191</v>
      </c>
    </row>
    <row r="394" spans="1:9" x14ac:dyDescent="0.25">
      <c r="A394" s="2" t="s">
        <v>2700</v>
      </c>
      <c r="B394" s="2" t="s">
        <v>2701</v>
      </c>
      <c r="C394" s="2" t="s">
        <v>2702</v>
      </c>
      <c r="D394" s="2" t="s">
        <v>2703</v>
      </c>
      <c r="E394" s="2" t="s">
        <v>2704</v>
      </c>
      <c r="F394" s="2" t="s">
        <v>178</v>
      </c>
      <c r="G394" s="2" t="s">
        <v>19</v>
      </c>
      <c r="H394" s="2">
        <v>92725</v>
      </c>
      <c r="I394" t="s">
        <v>6191</v>
      </c>
    </row>
    <row r="395" spans="1:9" x14ac:dyDescent="0.25">
      <c r="A395" s="2" t="s">
        <v>2705</v>
      </c>
      <c r="B395" s="2" t="s">
        <v>2706</v>
      </c>
      <c r="C395" s="2" t="s">
        <v>2707</v>
      </c>
      <c r="D395" s="2" t="s">
        <v>2708</v>
      </c>
      <c r="E395" s="2" t="s">
        <v>2709</v>
      </c>
      <c r="F395" s="2" t="s">
        <v>261</v>
      </c>
      <c r="G395" s="2" t="s">
        <v>19</v>
      </c>
      <c r="H395" s="2">
        <v>21747</v>
      </c>
      <c r="I395" t="s">
        <v>6190</v>
      </c>
    </row>
    <row r="396" spans="1:9" x14ac:dyDescent="0.25">
      <c r="A396" s="2" t="s">
        <v>2711</v>
      </c>
      <c r="B396" s="2" t="s">
        <v>2712</v>
      </c>
      <c r="C396" s="2" t="s">
        <v>2713</v>
      </c>
      <c r="D396" s="2" t="s">
        <v>2714</v>
      </c>
      <c r="E396" s="2" t="s">
        <v>2715</v>
      </c>
      <c r="F396" s="2" t="s">
        <v>33</v>
      </c>
      <c r="G396" s="2" t="s">
        <v>19</v>
      </c>
      <c r="H396" s="2">
        <v>55458</v>
      </c>
      <c r="I396" t="s">
        <v>6191</v>
      </c>
    </row>
    <row r="397" spans="1:9" x14ac:dyDescent="0.25">
      <c r="A397" s="2" t="s">
        <v>2717</v>
      </c>
      <c r="B397" s="2" t="s">
        <v>2718</v>
      </c>
      <c r="C397" s="2" t="s">
        <v>2719</v>
      </c>
      <c r="D397" s="2"/>
      <c r="E397" s="2" t="s">
        <v>2720</v>
      </c>
      <c r="F397" s="2" t="s">
        <v>47</v>
      </c>
      <c r="G397" s="2" t="s">
        <v>19</v>
      </c>
      <c r="H397" s="2">
        <v>20420</v>
      </c>
      <c r="I397" t="s">
        <v>6190</v>
      </c>
    </row>
    <row r="398" spans="1:9" x14ac:dyDescent="0.25">
      <c r="A398" s="2" t="s">
        <v>2722</v>
      </c>
      <c r="B398" s="2" t="s">
        <v>2723</v>
      </c>
      <c r="C398" s="2" t="s">
        <v>2724</v>
      </c>
      <c r="D398" s="2" t="s">
        <v>2725</v>
      </c>
      <c r="E398" s="2" t="s">
        <v>2726</v>
      </c>
      <c r="F398" s="2" t="s">
        <v>272</v>
      </c>
      <c r="G398" s="2" t="s">
        <v>19</v>
      </c>
      <c r="H398" s="2">
        <v>92415</v>
      </c>
      <c r="I398" t="s">
        <v>6191</v>
      </c>
    </row>
    <row r="399" spans="1:9" x14ac:dyDescent="0.25">
      <c r="A399" s="2" t="s">
        <v>2728</v>
      </c>
      <c r="B399" s="2" t="s">
        <v>2729</v>
      </c>
      <c r="C399" s="2" t="s">
        <v>2730</v>
      </c>
      <c r="D399" s="2" t="s">
        <v>2731</v>
      </c>
      <c r="E399" s="2" t="s">
        <v>2732</v>
      </c>
      <c r="F399" s="2" t="s">
        <v>219</v>
      </c>
      <c r="G399" s="2" t="s">
        <v>19</v>
      </c>
      <c r="H399" s="2">
        <v>14609</v>
      </c>
      <c r="I399" t="s">
        <v>6190</v>
      </c>
    </row>
    <row r="400" spans="1:9" x14ac:dyDescent="0.25">
      <c r="A400" s="2" t="s">
        <v>2734</v>
      </c>
      <c r="B400" s="2" t="s">
        <v>2735</v>
      </c>
      <c r="C400" s="2" t="s">
        <v>2736</v>
      </c>
      <c r="D400" s="2" t="s">
        <v>2737</v>
      </c>
      <c r="E400" s="2" t="s">
        <v>2738</v>
      </c>
      <c r="F400" s="2" t="s">
        <v>91</v>
      </c>
      <c r="G400" s="2" t="s">
        <v>19</v>
      </c>
      <c r="H400" s="2">
        <v>98664</v>
      </c>
      <c r="I400" t="s">
        <v>6190</v>
      </c>
    </row>
    <row r="401" spans="1:9" x14ac:dyDescent="0.25">
      <c r="A401" s="2" t="s">
        <v>2740</v>
      </c>
      <c r="B401" s="2" t="s">
        <v>2741</v>
      </c>
      <c r="C401" s="2" t="s">
        <v>2742</v>
      </c>
      <c r="D401" s="2" t="s">
        <v>2743</v>
      </c>
      <c r="E401" s="2" t="s">
        <v>2744</v>
      </c>
      <c r="F401" s="2" t="s">
        <v>305</v>
      </c>
      <c r="G401" s="2" t="s">
        <v>28</v>
      </c>
      <c r="H401" s="2" t="s">
        <v>306</v>
      </c>
      <c r="I401" t="s">
        <v>6191</v>
      </c>
    </row>
    <row r="402" spans="1:9" x14ac:dyDescent="0.25">
      <c r="A402" s="2" t="s">
        <v>2746</v>
      </c>
      <c r="B402" s="2" t="s">
        <v>2747</v>
      </c>
      <c r="C402" s="2" t="s">
        <v>2748</v>
      </c>
      <c r="D402" s="2" t="s">
        <v>2749</v>
      </c>
      <c r="E402" s="2" t="s">
        <v>2750</v>
      </c>
      <c r="F402" s="2" t="s">
        <v>47</v>
      </c>
      <c r="G402" s="2" t="s">
        <v>19</v>
      </c>
      <c r="H402" s="2">
        <v>20057</v>
      </c>
      <c r="I402" t="s">
        <v>6191</v>
      </c>
    </row>
    <row r="403" spans="1:9" x14ac:dyDescent="0.25">
      <c r="A403" s="2" t="s">
        <v>2752</v>
      </c>
      <c r="B403" s="2" t="s">
        <v>2753</v>
      </c>
      <c r="C403" s="2" t="s">
        <v>2754</v>
      </c>
      <c r="D403" s="2" t="s">
        <v>2755</v>
      </c>
      <c r="E403" s="2" t="s">
        <v>2756</v>
      </c>
      <c r="F403" s="2" t="s">
        <v>49</v>
      </c>
      <c r="G403" s="2" t="s">
        <v>19</v>
      </c>
      <c r="H403" s="2">
        <v>37924</v>
      </c>
      <c r="I403" t="s">
        <v>6190</v>
      </c>
    </row>
    <row r="404" spans="1:9" x14ac:dyDescent="0.25">
      <c r="A404" s="2" t="s">
        <v>2758</v>
      </c>
      <c r="B404" s="2" t="s">
        <v>2759</v>
      </c>
      <c r="C404" s="2" t="s">
        <v>2760</v>
      </c>
      <c r="D404" s="2" t="s">
        <v>2761</v>
      </c>
      <c r="E404" s="2" t="s">
        <v>2762</v>
      </c>
      <c r="F404" s="2" t="s">
        <v>48</v>
      </c>
      <c r="G404" s="2" t="s">
        <v>19</v>
      </c>
      <c r="H404" s="2">
        <v>25336</v>
      </c>
      <c r="I404" t="s">
        <v>6190</v>
      </c>
    </row>
    <row r="405" spans="1:9" x14ac:dyDescent="0.25">
      <c r="A405" s="2" t="s">
        <v>2764</v>
      </c>
      <c r="B405" s="2" t="s">
        <v>2765</v>
      </c>
      <c r="C405" s="2" t="s">
        <v>2766</v>
      </c>
      <c r="D405" s="2" t="s">
        <v>2767</v>
      </c>
      <c r="E405" s="2" t="s">
        <v>2768</v>
      </c>
      <c r="F405" s="2" t="s">
        <v>52</v>
      </c>
      <c r="G405" s="2" t="s">
        <v>19</v>
      </c>
      <c r="H405" s="2">
        <v>75372</v>
      </c>
      <c r="I405" t="s">
        <v>6191</v>
      </c>
    </row>
    <row r="406" spans="1:9" x14ac:dyDescent="0.25">
      <c r="A406" s="2" t="s">
        <v>2770</v>
      </c>
      <c r="B406" s="2" t="s">
        <v>2771</v>
      </c>
      <c r="C406" s="2" t="s">
        <v>2772</v>
      </c>
      <c r="D406" s="2" t="s">
        <v>2773</v>
      </c>
      <c r="E406" s="2" t="s">
        <v>2774</v>
      </c>
      <c r="F406" s="2" t="s">
        <v>469</v>
      </c>
      <c r="G406" s="2" t="s">
        <v>318</v>
      </c>
      <c r="H406" s="2" t="s">
        <v>470</v>
      </c>
      <c r="I406" t="s">
        <v>6191</v>
      </c>
    </row>
    <row r="407" spans="1:9" x14ac:dyDescent="0.25">
      <c r="A407" s="2" t="s">
        <v>2776</v>
      </c>
      <c r="B407" s="2" t="s">
        <v>2777</v>
      </c>
      <c r="C407" s="2" t="s">
        <v>2778</v>
      </c>
      <c r="D407" s="2" t="s">
        <v>2779</v>
      </c>
      <c r="E407" s="2" t="s">
        <v>2780</v>
      </c>
      <c r="F407" s="2" t="s">
        <v>237</v>
      </c>
      <c r="G407" s="2" t="s">
        <v>19</v>
      </c>
      <c r="H407" s="2">
        <v>95973</v>
      </c>
      <c r="I407" t="s">
        <v>6190</v>
      </c>
    </row>
    <row r="408" spans="1:9" x14ac:dyDescent="0.25">
      <c r="A408" s="2" t="s">
        <v>2782</v>
      </c>
      <c r="B408" s="2" t="s">
        <v>2783</v>
      </c>
      <c r="C408" s="2" t="s">
        <v>2784</v>
      </c>
      <c r="D408" s="2" t="s">
        <v>2785</v>
      </c>
      <c r="E408" s="2" t="s">
        <v>2786</v>
      </c>
      <c r="F408" s="2" t="s">
        <v>88</v>
      </c>
      <c r="G408" s="2" t="s">
        <v>19</v>
      </c>
      <c r="H408" s="2">
        <v>72215</v>
      </c>
      <c r="I408" t="s">
        <v>6190</v>
      </c>
    </row>
    <row r="409" spans="1:9" x14ac:dyDescent="0.25">
      <c r="A409" s="2" t="s">
        <v>2788</v>
      </c>
      <c r="B409" s="2" t="s">
        <v>2789</v>
      </c>
      <c r="C409" s="2"/>
      <c r="D409" s="2" t="s">
        <v>2790</v>
      </c>
      <c r="E409" s="2" t="s">
        <v>2791</v>
      </c>
      <c r="F409" s="2" t="s">
        <v>373</v>
      </c>
      <c r="G409" s="2" t="s">
        <v>318</v>
      </c>
      <c r="H409" s="2" t="s">
        <v>374</v>
      </c>
      <c r="I409" t="s">
        <v>6191</v>
      </c>
    </row>
    <row r="410" spans="1:9" x14ac:dyDescent="0.25">
      <c r="A410" s="2" t="s">
        <v>2793</v>
      </c>
      <c r="B410" s="2" t="s">
        <v>2794</v>
      </c>
      <c r="C410" s="2" t="s">
        <v>2795</v>
      </c>
      <c r="D410" s="2" t="s">
        <v>2796</v>
      </c>
      <c r="E410" s="2" t="s">
        <v>2797</v>
      </c>
      <c r="F410" s="2" t="s">
        <v>304</v>
      </c>
      <c r="G410" s="2" t="s">
        <v>19</v>
      </c>
      <c r="H410" s="2">
        <v>8922</v>
      </c>
      <c r="I410" t="s">
        <v>6190</v>
      </c>
    </row>
    <row r="411" spans="1:9" x14ac:dyDescent="0.25">
      <c r="A411" s="2" t="s">
        <v>2799</v>
      </c>
      <c r="B411" s="2" t="s">
        <v>2800</v>
      </c>
      <c r="C411" s="2"/>
      <c r="D411" s="2" t="s">
        <v>2801</v>
      </c>
      <c r="E411" s="2" t="s">
        <v>2802</v>
      </c>
      <c r="F411" s="2" t="s">
        <v>486</v>
      </c>
      <c r="G411" s="2" t="s">
        <v>318</v>
      </c>
      <c r="H411" s="2" t="s">
        <v>487</v>
      </c>
      <c r="I411" t="s">
        <v>6190</v>
      </c>
    </row>
    <row r="412" spans="1:9" x14ac:dyDescent="0.25">
      <c r="A412" s="2" t="s">
        <v>2804</v>
      </c>
      <c r="B412" s="2" t="s">
        <v>2805</v>
      </c>
      <c r="C412" s="2"/>
      <c r="D412" s="2" t="s">
        <v>2806</v>
      </c>
      <c r="E412" s="2" t="s">
        <v>2807</v>
      </c>
      <c r="F412" s="2" t="s">
        <v>150</v>
      </c>
      <c r="G412" s="2" t="s">
        <v>19</v>
      </c>
      <c r="H412" s="2">
        <v>94132</v>
      </c>
      <c r="I412" t="s">
        <v>6191</v>
      </c>
    </row>
    <row r="413" spans="1:9" x14ac:dyDescent="0.25">
      <c r="A413" s="2" t="s">
        <v>2809</v>
      </c>
      <c r="B413" s="2" t="s">
        <v>2810</v>
      </c>
      <c r="C413" s="2"/>
      <c r="D413" s="2" t="s">
        <v>2811</v>
      </c>
      <c r="E413" s="2" t="s">
        <v>2812</v>
      </c>
      <c r="F413" s="2" t="s">
        <v>292</v>
      </c>
      <c r="G413" s="2" t="s">
        <v>19</v>
      </c>
      <c r="H413" s="2">
        <v>70505</v>
      </c>
      <c r="I413" t="s">
        <v>6190</v>
      </c>
    </row>
    <row r="414" spans="1:9" x14ac:dyDescent="0.25">
      <c r="A414" s="2" t="s">
        <v>2814</v>
      </c>
      <c r="B414" s="2" t="s">
        <v>2815</v>
      </c>
      <c r="C414" s="2"/>
      <c r="D414" s="2" t="s">
        <v>2816</v>
      </c>
      <c r="E414" s="2" t="s">
        <v>2817</v>
      </c>
      <c r="F414" s="2" t="s">
        <v>58</v>
      </c>
      <c r="G414" s="2" t="s">
        <v>19</v>
      </c>
      <c r="H414" s="2">
        <v>92191</v>
      </c>
      <c r="I414" t="s">
        <v>6190</v>
      </c>
    </row>
    <row r="415" spans="1:9" x14ac:dyDescent="0.25">
      <c r="A415" s="2" t="s">
        <v>2819</v>
      </c>
      <c r="B415" s="2" t="s">
        <v>2820</v>
      </c>
      <c r="C415" s="2" t="s">
        <v>2821</v>
      </c>
      <c r="D415" s="2" t="s">
        <v>2822</v>
      </c>
      <c r="E415" s="2" t="s">
        <v>2823</v>
      </c>
      <c r="F415" s="2" t="s">
        <v>109</v>
      </c>
      <c r="G415" s="2" t="s">
        <v>19</v>
      </c>
      <c r="H415" s="2">
        <v>91841</v>
      </c>
      <c r="I415" t="s">
        <v>6190</v>
      </c>
    </row>
    <row r="416" spans="1:9" x14ac:dyDescent="0.25">
      <c r="A416" s="2" t="s">
        <v>2825</v>
      </c>
      <c r="B416" s="2" t="s">
        <v>2826</v>
      </c>
      <c r="C416" s="2"/>
      <c r="D416" s="2" t="s">
        <v>2827</v>
      </c>
      <c r="E416" s="2" t="s">
        <v>2828</v>
      </c>
      <c r="F416" s="2" t="s">
        <v>185</v>
      </c>
      <c r="G416" s="2" t="s">
        <v>19</v>
      </c>
      <c r="H416" s="2">
        <v>75799</v>
      </c>
      <c r="I416" t="s">
        <v>6190</v>
      </c>
    </row>
    <row r="417" spans="1:9" x14ac:dyDescent="0.25">
      <c r="A417" s="2" t="s">
        <v>2830</v>
      </c>
      <c r="B417" s="2" t="s">
        <v>2831</v>
      </c>
      <c r="C417" s="2" t="s">
        <v>2832</v>
      </c>
      <c r="D417" s="2"/>
      <c r="E417" s="2" t="s">
        <v>2833</v>
      </c>
      <c r="F417" s="2" t="s">
        <v>292</v>
      </c>
      <c r="G417" s="2" t="s">
        <v>19</v>
      </c>
      <c r="H417" s="2">
        <v>70593</v>
      </c>
      <c r="I417" t="s">
        <v>6191</v>
      </c>
    </row>
    <row r="418" spans="1:9" x14ac:dyDescent="0.25">
      <c r="A418" s="2" t="s">
        <v>2835</v>
      </c>
      <c r="B418" s="2" t="s">
        <v>2836</v>
      </c>
      <c r="C418" s="2"/>
      <c r="D418" s="2" t="s">
        <v>2837</v>
      </c>
      <c r="E418" s="2" t="s">
        <v>2838</v>
      </c>
      <c r="F418" s="2" t="s">
        <v>203</v>
      </c>
      <c r="G418" s="2" t="s">
        <v>19</v>
      </c>
      <c r="H418" s="2">
        <v>45426</v>
      </c>
      <c r="I418" t="s">
        <v>6190</v>
      </c>
    </row>
    <row r="419" spans="1:9" x14ac:dyDescent="0.25">
      <c r="A419" s="2" t="s">
        <v>2840</v>
      </c>
      <c r="B419" s="2" t="s">
        <v>2841</v>
      </c>
      <c r="C419" s="2"/>
      <c r="D419" s="2" t="s">
        <v>2842</v>
      </c>
      <c r="E419" s="2" t="s">
        <v>2843</v>
      </c>
      <c r="F419" s="2" t="s">
        <v>184</v>
      </c>
      <c r="G419" s="2" t="s">
        <v>19</v>
      </c>
      <c r="H419" s="2">
        <v>85072</v>
      </c>
      <c r="I419" t="s">
        <v>6190</v>
      </c>
    </row>
    <row r="420" spans="1:9" x14ac:dyDescent="0.25">
      <c r="A420" s="2" t="s">
        <v>2845</v>
      </c>
      <c r="B420" s="2" t="s">
        <v>2846</v>
      </c>
      <c r="C420" s="2" t="s">
        <v>2847</v>
      </c>
      <c r="D420" s="2"/>
      <c r="E420" s="2" t="s">
        <v>2848</v>
      </c>
      <c r="F420" s="2" t="s">
        <v>131</v>
      </c>
      <c r="G420" s="2" t="s">
        <v>19</v>
      </c>
      <c r="H420" s="2">
        <v>94263</v>
      </c>
      <c r="I420" t="s">
        <v>6190</v>
      </c>
    </row>
    <row r="421" spans="1:9" x14ac:dyDescent="0.25">
      <c r="A421" s="2" t="s">
        <v>2850</v>
      </c>
      <c r="B421" s="2" t="s">
        <v>2851</v>
      </c>
      <c r="C421" s="2" t="s">
        <v>2852</v>
      </c>
      <c r="D421" s="2" t="s">
        <v>2853</v>
      </c>
      <c r="E421" s="2" t="s">
        <v>2854</v>
      </c>
      <c r="F421" s="2" t="s">
        <v>236</v>
      </c>
      <c r="G421" s="2" t="s">
        <v>19</v>
      </c>
      <c r="H421" s="2">
        <v>68505</v>
      </c>
      <c r="I421" t="s">
        <v>6190</v>
      </c>
    </row>
    <row r="422" spans="1:9" x14ac:dyDescent="0.25">
      <c r="A422" s="2" t="s">
        <v>2856</v>
      </c>
      <c r="B422" s="2" t="s">
        <v>2857</v>
      </c>
      <c r="C422" s="2" t="s">
        <v>2858</v>
      </c>
      <c r="D422" s="2" t="s">
        <v>2859</v>
      </c>
      <c r="E422" s="2" t="s">
        <v>2860</v>
      </c>
      <c r="F422" s="2" t="s">
        <v>172</v>
      </c>
      <c r="G422" s="2" t="s">
        <v>19</v>
      </c>
      <c r="H422" s="2">
        <v>17126</v>
      </c>
      <c r="I422" t="s">
        <v>6191</v>
      </c>
    </row>
    <row r="423" spans="1:9" x14ac:dyDescent="0.25">
      <c r="A423" s="2" t="s">
        <v>2861</v>
      </c>
      <c r="B423" s="2" t="s">
        <v>2862</v>
      </c>
      <c r="C423" s="2" t="s">
        <v>2863</v>
      </c>
      <c r="D423" s="2" t="s">
        <v>2864</v>
      </c>
      <c r="E423" s="2" t="s">
        <v>2865</v>
      </c>
      <c r="F423" s="2" t="s">
        <v>69</v>
      </c>
      <c r="G423" s="2" t="s">
        <v>19</v>
      </c>
      <c r="H423" s="2">
        <v>70174</v>
      </c>
      <c r="I423" t="s">
        <v>6190</v>
      </c>
    </row>
    <row r="424" spans="1:9" x14ac:dyDescent="0.25">
      <c r="A424" s="2" t="s">
        <v>2867</v>
      </c>
      <c r="B424" s="2" t="s">
        <v>2868</v>
      </c>
      <c r="C424" s="2"/>
      <c r="D424" s="2" t="s">
        <v>2869</v>
      </c>
      <c r="E424" s="2" t="s">
        <v>2870</v>
      </c>
      <c r="F424" s="2" t="s">
        <v>231</v>
      </c>
      <c r="G424" s="2" t="s">
        <v>19</v>
      </c>
      <c r="H424" s="2">
        <v>53726</v>
      </c>
      <c r="I424" t="s">
        <v>6191</v>
      </c>
    </row>
    <row r="425" spans="1:9" x14ac:dyDescent="0.25">
      <c r="A425" s="2" t="s">
        <v>2872</v>
      </c>
      <c r="B425" s="2" t="s">
        <v>2873</v>
      </c>
      <c r="C425" s="2"/>
      <c r="D425" s="2" t="s">
        <v>2874</v>
      </c>
      <c r="E425" s="2" t="s">
        <v>2875</v>
      </c>
      <c r="F425" s="2" t="s">
        <v>48</v>
      </c>
      <c r="G425" s="2" t="s">
        <v>19</v>
      </c>
      <c r="H425" s="2">
        <v>25336</v>
      </c>
      <c r="I425" t="s">
        <v>6191</v>
      </c>
    </row>
    <row r="426" spans="1:9" x14ac:dyDescent="0.25">
      <c r="A426" s="2" t="s">
        <v>2877</v>
      </c>
      <c r="B426" s="2" t="s">
        <v>2878</v>
      </c>
      <c r="C426" s="2" t="s">
        <v>2879</v>
      </c>
      <c r="D426" s="2" t="s">
        <v>2880</v>
      </c>
      <c r="E426" s="2" t="s">
        <v>2881</v>
      </c>
      <c r="F426" s="2" t="s">
        <v>88</v>
      </c>
      <c r="G426" s="2" t="s">
        <v>19</v>
      </c>
      <c r="H426" s="2">
        <v>72204</v>
      </c>
      <c r="I426" t="s">
        <v>6190</v>
      </c>
    </row>
    <row r="427" spans="1:9" x14ac:dyDescent="0.25">
      <c r="A427" s="2" t="s">
        <v>2883</v>
      </c>
      <c r="B427" s="2" t="s">
        <v>2884</v>
      </c>
      <c r="C427" s="2" t="s">
        <v>2885</v>
      </c>
      <c r="D427" s="2" t="s">
        <v>2886</v>
      </c>
      <c r="E427" s="2" t="s">
        <v>2887</v>
      </c>
      <c r="F427" s="2" t="s">
        <v>72</v>
      </c>
      <c r="G427" s="2" t="s">
        <v>19</v>
      </c>
      <c r="H427" s="2">
        <v>99507</v>
      </c>
      <c r="I427" t="s">
        <v>6191</v>
      </c>
    </row>
    <row r="428" spans="1:9" x14ac:dyDescent="0.25">
      <c r="A428" s="2" t="s">
        <v>2889</v>
      </c>
      <c r="B428" s="2" t="s">
        <v>2890</v>
      </c>
      <c r="C428" s="2" t="s">
        <v>2891</v>
      </c>
      <c r="D428" s="2" t="s">
        <v>2892</v>
      </c>
      <c r="E428" s="2" t="s">
        <v>2893</v>
      </c>
      <c r="F428" s="2" t="s">
        <v>380</v>
      </c>
      <c r="G428" s="2" t="s">
        <v>318</v>
      </c>
      <c r="H428" s="2" t="s">
        <v>381</v>
      </c>
      <c r="I428" t="s">
        <v>6190</v>
      </c>
    </row>
    <row r="429" spans="1:9" x14ac:dyDescent="0.25">
      <c r="A429" s="2" t="s">
        <v>2895</v>
      </c>
      <c r="B429" s="2" t="s">
        <v>2896</v>
      </c>
      <c r="C429" s="2"/>
      <c r="D429" s="2" t="s">
        <v>2897</v>
      </c>
      <c r="E429" s="2" t="s">
        <v>2898</v>
      </c>
      <c r="F429" s="2" t="s">
        <v>150</v>
      </c>
      <c r="G429" s="2" t="s">
        <v>19</v>
      </c>
      <c r="H429" s="2">
        <v>94110</v>
      </c>
      <c r="I429" t="s">
        <v>6190</v>
      </c>
    </row>
    <row r="430" spans="1:9" x14ac:dyDescent="0.25">
      <c r="A430" s="2" t="s">
        <v>2900</v>
      </c>
      <c r="B430" s="2" t="s">
        <v>2901</v>
      </c>
      <c r="C430" s="2" t="s">
        <v>2902</v>
      </c>
      <c r="D430" s="2" t="s">
        <v>2903</v>
      </c>
      <c r="E430" s="2" t="s">
        <v>2904</v>
      </c>
      <c r="F430" s="2" t="s">
        <v>181</v>
      </c>
      <c r="G430" s="2" t="s">
        <v>19</v>
      </c>
      <c r="H430" s="2">
        <v>44485</v>
      </c>
      <c r="I430" t="s">
        <v>6191</v>
      </c>
    </row>
    <row r="431" spans="1:9" x14ac:dyDescent="0.25">
      <c r="A431" s="2" t="s">
        <v>2906</v>
      </c>
      <c r="B431" s="2" t="s">
        <v>2907</v>
      </c>
      <c r="C431" s="2" t="s">
        <v>2908</v>
      </c>
      <c r="D431" s="2" t="s">
        <v>2909</v>
      </c>
      <c r="E431" s="2" t="s">
        <v>2910</v>
      </c>
      <c r="F431" s="2" t="s">
        <v>233</v>
      </c>
      <c r="G431" s="2" t="s">
        <v>19</v>
      </c>
      <c r="H431" s="2">
        <v>23324</v>
      </c>
      <c r="I431" t="s">
        <v>6191</v>
      </c>
    </row>
    <row r="432" spans="1:9" x14ac:dyDescent="0.25">
      <c r="A432" s="2" t="s">
        <v>2912</v>
      </c>
      <c r="B432" s="2" t="s">
        <v>2913</v>
      </c>
      <c r="C432" s="2" t="s">
        <v>2914</v>
      </c>
      <c r="D432" s="2" t="s">
        <v>2915</v>
      </c>
      <c r="E432" s="2" t="s">
        <v>2916</v>
      </c>
      <c r="F432" s="2" t="s">
        <v>93</v>
      </c>
      <c r="G432" s="2" t="s">
        <v>19</v>
      </c>
      <c r="H432" s="2">
        <v>39236</v>
      </c>
      <c r="I432" t="s">
        <v>6190</v>
      </c>
    </row>
    <row r="433" spans="1:9" x14ac:dyDescent="0.25">
      <c r="A433" s="2" t="s">
        <v>2918</v>
      </c>
      <c r="B433" s="2" t="s">
        <v>2919</v>
      </c>
      <c r="C433" s="2" t="s">
        <v>2920</v>
      </c>
      <c r="D433" s="2" t="s">
        <v>2921</v>
      </c>
      <c r="E433" s="2" t="s">
        <v>2922</v>
      </c>
      <c r="F433" s="2" t="s">
        <v>337</v>
      </c>
      <c r="G433" s="2" t="s">
        <v>318</v>
      </c>
      <c r="H433" s="2" t="s">
        <v>338</v>
      </c>
      <c r="I433" t="s">
        <v>6190</v>
      </c>
    </row>
    <row r="434" spans="1:9" x14ac:dyDescent="0.25">
      <c r="A434" s="2" t="s">
        <v>2924</v>
      </c>
      <c r="B434" s="2" t="s">
        <v>2925</v>
      </c>
      <c r="C434" s="2"/>
      <c r="D434" s="2" t="s">
        <v>2926</v>
      </c>
      <c r="E434" s="2" t="s">
        <v>2927</v>
      </c>
      <c r="F434" s="2" t="s">
        <v>45</v>
      </c>
      <c r="G434" s="2" t="s">
        <v>19</v>
      </c>
      <c r="H434" s="2">
        <v>53277</v>
      </c>
      <c r="I434" t="s">
        <v>6191</v>
      </c>
    </row>
    <row r="435" spans="1:9" x14ac:dyDescent="0.25">
      <c r="A435" s="2" t="s">
        <v>2929</v>
      </c>
      <c r="B435" s="2" t="s">
        <v>2930</v>
      </c>
      <c r="C435" s="2" t="s">
        <v>2931</v>
      </c>
      <c r="D435" s="2" t="s">
        <v>2932</v>
      </c>
      <c r="E435" s="2" t="s">
        <v>2933</v>
      </c>
      <c r="F435" s="2" t="s">
        <v>131</v>
      </c>
      <c r="G435" s="2" t="s">
        <v>19</v>
      </c>
      <c r="H435" s="2">
        <v>94250</v>
      </c>
      <c r="I435" t="s">
        <v>6190</v>
      </c>
    </row>
    <row r="436" spans="1:9" x14ac:dyDescent="0.25">
      <c r="A436" s="2" t="s">
        <v>2935</v>
      </c>
      <c r="B436" s="2" t="s">
        <v>2936</v>
      </c>
      <c r="C436" s="2"/>
      <c r="D436" s="2" t="s">
        <v>2937</v>
      </c>
      <c r="E436" s="2" t="s">
        <v>2938</v>
      </c>
      <c r="F436" s="2" t="s">
        <v>241</v>
      </c>
      <c r="G436" s="2" t="s">
        <v>19</v>
      </c>
      <c r="H436" s="2">
        <v>2298</v>
      </c>
      <c r="I436" t="s">
        <v>6191</v>
      </c>
    </row>
    <row r="437" spans="1:9" x14ac:dyDescent="0.25">
      <c r="A437" s="2" t="s">
        <v>2940</v>
      </c>
      <c r="B437" s="2" t="s">
        <v>2941</v>
      </c>
      <c r="C437" s="2" t="s">
        <v>2942</v>
      </c>
      <c r="D437" s="2" t="s">
        <v>2943</v>
      </c>
      <c r="E437" s="2" t="s">
        <v>2944</v>
      </c>
      <c r="F437" s="2" t="s">
        <v>148</v>
      </c>
      <c r="G437" s="2" t="s">
        <v>19</v>
      </c>
      <c r="H437" s="2">
        <v>66622</v>
      </c>
      <c r="I437" t="s">
        <v>6191</v>
      </c>
    </row>
    <row r="438" spans="1:9" x14ac:dyDescent="0.25">
      <c r="A438" s="2" t="s">
        <v>2946</v>
      </c>
      <c r="B438" s="2" t="s">
        <v>2947</v>
      </c>
      <c r="C438" s="2" t="s">
        <v>2948</v>
      </c>
      <c r="D438" s="2" t="s">
        <v>2949</v>
      </c>
      <c r="E438" s="2" t="s">
        <v>2950</v>
      </c>
      <c r="F438" s="2" t="s">
        <v>97</v>
      </c>
      <c r="G438" s="2" t="s">
        <v>19</v>
      </c>
      <c r="H438" s="2">
        <v>58122</v>
      </c>
      <c r="I438" t="s">
        <v>6190</v>
      </c>
    </row>
    <row r="439" spans="1:9" x14ac:dyDescent="0.25">
      <c r="A439" s="2" t="s">
        <v>2952</v>
      </c>
      <c r="B439" s="2" t="s">
        <v>2953</v>
      </c>
      <c r="C439" s="2"/>
      <c r="D439" s="2" t="s">
        <v>2954</v>
      </c>
      <c r="E439" s="2" t="s">
        <v>2955</v>
      </c>
      <c r="F439" s="2" t="s">
        <v>63</v>
      </c>
      <c r="G439" s="2" t="s">
        <v>19</v>
      </c>
      <c r="H439" s="2">
        <v>77095</v>
      </c>
      <c r="I439" t="s">
        <v>6191</v>
      </c>
    </row>
    <row r="440" spans="1:9" x14ac:dyDescent="0.25">
      <c r="A440" s="2" t="s">
        <v>2957</v>
      </c>
      <c r="B440" s="2" t="s">
        <v>2958</v>
      </c>
      <c r="C440" s="2" t="s">
        <v>2959</v>
      </c>
      <c r="D440" s="2" t="s">
        <v>2960</v>
      </c>
      <c r="E440" s="2" t="s">
        <v>2961</v>
      </c>
      <c r="F440" s="2" t="s">
        <v>77</v>
      </c>
      <c r="G440" s="2" t="s">
        <v>19</v>
      </c>
      <c r="H440" s="2">
        <v>73190</v>
      </c>
      <c r="I440" t="s">
        <v>6191</v>
      </c>
    </row>
    <row r="441" spans="1:9" x14ac:dyDescent="0.25">
      <c r="A441" s="2" t="s">
        <v>2963</v>
      </c>
      <c r="B441" s="2" t="s">
        <v>2964</v>
      </c>
      <c r="C441" s="2" t="s">
        <v>2965</v>
      </c>
      <c r="D441" s="2" t="s">
        <v>2966</v>
      </c>
      <c r="E441" s="2" t="s">
        <v>2967</v>
      </c>
      <c r="F441" s="2" t="s">
        <v>474</v>
      </c>
      <c r="G441" s="2" t="s">
        <v>318</v>
      </c>
      <c r="H441" s="2" t="s">
        <v>416</v>
      </c>
      <c r="I441" t="s">
        <v>6191</v>
      </c>
    </row>
    <row r="442" spans="1:9" x14ac:dyDescent="0.25">
      <c r="A442" s="2" t="s">
        <v>2969</v>
      </c>
      <c r="B442" s="2" t="s">
        <v>2970</v>
      </c>
      <c r="C442" s="2" t="s">
        <v>2971</v>
      </c>
      <c r="D442" s="2" t="s">
        <v>2972</v>
      </c>
      <c r="E442" s="2" t="s">
        <v>2973</v>
      </c>
      <c r="F442" s="2" t="s">
        <v>120</v>
      </c>
      <c r="G442" s="2" t="s">
        <v>19</v>
      </c>
      <c r="H442" s="2">
        <v>14205</v>
      </c>
      <c r="I442" t="s">
        <v>6190</v>
      </c>
    </row>
    <row r="443" spans="1:9" x14ac:dyDescent="0.25">
      <c r="A443" s="2" t="s">
        <v>2975</v>
      </c>
      <c r="B443" s="2" t="s">
        <v>2976</v>
      </c>
      <c r="C443" s="2" t="s">
        <v>2977</v>
      </c>
      <c r="D443" s="2" t="s">
        <v>2978</v>
      </c>
      <c r="E443" s="2" t="s">
        <v>2979</v>
      </c>
      <c r="F443" s="2" t="s">
        <v>2031</v>
      </c>
      <c r="G443" s="2" t="s">
        <v>318</v>
      </c>
      <c r="H443" s="2" t="s">
        <v>454</v>
      </c>
      <c r="I443" t="s">
        <v>6190</v>
      </c>
    </row>
    <row r="444" spans="1:9" x14ac:dyDescent="0.25">
      <c r="A444" s="2" t="s">
        <v>2981</v>
      </c>
      <c r="B444" s="2" t="s">
        <v>2982</v>
      </c>
      <c r="C444" s="2" t="s">
        <v>2983</v>
      </c>
      <c r="D444" s="2" t="s">
        <v>2984</v>
      </c>
      <c r="E444" s="2" t="s">
        <v>2985</v>
      </c>
      <c r="F444" s="2" t="s">
        <v>294</v>
      </c>
      <c r="G444" s="2" t="s">
        <v>19</v>
      </c>
      <c r="H444" s="2">
        <v>18018</v>
      </c>
      <c r="I444" t="s">
        <v>6191</v>
      </c>
    </row>
    <row r="445" spans="1:9" x14ac:dyDescent="0.25">
      <c r="A445" s="2" t="s">
        <v>2987</v>
      </c>
      <c r="B445" s="2" t="s">
        <v>2988</v>
      </c>
      <c r="C445" s="2" t="s">
        <v>2989</v>
      </c>
      <c r="D445" s="2" t="s">
        <v>2990</v>
      </c>
      <c r="E445" s="2" t="s">
        <v>2991</v>
      </c>
      <c r="F445" s="2" t="s">
        <v>465</v>
      </c>
      <c r="G445" s="2" t="s">
        <v>318</v>
      </c>
      <c r="H445" s="2" t="s">
        <v>383</v>
      </c>
      <c r="I445" t="s">
        <v>6190</v>
      </c>
    </row>
    <row r="446" spans="1:9" x14ac:dyDescent="0.25">
      <c r="A446" s="2" t="s">
        <v>2993</v>
      </c>
      <c r="B446" s="2" t="s">
        <v>2994</v>
      </c>
      <c r="C446" s="2" t="s">
        <v>2995</v>
      </c>
      <c r="D446" s="2" t="s">
        <v>2996</v>
      </c>
      <c r="E446" s="2" t="s">
        <v>2997</v>
      </c>
      <c r="F446" s="2" t="s">
        <v>2998</v>
      </c>
      <c r="G446" s="2" t="s">
        <v>318</v>
      </c>
      <c r="H446" s="2" t="s">
        <v>395</v>
      </c>
      <c r="I446" t="s">
        <v>6191</v>
      </c>
    </row>
    <row r="447" spans="1:9" x14ac:dyDescent="0.25">
      <c r="A447" s="2" t="s">
        <v>3000</v>
      </c>
      <c r="B447" s="2" t="s">
        <v>3001</v>
      </c>
      <c r="C447" s="2" t="s">
        <v>3002</v>
      </c>
      <c r="D447" s="2"/>
      <c r="E447" s="2" t="s">
        <v>3003</v>
      </c>
      <c r="F447" s="2" t="s">
        <v>390</v>
      </c>
      <c r="G447" s="2" t="s">
        <v>318</v>
      </c>
      <c r="H447" s="2" t="s">
        <v>348</v>
      </c>
      <c r="I447" t="s">
        <v>6190</v>
      </c>
    </row>
    <row r="448" spans="1:9" x14ac:dyDescent="0.25">
      <c r="A448" s="2" t="s">
        <v>3005</v>
      </c>
      <c r="B448" s="2" t="s">
        <v>3006</v>
      </c>
      <c r="C448" s="2" t="s">
        <v>3007</v>
      </c>
      <c r="D448" s="2" t="s">
        <v>3008</v>
      </c>
      <c r="E448" s="2" t="s">
        <v>3009</v>
      </c>
      <c r="F448" s="2" t="s">
        <v>144</v>
      </c>
      <c r="G448" s="2" t="s">
        <v>28</v>
      </c>
      <c r="H448" s="2" t="s">
        <v>215</v>
      </c>
      <c r="I448" t="s">
        <v>6190</v>
      </c>
    </row>
    <row r="449" spans="1:9" x14ac:dyDescent="0.25">
      <c r="A449" s="2" t="s">
        <v>3011</v>
      </c>
      <c r="B449" s="2" t="s">
        <v>3012</v>
      </c>
      <c r="C449" s="2" t="s">
        <v>3013</v>
      </c>
      <c r="D449" s="2"/>
      <c r="E449" s="2" t="s">
        <v>3014</v>
      </c>
      <c r="F449" s="2" t="s">
        <v>184</v>
      </c>
      <c r="G449" s="2" t="s">
        <v>19</v>
      </c>
      <c r="H449" s="2">
        <v>85099</v>
      </c>
      <c r="I449" t="s">
        <v>6191</v>
      </c>
    </row>
    <row r="450" spans="1:9" x14ac:dyDescent="0.25">
      <c r="A450" s="2" t="s">
        <v>3016</v>
      </c>
      <c r="B450" s="2" t="s">
        <v>3017</v>
      </c>
      <c r="C450" s="2" t="s">
        <v>3018</v>
      </c>
      <c r="D450" s="2" t="s">
        <v>3019</v>
      </c>
      <c r="E450" s="2" t="s">
        <v>3020</v>
      </c>
      <c r="F450" s="2" t="s">
        <v>344</v>
      </c>
      <c r="G450" s="2" t="s">
        <v>318</v>
      </c>
      <c r="H450" s="2" t="s">
        <v>345</v>
      </c>
      <c r="I450" t="s">
        <v>6191</v>
      </c>
    </row>
    <row r="451" spans="1:9" x14ac:dyDescent="0.25">
      <c r="A451" s="2" t="s">
        <v>3022</v>
      </c>
      <c r="B451" s="2" t="s">
        <v>3023</v>
      </c>
      <c r="C451" s="2" t="s">
        <v>3024</v>
      </c>
      <c r="D451" s="2" t="s">
        <v>3025</v>
      </c>
      <c r="E451" s="2" t="s">
        <v>3026</v>
      </c>
      <c r="F451" s="2" t="s">
        <v>260</v>
      </c>
      <c r="G451" s="2" t="s">
        <v>19</v>
      </c>
      <c r="H451" s="2">
        <v>43610</v>
      </c>
      <c r="I451" t="s">
        <v>6191</v>
      </c>
    </row>
    <row r="452" spans="1:9" x14ac:dyDescent="0.25">
      <c r="A452" s="2" t="s">
        <v>3028</v>
      </c>
      <c r="B452" s="2" t="s">
        <v>3029</v>
      </c>
      <c r="C452" s="2" t="s">
        <v>3030</v>
      </c>
      <c r="D452" s="2" t="s">
        <v>3031</v>
      </c>
      <c r="E452" s="2" t="s">
        <v>3032</v>
      </c>
      <c r="F452" s="2" t="s">
        <v>3033</v>
      </c>
      <c r="G452" s="2" t="s">
        <v>318</v>
      </c>
      <c r="H452" s="2" t="s">
        <v>3034</v>
      </c>
      <c r="I452" t="s">
        <v>6191</v>
      </c>
    </row>
    <row r="453" spans="1:9" x14ac:dyDescent="0.25">
      <c r="A453" s="2" t="s">
        <v>3036</v>
      </c>
      <c r="B453" s="2" t="s">
        <v>3037</v>
      </c>
      <c r="C453" s="2" t="s">
        <v>3038</v>
      </c>
      <c r="D453" s="2" t="s">
        <v>3039</v>
      </c>
      <c r="E453" s="2" t="s">
        <v>3040</v>
      </c>
      <c r="F453" s="2" t="s">
        <v>35</v>
      </c>
      <c r="G453" s="2" t="s">
        <v>19</v>
      </c>
      <c r="H453" s="2">
        <v>28210</v>
      </c>
      <c r="I453" t="s">
        <v>6190</v>
      </c>
    </row>
    <row r="454" spans="1:9" x14ac:dyDescent="0.25">
      <c r="A454" s="2" t="s">
        <v>3042</v>
      </c>
      <c r="B454" s="2" t="s">
        <v>3043</v>
      </c>
      <c r="C454" s="2" t="s">
        <v>3044</v>
      </c>
      <c r="D454" s="2" t="s">
        <v>3045</v>
      </c>
      <c r="E454" s="2" t="s">
        <v>3046</v>
      </c>
      <c r="F454" s="2" t="s">
        <v>105</v>
      </c>
      <c r="G454" s="2" t="s">
        <v>19</v>
      </c>
      <c r="H454" s="2">
        <v>98109</v>
      </c>
      <c r="I454" t="s">
        <v>6191</v>
      </c>
    </row>
    <row r="455" spans="1:9" x14ac:dyDescent="0.25">
      <c r="A455" s="2" t="s">
        <v>3048</v>
      </c>
      <c r="B455" s="2" t="s">
        <v>3049</v>
      </c>
      <c r="C455" s="2" t="s">
        <v>3050</v>
      </c>
      <c r="D455" s="2" t="s">
        <v>3051</v>
      </c>
      <c r="E455" s="2" t="s">
        <v>3052</v>
      </c>
      <c r="F455" s="2" t="s">
        <v>202</v>
      </c>
      <c r="G455" s="2" t="s">
        <v>19</v>
      </c>
      <c r="H455" s="2">
        <v>18706</v>
      </c>
      <c r="I455" t="s">
        <v>6191</v>
      </c>
    </row>
    <row r="456" spans="1:9" x14ac:dyDescent="0.25">
      <c r="A456" s="2" t="s">
        <v>3054</v>
      </c>
      <c r="B456" s="2" t="s">
        <v>3055</v>
      </c>
      <c r="C456" s="2" t="s">
        <v>3056</v>
      </c>
      <c r="D456" s="2"/>
      <c r="E456" s="2" t="s">
        <v>3057</v>
      </c>
      <c r="F456" s="2" t="s">
        <v>449</v>
      </c>
      <c r="G456" s="2" t="s">
        <v>318</v>
      </c>
      <c r="H456" s="2" t="s">
        <v>330</v>
      </c>
      <c r="I456" t="s">
        <v>6190</v>
      </c>
    </row>
    <row r="457" spans="1:9" x14ac:dyDescent="0.25">
      <c r="A457" s="2" t="s">
        <v>3059</v>
      </c>
      <c r="B457" s="2" t="s">
        <v>3060</v>
      </c>
      <c r="C457" s="2" t="s">
        <v>3061</v>
      </c>
      <c r="D457" s="2" t="s">
        <v>3062</v>
      </c>
      <c r="E457" s="2" t="s">
        <v>3063</v>
      </c>
      <c r="F457" s="2" t="s">
        <v>488</v>
      </c>
      <c r="G457" s="2" t="s">
        <v>318</v>
      </c>
      <c r="H457" s="2" t="s">
        <v>363</v>
      </c>
      <c r="I457" t="s">
        <v>6190</v>
      </c>
    </row>
    <row r="458" spans="1:9" x14ac:dyDescent="0.25">
      <c r="A458" s="2" t="s">
        <v>3065</v>
      </c>
      <c r="B458" s="2" t="s">
        <v>3066</v>
      </c>
      <c r="C458" s="2" t="s">
        <v>3067</v>
      </c>
      <c r="D458" s="2" t="s">
        <v>3068</v>
      </c>
      <c r="E458" s="2" t="s">
        <v>3069</v>
      </c>
      <c r="F458" s="2" t="s">
        <v>284</v>
      </c>
      <c r="G458" s="2" t="s">
        <v>28</v>
      </c>
      <c r="H458" s="2" t="s">
        <v>285</v>
      </c>
      <c r="I458" t="s">
        <v>6191</v>
      </c>
    </row>
    <row r="459" spans="1:9" x14ac:dyDescent="0.25">
      <c r="A459" s="2" t="s">
        <v>3071</v>
      </c>
      <c r="B459" s="2" t="s">
        <v>3072</v>
      </c>
      <c r="C459" s="2" t="s">
        <v>3073</v>
      </c>
      <c r="D459" s="2" t="s">
        <v>3074</v>
      </c>
      <c r="E459" s="2" t="s">
        <v>3075</v>
      </c>
      <c r="F459" s="2" t="s">
        <v>219</v>
      </c>
      <c r="G459" s="2" t="s">
        <v>19</v>
      </c>
      <c r="H459" s="2">
        <v>14652</v>
      </c>
      <c r="I459" t="s">
        <v>6191</v>
      </c>
    </row>
    <row r="460" spans="1:9" x14ac:dyDescent="0.25">
      <c r="A460" s="2" t="s">
        <v>3077</v>
      </c>
      <c r="B460" s="2" t="s">
        <v>3078</v>
      </c>
      <c r="C460" s="2" t="s">
        <v>3079</v>
      </c>
      <c r="D460" s="2" t="s">
        <v>3080</v>
      </c>
      <c r="E460" s="2" t="s">
        <v>3081</v>
      </c>
      <c r="F460" s="2" t="s">
        <v>126</v>
      </c>
      <c r="G460" s="2" t="s">
        <v>19</v>
      </c>
      <c r="H460" s="2">
        <v>85754</v>
      </c>
      <c r="I460" t="s">
        <v>6191</v>
      </c>
    </row>
    <row r="461" spans="1:9" x14ac:dyDescent="0.25">
      <c r="A461" s="2" t="s">
        <v>3083</v>
      </c>
      <c r="B461" s="2" t="s">
        <v>3084</v>
      </c>
      <c r="C461" s="2" t="s">
        <v>3085</v>
      </c>
      <c r="D461" s="2" t="s">
        <v>3086</v>
      </c>
      <c r="E461" s="2" t="s">
        <v>3087</v>
      </c>
      <c r="F461" s="2" t="s">
        <v>33</v>
      </c>
      <c r="G461" s="2" t="s">
        <v>19</v>
      </c>
      <c r="H461" s="2">
        <v>55480</v>
      </c>
      <c r="I461" t="s">
        <v>6191</v>
      </c>
    </row>
    <row r="462" spans="1:9" x14ac:dyDescent="0.25">
      <c r="A462" s="2" t="s">
        <v>3089</v>
      </c>
      <c r="B462" s="2" t="s">
        <v>3090</v>
      </c>
      <c r="C462" s="2" t="s">
        <v>3091</v>
      </c>
      <c r="D462" s="2" t="s">
        <v>3092</v>
      </c>
      <c r="E462" s="2" t="s">
        <v>3093</v>
      </c>
      <c r="F462" s="2" t="s">
        <v>399</v>
      </c>
      <c r="G462" s="2" t="s">
        <v>318</v>
      </c>
      <c r="H462" s="2" t="s">
        <v>400</v>
      </c>
      <c r="I462" t="s">
        <v>6190</v>
      </c>
    </row>
    <row r="463" spans="1:9" x14ac:dyDescent="0.25">
      <c r="A463" s="2" t="s">
        <v>3095</v>
      </c>
      <c r="B463" s="2" t="s">
        <v>3096</v>
      </c>
      <c r="C463" s="2" t="s">
        <v>3097</v>
      </c>
      <c r="D463" s="2" t="s">
        <v>3098</v>
      </c>
      <c r="E463" s="2" t="s">
        <v>3099</v>
      </c>
      <c r="F463" s="2" t="s">
        <v>85</v>
      </c>
      <c r="G463" s="2" t="s">
        <v>28</v>
      </c>
      <c r="H463" s="2" t="s">
        <v>86</v>
      </c>
      <c r="I463" t="s">
        <v>6190</v>
      </c>
    </row>
    <row r="464" spans="1:9" x14ac:dyDescent="0.25">
      <c r="A464" s="2" t="s">
        <v>3101</v>
      </c>
      <c r="B464" s="2" t="s">
        <v>3102</v>
      </c>
      <c r="C464" s="2" t="s">
        <v>3103</v>
      </c>
      <c r="D464" s="2" t="s">
        <v>3104</v>
      </c>
      <c r="E464" s="2" t="s">
        <v>3105</v>
      </c>
      <c r="F464" s="2" t="s">
        <v>84</v>
      </c>
      <c r="G464" s="2" t="s">
        <v>19</v>
      </c>
      <c r="H464" s="2">
        <v>31119</v>
      </c>
      <c r="I464" t="s">
        <v>6190</v>
      </c>
    </row>
    <row r="465" spans="1:9" x14ac:dyDescent="0.25">
      <c r="A465" s="2" t="s">
        <v>3107</v>
      </c>
      <c r="B465" s="2" t="s">
        <v>3108</v>
      </c>
      <c r="C465" s="2" t="s">
        <v>3109</v>
      </c>
      <c r="D465" s="2" t="s">
        <v>3110</v>
      </c>
      <c r="E465" s="2" t="s">
        <v>3111</v>
      </c>
      <c r="F465" s="2" t="s">
        <v>439</v>
      </c>
      <c r="G465" s="2" t="s">
        <v>318</v>
      </c>
      <c r="H465" s="2" t="s">
        <v>346</v>
      </c>
      <c r="I465" t="s">
        <v>6191</v>
      </c>
    </row>
    <row r="466" spans="1:9" x14ac:dyDescent="0.25">
      <c r="A466" s="2" t="s">
        <v>3113</v>
      </c>
      <c r="B466" s="2" t="s">
        <v>3114</v>
      </c>
      <c r="C466" s="2" t="s">
        <v>3115</v>
      </c>
      <c r="D466" s="2" t="s">
        <v>3116</v>
      </c>
      <c r="E466" s="2" t="s">
        <v>3117</v>
      </c>
      <c r="F466" s="2" t="s">
        <v>299</v>
      </c>
      <c r="G466" s="2" t="s">
        <v>28</v>
      </c>
      <c r="H466" s="2" t="s">
        <v>300</v>
      </c>
      <c r="I466" t="s">
        <v>6191</v>
      </c>
    </row>
    <row r="467" spans="1:9" x14ac:dyDescent="0.25">
      <c r="A467" s="2" t="s">
        <v>3119</v>
      </c>
      <c r="B467" s="2" t="s">
        <v>3120</v>
      </c>
      <c r="C467" s="2" t="s">
        <v>3121</v>
      </c>
      <c r="D467" s="2" t="s">
        <v>3122</v>
      </c>
      <c r="E467" s="2" t="s">
        <v>3123</v>
      </c>
      <c r="F467" s="2" t="s">
        <v>49</v>
      </c>
      <c r="G467" s="2" t="s">
        <v>19</v>
      </c>
      <c r="H467" s="2">
        <v>37939</v>
      </c>
      <c r="I467" t="s">
        <v>6190</v>
      </c>
    </row>
    <row r="468" spans="1:9" x14ac:dyDescent="0.25">
      <c r="A468" s="2" t="s">
        <v>3125</v>
      </c>
      <c r="B468" s="2" t="s">
        <v>3126</v>
      </c>
      <c r="C468" s="2" t="s">
        <v>3127</v>
      </c>
      <c r="D468" s="2" t="s">
        <v>3128</v>
      </c>
      <c r="E468" s="2" t="s">
        <v>3129</v>
      </c>
      <c r="F468" s="2" t="s">
        <v>158</v>
      </c>
      <c r="G468" s="2" t="s">
        <v>19</v>
      </c>
      <c r="H468" s="2">
        <v>48604</v>
      </c>
      <c r="I468" t="s">
        <v>6190</v>
      </c>
    </row>
    <row r="469" spans="1:9" x14ac:dyDescent="0.25">
      <c r="A469" s="2" t="s">
        <v>3131</v>
      </c>
      <c r="B469" s="2" t="s">
        <v>3132</v>
      </c>
      <c r="C469" s="2" t="s">
        <v>3133</v>
      </c>
      <c r="D469" s="2" t="s">
        <v>3134</v>
      </c>
      <c r="E469" s="2" t="s">
        <v>3135</v>
      </c>
      <c r="F469" s="2" t="s">
        <v>201</v>
      </c>
      <c r="G469" s="2" t="s">
        <v>19</v>
      </c>
      <c r="H469" s="2">
        <v>32092</v>
      </c>
      <c r="I469" t="s">
        <v>6191</v>
      </c>
    </row>
    <row r="470" spans="1:9" x14ac:dyDescent="0.25">
      <c r="A470" s="2" t="s">
        <v>3137</v>
      </c>
      <c r="B470" s="2" t="s">
        <v>3138</v>
      </c>
      <c r="C470" s="2" t="s">
        <v>3139</v>
      </c>
      <c r="D470" s="2"/>
      <c r="E470" s="2" t="s">
        <v>3140</v>
      </c>
      <c r="F470" s="2" t="s">
        <v>140</v>
      </c>
      <c r="G470" s="2" t="s">
        <v>19</v>
      </c>
      <c r="H470" s="2">
        <v>94913</v>
      </c>
      <c r="I470" t="s">
        <v>6190</v>
      </c>
    </row>
    <row r="471" spans="1:9" x14ac:dyDescent="0.25">
      <c r="A471" s="2" t="s">
        <v>3142</v>
      </c>
      <c r="B471" s="2" t="s">
        <v>3143</v>
      </c>
      <c r="C471" s="2" t="s">
        <v>3144</v>
      </c>
      <c r="D471" s="2" t="s">
        <v>3145</v>
      </c>
      <c r="E471" s="2" t="s">
        <v>3146</v>
      </c>
      <c r="F471" s="2" t="s">
        <v>98</v>
      </c>
      <c r="G471" s="2" t="s">
        <v>19</v>
      </c>
      <c r="H471" s="2">
        <v>95113</v>
      </c>
      <c r="I471" t="s">
        <v>6190</v>
      </c>
    </row>
    <row r="472" spans="1:9" x14ac:dyDescent="0.25">
      <c r="A472" s="2" t="s">
        <v>3148</v>
      </c>
      <c r="B472" s="2" t="s">
        <v>3149</v>
      </c>
      <c r="C472" s="2" t="s">
        <v>3150</v>
      </c>
      <c r="D472" s="2" t="s">
        <v>3151</v>
      </c>
      <c r="E472" s="2" t="s">
        <v>3152</v>
      </c>
      <c r="F472" s="2" t="s">
        <v>259</v>
      </c>
      <c r="G472" s="2" t="s">
        <v>19</v>
      </c>
      <c r="H472" s="2">
        <v>30045</v>
      </c>
      <c r="I472" t="s">
        <v>6190</v>
      </c>
    </row>
    <row r="473" spans="1:9" x14ac:dyDescent="0.25">
      <c r="A473" s="2" t="s">
        <v>3154</v>
      </c>
      <c r="B473" s="2" t="s">
        <v>3155</v>
      </c>
      <c r="C473" s="2"/>
      <c r="D473" s="2" t="s">
        <v>3156</v>
      </c>
      <c r="E473" s="2" t="s">
        <v>3157</v>
      </c>
      <c r="F473" s="2" t="s">
        <v>148</v>
      </c>
      <c r="G473" s="2" t="s">
        <v>19</v>
      </c>
      <c r="H473" s="2">
        <v>66622</v>
      </c>
      <c r="I473" t="s">
        <v>6190</v>
      </c>
    </row>
    <row r="474" spans="1:9" x14ac:dyDescent="0.25">
      <c r="A474" s="2" t="s">
        <v>3159</v>
      </c>
      <c r="B474" s="2" t="s">
        <v>3160</v>
      </c>
      <c r="C474" s="2" t="s">
        <v>3161</v>
      </c>
      <c r="D474" s="2" t="s">
        <v>3162</v>
      </c>
      <c r="E474" s="2" t="s">
        <v>3163</v>
      </c>
      <c r="F474" s="2" t="s">
        <v>67</v>
      </c>
      <c r="G474" s="2" t="s">
        <v>19</v>
      </c>
      <c r="H474" s="2">
        <v>66276</v>
      </c>
      <c r="I474" t="s">
        <v>6191</v>
      </c>
    </row>
    <row r="475" spans="1:9" x14ac:dyDescent="0.25">
      <c r="A475" s="2" t="s">
        <v>3165</v>
      </c>
      <c r="B475" s="2" t="s">
        <v>3166</v>
      </c>
      <c r="C475" s="2" t="s">
        <v>3167</v>
      </c>
      <c r="D475" s="2" t="s">
        <v>3168</v>
      </c>
      <c r="E475" s="2" t="s">
        <v>3169</v>
      </c>
      <c r="F475" s="2" t="s">
        <v>105</v>
      </c>
      <c r="G475" s="2" t="s">
        <v>19</v>
      </c>
      <c r="H475" s="2">
        <v>98148</v>
      </c>
      <c r="I475" t="s">
        <v>6191</v>
      </c>
    </row>
    <row r="476" spans="1:9" x14ac:dyDescent="0.25">
      <c r="A476" s="2" t="s">
        <v>3171</v>
      </c>
      <c r="B476" s="2" t="s">
        <v>3172</v>
      </c>
      <c r="C476" s="2" t="s">
        <v>3173</v>
      </c>
      <c r="D476" s="2" t="s">
        <v>3174</v>
      </c>
      <c r="E476" s="2" t="s">
        <v>3175</v>
      </c>
      <c r="F476" s="2" t="s">
        <v>393</v>
      </c>
      <c r="G476" s="2" t="s">
        <v>318</v>
      </c>
      <c r="H476" s="2" t="s">
        <v>394</v>
      </c>
      <c r="I476" t="s">
        <v>6190</v>
      </c>
    </row>
    <row r="477" spans="1:9" x14ac:dyDescent="0.25">
      <c r="A477" s="2" t="s">
        <v>3177</v>
      </c>
      <c r="B477" s="2" t="s">
        <v>3178</v>
      </c>
      <c r="C477" s="2" t="s">
        <v>3179</v>
      </c>
      <c r="D477" s="2"/>
      <c r="E477" s="2" t="s">
        <v>3180</v>
      </c>
      <c r="F477" s="2" t="s">
        <v>315</v>
      </c>
      <c r="G477" s="2" t="s">
        <v>19</v>
      </c>
      <c r="H477" s="2">
        <v>34745</v>
      </c>
      <c r="I477" t="s">
        <v>6191</v>
      </c>
    </row>
    <row r="478" spans="1:9" x14ac:dyDescent="0.25">
      <c r="A478" s="2" t="s">
        <v>3182</v>
      </c>
      <c r="B478" s="2" t="s">
        <v>3183</v>
      </c>
      <c r="C478" s="2" t="s">
        <v>3184</v>
      </c>
      <c r="D478" s="2" t="s">
        <v>3185</v>
      </c>
      <c r="E478" s="2" t="s">
        <v>3186</v>
      </c>
      <c r="F478" s="2" t="s">
        <v>219</v>
      </c>
      <c r="G478" s="2" t="s">
        <v>19</v>
      </c>
      <c r="H478" s="2">
        <v>14683</v>
      </c>
      <c r="I478" t="s">
        <v>6190</v>
      </c>
    </row>
    <row r="479" spans="1:9" x14ac:dyDescent="0.25">
      <c r="A479" s="2" t="s">
        <v>3188</v>
      </c>
      <c r="B479" s="2" t="s">
        <v>3189</v>
      </c>
      <c r="C479" s="2" t="s">
        <v>3190</v>
      </c>
      <c r="D479" s="2" t="s">
        <v>3191</v>
      </c>
      <c r="E479" s="2" t="s">
        <v>3192</v>
      </c>
      <c r="F479" s="2" t="s">
        <v>185</v>
      </c>
      <c r="G479" s="2" t="s">
        <v>19</v>
      </c>
      <c r="H479" s="2">
        <v>75799</v>
      </c>
      <c r="I479" t="s">
        <v>6191</v>
      </c>
    </row>
    <row r="480" spans="1:9" x14ac:dyDescent="0.25">
      <c r="A480" s="2" t="s">
        <v>3194</v>
      </c>
      <c r="B480" s="2" t="s">
        <v>3195</v>
      </c>
      <c r="C480" s="2" t="s">
        <v>3196</v>
      </c>
      <c r="D480" s="2" t="s">
        <v>3197</v>
      </c>
      <c r="E480" s="2" t="s">
        <v>3198</v>
      </c>
      <c r="F480" s="2" t="s">
        <v>89</v>
      </c>
      <c r="G480" s="2" t="s">
        <v>19</v>
      </c>
      <c r="H480" s="2">
        <v>11388</v>
      </c>
      <c r="I480" t="s">
        <v>6190</v>
      </c>
    </row>
    <row r="481" spans="1:9" x14ac:dyDescent="0.25">
      <c r="A481" s="2" t="s">
        <v>3199</v>
      </c>
      <c r="B481" s="2" t="s">
        <v>3200</v>
      </c>
      <c r="C481" s="2"/>
      <c r="D481" s="2" t="s">
        <v>3201</v>
      </c>
      <c r="E481" s="2" t="s">
        <v>3202</v>
      </c>
      <c r="F481" s="2" t="s">
        <v>34</v>
      </c>
      <c r="G481" s="2" t="s">
        <v>19</v>
      </c>
      <c r="H481" s="2">
        <v>20167</v>
      </c>
      <c r="I481" t="s">
        <v>6190</v>
      </c>
    </row>
    <row r="482" spans="1:9" x14ac:dyDescent="0.25">
      <c r="A482" s="2" t="s">
        <v>3203</v>
      </c>
      <c r="B482" s="2" t="s">
        <v>3204</v>
      </c>
      <c r="C482" s="2" t="s">
        <v>3205</v>
      </c>
      <c r="D482" s="2" t="s">
        <v>3206</v>
      </c>
      <c r="E482" s="2" t="s">
        <v>3207</v>
      </c>
      <c r="F482" s="2" t="s">
        <v>38</v>
      </c>
      <c r="G482" s="2" t="s">
        <v>19</v>
      </c>
      <c r="H482" s="2">
        <v>23203</v>
      </c>
      <c r="I482" t="s">
        <v>6191</v>
      </c>
    </row>
    <row r="483" spans="1:9" x14ac:dyDescent="0.25">
      <c r="A483" s="2" t="s">
        <v>3209</v>
      </c>
      <c r="B483" s="2" t="s">
        <v>3210</v>
      </c>
      <c r="C483" s="2" t="s">
        <v>3211</v>
      </c>
      <c r="D483" s="2" t="s">
        <v>3212</v>
      </c>
      <c r="E483" s="2" t="s">
        <v>3213</v>
      </c>
      <c r="F483" s="2" t="s">
        <v>251</v>
      </c>
      <c r="G483" s="2" t="s">
        <v>28</v>
      </c>
      <c r="H483" s="2" t="s">
        <v>114</v>
      </c>
      <c r="I483" t="s">
        <v>6191</v>
      </c>
    </row>
    <row r="484" spans="1:9" x14ac:dyDescent="0.25">
      <c r="A484" s="2" t="s">
        <v>3215</v>
      </c>
      <c r="B484" s="2" t="s">
        <v>3216</v>
      </c>
      <c r="C484" s="2" t="s">
        <v>3217</v>
      </c>
      <c r="D484" s="2" t="s">
        <v>3218</v>
      </c>
      <c r="E484" s="2" t="s">
        <v>3219</v>
      </c>
      <c r="F484" s="2" t="s">
        <v>164</v>
      </c>
      <c r="G484" s="2" t="s">
        <v>19</v>
      </c>
      <c r="H484" s="2">
        <v>22309</v>
      </c>
      <c r="I484" t="s">
        <v>6190</v>
      </c>
    </row>
    <row r="485" spans="1:9" x14ac:dyDescent="0.25">
      <c r="A485" s="2" t="s">
        <v>3221</v>
      </c>
      <c r="B485" s="2" t="s">
        <v>3222</v>
      </c>
      <c r="C485" s="2"/>
      <c r="D485" s="2" t="s">
        <v>3223</v>
      </c>
      <c r="E485" s="2" t="s">
        <v>3224</v>
      </c>
      <c r="F485" s="2" t="s">
        <v>216</v>
      </c>
      <c r="G485" s="2" t="s">
        <v>19</v>
      </c>
      <c r="H485" s="2">
        <v>84115</v>
      </c>
      <c r="I485" t="s">
        <v>6190</v>
      </c>
    </row>
    <row r="486" spans="1:9" x14ac:dyDescent="0.25">
      <c r="A486" s="2" t="s">
        <v>3226</v>
      </c>
      <c r="B486" s="2" t="s">
        <v>3227</v>
      </c>
      <c r="C486" s="2" t="s">
        <v>3228</v>
      </c>
      <c r="D486" s="2"/>
      <c r="E486" s="2" t="s">
        <v>3229</v>
      </c>
      <c r="F486" s="2" t="s">
        <v>98</v>
      </c>
      <c r="G486" s="2" t="s">
        <v>19</v>
      </c>
      <c r="H486" s="2">
        <v>95108</v>
      </c>
      <c r="I486" t="s">
        <v>6191</v>
      </c>
    </row>
    <row r="487" spans="1:9" x14ac:dyDescent="0.25">
      <c r="A487" s="2" t="s">
        <v>3231</v>
      </c>
      <c r="B487" s="2" t="s">
        <v>3232</v>
      </c>
      <c r="C487" s="2" t="s">
        <v>3233</v>
      </c>
      <c r="D487" s="2" t="s">
        <v>3234</v>
      </c>
      <c r="E487" s="2" t="s">
        <v>3235</v>
      </c>
      <c r="F487" s="2" t="s">
        <v>371</v>
      </c>
      <c r="G487" s="2" t="s">
        <v>318</v>
      </c>
      <c r="H487" s="2" t="s">
        <v>372</v>
      </c>
      <c r="I487" t="s">
        <v>6190</v>
      </c>
    </row>
    <row r="488" spans="1:9" x14ac:dyDescent="0.25">
      <c r="A488" s="2" t="s">
        <v>3237</v>
      </c>
      <c r="B488" s="2" t="s">
        <v>3238</v>
      </c>
      <c r="C488" s="2" t="s">
        <v>3239</v>
      </c>
      <c r="D488" s="2" t="s">
        <v>3240</v>
      </c>
      <c r="E488" s="2" t="s">
        <v>3241</v>
      </c>
      <c r="F488" s="2" t="s">
        <v>471</v>
      </c>
      <c r="G488" s="2" t="s">
        <v>318</v>
      </c>
      <c r="H488" s="2" t="s">
        <v>444</v>
      </c>
      <c r="I488" t="s">
        <v>6190</v>
      </c>
    </row>
    <row r="489" spans="1:9" x14ac:dyDescent="0.25">
      <c r="A489" s="2" t="s">
        <v>3243</v>
      </c>
      <c r="B489" s="2" t="s">
        <v>3244</v>
      </c>
      <c r="C489" s="2" t="s">
        <v>3245</v>
      </c>
      <c r="D489" s="2" t="s">
        <v>3246</v>
      </c>
      <c r="E489" s="2" t="s">
        <v>3247</v>
      </c>
      <c r="F489" s="2" t="s">
        <v>471</v>
      </c>
      <c r="G489" s="2" t="s">
        <v>318</v>
      </c>
      <c r="H489" s="2" t="s">
        <v>444</v>
      </c>
      <c r="I489" t="s">
        <v>6191</v>
      </c>
    </row>
    <row r="490" spans="1:9" x14ac:dyDescent="0.25">
      <c r="A490" s="2" t="s">
        <v>3249</v>
      </c>
      <c r="B490" s="2" t="s">
        <v>3250</v>
      </c>
      <c r="C490" s="2" t="s">
        <v>3251</v>
      </c>
      <c r="D490" s="2" t="s">
        <v>3252</v>
      </c>
      <c r="E490" s="2" t="s">
        <v>3253</v>
      </c>
      <c r="F490" s="2" t="s">
        <v>424</v>
      </c>
      <c r="G490" s="2" t="s">
        <v>318</v>
      </c>
      <c r="H490" s="2" t="s">
        <v>425</v>
      </c>
      <c r="I490" t="s">
        <v>6190</v>
      </c>
    </row>
    <row r="491" spans="1:9" x14ac:dyDescent="0.25">
      <c r="A491" s="2" t="s">
        <v>3255</v>
      </c>
      <c r="B491" s="2" t="s">
        <v>3256</v>
      </c>
      <c r="C491" s="2" t="s">
        <v>3257</v>
      </c>
      <c r="D491" s="2" t="s">
        <v>3258</v>
      </c>
      <c r="E491" s="2" t="s">
        <v>3259</v>
      </c>
      <c r="F491" s="2" t="s">
        <v>50</v>
      </c>
      <c r="G491" s="2" t="s">
        <v>19</v>
      </c>
      <c r="H491" s="2">
        <v>79945</v>
      </c>
      <c r="I491" t="s">
        <v>6191</v>
      </c>
    </row>
    <row r="492" spans="1:9" x14ac:dyDescent="0.25">
      <c r="A492" s="2" t="s">
        <v>3261</v>
      </c>
      <c r="B492" s="2" t="s">
        <v>3262</v>
      </c>
      <c r="C492" s="2" t="s">
        <v>3263</v>
      </c>
      <c r="D492" s="2" t="s">
        <v>3264</v>
      </c>
      <c r="E492" s="2" t="s">
        <v>3265</v>
      </c>
      <c r="F492" s="2" t="s">
        <v>271</v>
      </c>
      <c r="G492" s="2" t="s">
        <v>19</v>
      </c>
      <c r="H492" s="2">
        <v>33355</v>
      </c>
      <c r="I492" t="s">
        <v>6191</v>
      </c>
    </row>
    <row r="493" spans="1:9" x14ac:dyDescent="0.25">
      <c r="A493" s="2" t="s">
        <v>3267</v>
      </c>
      <c r="B493" s="2" t="s">
        <v>3268</v>
      </c>
      <c r="C493" s="2"/>
      <c r="D493" s="2" t="s">
        <v>3269</v>
      </c>
      <c r="E493" s="2" t="s">
        <v>3270</v>
      </c>
      <c r="F493" s="2" t="s">
        <v>36</v>
      </c>
      <c r="G493" s="2" t="s">
        <v>19</v>
      </c>
      <c r="H493" s="2">
        <v>46295</v>
      </c>
      <c r="I493" t="s">
        <v>6191</v>
      </c>
    </row>
    <row r="494" spans="1:9" x14ac:dyDescent="0.25">
      <c r="A494" s="2" t="s">
        <v>3272</v>
      </c>
      <c r="B494" s="2" t="s">
        <v>3273</v>
      </c>
      <c r="C494" s="2" t="s">
        <v>3274</v>
      </c>
      <c r="D494" s="2" t="s">
        <v>3275</v>
      </c>
      <c r="E494" s="2" t="s">
        <v>3276</v>
      </c>
      <c r="F494" s="2" t="s">
        <v>45</v>
      </c>
      <c r="G494" s="2" t="s">
        <v>19</v>
      </c>
      <c r="H494" s="2">
        <v>53234</v>
      </c>
      <c r="I494" t="s">
        <v>6190</v>
      </c>
    </row>
    <row r="495" spans="1:9" x14ac:dyDescent="0.25">
      <c r="A495" s="2" t="s">
        <v>3278</v>
      </c>
      <c r="B495" s="2" t="s">
        <v>3279</v>
      </c>
      <c r="C495" s="2" t="s">
        <v>3280</v>
      </c>
      <c r="D495" s="2" t="s">
        <v>3281</v>
      </c>
      <c r="E495" s="2" t="s">
        <v>3282</v>
      </c>
      <c r="F495" s="2" t="s">
        <v>273</v>
      </c>
      <c r="G495" s="2" t="s">
        <v>28</v>
      </c>
      <c r="H495" s="2" t="s">
        <v>274</v>
      </c>
      <c r="I495" t="s">
        <v>6191</v>
      </c>
    </row>
    <row r="496" spans="1:9" x14ac:dyDescent="0.25">
      <c r="A496" s="2" t="s">
        <v>3284</v>
      </c>
      <c r="B496" s="2" t="s">
        <v>3285</v>
      </c>
      <c r="C496" s="2" t="s">
        <v>3286</v>
      </c>
      <c r="D496" s="2" t="s">
        <v>3287</v>
      </c>
      <c r="E496" s="2" t="s">
        <v>3288</v>
      </c>
      <c r="F496" s="2" t="s">
        <v>32</v>
      </c>
      <c r="G496" s="2" t="s">
        <v>19</v>
      </c>
      <c r="H496" s="2">
        <v>70836</v>
      </c>
      <c r="I496" t="s">
        <v>6191</v>
      </c>
    </row>
    <row r="497" spans="1:9" x14ac:dyDescent="0.25">
      <c r="A497" s="2" t="s">
        <v>3290</v>
      </c>
      <c r="B497" s="2" t="s">
        <v>3291</v>
      </c>
      <c r="C497" s="2"/>
      <c r="D497" s="2" t="s">
        <v>3292</v>
      </c>
      <c r="E497" s="2" t="s">
        <v>3293</v>
      </c>
      <c r="F497" s="2" t="s">
        <v>170</v>
      </c>
      <c r="G497" s="2" t="s">
        <v>19</v>
      </c>
      <c r="H497" s="2">
        <v>6816</v>
      </c>
      <c r="I497" t="s">
        <v>6190</v>
      </c>
    </row>
    <row r="498" spans="1:9" x14ac:dyDescent="0.25">
      <c r="A498" s="2" t="s">
        <v>3295</v>
      </c>
      <c r="B498" s="2" t="s">
        <v>3296</v>
      </c>
      <c r="C498" s="2" t="s">
        <v>3297</v>
      </c>
      <c r="D498" s="2" t="s">
        <v>3298</v>
      </c>
      <c r="E498" s="2" t="s">
        <v>3299</v>
      </c>
      <c r="F498" s="2" t="s">
        <v>250</v>
      </c>
      <c r="G498" s="2" t="s">
        <v>19</v>
      </c>
      <c r="H498" s="2">
        <v>32590</v>
      </c>
      <c r="I498" t="s">
        <v>6191</v>
      </c>
    </row>
    <row r="499" spans="1:9" x14ac:dyDescent="0.25">
      <c r="A499" s="2" t="s">
        <v>3301</v>
      </c>
      <c r="B499" s="2" t="s">
        <v>3302</v>
      </c>
      <c r="C499" s="2" t="s">
        <v>3303</v>
      </c>
      <c r="D499" s="2" t="s">
        <v>3304</v>
      </c>
      <c r="E499" s="2" t="s">
        <v>3305</v>
      </c>
      <c r="F499" s="2" t="s">
        <v>3306</v>
      </c>
      <c r="G499" s="2" t="s">
        <v>318</v>
      </c>
      <c r="H499" s="2" t="s">
        <v>348</v>
      </c>
      <c r="I499" t="s">
        <v>6191</v>
      </c>
    </row>
    <row r="500" spans="1:9" x14ac:dyDescent="0.25">
      <c r="A500" s="2" t="s">
        <v>3308</v>
      </c>
      <c r="B500" s="2" t="s">
        <v>3309</v>
      </c>
      <c r="C500" s="2" t="s">
        <v>3310</v>
      </c>
      <c r="D500" s="2" t="s">
        <v>3311</v>
      </c>
      <c r="E500" s="2" t="s">
        <v>3312</v>
      </c>
      <c r="F500" s="2" t="s">
        <v>220</v>
      </c>
      <c r="G500" s="2" t="s">
        <v>28</v>
      </c>
      <c r="H500" s="2" t="s">
        <v>336</v>
      </c>
      <c r="I500" t="s">
        <v>6190</v>
      </c>
    </row>
    <row r="501" spans="1:9" x14ac:dyDescent="0.25">
      <c r="A501" s="2" t="s">
        <v>3314</v>
      </c>
      <c r="B501" s="2" t="s">
        <v>3315</v>
      </c>
      <c r="C501" s="2"/>
      <c r="D501" s="2" t="s">
        <v>3316</v>
      </c>
      <c r="E501" s="2" t="s">
        <v>3317</v>
      </c>
      <c r="F501" s="2" t="s">
        <v>1700</v>
      </c>
      <c r="G501" s="2" t="s">
        <v>318</v>
      </c>
      <c r="H501" s="2" t="s">
        <v>348</v>
      </c>
      <c r="I501" t="s">
        <v>6190</v>
      </c>
    </row>
    <row r="502" spans="1:9" x14ac:dyDescent="0.25">
      <c r="A502" s="2" t="s">
        <v>3319</v>
      </c>
      <c r="B502" s="2" t="s">
        <v>3320</v>
      </c>
      <c r="C502" s="2"/>
      <c r="D502" s="2" t="s">
        <v>3321</v>
      </c>
      <c r="E502" s="2" t="s">
        <v>3322</v>
      </c>
      <c r="F502" s="2" t="s">
        <v>183</v>
      </c>
      <c r="G502" s="2" t="s">
        <v>19</v>
      </c>
      <c r="H502" s="2">
        <v>49518</v>
      </c>
      <c r="I502" t="s">
        <v>6191</v>
      </c>
    </row>
    <row r="503" spans="1:9" x14ac:dyDescent="0.25">
      <c r="A503" s="2" t="s">
        <v>3324</v>
      </c>
      <c r="B503" s="2" t="s">
        <v>3325</v>
      </c>
      <c r="C503" s="2" t="s">
        <v>3326</v>
      </c>
      <c r="D503" s="2" t="s">
        <v>3327</v>
      </c>
      <c r="E503" s="2" t="s">
        <v>3328</v>
      </c>
      <c r="F503" s="2" t="s">
        <v>365</v>
      </c>
      <c r="G503" s="2" t="s">
        <v>28</v>
      </c>
      <c r="H503" s="2" t="s">
        <v>366</v>
      </c>
      <c r="I503" t="s">
        <v>6191</v>
      </c>
    </row>
    <row r="504" spans="1:9" x14ac:dyDescent="0.25">
      <c r="A504" s="2" t="s">
        <v>3329</v>
      </c>
      <c r="B504" s="2" t="s">
        <v>3330</v>
      </c>
      <c r="C504" s="2" t="s">
        <v>3331</v>
      </c>
      <c r="D504" s="2" t="s">
        <v>3332</v>
      </c>
      <c r="E504" s="2" t="s">
        <v>3333</v>
      </c>
      <c r="F504" s="2" t="s">
        <v>116</v>
      </c>
      <c r="G504" s="2" t="s">
        <v>19</v>
      </c>
      <c r="H504" s="2">
        <v>66160</v>
      </c>
      <c r="I504" t="s">
        <v>6191</v>
      </c>
    </row>
    <row r="505" spans="1:9" x14ac:dyDescent="0.25">
      <c r="A505" s="2" t="s">
        <v>3334</v>
      </c>
      <c r="B505" s="2" t="s">
        <v>3335</v>
      </c>
      <c r="C505" s="2"/>
      <c r="D505" s="2" t="s">
        <v>3336</v>
      </c>
      <c r="E505" s="2" t="s">
        <v>3337</v>
      </c>
      <c r="F505" s="2" t="s">
        <v>450</v>
      </c>
      <c r="G505" s="2" t="s">
        <v>19</v>
      </c>
      <c r="H505" s="2">
        <v>14905</v>
      </c>
      <c r="I505" t="s">
        <v>6191</v>
      </c>
    </row>
    <row r="506" spans="1:9" x14ac:dyDescent="0.25">
      <c r="A506" s="2" t="s">
        <v>3338</v>
      </c>
      <c r="B506" s="2" t="s">
        <v>3339</v>
      </c>
      <c r="C506" s="2" t="s">
        <v>3340</v>
      </c>
      <c r="D506" s="2" t="s">
        <v>3341</v>
      </c>
      <c r="E506" s="2" t="s">
        <v>3342</v>
      </c>
      <c r="F506" s="2" t="s">
        <v>45</v>
      </c>
      <c r="G506" s="2" t="s">
        <v>19</v>
      </c>
      <c r="H506" s="2">
        <v>53205</v>
      </c>
      <c r="I506" t="s">
        <v>6190</v>
      </c>
    </row>
    <row r="507" spans="1:9" x14ac:dyDescent="0.25">
      <c r="A507" s="2" t="s">
        <v>3344</v>
      </c>
      <c r="B507" s="2" t="s">
        <v>3345</v>
      </c>
      <c r="C507" s="2" t="s">
        <v>3346</v>
      </c>
      <c r="D507" s="2" t="s">
        <v>3347</v>
      </c>
      <c r="E507" s="2" t="s">
        <v>3348</v>
      </c>
      <c r="F507" s="2" t="s">
        <v>257</v>
      </c>
      <c r="G507" s="2" t="s">
        <v>19</v>
      </c>
      <c r="H507" s="2">
        <v>27264</v>
      </c>
      <c r="I507" t="s">
        <v>6191</v>
      </c>
    </row>
    <row r="508" spans="1:9" x14ac:dyDescent="0.25">
      <c r="A508" s="2" t="s">
        <v>3350</v>
      </c>
      <c r="B508" s="2" t="s">
        <v>3351</v>
      </c>
      <c r="C508" s="2" t="s">
        <v>3352</v>
      </c>
      <c r="D508" s="2" t="s">
        <v>3353</v>
      </c>
      <c r="E508" s="2" t="s">
        <v>3354</v>
      </c>
      <c r="F508" s="2" t="s">
        <v>50</v>
      </c>
      <c r="G508" s="2" t="s">
        <v>19</v>
      </c>
      <c r="H508" s="2">
        <v>88546</v>
      </c>
      <c r="I508" t="s">
        <v>6190</v>
      </c>
    </row>
    <row r="509" spans="1:9" x14ac:dyDescent="0.25">
      <c r="A509" s="2" t="s">
        <v>3356</v>
      </c>
      <c r="B509" s="2" t="s">
        <v>3357</v>
      </c>
      <c r="C509" s="2" t="s">
        <v>3358</v>
      </c>
      <c r="D509" s="2" t="s">
        <v>3359</v>
      </c>
      <c r="E509" s="2" t="s">
        <v>3360</v>
      </c>
      <c r="F509" s="2" t="s">
        <v>255</v>
      </c>
      <c r="G509" s="2" t="s">
        <v>19</v>
      </c>
      <c r="H509" s="2">
        <v>44185</v>
      </c>
      <c r="I509" t="s">
        <v>6190</v>
      </c>
    </row>
    <row r="510" spans="1:9" x14ac:dyDescent="0.25">
      <c r="A510" s="2" t="s">
        <v>3362</v>
      </c>
      <c r="B510" s="2" t="s">
        <v>3363</v>
      </c>
      <c r="C510" s="2" t="s">
        <v>3364</v>
      </c>
      <c r="D510" s="2" t="s">
        <v>3365</v>
      </c>
      <c r="E510" s="2" t="s">
        <v>3366</v>
      </c>
      <c r="F510" s="2" t="s">
        <v>377</v>
      </c>
      <c r="G510" s="2" t="s">
        <v>318</v>
      </c>
      <c r="H510" s="2" t="s">
        <v>378</v>
      </c>
      <c r="I510" t="s">
        <v>6191</v>
      </c>
    </row>
    <row r="511" spans="1:9" x14ac:dyDescent="0.25">
      <c r="A511" s="2" t="s">
        <v>3368</v>
      </c>
      <c r="B511" s="2" t="s">
        <v>3369</v>
      </c>
      <c r="C511" s="2" t="s">
        <v>3370</v>
      </c>
      <c r="D511" s="2" t="s">
        <v>3371</v>
      </c>
      <c r="E511" s="2" t="s">
        <v>3372</v>
      </c>
      <c r="F511" s="2" t="s">
        <v>466</v>
      </c>
      <c r="G511" s="2" t="s">
        <v>318</v>
      </c>
      <c r="H511" s="2" t="s">
        <v>385</v>
      </c>
      <c r="I511" t="s">
        <v>6190</v>
      </c>
    </row>
    <row r="512" spans="1:9" x14ac:dyDescent="0.25">
      <c r="A512" s="2" t="s">
        <v>3374</v>
      </c>
      <c r="B512" s="2" t="s">
        <v>3375</v>
      </c>
      <c r="C512" s="2" t="s">
        <v>3376</v>
      </c>
      <c r="D512" s="2" t="s">
        <v>3377</v>
      </c>
      <c r="E512" s="2" t="s">
        <v>3378</v>
      </c>
      <c r="F512" s="2" t="s">
        <v>469</v>
      </c>
      <c r="G512" s="2" t="s">
        <v>318</v>
      </c>
      <c r="H512" s="2" t="s">
        <v>470</v>
      </c>
      <c r="I512" t="s">
        <v>6190</v>
      </c>
    </row>
    <row r="513" spans="1:9" x14ac:dyDescent="0.25">
      <c r="A513" s="2" t="s">
        <v>3380</v>
      </c>
      <c r="B513" s="2" t="s">
        <v>3381</v>
      </c>
      <c r="C513" s="2" t="s">
        <v>3382</v>
      </c>
      <c r="D513" s="2" t="s">
        <v>3383</v>
      </c>
      <c r="E513" s="2" t="s">
        <v>3384</v>
      </c>
      <c r="F513" s="2" t="s">
        <v>144</v>
      </c>
      <c r="G513" s="2" t="s">
        <v>19</v>
      </c>
      <c r="H513" s="2">
        <v>35244</v>
      </c>
      <c r="I513" t="s">
        <v>6190</v>
      </c>
    </row>
    <row r="514" spans="1:9" x14ac:dyDescent="0.25">
      <c r="A514" s="2" t="s">
        <v>3386</v>
      </c>
      <c r="B514" s="2" t="s">
        <v>3387</v>
      </c>
      <c r="C514" s="2" t="s">
        <v>3388</v>
      </c>
      <c r="D514" s="2" t="s">
        <v>3389</v>
      </c>
      <c r="E514" s="2" t="s">
        <v>3390</v>
      </c>
      <c r="F514" s="2" t="s">
        <v>328</v>
      </c>
      <c r="G514" s="2" t="s">
        <v>19</v>
      </c>
      <c r="H514" s="2">
        <v>56372</v>
      </c>
      <c r="I514" t="s">
        <v>6191</v>
      </c>
    </row>
    <row r="515" spans="1:9" x14ac:dyDescent="0.25">
      <c r="A515" s="2" t="s">
        <v>3392</v>
      </c>
      <c r="B515" s="2" t="s">
        <v>3393</v>
      </c>
      <c r="C515" s="2" t="s">
        <v>3394</v>
      </c>
      <c r="D515" s="2"/>
      <c r="E515" s="2" t="s">
        <v>3395</v>
      </c>
      <c r="F515" s="2" t="s">
        <v>46</v>
      </c>
      <c r="G515" s="2" t="s">
        <v>19</v>
      </c>
      <c r="H515" s="2">
        <v>19191</v>
      </c>
      <c r="I515" t="s">
        <v>6191</v>
      </c>
    </row>
    <row r="516" spans="1:9" x14ac:dyDescent="0.25">
      <c r="A516" s="2" t="s">
        <v>3397</v>
      </c>
      <c r="B516" s="2" t="s">
        <v>3398</v>
      </c>
      <c r="C516" s="2" t="s">
        <v>3399</v>
      </c>
      <c r="D516" s="2" t="s">
        <v>3400</v>
      </c>
      <c r="E516" s="2" t="s">
        <v>3401</v>
      </c>
      <c r="F516" s="2" t="s">
        <v>41</v>
      </c>
      <c r="G516" s="2" t="s">
        <v>19</v>
      </c>
      <c r="H516" s="2">
        <v>48211</v>
      </c>
      <c r="I516" t="s">
        <v>6190</v>
      </c>
    </row>
    <row r="517" spans="1:9" x14ac:dyDescent="0.25">
      <c r="A517" s="2" t="s">
        <v>3403</v>
      </c>
      <c r="B517" s="2" t="s">
        <v>3404</v>
      </c>
      <c r="C517" s="2" t="s">
        <v>3405</v>
      </c>
      <c r="D517" s="2" t="s">
        <v>3406</v>
      </c>
      <c r="E517" s="2" t="s">
        <v>3407</v>
      </c>
      <c r="F517" s="2" t="s">
        <v>104</v>
      </c>
      <c r="G517" s="2" t="s">
        <v>19</v>
      </c>
      <c r="H517" s="2">
        <v>63180</v>
      </c>
      <c r="I517" t="s">
        <v>6191</v>
      </c>
    </row>
    <row r="518" spans="1:9" x14ac:dyDescent="0.25">
      <c r="A518" s="2" t="s">
        <v>3409</v>
      </c>
      <c r="B518" s="2" t="s">
        <v>3410</v>
      </c>
      <c r="C518" s="2"/>
      <c r="D518" s="2" t="s">
        <v>3411</v>
      </c>
      <c r="E518" s="2" t="s">
        <v>3412</v>
      </c>
      <c r="F518" s="2" t="s">
        <v>283</v>
      </c>
      <c r="G518" s="2" t="s">
        <v>19</v>
      </c>
      <c r="H518" s="2">
        <v>12305</v>
      </c>
      <c r="I518" t="s">
        <v>6190</v>
      </c>
    </row>
    <row r="519" spans="1:9" x14ac:dyDescent="0.25">
      <c r="A519" s="2" t="s">
        <v>3414</v>
      </c>
      <c r="B519" s="2" t="s">
        <v>3415</v>
      </c>
      <c r="C519" s="2"/>
      <c r="D519" s="2" t="s">
        <v>3416</v>
      </c>
      <c r="E519" s="2" t="s">
        <v>3417</v>
      </c>
      <c r="F519" s="2" t="s">
        <v>319</v>
      </c>
      <c r="G519" s="2" t="s">
        <v>19</v>
      </c>
      <c r="H519" s="2">
        <v>33805</v>
      </c>
      <c r="I519" t="s">
        <v>6191</v>
      </c>
    </row>
    <row r="520" spans="1:9" x14ac:dyDescent="0.25">
      <c r="A520" s="2" t="s">
        <v>3419</v>
      </c>
      <c r="B520" s="2" t="s">
        <v>3420</v>
      </c>
      <c r="C520" s="2" t="s">
        <v>3421</v>
      </c>
      <c r="D520" s="2" t="s">
        <v>3422</v>
      </c>
      <c r="E520" s="2" t="s">
        <v>3423</v>
      </c>
      <c r="F520" s="2" t="s">
        <v>356</v>
      </c>
      <c r="G520" s="2" t="s">
        <v>19</v>
      </c>
      <c r="H520" s="2">
        <v>32941</v>
      </c>
      <c r="I520" t="s">
        <v>6191</v>
      </c>
    </row>
    <row r="521" spans="1:9" x14ac:dyDescent="0.25">
      <c r="A521" s="2" t="s">
        <v>3425</v>
      </c>
      <c r="B521" s="2" t="s">
        <v>3426</v>
      </c>
      <c r="C521" s="2" t="s">
        <v>3427</v>
      </c>
      <c r="D521" s="2" t="s">
        <v>3428</v>
      </c>
      <c r="E521" s="2" t="s">
        <v>3429</v>
      </c>
      <c r="F521" s="2" t="s">
        <v>63</v>
      </c>
      <c r="G521" s="2" t="s">
        <v>19</v>
      </c>
      <c r="H521" s="2">
        <v>77075</v>
      </c>
      <c r="I521" t="s">
        <v>6191</v>
      </c>
    </row>
    <row r="522" spans="1:9" x14ac:dyDescent="0.25">
      <c r="A522" s="2" t="s">
        <v>3431</v>
      </c>
      <c r="B522" s="2" t="s">
        <v>3432</v>
      </c>
      <c r="C522" s="2" t="s">
        <v>3433</v>
      </c>
      <c r="D522" s="2" t="s">
        <v>3434</v>
      </c>
      <c r="E522" s="2" t="s">
        <v>3435</v>
      </c>
      <c r="F522" s="2" t="s">
        <v>69</v>
      </c>
      <c r="G522" s="2" t="s">
        <v>19</v>
      </c>
      <c r="H522" s="2">
        <v>70179</v>
      </c>
      <c r="I522" t="s">
        <v>6191</v>
      </c>
    </row>
    <row r="523" spans="1:9" x14ac:dyDescent="0.25">
      <c r="A523" s="2" t="s">
        <v>3436</v>
      </c>
      <c r="B523" s="2" t="s">
        <v>3437</v>
      </c>
      <c r="C523" s="2" t="s">
        <v>3438</v>
      </c>
      <c r="D523" s="2" t="s">
        <v>3439</v>
      </c>
      <c r="E523" s="2" t="s">
        <v>3440</v>
      </c>
      <c r="F523" s="2" t="s">
        <v>77</v>
      </c>
      <c r="G523" s="2" t="s">
        <v>19</v>
      </c>
      <c r="H523" s="2">
        <v>73142</v>
      </c>
      <c r="I523" t="s">
        <v>6191</v>
      </c>
    </row>
    <row r="524" spans="1:9" x14ac:dyDescent="0.25">
      <c r="A524" s="2" t="s">
        <v>3442</v>
      </c>
      <c r="B524" s="2" t="s">
        <v>3443</v>
      </c>
      <c r="C524" s="2" t="s">
        <v>3444</v>
      </c>
      <c r="D524" s="2" t="s">
        <v>3445</v>
      </c>
      <c r="E524" s="2" t="s">
        <v>3446</v>
      </c>
      <c r="F524" s="2" t="s">
        <v>148</v>
      </c>
      <c r="G524" s="2" t="s">
        <v>19</v>
      </c>
      <c r="H524" s="2">
        <v>66617</v>
      </c>
      <c r="I524" t="s">
        <v>6191</v>
      </c>
    </row>
    <row r="525" spans="1:9" x14ac:dyDescent="0.25">
      <c r="A525" s="2" t="s">
        <v>3448</v>
      </c>
      <c r="B525" s="2" t="s">
        <v>3449</v>
      </c>
      <c r="C525" s="2" t="s">
        <v>3450</v>
      </c>
      <c r="D525" s="2" t="s">
        <v>3451</v>
      </c>
      <c r="E525" s="2" t="s">
        <v>3452</v>
      </c>
      <c r="F525" s="2" t="s">
        <v>426</v>
      </c>
      <c r="G525" s="2" t="s">
        <v>318</v>
      </c>
      <c r="H525" s="2" t="s">
        <v>427</v>
      </c>
      <c r="I525" t="s">
        <v>6191</v>
      </c>
    </row>
    <row r="526" spans="1:9" x14ac:dyDescent="0.25">
      <c r="A526" s="2" t="s">
        <v>3454</v>
      </c>
      <c r="B526" s="2" t="s">
        <v>3455</v>
      </c>
      <c r="C526" s="2"/>
      <c r="D526" s="2" t="s">
        <v>3456</v>
      </c>
      <c r="E526" s="2" t="s">
        <v>3457</v>
      </c>
      <c r="F526" s="2" t="s">
        <v>83</v>
      </c>
      <c r="G526" s="2" t="s">
        <v>19</v>
      </c>
      <c r="H526" s="2">
        <v>62723</v>
      </c>
      <c r="I526" t="s">
        <v>6191</v>
      </c>
    </row>
    <row r="527" spans="1:9" x14ac:dyDescent="0.25">
      <c r="A527" s="2" t="s">
        <v>3459</v>
      </c>
      <c r="B527" s="2" t="s">
        <v>3460</v>
      </c>
      <c r="C527" s="2"/>
      <c r="D527" s="2" t="s">
        <v>3461</v>
      </c>
      <c r="E527" s="2" t="s">
        <v>3462</v>
      </c>
      <c r="F527" s="2" t="s">
        <v>21</v>
      </c>
      <c r="G527" s="2" t="s">
        <v>19</v>
      </c>
      <c r="H527" s="2">
        <v>8104</v>
      </c>
      <c r="I527" t="s">
        <v>6190</v>
      </c>
    </row>
    <row r="528" spans="1:9" x14ac:dyDescent="0.25">
      <c r="A528" s="2" t="s">
        <v>3464</v>
      </c>
      <c r="B528" s="2" t="s">
        <v>3465</v>
      </c>
      <c r="C528" s="2" t="s">
        <v>3466</v>
      </c>
      <c r="D528" s="2" t="s">
        <v>3467</v>
      </c>
      <c r="E528" s="2" t="s">
        <v>3468</v>
      </c>
      <c r="F528" s="2" t="s">
        <v>105</v>
      </c>
      <c r="G528" s="2" t="s">
        <v>19</v>
      </c>
      <c r="H528" s="2">
        <v>98185</v>
      </c>
      <c r="I528" t="s">
        <v>6190</v>
      </c>
    </row>
    <row r="529" spans="1:9" x14ac:dyDescent="0.25">
      <c r="A529" s="2" t="s">
        <v>3470</v>
      </c>
      <c r="B529" s="2" t="s">
        <v>3471</v>
      </c>
      <c r="C529" s="2" t="s">
        <v>3472</v>
      </c>
      <c r="D529" s="2" t="s">
        <v>3473</v>
      </c>
      <c r="E529" s="2" t="s">
        <v>3474</v>
      </c>
      <c r="F529" s="2" t="s">
        <v>151</v>
      </c>
      <c r="G529" s="2" t="s">
        <v>28</v>
      </c>
      <c r="H529" s="2" t="s">
        <v>152</v>
      </c>
      <c r="I529" t="s">
        <v>6191</v>
      </c>
    </row>
    <row r="530" spans="1:9" x14ac:dyDescent="0.25">
      <c r="A530" s="2" t="s">
        <v>3476</v>
      </c>
      <c r="B530" s="2" t="s">
        <v>3477</v>
      </c>
      <c r="C530" s="2" t="s">
        <v>3478</v>
      </c>
      <c r="D530" s="2" t="s">
        <v>3479</v>
      </c>
      <c r="E530" s="2" t="s">
        <v>3480</v>
      </c>
      <c r="F530" s="2" t="s">
        <v>96</v>
      </c>
      <c r="G530" s="2" t="s">
        <v>19</v>
      </c>
      <c r="H530" s="2">
        <v>76711</v>
      </c>
      <c r="I530" t="s">
        <v>6191</v>
      </c>
    </row>
    <row r="531" spans="1:9" x14ac:dyDescent="0.25">
      <c r="A531" s="2" t="s">
        <v>3482</v>
      </c>
      <c r="B531" s="2" t="s">
        <v>3483</v>
      </c>
      <c r="C531" s="2" t="s">
        <v>3484</v>
      </c>
      <c r="D531" s="2" t="s">
        <v>3485</v>
      </c>
      <c r="E531" s="2" t="s">
        <v>3486</v>
      </c>
      <c r="F531" s="2" t="s">
        <v>38</v>
      </c>
      <c r="G531" s="2" t="s">
        <v>19</v>
      </c>
      <c r="H531" s="2">
        <v>23242</v>
      </c>
      <c r="I531" t="s">
        <v>6191</v>
      </c>
    </row>
    <row r="532" spans="1:9" x14ac:dyDescent="0.25">
      <c r="A532" s="2" t="s">
        <v>3488</v>
      </c>
      <c r="B532" s="2" t="s">
        <v>3489</v>
      </c>
      <c r="C532" s="2" t="s">
        <v>3490</v>
      </c>
      <c r="D532" s="2" t="s">
        <v>3491</v>
      </c>
      <c r="E532" s="2" t="s">
        <v>3492</v>
      </c>
      <c r="F532" s="2" t="s">
        <v>260</v>
      </c>
      <c r="G532" s="2" t="s">
        <v>19</v>
      </c>
      <c r="H532" s="2">
        <v>43610</v>
      </c>
      <c r="I532" t="s">
        <v>6191</v>
      </c>
    </row>
    <row r="533" spans="1:9" x14ac:dyDescent="0.25">
      <c r="A533" s="2" t="s">
        <v>3494</v>
      </c>
      <c r="B533" s="2" t="s">
        <v>3495</v>
      </c>
      <c r="C533" s="2" t="s">
        <v>3496</v>
      </c>
      <c r="D533" s="2" t="s">
        <v>3497</v>
      </c>
      <c r="E533" s="2" t="s">
        <v>3498</v>
      </c>
      <c r="F533" s="2" t="s">
        <v>26</v>
      </c>
      <c r="G533" s="2" t="s">
        <v>19</v>
      </c>
      <c r="H533" s="2">
        <v>25705</v>
      </c>
      <c r="I533" t="s">
        <v>6191</v>
      </c>
    </row>
    <row r="534" spans="1:9" x14ac:dyDescent="0.25">
      <c r="A534" s="2" t="s">
        <v>3500</v>
      </c>
      <c r="B534" s="2" t="s">
        <v>3501</v>
      </c>
      <c r="C534" s="2" t="s">
        <v>3502</v>
      </c>
      <c r="D534" s="2" t="s">
        <v>3503</v>
      </c>
      <c r="E534" s="2" t="s">
        <v>3504</v>
      </c>
      <c r="F534" s="2" t="s">
        <v>413</v>
      </c>
      <c r="G534" s="2" t="s">
        <v>19</v>
      </c>
      <c r="H534" s="2">
        <v>33884</v>
      </c>
      <c r="I534" t="s">
        <v>6190</v>
      </c>
    </row>
    <row r="535" spans="1:9" x14ac:dyDescent="0.25">
      <c r="A535" s="2" t="s">
        <v>3506</v>
      </c>
      <c r="B535" s="2" t="s">
        <v>3507</v>
      </c>
      <c r="C535" s="2"/>
      <c r="D535" s="2" t="s">
        <v>3508</v>
      </c>
      <c r="E535" s="2" t="s">
        <v>3509</v>
      </c>
      <c r="F535" s="2" t="s">
        <v>52</v>
      </c>
      <c r="G535" s="2" t="s">
        <v>19</v>
      </c>
      <c r="H535" s="2">
        <v>75323</v>
      </c>
      <c r="I535" t="s">
        <v>6191</v>
      </c>
    </row>
    <row r="536" spans="1:9" x14ac:dyDescent="0.25">
      <c r="A536" s="2" t="s">
        <v>3511</v>
      </c>
      <c r="B536" s="2" t="s">
        <v>3512</v>
      </c>
      <c r="C536" s="2" t="s">
        <v>3513</v>
      </c>
      <c r="D536" s="2" t="s">
        <v>3514</v>
      </c>
      <c r="E536" s="2" t="s">
        <v>3515</v>
      </c>
      <c r="F536" s="2" t="s">
        <v>456</v>
      </c>
      <c r="G536" s="2" t="s">
        <v>318</v>
      </c>
      <c r="H536" s="2" t="s">
        <v>457</v>
      </c>
      <c r="I536" t="s">
        <v>6190</v>
      </c>
    </row>
    <row r="537" spans="1:9" x14ac:dyDescent="0.25">
      <c r="A537" s="2" t="s">
        <v>3517</v>
      </c>
      <c r="B537" s="2" t="s">
        <v>3518</v>
      </c>
      <c r="C537" s="2"/>
      <c r="D537" s="2" t="s">
        <v>3519</v>
      </c>
      <c r="E537" s="2" t="s">
        <v>3520</v>
      </c>
      <c r="F537" s="2" t="s">
        <v>1282</v>
      </c>
      <c r="G537" s="2" t="s">
        <v>318</v>
      </c>
      <c r="H537" s="2" t="s">
        <v>444</v>
      </c>
      <c r="I537" t="s">
        <v>6191</v>
      </c>
    </row>
    <row r="538" spans="1:9" x14ac:dyDescent="0.25">
      <c r="A538" s="2" t="s">
        <v>3522</v>
      </c>
      <c r="B538" s="2" t="s">
        <v>3523</v>
      </c>
      <c r="C538" s="2" t="s">
        <v>3524</v>
      </c>
      <c r="D538" s="2" t="s">
        <v>3525</v>
      </c>
      <c r="E538" s="2" t="s">
        <v>3526</v>
      </c>
      <c r="F538" s="2" t="s">
        <v>39</v>
      </c>
      <c r="G538" s="2" t="s">
        <v>19</v>
      </c>
      <c r="H538" s="2">
        <v>43231</v>
      </c>
      <c r="I538" t="s">
        <v>6191</v>
      </c>
    </row>
    <row r="539" spans="1:9" x14ac:dyDescent="0.25">
      <c r="A539" s="2" t="s">
        <v>3528</v>
      </c>
      <c r="B539" s="2" t="s">
        <v>3529</v>
      </c>
      <c r="C539" s="2" t="s">
        <v>3530</v>
      </c>
      <c r="D539" s="2"/>
      <c r="E539" s="2" t="s">
        <v>3531</v>
      </c>
      <c r="F539" s="2" t="s">
        <v>95</v>
      </c>
      <c r="G539" s="2" t="s">
        <v>19</v>
      </c>
      <c r="H539" s="2">
        <v>47747</v>
      </c>
      <c r="I539" t="s">
        <v>6190</v>
      </c>
    </row>
    <row r="540" spans="1:9" x14ac:dyDescent="0.25">
      <c r="A540" s="2" t="s">
        <v>3533</v>
      </c>
      <c r="B540" s="2" t="s">
        <v>3534</v>
      </c>
      <c r="C540" s="2" t="s">
        <v>3535</v>
      </c>
      <c r="D540" s="2"/>
      <c r="E540" s="2" t="s">
        <v>3536</v>
      </c>
      <c r="F540" s="2" t="s">
        <v>217</v>
      </c>
      <c r="G540" s="2" t="s">
        <v>19</v>
      </c>
      <c r="H540" s="2">
        <v>60567</v>
      </c>
      <c r="I540" t="s">
        <v>6190</v>
      </c>
    </row>
    <row r="541" spans="1:9" x14ac:dyDescent="0.25">
      <c r="A541" s="2" t="s">
        <v>3538</v>
      </c>
      <c r="B541" s="2" t="s">
        <v>3539</v>
      </c>
      <c r="C541" s="2" t="s">
        <v>3540</v>
      </c>
      <c r="D541" s="2"/>
      <c r="E541" s="2" t="s">
        <v>3541</v>
      </c>
      <c r="F541" s="2" t="s">
        <v>48</v>
      </c>
      <c r="G541" s="2" t="s">
        <v>19</v>
      </c>
      <c r="H541" s="2">
        <v>29424</v>
      </c>
      <c r="I541" t="s">
        <v>6191</v>
      </c>
    </row>
    <row r="542" spans="1:9" x14ac:dyDescent="0.25">
      <c r="A542" s="2" t="s">
        <v>3543</v>
      </c>
      <c r="B542" s="2" t="s">
        <v>3544</v>
      </c>
      <c r="C542" s="2" t="s">
        <v>3545</v>
      </c>
      <c r="D542" s="2" t="s">
        <v>3546</v>
      </c>
      <c r="E542" s="2" t="s">
        <v>3547</v>
      </c>
      <c r="F542" s="2" t="s">
        <v>174</v>
      </c>
      <c r="G542" s="2" t="s">
        <v>19</v>
      </c>
      <c r="H542" s="2">
        <v>48930</v>
      </c>
      <c r="I542" t="s">
        <v>6190</v>
      </c>
    </row>
    <row r="543" spans="1:9" x14ac:dyDescent="0.25">
      <c r="A543" s="2" t="s">
        <v>3549</v>
      </c>
      <c r="B543" s="2" t="s">
        <v>3550</v>
      </c>
      <c r="C543" s="2"/>
      <c r="D543" s="2" t="s">
        <v>3551</v>
      </c>
      <c r="E543" s="2" t="s">
        <v>3552</v>
      </c>
      <c r="F543" s="2" t="s">
        <v>443</v>
      </c>
      <c r="G543" s="2" t="s">
        <v>318</v>
      </c>
      <c r="H543" s="2" t="s">
        <v>378</v>
      </c>
      <c r="I543" t="s">
        <v>6190</v>
      </c>
    </row>
    <row r="544" spans="1:9" x14ac:dyDescent="0.25">
      <c r="A544" s="2" t="s">
        <v>3554</v>
      </c>
      <c r="B544" s="2" t="s">
        <v>3555</v>
      </c>
      <c r="C544" s="2" t="s">
        <v>3556</v>
      </c>
      <c r="D544" s="2" t="s">
        <v>3557</v>
      </c>
      <c r="E544" s="2" t="s">
        <v>3558</v>
      </c>
      <c r="F544" s="2" t="s">
        <v>175</v>
      </c>
      <c r="G544" s="2" t="s">
        <v>19</v>
      </c>
      <c r="H544" s="2">
        <v>71115</v>
      </c>
      <c r="I544" t="s">
        <v>6191</v>
      </c>
    </row>
    <row r="545" spans="1:9" x14ac:dyDescent="0.25">
      <c r="A545" s="2" t="s">
        <v>3560</v>
      </c>
      <c r="B545" s="2" t="s">
        <v>3561</v>
      </c>
      <c r="C545" s="2" t="s">
        <v>3562</v>
      </c>
      <c r="D545" s="2" t="s">
        <v>3563</v>
      </c>
      <c r="E545" s="2" t="s">
        <v>3564</v>
      </c>
      <c r="F545" s="2" t="s">
        <v>98</v>
      </c>
      <c r="G545" s="2" t="s">
        <v>19</v>
      </c>
      <c r="H545" s="2">
        <v>95194</v>
      </c>
      <c r="I545" t="s">
        <v>6191</v>
      </c>
    </row>
    <row r="546" spans="1:9" x14ac:dyDescent="0.25">
      <c r="A546" s="2" t="s">
        <v>3566</v>
      </c>
      <c r="B546" s="2" t="s">
        <v>3567</v>
      </c>
      <c r="C546" s="2" t="s">
        <v>3568</v>
      </c>
      <c r="D546" s="2" t="s">
        <v>3569</v>
      </c>
      <c r="E546" s="2" t="s">
        <v>3570</v>
      </c>
      <c r="F546" s="2" t="s">
        <v>46</v>
      </c>
      <c r="G546" s="2" t="s">
        <v>19</v>
      </c>
      <c r="H546" s="2">
        <v>19104</v>
      </c>
      <c r="I546" t="s">
        <v>6191</v>
      </c>
    </row>
    <row r="547" spans="1:9" x14ac:dyDescent="0.25">
      <c r="A547" s="2" t="s">
        <v>3572</v>
      </c>
      <c r="B547" s="2" t="s">
        <v>3573</v>
      </c>
      <c r="C547" s="2" t="s">
        <v>3574</v>
      </c>
      <c r="D547" s="2" t="s">
        <v>3575</v>
      </c>
      <c r="E547" s="2" t="s">
        <v>3576</v>
      </c>
      <c r="F547" s="2" t="s">
        <v>176</v>
      </c>
      <c r="G547" s="2" t="s">
        <v>28</v>
      </c>
      <c r="H547" s="2" t="s">
        <v>177</v>
      </c>
      <c r="I547" t="s">
        <v>6191</v>
      </c>
    </row>
    <row r="548" spans="1:9" x14ac:dyDescent="0.25">
      <c r="A548" s="2" t="s">
        <v>3578</v>
      </c>
      <c r="B548" s="2" t="s">
        <v>3579</v>
      </c>
      <c r="C548" s="2"/>
      <c r="D548" s="2" t="s">
        <v>3580</v>
      </c>
      <c r="E548" s="2" t="s">
        <v>3581</v>
      </c>
      <c r="F548" s="2" t="s">
        <v>375</v>
      </c>
      <c r="G548" s="2" t="s">
        <v>318</v>
      </c>
      <c r="H548" s="2" t="s">
        <v>376</v>
      </c>
      <c r="I548" t="s">
        <v>6191</v>
      </c>
    </row>
    <row r="549" spans="1:9" x14ac:dyDescent="0.25">
      <c r="A549" s="2" t="s">
        <v>3583</v>
      </c>
      <c r="B549" s="2" t="s">
        <v>3584</v>
      </c>
      <c r="C549" s="2"/>
      <c r="D549" s="2" t="s">
        <v>3585</v>
      </c>
      <c r="E549" s="2" t="s">
        <v>3586</v>
      </c>
      <c r="F549" s="2" t="s">
        <v>20</v>
      </c>
      <c r="G549" s="2" t="s">
        <v>19</v>
      </c>
      <c r="H549" s="2">
        <v>21229</v>
      </c>
      <c r="I549" t="s">
        <v>6190</v>
      </c>
    </row>
    <row r="550" spans="1:9" x14ac:dyDescent="0.25">
      <c r="A550" s="2" t="s">
        <v>3588</v>
      </c>
      <c r="B550" s="2" t="s">
        <v>3589</v>
      </c>
      <c r="C550" s="2" t="s">
        <v>3590</v>
      </c>
      <c r="D550" s="2" t="s">
        <v>3591</v>
      </c>
      <c r="E550" s="2" t="s">
        <v>3592</v>
      </c>
      <c r="F550" s="2" t="s">
        <v>77</v>
      </c>
      <c r="G550" s="2" t="s">
        <v>19</v>
      </c>
      <c r="H550" s="2">
        <v>73119</v>
      </c>
      <c r="I550" t="s">
        <v>6190</v>
      </c>
    </row>
    <row r="551" spans="1:9" x14ac:dyDescent="0.25">
      <c r="A551" s="2" t="s">
        <v>3594</v>
      </c>
      <c r="B551" s="2" t="s">
        <v>3595</v>
      </c>
      <c r="C551" s="2" t="s">
        <v>3596</v>
      </c>
      <c r="D551" s="2" t="s">
        <v>3597</v>
      </c>
      <c r="E551" s="2" t="s">
        <v>3598</v>
      </c>
      <c r="F551" s="2" t="s">
        <v>57</v>
      </c>
      <c r="G551" s="2" t="s">
        <v>19</v>
      </c>
      <c r="H551" s="2">
        <v>10060</v>
      </c>
      <c r="I551" t="s">
        <v>6190</v>
      </c>
    </row>
    <row r="552" spans="1:9" x14ac:dyDescent="0.25">
      <c r="A552" s="2" t="s">
        <v>3600</v>
      </c>
      <c r="B552" s="2" t="s">
        <v>3601</v>
      </c>
      <c r="C552" s="2" t="s">
        <v>3602</v>
      </c>
      <c r="D552" s="2" t="s">
        <v>3603</v>
      </c>
      <c r="E552" s="2" t="s">
        <v>3604</v>
      </c>
      <c r="F552" s="2" t="s">
        <v>199</v>
      </c>
      <c r="G552" s="2" t="s">
        <v>19</v>
      </c>
      <c r="H552" s="2">
        <v>7112</v>
      </c>
      <c r="I552" t="s">
        <v>6190</v>
      </c>
    </row>
    <row r="553" spans="1:9" x14ac:dyDescent="0.25">
      <c r="A553" s="2" t="s">
        <v>3606</v>
      </c>
      <c r="B553" s="2" t="s">
        <v>3607</v>
      </c>
      <c r="C553" s="2" t="s">
        <v>3608</v>
      </c>
      <c r="D553" s="2" t="s">
        <v>3609</v>
      </c>
      <c r="E553" s="2" t="s">
        <v>3610</v>
      </c>
      <c r="F553" s="2" t="s">
        <v>18</v>
      </c>
      <c r="G553" s="2" t="s">
        <v>19</v>
      </c>
      <c r="H553" s="2">
        <v>6510</v>
      </c>
      <c r="I553" t="s">
        <v>6191</v>
      </c>
    </row>
    <row r="554" spans="1:9" x14ac:dyDescent="0.25">
      <c r="A554" s="2" t="s">
        <v>3612</v>
      </c>
      <c r="B554" s="2" t="s">
        <v>3613</v>
      </c>
      <c r="C554" s="2" t="s">
        <v>3614</v>
      </c>
      <c r="D554" s="2" t="s">
        <v>3615</v>
      </c>
      <c r="E554" s="2" t="s">
        <v>3616</v>
      </c>
      <c r="F554" s="2" t="s">
        <v>365</v>
      </c>
      <c r="G554" s="2" t="s">
        <v>28</v>
      </c>
      <c r="H554" s="2" t="s">
        <v>366</v>
      </c>
      <c r="I554" t="s">
        <v>6190</v>
      </c>
    </row>
    <row r="555" spans="1:9" x14ac:dyDescent="0.25">
      <c r="A555" s="2" t="s">
        <v>3618</v>
      </c>
      <c r="B555" s="2" t="s">
        <v>3619</v>
      </c>
      <c r="C555" s="2" t="s">
        <v>3620</v>
      </c>
      <c r="D555" s="2"/>
      <c r="E555" s="2" t="s">
        <v>3621</v>
      </c>
      <c r="F555" s="2" t="s">
        <v>260</v>
      </c>
      <c r="G555" s="2" t="s">
        <v>19</v>
      </c>
      <c r="H555" s="2">
        <v>43610</v>
      </c>
      <c r="I555" t="s">
        <v>6191</v>
      </c>
    </row>
    <row r="556" spans="1:9" x14ac:dyDescent="0.25">
      <c r="A556" s="2" t="s">
        <v>3623</v>
      </c>
      <c r="B556" s="2" t="s">
        <v>3624</v>
      </c>
      <c r="C556" s="2"/>
      <c r="D556" s="2" t="s">
        <v>3625</v>
      </c>
      <c r="E556" s="2" t="s">
        <v>3626</v>
      </c>
      <c r="F556" s="2" t="s">
        <v>280</v>
      </c>
      <c r="G556" s="2" t="s">
        <v>28</v>
      </c>
      <c r="H556" s="2" t="s">
        <v>281</v>
      </c>
      <c r="I556" t="s">
        <v>6190</v>
      </c>
    </row>
    <row r="557" spans="1:9" x14ac:dyDescent="0.25">
      <c r="A557" s="2" t="s">
        <v>3628</v>
      </c>
      <c r="B557" s="2" t="s">
        <v>3629</v>
      </c>
      <c r="C557" s="2" t="s">
        <v>3630</v>
      </c>
      <c r="D557" s="2" t="s">
        <v>3631</v>
      </c>
      <c r="E557" s="2" t="s">
        <v>3632</v>
      </c>
      <c r="F557" s="2" t="s">
        <v>418</v>
      </c>
      <c r="G557" s="2" t="s">
        <v>318</v>
      </c>
      <c r="H557" s="2" t="s">
        <v>419</v>
      </c>
      <c r="I557" t="s">
        <v>6191</v>
      </c>
    </row>
    <row r="558" spans="1:9" x14ac:dyDescent="0.25">
      <c r="A558" s="2" t="s">
        <v>3634</v>
      </c>
      <c r="B558" s="2" t="s">
        <v>3635</v>
      </c>
      <c r="C558" s="2" t="s">
        <v>3636</v>
      </c>
      <c r="D558" s="2"/>
      <c r="E558" s="2" t="s">
        <v>3637</v>
      </c>
      <c r="F558" s="2" t="s">
        <v>175</v>
      </c>
      <c r="G558" s="2" t="s">
        <v>19</v>
      </c>
      <c r="H558" s="2">
        <v>71161</v>
      </c>
      <c r="I558" t="s">
        <v>6190</v>
      </c>
    </row>
    <row r="559" spans="1:9" x14ac:dyDescent="0.25">
      <c r="A559" s="2" t="s">
        <v>3639</v>
      </c>
      <c r="B559" s="2" t="s">
        <v>3640</v>
      </c>
      <c r="C559" s="2"/>
      <c r="D559" s="2" t="s">
        <v>3641</v>
      </c>
      <c r="E559" s="2" t="s">
        <v>3642</v>
      </c>
      <c r="F559" s="2" t="s">
        <v>80</v>
      </c>
      <c r="G559" s="2" t="s">
        <v>19</v>
      </c>
      <c r="H559" s="2">
        <v>32835</v>
      </c>
      <c r="I559" t="s">
        <v>6191</v>
      </c>
    </row>
    <row r="560" spans="1:9" x14ac:dyDescent="0.25">
      <c r="A560" s="2" t="s">
        <v>3644</v>
      </c>
      <c r="B560" s="2" t="s">
        <v>3645</v>
      </c>
      <c r="C560" s="2"/>
      <c r="D560" s="2" t="s">
        <v>3646</v>
      </c>
      <c r="E560" s="2" t="s">
        <v>3647</v>
      </c>
      <c r="F560" s="2" t="s">
        <v>43</v>
      </c>
      <c r="G560" s="2" t="s">
        <v>19</v>
      </c>
      <c r="H560" s="2">
        <v>40515</v>
      </c>
      <c r="I560" t="s">
        <v>6190</v>
      </c>
    </row>
    <row r="561" spans="1:9" x14ac:dyDescent="0.25">
      <c r="A561" s="2" t="s">
        <v>3649</v>
      </c>
      <c r="B561" s="2" t="s">
        <v>3650</v>
      </c>
      <c r="C561" s="2" t="s">
        <v>3651</v>
      </c>
      <c r="D561" s="2" t="s">
        <v>3652</v>
      </c>
      <c r="E561" s="2" t="s">
        <v>3653</v>
      </c>
      <c r="F561" s="2" t="s">
        <v>45</v>
      </c>
      <c r="G561" s="2" t="s">
        <v>19</v>
      </c>
      <c r="H561" s="2">
        <v>53263</v>
      </c>
      <c r="I561" t="s">
        <v>6190</v>
      </c>
    </row>
    <row r="562" spans="1:9" x14ac:dyDescent="0.25">
      <c r="A562" s="2" t="s">
        <v>3655</v>
      </c>
      <c r="B562" s="2" t="s">
        <v>3656</v>
      </c>
      <c r="C562" s="2"/>
      <c r="D562" s="2" t="s">
        <v>3657</v>
      </c>
      <c r="E562" s="2" t="s">
        <v>3658</v>
      </c>
      <c r="F562" s="2" t="s">
        <v>240</v>
      </c>
      <c r="G562" s="2" t="s">
        <v>19</v>
      </c>
      <c r="H562" s="2">
        <v>79176</v>
      </c>
      <c r="I562" t="s">
        <v>6190</v>
      </c>
    </row>
    <row r="563" spans="1:9" x14ac:dyDescent="0.25">
      <c r="A563" s="2" t="s">
        <v>3660</v>
      </c>
      <c r="B563" s="2" t="s">
        <v>3661</v>
      </c>
      <c r="C563" s="2"/>
      <c r="D563" s="2" t="s">
        <v>3662</v>
      </c>
      <c r="E563" s="2" t="s">
        <v>3663</v>
      </c>
      <c r="F563" s="2" t="s">
        <v>3664</v>
      </c>
      <c r="G563" s="2" t="s">
        <v>318</v>
      </c>
      <c r="H563" s="2" t="s">
        <v>398</v>
      </c>
      <c r="I563" t="s">
        <v>6190</v>
      </c>
    </row>
    <row r="564" spans="1:9" x14ac:dyDescent="0.25">
      <c r="A564" s="2" t="s">
        <v>3666</v>
      </c>
      <c r="B564" s="2" t="s">
        <v>3667</v>
      </c>
      <c r="C564" s="2" t="s">
        <v>3668</v>
      </c>
      <c r="D564" s="2" t="s">
        <v>3669</v>
      </c>
      <c r="E564" s="2" t="s">
        <v>3670</v>
      </c>
      <c r="F564" s="2" t="s">
        <v>159</v>
      </c>
      <c r="G564" s="2" t="s">
        <v>28</v>
      </c>
      <c r="H564" s="2" t="s">
        <v>160</v>
      </c>
      <c r="I564" t="s">
        <v>6191</v>
      </c>
    </row>
    <row r="565" spans="1:9" x14ac:dyDescent="0.25">
      <c r="A565" s="2" t="s">
        <v>3672</v>
      </c>
      <c r="B565" s="2" t="s">
        <v>3673</v>
      </c>
      <c r="C565" s="2" t="s">
        <v>3674</v>
      </c>
      <c r="D565" s="2" t="s">
        <v>3675</v>
      </c>
      <c r="E565" s="2" t="s">
        <v>3676</v>
      </c>
      <c r="F565" s="2" t="s">
        <v>84</v>
      </c>
      <c r="G565" s="2" t="s">
        <v>19</v>
      </c>
      <c r="H565" s="2">
        <v>30323</v>
      </c>
      <c r="I565" t="s">
        <v>6191</v>
      </c>
    </row>
    <row r="566" spans="1:9" x14ac:dyDescent="0.25">
      <c r="A566" s="2" t="s">
        <v>3678</v>
      </c>
      <c r="B566" s="2" t="s">
        <v>3679</v>
      </c>
      <c r="C566" s="2" t="s">
        <v>3680</v>
      </c>
      <c r="D566" s="2" t="s">
        <v>3681</v>
      </c>
      <c r="E566" s="2" t="s">
        <v>3682</v>
      </c>
      <c r="F566" s="2" t="s">
        <v>49</v>
      </c>
      <c r="G566" s="2" t="s">
        <v>19</v>
      </c>
      <c r="H566" s="2">
        <v>37924</v>
      </c>
      <c r="I566" t="s">
        <v>6191</v>
      </c>
    </row>
    <row r="567" spans="1:9" x14ac:dyDescent="0.25">
      <c r="A567" s="2" t="s">
        <v>3684</v>
      </c>
      <c r="B567" s="2" t="s">
        <v>3685</v>
      </c>
      <c r="C567" s="2" t="s">
        <v>3686</v>
      </c>
      <c r="D567" s="2" t="s">
        <v>3687</v>
      </c>
      <c r="E567" s="2" t="s">
        <v>3688</v>
      </c>
      <c r="F567" s="2" t="s">
        <v>67</v>
      </c>
      <c r="G567" s="2" t="s">
        <v>19</v>
      </c>
      <c r="H567" s="2">
        <v>66225</v>
      </c>
      <c r="I567" t="s">
        <v>6191</v>
      </c>
    </row>
    <row r="568" spans="1:9" x14ac:dyDescent="0.25">
      <c r="A568" s="2" t="s">
        <v>3690</v>
      </c>
      <c r="B568" s="2" t="s">
        <v>3691</v>
      </c>
      <c r="C568" s="2" t="s">
        <v>3692</v>
      </c>
      <c r="D568" s="2" t="s">
        <v>3693</v>
      </c>
      <c r="E568" s="2" t="s">
        <v>3694</v>
      </c>
      <c r="F568" s="2" t="s">
        <v>271</v>
      </c>
      <c r="G568" s="2" t="s">
        <v>19</v>
      </c>
      <c r="H568" s="2">
        <v>33330</v>
      </c>
      <c r="I568" t="s">
        <v>6190</v>
      </c>
    </row>
    <row r="569" spans="1:9" x14ac:dyDescent="0.25">
      <c r="A569" s="2" t="s">
        <v>3696</v>
      </c>
      <c r="B569" s="2" t="s">
        <v>3697</v>
      </c>
      <c r="C569" s="2"/>
      <c r="D569" s="2" t="s">
        <v>3698</v>
      </c>
      <c r="E569" s="2" t="s">
        <v>3699</v>
      </c>
      <c r="F569" s="2" t="s">
        <v>433</v>
      </c>
      <c r="G569" s="2" t="s">
        <v>318</v>
      </c>
      <c r="H569" s="2" t="s">
        <v>434</v>
      </c>
      <c r="I569" t="s">
        <v>6191</v>
      </c>
    </row>
    <row r="570" spans="1:9" x14ac:dyDescent="0.25">
      <c r="A570" s="2" t="s">
        <v>3701</v>
      </c>
      <c r="B570" s="2" t="s">
        <v>3702</v>
      </c>
      <c r="C570" s="2" t="s">
        <v>3703</v>
      </c>
      <c r="D570" s="2" t="s">
        <v>3704</v>
      </c>
      <c r="E570" s="2" t="s">
        <v>3705</v>
      </c>
      <c r="F570" s="2" t="s">
        <v>123</v>
      </c>
      <c r="G570" s="2" t="s">
        <v>19</v>
      </c>
      <c r="H570" s="2">
        <v>78715</v>
      </c>
      <c r="I570" t="s">
        <v>6190</v>
      </c>
    </row>
    <row r="571" spans="1:9" x14ac:dyDescent="0.25">
      <c r="A571" s="2" t="s">
        <v>3707</v>
      </c>
      <c r="B571" s="2" t="s">
        <v>3708</v>
      </c>
      <c r="C571" s="2" t="s">
        <v>3709</v>
      </c>
      <c r="D571" s="2" t="s">
        <v>3710</v>
      </c>
      <c r="E571" s="2" t="s">
        <v>3711</v>
      </c>
      <c r="F571" s="2" t="s">
        <v>255</v>
      </c>
      <c r="G571" s="2" t="s">
        <v>19</v>
      </c>
      <c r="H571" s="2">
        <v>44105</v>
      </c>
      <c r="I571" t="s">
        <v>6191</v>
      </c>
    </row>
    <row r="572" spans="1:9" x14ac:dyDescent="0.25">
      <c r="A572" s="2" t="s">
        <v>3713</v>
      </c>
      <c r="B572" s="2" t="s">
        <v>3714</v>
      </c>
      <c r="C572" s="2" t="s">
        <v>3715</v>
      </c>
      <c r="D572" s="2" t="s">
        <v>3716</v>
      </c>
      <c r="E572" s="2" t="s">
        <v>3717</v>
      </c>
      <c r="F572" s="2" t="s">
        <v>68</v>
      </c>
      <c r="G572" s="2" t="s">
        <v>19</v>
      </c>
      <c r="H572" s="2">
        <v>20784</v>
      </c>
      <c r="I572" t="s">
        <v>6191</v>
      </c>
    </row>
    <row r="573" spans="1:9" x14ac:dyDescent="0.25">
      <c r="A573" s="2" t="s">
        <v>3719</v>
      </c>
      <c r="B573" s="2" t="s">
        <v>3720</v>
      </c>
      <c r="C573" s="2" t="s">
        <v>3721</v>
      </c>
      <c r="D573" s="2" t="s">
        <v>3722</v>
      </c>
      <c r="E573" s="2" t="s">
        <v>3723</v>
      </c>
      <c r="F573" s="2" t="s">
        <v>244</v>
      </c>
      <c r="G573" s="2" t="s">
        <v>28</v>
      </c>
      <c r="H573" s="2" t="s">
        <v>245</v>
      </c>
      <c r="I573" t="s">
        <v>6191</v>
      </c>
    </row>
    <row r="574" spans="1:9" x14ac:dyDescent="0.25">
      <c r="A574" s="2" t="s">
        <v>3725</v>
      </c>
      <c r="B574" s="2" t="s">
        <v>3726</v>
      </c>
      <c r="C574" s="2"/>
      <c r="D574" s="2"/>
      <c r="E574" s="2" t="s">
        <v>3727</v>
      </c>
      <c r="F574" s="2" t="s">
        <v>87</v>
      </c>
      <c r="G574" s="2" t="s">
        <v>19</v>
      </c>
      <c r="H574" s="2">
        <v>91103</v>
      </c>
      <c r="I574" t="s">
        <v>6190</v>
      </c>
    </row>
    <row r="575" spans="1:9" x14ac:dyDescent="0.25">
      <c r="A575" s="2" t="s">
        <v>3729</v>
      </c>
      <c r="B575" s="2" t="s">
        <v>3730</v>
      </c>
      <c r="C575" s="2" t="s">
        <v>3731</v>
      </c>
      <c r="D575" s="2" t="s">
        <v>3732</v>
      </c>
      <c r="E575" s="2" t="s">
        <v>3733</v>
      </c>
      <c r="F575" s="2" t="s">
        <v>175</v>
      </c>
      <c r="G575" s="2" t="s">
        <v>19</v>
      </c>
      <c r="H575" s="2">
        <v>71161</v>
      </c>
      <c r="I575" t="s">
        <v>6191</v>
      </c>
    </row>
    <row r="576" spans="1:9" x14ac:dyDescent="0.25">
      <c r="A576" s="2" t="s">
        <v>3735</v>
      </c>
      <c r="B576" s="2" t="s">
        <v>3736</v>
      </c>
      <c r="C576" s="2" t="s">
        <v>3737</v>
      </c>
      <c r="D576" s="2"/>
      <c r="E576" s="2" t="s">
        <v>3738</v>
      </c>
      <c r="F576" s="2" t="s">
        <v>250</v>
      </c>
      <c r="G576" s="2" t="s">
        <v>19</v>
      </c>
      <c r="H576" s="2">
        <v>32590</v>
      </c>
      <c r="I576" t="s">
        <v>6190</v>
      </c>
    </row>
    <row r="577" spans="1:9" x14ac:dyDescent="0.25">
      <c r="A577" s="2" t="s">
        <v>3740</v>
      </c>
      <c r="B577" s="2" t="s">
        <v>3741</v>
      </c>
      <c r="C577" s="2" t="s">
        <v>3742</v>
      </c>
      <c r="D577" s="2" t="s">
        <v>3743</v>
      </c>
      <c r="E577" s="2" t="s">
        <v>3744</v>
      </c>
      <c r="F577" s="2" t="s">
        <v>27</v>
      </c>
      <c r="G577" s="2" t="s">
        <v>19</v>
      </c>
      <c r="H577" s="2">
        <v>90035</v>
      </c>
      <c r="I577" t="s">
        <v>6191</v>
      </c>
    </row>
    <row r="578" spans="1:9" x14ac:dyDescent="0.25">
      <c r="A578" s="2" t="s">
        <v>3746</v>
      </c>
      <c r="B578" s="2" t="s">
        <v>3747</v>
      </c>
      <c r="C578" s="2" t="s">
        <v>3748</v>
      </c>
      <c r="D578" s="2" t="s">
        <v>3749</v>
      </c>
      <c r="E578" s="2" t="s">
        <v>3750</v>
      </c>
      <c r="F578" s="2" t="s">
        <v>31</v>
      </c>
      <c r="G578" s="2" t="s">
        <v>19</v>
      </c>
      <c r="H578" s="2">
        <v>27705</v>
      </c>
      <c r="I578" t="s">
        <v>6191</v>
      </c>
    </row>
    <row r="579" spans="1:9" x14ac:dyDescent="0.25">
      <c r="A579" s="2" t="s">
        <v>3752</v>
      </c>
      <c r="B579" s="2" t="s">
        <v>3753</v>
      </c>
      <c r="C579" s="2" t="s">
        <v>3754</v>
      </c>
      <c r="D579" s="2"/>
      <c r="E579" s="2" t="s">
        <v>3755</v>
      </c>
      <c r="F579" s="2" t="s">
        <v>180</v>
      </c>
      <c r="G579" s="2" t="s">
        <v>28</v>
      </c>
      <c r="H579" s="2" t="s">
        <v>192</v>
      </c>
      <c r="I579" t="s">
        <v>6191</v>
      </c>
    </row>
    <row r="580" spans="1:9" x14ac:dyDescent="0.25">
      <c r="A580" s="2" t="s">
        <v>3757</v>
      </c>
      <c r="B580" s="2" t="s">
        <v>3758</v>
      </c>
      <c r="C580" s="2" t="s">
        <v>3759</v>
      </c>
      <c r="D580" s="2" t="s">
        <v>3760</v>
      </c>
      <c r="E580" s="2" t="s">
        <v>3761</v>
      </c>
      <c r="F580" s="2" t="s">
        <v>414</v>
      </c>
      <c r="G580" s="2" t="s">
        <v>318</v>
      </c>
      <c r="H580" s="2" t="s">
        <v>415</v>
      </c>
      <c r="I580" t="s">
        <v>6191</v>
      </c>
    </row>
    <row r="581" spans="1:9" x14ac:dyDescent="0.25">
      <c r="A581" s="2" t="s">
        <v>3762</v>
      </c>
      <c r="B581" s="2" t="s">
        <v>3763</v>
      </c>
      <c r="C581" s="2" t="s">
        <v>3764</v>
      </c>
      <c r="D581" s="2" t="s">
        <v>3765</v>
      </c>
      <c r="E581" s="2" t="s">
        <v>3766</v>
      </c>
      <c r="F581" s="2" t="s">
        <v>3664</v>
      </c>
      <c r="G581" s="2" t="s">
        <v>318</v>
      </c>
      <c r="H581" s="2" t="s">
        <v>398</v>
      </c>
      <c r="I581" t="s">
        <v>6191</v>
      </c>
    </row>
    <row r="582" spans="1:9" x14ac:dyDescent="0.25">
      <c r="A582" s="2" t="s">
        <v>3768</v>
      </c>
      <c r="B582" s="2" t="s">
        <v>3769</v>
      </c>
      <c r="C582" s="2" t="s">
        <v>3770</v>
      </c>
      <c r="D582" s="2" t="s">
        <v>3771</v>
      </c>
      <c r="E582" s="2" t="s">
        <v>3772</v>
      </c>
      <c r="F582" s="2" t="s">
        <v>146</v>
      </c>
      <c r="G582" s="2" t="s">
        <v>19</v>
      </c>
      <c r="H582" s="2">
        <v>90605</v>
      </c>
      <c r="I582" t="s">
        <v>6190</v>
      </c>
    </row>
    <row r="583" spans="1:9" x14ac:dyDescent="0.25">
      <c r="A583" s="2" t="s">
        <v>3774</v>
      </c>
      <c r="B583" s="2" t="s">
        <v>3775</v>
      </c>
      <c r="C583" s="2" t="s">
        <v>3776</v>
      </c>
      <c r="D583" s="2"/>
      <c r="E583" s="2" t="s">
        <v>3777</v>
      </c>
      <c r="F583" s="2" t="s">
        <v>144</v>
      </c>
      <c r="G583" s="2" t="s">
        <v>28</v>
      </c>
      <c r="H583" s="2" t="s">
        <v>145</v>
      </c>
      <c r="I583" t="s">
        <v>6190</v>
      </c>
    </row>
    <row r="584" spans="1:9" x14ac:dyDescent="0.25">
      <c r="A584" s="2" t="s">
        <v>3779</v>
      </c>
      <c r="B584" s="2" t="s">
        <v>3780</v>
      </c>
      <c r="C584" s="2" t="s">
        <v>3781</v>
      </c>
      <c r="D584" s="2" t="s">
        <v>3782</v>
      </c>
      <c r="E584" s="2" t="s">
        <v>3783</v>
      </c>
      <c r="F584" s="2" t="s">
        <v>38</v>
      </c>
      <c r="G584" s="2" t="s">
        <v>19</v>
      </c>
      <c r="H584" s="2">
        <v>23237</v>
      </c>
      <c r="I584" t="s">
        <v>6191</v>
      </c>
    </row>
    <row r="585" spans="1:9" x14ac:dyDescent="0.25">
      <c r="A585" s="2" t="s">
        <v>3785</v>
      </c>
      <c r="B585" s="2" t="s">
        <v>3786</v>
      </c>
      <c r="C585" s="2" t="s">
        <v>3787</v>
      </c>
      <c r="D585" s="2" t="s">
        <v>3788</v>
      </c>
      <c r="E585" s="2" t="s">
        <v>3789</v>
      </c>
      <c r="F585" s="2" t="s">
        <v>34</v>
      </c>
      <c r="G585" s="2" t="s">
        <v>19</v>
      </c>
      <c r="H585" s="2">
        <v>20167</v>
      </c>
      <c r="I585" t="s">
        <v>6190</v>
      </c>
    </row>
    <row r="586" spans="1:9" x14ac:dyDescent="0.25">
      <c r="A586" s="2" t="s">
        <v>3791</v>
      </c>
      <c r="B586" s="2" t="s">
        <v>3792</v>
      </c>
      <c r="C586" s="2" t="s">
        <v>3793</v>
      </c>
      <c r="D586" s="2" t="s">
        <v>3794</v>
      </c>
      <c r="E586" s="2" t="s">
        <v>3795</v>
      </c>
      <c r="F586" s="2" t="s">
        <v>352</v>
      </c>
      <c r="G586" s="2" t="s">
        <v>19</v>
      </c>
      <c r="H586" s="2">
        <v>89706</v>
      </c>
      <c r="I586" t="s">
        <v>6191</v>
      </c>
    </row>
    <row r="587" spans="1:9" x14ac:dyDescent="0.25">
      <c r="A587" s="2" t="s">
        <v>3797</v>
      </c>
      <c r="B587" s="2" t="s">
        <v>3798</v>
      </c>
      <c r="C587" s="2" t="s">
        <v>3799</v>
      </c>
      <c r="D587" s="2" t="s">
        <v>3800</v>
      </c>
      <c r="E587" s="2" t="s">
        <v>3801</v>
      </c>
      <c r="F587" s="2" t="s">
        <v>360</v>
      </c>
      <c r="G587" s="2" t="s">
        <v>318</v>
      </c>
      <c r="H587" s="2" t="s">
        <v>361</v>
      </c>
      <c r="I587" t="s">
        <v>6190</v>
      </c>
    </row>
    <row r="588" spans="1:9" x14ac:dyDescent="0.25">
      <c r="A588" s="2" t="s">
        <v>3803</v>
      </c>
      <c r="B588" s="2" t="s">
        <v>3804</v>
      </c>
      <c r="C588" s="2"/>
      <c r="D588" s="2" t="s">
        <v>3805</v>
      </c>
      <c r="E588" s="2" t="s">
        <v>3806</v>
      </c>
      <c r="F588" s="2" t="s">
        <v>173</v>
      </c>
      <c r="G588" s="2" t="s">
        <v>19</v>
      </c>
      <c r="H588" s="2">
        <v>55123</v>
      </c>
      <c r="I588" t="s">
        <v>6191</v>
      </c>
    </row>
    <row r="589" spans="1:9" x14ac:dyDescent="0.25">
      <c r="A589" s="2" t="s">
        <v>3808</v>
      </c>
      <c r="B589" s="2" t="s">
        <v>3809</v>
      </c>
      <c r="C589" s="2" t="s">
        <v>3810</v>
      </c>
      <c r="D589" s="2"/>
      <c r="E589" s="2" t="s">
        <v>3811</v>
      </c>
      <c r="F589" s="2" t="s">
        <v>223</v>
      </c>
      <c r="G589" s="2" t="s">
        <v>19</v>
      </c>
      <c r="H589" s="2">
        <v>35895</v>
      </c>
      <c r="I589" t="s">
        <v>6190</v>
      </c>
    </row>
    <row r="590" spans="1:9" x14ac:dyDescent="0.25">
      <c r="A590" s="2" t="s">
        <v>3813</v>
      </c>
      <c r="B590" s="2" t="s">
        <v>3814</v>
      </c>
      <c r="C590" s="2" t="s">
        <v>3815</v>
      </c>
      <c r="D590" s="2" t="s">
        <v>3816</v>
      </c>
      <c r="E590" s="2" t="s">
        <v>3817</v>
      </c>
      <c r="F590" s="2" t="s">
        <v>50</v>
      </c>
      <c r="G590" s="2" t="s">
        <v>19</v>
      </c>
      <c r="H590" s="2">
        <v>88553</v>
      </c>
      <c r="I590" t="s">
        <v>6190</v>
      </c>
    </row>
    <row r="591" spans="1:9" x14ac:dyDescent="0.25">
      <c r="A591" s="2" t="s">
        <v>3819</v>
      </c>
      <c r="B591" s="2" t="s">
        <v>3820</v>
      </c>
      <c r="C591" s="2" t="s">
        <v>3821</v>
      </c>
      <c r="D591" s="2"/>
      <c r="E591" s="2" t="s">
        <v>3822</v>
      </c>
      <c r="F591" s="2" t="s">
        <v>62</v>
      </c>
      <c r="G591" s="2" t="s">
        <v>19</v>
      </c>
      <c r="H591" s="2">
        <v>30033</v>
      </c>
      <c r="I591" t="s">
        <v>6191</v>
      </c>
    </row>
    <row r="592" spans="1:9" x14ac:dyDescent="0.25">
      <c r="A592" s="2" t="s">
        <v>3824</v>
      </c>
      <c r="B592" s="2" t="s">
        <v>3825</v>
      </c>
      <c r="C592" s="2" t="s">
        <v>3826</v>
      </c>
      <c r="D592" s="2" t="s">
        <v>3827</v>
      </c>
      <c r="E592" s="2" t="s">
        <v>3828</v>
      </c>
      <c r="F592" s="2" t="s">
        <v>161</v>
      </c>
      <c r="G592" s="2" t="s">
        <v>19</v>
      </c>
      <c r="H592" s="2">
        <v>92668</v>
      </c>
      <c r="I592" t="s">
        <v>6190</v>
      </c>
    </row>
    <row r="593" spans="1:9" x14ac:dyDescent="0.25">
      <c r="A593" s="2" t="s">
        <v>3830</v>
      </c>
      <c r="B593" s="2" t="s">
        <v>3831</v>
      </c>
      <c r="C593" s="2" t="s">
        <v>3832</v>
      </c>
      <c r="D593" s="2"/>
      <c r="E593" s="2" t="s">
        <v>3833</v>
      </c>
      <c r="F593" s="2" t="s">
        <v>25</v>
      </c>
      <c r="G593" s="2" t="s">
        <v>19</v>
      </c>
      <c r="H593" s="2">
        <v>92648</v>
      </c>
      <c r="I593" t="s">
        <v>6190</v>
      </c>
    </row>
    <row r="594" spans="1:9" x14ac:dyDescent="0.25">
      <c r="A594" s="2" t="s">
        <v>3835</v>
      </c>
      <c r="B594" s="2" t="s">
        <v>3836</v>
      </c>
      <c r="C594" s="2"/>
      <c r="D594" s="2" t="s">
        <v>3837</v>
      </c>
      <c r="E594" s="2" t="s">
        <v>3838</v>
      </c>
      <c r="F594" s="2" t="s">
        <v>45</v>
      </c>
      <c r="G594" s="2" t="s">
        <v>19</v>
      </c>
      <c r="H594" s="2">
        <v>53285</v>
      </c>
      <c r="I594" t="s">
        <v>6191</v>
      </c>
    </row>
    <row r="595" spans="1:9" x14ac:dyDescent="0.25">
      <c r="A595" s="2" t="s">
        <v>3840</v>
      </c>
      <c r="B595" s="2" t="s">
        <v>3841</v>
      </c>
      <c r="C595" s="2" t="s">
        <v>3842</v>
      </c>
      <c r="D595" s="2"/>
      <c r="E595" s="2" t="s">
        <v>3843</v>
      </c>
      <c r="F595" s="2" t="s">
        <v>81</v>
      </c>
      <c r="G595" s="2" t="s">
        <v>28</v>
      </c>
      <c r="H595" s="2" t="s">
        <v>258</v>
      </c>
      <c r="I595" t="s">
        <v>6190</v>
      </c>
    </row>
    <row r="596" spans="1:9" x14ac:dyDescent="0.25">
      <c r="A596" s="2" t="s">
        <v>3845</v>
      </c>
      <c r="B596" s="2" t="s">
        <v>3846</v>
      </c>
      <c r="C596" s="2" t="s">
        <v>3847</v>
      </c>
      <c r="D596" s="2" t="s">
        <v>3848</v>
      </c>
      <c r="E596" s="2" t="s">
        <v>3849</v>
      </c>
      <c r="F596" s="2" t="s">
        <v>65</v>
      </c>
      <c r="G596" s="2" t="s">
        <v>19</v>
      </c>
      <c r="H596" s="2">
        <v>37416</v>
      </c>
      <c r="I596" t="s">
        <v>6191</v>
      </c>
    </row>
    <row r="597" spans="1:9" x14ac:dyDescent="0.25">
      <c r="A597" s="2" t="s">
        <v>3851</v>
      </c>
      <c r="B597" s="2" t="s">
        <v>3852</v>
      </c>
      <c r="C597" s="2"/>
      <c r="D597" s="2"/>
      <c r="E597" s="2" t="s">
        <v>3853</v>
      </c>
      <c r="F597" s="2" t="s">
        <v>307</v>
      </c>
      <c r="G597" s="2" t="s">
        <v>28</v>
      </c>
      <c r="H597" s="2" t="s">
        <v>308</v>
      </c>
      <c r="I597" t="s">
        <v>6191</v>
      </c>
    </row>
    <row r="598" spans="1:9" x14ac:dyDescent="0.25">
      <c r="A598" s="2" t="s">
        <v>3855</v>
      </c>
      <c r="B598" s="2" t="s">
        <v>3856</v>
      </c>
      <c r="C598" s="2" t="s">
        <v>3857</v>
      </c>
      <c r="D598" s="2" t="s">
        <v>3858</v>
      </c>
      <c r="E598" s="2" t="s">
        <v>3859</v>
      </c>
      <c r="F598" s="2" t="s">
        <v>39</v>
      </c>
      <c r="G598" s="2" t="s">
        <v>19</v>
      </c>
      <c r="H598" s="2">
        <v>43268</v>
      </c>
      <c r="I598" t="s">
        <v>6191</v>
      </c>
    </row>
    <row r="599" spans="1:9" x14ac:dyDescent="0.25">
      <c r="A599" s="2" t="s">
        <v>3861</v>
      </c>
      <c r="B599" s="2" t="s">
        <v>3862</v>
      </c>
      <c r="C599" s="2" t="s">
        <v>3863</v>
      </c>
      <c r="D599" s="2" t="s">
        <v>3864</v>
      </c>
      <c r="E599" s="2" t="s">
        <v>3865</v>
      </c>
      <c r="F599" s="2" t="s">
        <v>87</v>
      </c>
      <c r="G599" s="2" t="s">
        <v>19</v>
      </c>
      <c r="H599" s="2">
        <v>91186</v>
      </c>
      <c r="I599" t="s">
        <v>6190</v>
      </c>
    </row>
    <row r="600" spans="1:9" x14ac:dyDescent="0.25">
      <c r="A600" s="2" t="s">
        <v>3867</v>
      </c>
      <c r="B600" s="2" t="s">
        <v>3868</v>
      </c>
      <c r="C600" s="2" t="s">
        <v>3869</v>
      </c>
      <c r="D600" s="2" t="s">
        <v>3870</v>
      </c>
      <c r="E600" s="2" t="s">
        <v>3871</v>
      </c>
      <c r="F600" s="2" t="s">
        <v>150</v>
      </c>
      <c r="G600" s="2" t="s">
        <v>19</v>
      </c>
      <c r="H600" s="2">
        <v>94159</v>
      </c>
      <c r="I600" t="s">
        <v>6190</v>
      </c>
    </row>
    <row r="601" spans="1:9" x14ac:dyDescent="0.25">
      <c r="A601" s="2" t="s">
        <v>3873</v>
      </c>
      <c r="B601" s="2" t="s">
        <v>3874</v>
      </c>
      <c r="C601" s="2" t="s">
        <v>3875</v>
      </c>
      <c r="D601" s="2"/>
      <c r="E601" s="2" t="s">
        <v>3876</v>
      </c>
      <c r="F601" s="2" t="s">
        <v>175</v>
      </c>
      <c r="G601" s="2" t="s">
        <v>19</v>
      </c>
      <c r="H601" s="2">
        <v>71137</v>
      </c>
      <c r="I601" t="s">
        <v>6190</v>
      </c>
    </row>
    <row r="602" spans="1:9" x14ac:dyDescent="0.25">
      <c r="A602" s="2" t="s">
        <v>3878</v>
      </c>
      <c r="B602" s="2" t="s">
        <v>3879</v>
      </c>
      <c r="C602" s="2" t="s">
        <v>3880</v>
      </c>
      <c r="D602" s="2" t="s">
        <v>3881</v>
      </c>
      <c r="E602" s="2" t="s">
        <v>3882</v>
      </c>
      <c r="F602" s="2" t="s">
        <v>46</v>
      </c>
      <c r="G602" s="2" t="s">
        <v>19</v>
      </c>
      <c r="H602" s="2">
        <v>19141</v>
      </c>
      <c r="I602" t="s">
        <v>6191</v>
      </c>
    </row>
    <row r="603" spans="1:9" x14ac:dyDescent="0.25">
      <c r="A603" s="2" t="s">
        <v>3884</v>
      </c>
      <c r="B603" s="2" t="s">
        <v>3885</v>
      </c>
      <c r="C603" s="2" t="s">
        <v>3886</v>
      </c>
      <c r="D603" s="2" t="s">
        <v>3887</v>
      </c>
      <c r="E603" s="2" t="s">
        <v>3888</v>
      </c>
      <c r="F603" s="2" t="s">
        <v>269</v>
      </c>
      <c r="G603" s="2" t="s">
        <v>19</v>
      </c>
      <c r="H603" s="2">
        <v>41905</v>
      </c>
      <c r="I603" t="s">
        <v>6190</v>
      </c>
    </row>
    <row r="604" spans="1:9" x14ac:dyDescent="0.25">
      <c r="A604" s="2" t="s">
        <v>3890</v>
      </c>
      <c r="B604" s="2" t="s">
        <v>3891</v>
      </c>
      <c r="C604" s="2" t="s">
        <v>3892</v>
      </c>
      <c r="D604" s="2" t="s">
        <v>3893</v>
      </c>
      <c r="E604" s="2" t="s">
        <v>3894</v>
      </c>
      <c r="F604" s="2" t="s">
        <v>260</v>
      </c>
      <c r="G604" s="2" t="s">
        <v>19</v>
      </c>
      <c r="H604" s="2">
        <v>43666</v>
      </c>
      <c r="I604" t="s">
        <v>6190</v>
      </c>
    </row>
    <row r="605" spans="1:9" x14ac:dyDescent="0.25">
      <c r="A605" s="2" t="s">
        <v>3896</v>
      </c>
      <c r="B605" s="2" t="s">
        <v>3897</v>
      </c>
      <c r="C605" s="2" t="s">
        <v>3898</v>
      </c>
      <c r="D605" s="2"/>
      <c r="E605" s="2" t="s">
        <v>3899</v>
      </c>
      <c r="F605" s="2" t="s">
        <v>78</v>
      </c>
      <c r="G605" s="2" t="s">
        <v>19</v>
      </c>
      <c r="H605" s="2">
        <v>80945</v>
      </c>
      <c r="I605" t="s">
        <v>6191</v>
      </c>
    </row>
    <row r="606" spans="1:9" x14ac:dyDescent="0.25">
      <c r="A606" s="2" t="s">
        <v>3901</v>
      </c>
      <c r="B606" s="2" t="s">
        <v>3902</v>
      </c>
      <c r="C606" s="2"/>
      <c r="D606" s="2" t="s">
        <v>3903</v>
      </c>
      <c r="E606" s="2" t="s">
        <v>3904</v>
      </c>
      <c r="F606" s="2" t="s">
        <v>380</v>
      </c>
      <c r="G606" s="2" t="s">
        <v>318</v>
      </c>
      <c r="H606" s="2" t="s">
        <v>381</v>
      </c>
      <c r="I606" t="s">
        <v>6191</v>
      </c>
    </row>
    <row r="607" spans="1:9" x14ac:dyDescent="0.25">
      <c r="A607" s="2" t="s">
        <v>3906</v>
      </c>
      <c r="B607" s="2" t="s">
        <v>3907</v>
      </c>
      <c r="C607" s="2" t="s">
        <v>3908</v>
      </c>
      <c r="D607" s="2" t="s">
        <v>3909</v>
      </c>
      <c r="E607" s="2" t="s">
        <v>3910</v>
      </c>
      <c r="F607" s="2" t="s">
        <v>108</v>
      </c>
      <c r="G607" s="2" t="s">
        <v>19</v>
      </c>
      <c r="H607" s="2">
        <v>15274</v>
      </c>
      <c r="I607" t="s">
        <v>6190</v>
      </c>
    </row>
    <row r="608" spans="1:9" x14ac:dyDescent="0.25">
      <c r="A608" s="2" t="s">
        <v>3912</v>
      </c>
      <c r="B608" s="2" t="s">
        <v>3913</v>
      </c>
      <c r="C608" s="2" t="s">
        <v>3914</v>
      </c>
      <c r="D608" s="2" t="s">
        <v>3915</v>
      </c>
      <c r="E608" s="2" t="s">
        <v>3916</v>
      </c>
      <c r="F608" s="2" t="s">
        <v>29</v>
      </c>
      <c r="G608" s="2" t="s">
        <v>19</v>
      </c>
      <c r="H608" s="2">
        <v>33411</v>
      </c>
      <c r="I608" t="s">
        <v>6191</v>
      </c>
    </row>
    <row r="609" spans="1:9" x14ac:dyDescent="0.25">
      <c r="A609" s="2" t="s">
        <v>3918</v>
      </c>
      <c r="B609" s="2" t="s">
        <v>3919</v>
      </c>
      <c r="C609" s="2" t="s">
        <v>3920</v>
      </c>
      <c r="D609" s="2" t="s">
        <v>3921</v>
      </c>
      <c r="E609" s="2" t="s">
        <v>3922</v>
      </c>
      <c r="F609" s="2" t="s">
        <v>175</v>
      </c>
      <c r="G609" s="2" t="s">
        <v>19</v>
      </c>
      <c r="H609" s="2">
        <v>71115</v>
      </c>
      <c r="I609" t="s">
        <v>6190</v>
      </c>
    </row>
    <row r="610" spans="1:9" x14ac:dyDescent="0.25">
      <c r="A610" s="2" t="s">
        <v>3924</v>
      </c>
      <c r="B610" s="2" t="s">
        <v>3925</v>
      </c>
      <c r="C610" s="2"/>
      <c r="D610" s="2"/>
      <c r="E610" s="2" t="s">
        <v>3926</v>
      </c>
      <c r="F610" s="2" t="s">
        <v>255</v>
      </c>
      <c r="G610" s="2" t="s">
        <v>19</v>
      </c>
      <c r="H610" s="2">
        <v>44105</v>
      </c>
      <c r="I610" t="s">
        <v>6191</v>
      </c>
    </row>
    <row r="611" spans="1:9" x14ac:dyDescent="0.25">
      <c r="A611" s="2" t="s">
        <v>3928</v>
      </c>
      <c r="B611" s="2" t="s">
        <v>3929</v>
      </c>
      <c r="C611" s="2" t="s">
        <v>3930</v>
      </c>
      <c r="D611" s="2" t="s">
        <v>3931</v>
      </c>
      <c r="E611" s="2" t="s">
        <v>3932</v>
      </c>
      <c r="F611" s="2" t="s">
        <v>45</v>
      </c>
      <c r="G611" s="2" t="s">
        <v>19</v>
      </c>
      <c r="H611" s="2">
        <v>53234</v>
      </c>
      <c r="I611" t="s">
        <v>6190</v>
      </c>
    </row>
    <row r="612" spans="1:9" x14ac:dyDescent="0.25">
      <c r="A612" s="2" t="s">
        <v>3934</v>
      </c>
      <c r="B612" s="2" t="s">
        <v>3935</v>
      </c>
      <c r="C612" s="2" t="s">
        <v>3936</v>
      </c>
      <c r="D612" s="2" t="s">
        <v>3937</v>
      </c>
      <c r="E612" s="2" t="s">
        <v>3938</v>
      </c>
      <c r="F612" s="2" t="s">
        <v>271</v>
      </c>
      <c r="G612" s="2" t="s">
        <v>19</v>
      </c>
      <c r="H612" s="2">
        <v>33345</v>
      </c>
      <c r="I612" t="s">
        <v>6191</v>
      </c>
    </row>
    <row r="613" spans="1:9" x14ac:dyDescent="0.25">
      <c r="A613" s="2" t="s">
        <v>3940</v>
      </c>
      <c r="B613" s="2" t="s">
        <v>3941</v>
      </c>
      <c r="C613" s="2" t="s">
        <v>3942</v>
      </c>
      <c r="D613" s="2" t="s">
        <v>3943</v>
      </c>
      <c r="E613" s="2" t="s">
        <v>3944</v>
      </c>
      <c r="F613" s="2" t="s">
        <v>175</v>
      </c>
      <c r="G613" s="2" t="s">
        <v>19</v>
      </c>
      <c r="H613" s="2">
        <v>71105</v>
      </c>
      <c r="I613" t="s">
        <v>6191</v>
      </c>
    </row>
    <row r="614" spans="1:9" x14ac:dyDescent="0.25">
      <c r="A614" s="2" t="s">
        <v>3946</v>
      </c>
      <c r="B614" s="2" t="s">
        <v>3947</v>
      </c>
      <c r="C614" s="2"/>
      <c r="D614" s="2" t="s">
        <v>3948</v>
      </c>
      <c r="E614" s="2" t="s">
        <v>3949</v>
      </c>
      <c r="F614" s="2" t="s">
        <v>289</v>
      </c>
      <c r="G614" s="2" t="s">
        <v>318</v>
      </c>
      <c r="H614" s="2" t="s">
        <v>444</v>
      </c>
      <c r="I614" t="s">
        <v>6191</v>
      </c>
    </row>
    <row r="615" spans="1:9" x14ac:dyDescent="0.25">
      <c r="A615" s="2" t="s">
        <v>3951</v>
      </c>
      <c r="B615" s="2" t="s">
        <v>3952</v>
      </c>
      <c r="C615" s="2"/>
      <c r="D615" s="2" t="s">
        <v>3953</v>
      </c>
      <c r="E615" s="2" t="s">
        <v>3954</v>
      </c>
      <c r="F615" s="2" t="s">
        <v>131</v>
      </c>
      <c r="G615" s="2" t="s">
        <v>19</v>
      </c>
      <c r="H615" s="2">
        <v>94207</v>
      </c>
      <c r="I615" t="s">
        <v>6191</v>
      </c>
    </row>
    <row r="616" spans="1:9" x14ac:dyDescent="0.25">
      <c r="A616" s="2" t="s">
        <v>3956</v>
      </c>
      <c r="B616" s="2" t="s">
        <v>3957</v>
      </c>
      <c r="C616" s="2"/>
      <c r="D616" s="2" t="s">
        <v>3958</v>
      </c>
      <c r="E616" s="2" t="s">
        <v>3959</v>
      </c>
      <c r="F616" s="2" t="s">
        <v>130</v>
      </c>
      <c r="G616" s="2" t="s">
        <v>19</v>
      </c>
      <c r="H616" s="2">
        <v>37240</v>
      </c>
      <c r="I616" t="s">
        <v>6191</v>
      </c>
    </row>
    <row r="617" spans="1:9" x14ac:dyDescent="0.25">
      <c r="A617" s="2" t="s">
        <v>3961</v>
      </c>
      <c r="B617" s="2" t="s">
        <v>3962</v>
      </c>
      <c r="C617" s="2" t="s">
        <v>3963</v>
      </c>
      <c r="D617" s="2" t="s">
        <v>3964</v>
      </c>
      <c r="E617" s="2" t="s">
        <v>3965</v>
      </c>
      <c r="F617" s="2" t="s">
        <v>97</v>
      </c>
      <c r="G617" s="2" t="s">
        <v>19</v>
      </c>
      <c r="H617" s="2">
        <v>58122</v>
      </c>
      <c r="I617" t="s">
        <v>6190</v>
      </c>
    </row>
    <row r="618" spans="1:9" x14ac:dyDescent="0.25">
      <c r="A618" s="2" t="s">
        <v>3967</v>
      </c>
      <c r="B618" s="2" t="s">
        <v>3968</v>
      </c>
      <c r="C618" s="2" t="s">
        <v>3969</v>
      </c>
      <c r="D618" s="2" t="s">
        <v>3970</v>
      </c>
      <c r="E618" s="2" t="s">
        <v>3971</v>
      </c>
      <c r="F618" s="2" t="s">
        <v>54</v>
      </c>
      <c r="G618" s="2" t="s">
        <v>28</v>
      </c>
      <c r="H618" s="2" t="s">
        <v>55</v>
      </c>
      <c r="I618" t="s">
        <v>6191</v>
      </c>
    </row>
    <row r="619" spans="1:9" x14ac:dyDescent="0.25">
      <c r="A619" s="2" t="s">
        <v>3973</v>
      </c>
      <c r="B619" s="2" t="s">
        <v>3974</v>
      </c>
      <c r="C619" s="2" t="s">
        <v>3975</v>
      </c>
      <c r="D619" s="2" t="s">
        <v>3976</v>
      </c>
      <c r="E619" s="2" t="s">
        <v>3977</v>
      </c>
      <c r="F619" s="2" t="s">
        <v>90</v>
      </c>
      <c r="G619" s="2" t="s">
        <v>19</v>
      </c>
      <c r="H619" s="2">
        <v>74184</v>
      </c>
      <c r="I619" t="s">
        <v>6191</v>
      </c>
    </row>
    <row r="620" spans="1:9" x14ac:dyDescent="0.25">
      <c r="A620" s="2" t="s">
        <v>3979</v>
      </c>
      <c r="B620" s="2" t="s">
        <v>3980</v>
      </c>
      <c r="C620" s="2" t="s">
        <v>3981</v>
      </c>
      <c r="D620" s="2" t="s">
        <v>3982</v>
      </c>
      <c r="E620" s="2" t="s">
        <v>3983</v>
      </c>
      <c r="F620" s="2" t="s">
        <v>57</v>
      </c>
      <c r="G620" s="2" t="s">
        <v>19</v>
      </c>
      <c r="H620" s="2">
        <v>10045</v>
      </c>
      <c r="I620" t="s">
        <v>6190</v>
      </c>
    </row>
    <row r="621" spans="1:9" x14ac:dyDescent="0.25">
      <c r="A621" s="2" t="s">
        <v>3985</v>
      </c>
      <c r="B621" s="2" t="s">
        <v>3986</v>
      </c>
      <c r="C621" s="2" t="s">
        <v>3987</v>
      </c>
      <c r="D621" s="2" t="s">
        <v>3988</v>
      </c>
      <c r="E621" s="2" t="s">
        <v>3989</v>
      </c>
      <c r="F621" s="2" t="s">
        <v>53</v>
      </c>
      <c r="G621" s="2" t="s">
        <v>19</v>
      </c>
      <c r="H621" s="2">
        <v>34642</v>
      </c>
      <c r="I621" t="s">
        <v>6190</v>
      </c>
    </row>
    <row r="622" spans="1:9" x14ac:dyDescent="0.25">
      <c r="A622" s="2" t="s">
        <v>3991</v>
      </c>
      <c r="B622" s="2" t="s">
        <v>3992</v>
      </c>
      <c r="C622" s="2" t="s">
        <v>3993</v>
      </c>
      <c r="D622" s="2" t="s">
        <v>3994</v>
      </c>
      <c r="E622" s="2" t="s">
        <v>3995</v>
      </c>
      <c r="F622" s="2" t="s">
        <v>2998</v>
      </c>
      <c r="G622" s="2" t="s">
        <v>318</v>
      </c>
      <c r="H622" s="2" t="s">
        <v>395</v>
      </c>
      <c r="I622" t="s">
        <v>6191</v>
      </c>
    </row>
    <row r="623" spans="1:9" x14ac:dyDescent="0.25">
      <c r="A623" s="2" t="s">
        <v>3997</v>
      </c>
      <c r="B623" s="2" t="s">
        <v>3998</v>
      </c>
      <c r="C623" s="2" t="s">
        <v>3999</v>
      </c>
      <c r="D623" s="2" t="s">
        <v>4000</v>
      </c>
      <c r="E623" s="2" t="s">
        <v>4001</v>
      </c>
      <c r="F623" s="2" t="s">
        <v>189</v>
      </c>
      <c r="G623" s="2" t="s">
        <v>19</v>
      </c>
      <c r="H623" s="2">
        <v>97296</v>
      </c>
      <c r="I623" t="s">
        <v>6191</v>
      </c>
    </row>
    <row r="624" spans="1:9" x14ac:dyDescent="0.25">
      <c r="A624" s="2" t="s">
        <v>4003</v>
      </c>
      <c r="B624" s="2" t="s">
        <v>4004</v>
      </c>
      <c r="C624" s="2" t="s">
        <v>4005</v>
      </c>
      <c r="D624" s="2"/>
      <c r="E624" s="2" t="s">
        <v>4006</v>
      </c>
      <c r="F624" s="2" t="s">
        <v>107</v>
      </c>
      <c r="G624" s="2" t="s">
        <v>19</v>
      </c>
      <c r="H624" s="2">
        <v>89115</v>
      </c>
      <c r="I624" t="s">
        <v>6191</v>
      </c>
    </row>
    <row r="625" spans="1:9" x14ac:dyDescent="0.25">
      <c r="A625" s="2" t="s">
        <v>4008</v>
      </c>
      <c r="B625" s="2" t="s">
        <v>4009</v>
      </c>
      <c r="C625" s="2"/>
      <c r="D625" s="2" t="s">
        <v>4010</v>
      </c>
      <c r="E625" s="2" t="s">
        <v>4011</v>
      </c>
      <c r="F625" s="2" t="s">
        <v>100</v>
      </c>
      <c r="G625" s="2" t="s">
        <v>28</v>
      </c>
      <c r="H625" s="2" t="s">
        <v>101</v>
      </c>
      <c r="I625" t="s">
        <v>6191</v>
      </c>
    </row>
    <row r="626" spans="1:9" x14ac:dyDescent="0.25">
      <c r="A626" s="2" t="s">
        <v>4013</v>
      </c>
      <c r="B626" s="2" t="s">
        <v>4014</v>
      </c>
      <c r="C626" s="2" t="s">
        <v>4015</v>
      </c>
      <c r="D626" s="2"/>
      <c r="E626" s="2" t="s">
        <v>4016</v>
      </c>
      <c r="F626" s="2" t="s">
        <v>339</v>
      </c>
      <c r="G626" s="2" t="s">
        <v>318</v>
      </c>
      <c r="H626" s="2" t="s">
        <v>340</v>
      </c>
      <c r="I626" t="s">
        <v>6190</v>
      </c>
    </row>
    <row r="627" spans="1:9" x14ac:dyDescent="0.25">
      <c r="A627" s="2" t="s">
        <v>4018</v>
      </c>
      <c r="B627" s="2" t="s">
        <v>4019</v>
      </c>
      <c r="C627" s="2" t="s">
        <v>4020</v>
      </c>
      <c r="D627" s="2" t="s">
        <v>4021</v>
      </c>
      <c r="E627" s="2" t="s">
        <v>4022</v>
      </c>
      <c r="F627" s="2" t="s">
        <v>150</v>
      </c>
      <c r="G627" s="2" t="s">
        <v>19</v>
      </c>
      <c r="H627" s="2">
        <v>94159</v>
      </c>
      <c r="I627" t="s">
        <v>6191</v>
      </c>
    </row>
    <row r="628" spans="1:9" x14ac:dyDescent="0.25">
      <c r="A628" s="2" t="s">
        <v>4024</v>
      </c>
      <c r="B628" s="2" t="s">
        <v>4025</v>
      </c>
      <c r="C628" s="2" t="s">
        <v>4026</v>
      </c>
      <c r="D628" s="2" t="s">
        <v>4027</v>
      </c>
      <c r="E628" s="2" t="s">
        <v>4028</v>
      </c>
      <c r="F628" s="2" t="s">
        <v>108</v>
      </c>
      <c r="G628" s="2" t="s">
        <v>19</v>
      </c>
      <c r="H628" s="2">
        <v>15274</v>
      </c>
      <c r="I628" t="s">
        <v>6191</v>
      </c>
    </row>
    <row r="629" spans="1:9" x14ac:dyDescent="0.25">
      <c r="A629" s="2" t="s">
        <v>4030</v>
      </c>
      <c r="B629" s="2" t="s">
        <v>4031</v>
      </c>
      <c r="C629" s="2" t="s">
        <v>4032</v>
      </c>
      <c r="D629" s="2" t="s">
        <v>4033</v>
      </c>
      <c r="E629" s="2" t="s">
        <v>4034</v>
      </c>
      <c r="F629" s="2" t="s">
        <v>63</v>
      </c>
      <c r="G629" s="2" t="s">
        <v>19</v>
      </c>
      <c r="H629" s="2">
        <v>77281</v>
      </c>
      <c r="I629" t="s">
        <v>6190</v>
      </c>
    </row>
    <row r="630" spans="1:9" x14ac:dyDescent="0.25">
      <c r="A630" s="2" t="s">
        <v>4036</v>
      </c>
      <c r="B630" s="2" t="s">
        <v>4037</v>
      </c>
      <c r="C630" s="2" t="s">
        <v>4038</v>
      </c>
      <c r="D630" s="2" t="s">
        <v>4039</v>
      </c>
      <c r="E630" s="2" t="s">
        <v>4040</v>
      </c>
      <c r="F630" s="2" t="s">
        <v>4041</v>
      </c>
      <c r="G630" s="2" t="s">
        <v>318</v>
      </c>
      <c r="H630" s="2" t="s">
        <v>416</v>
      </c>
      <c r="I630" t="s">
        <v>6190</v>
      </c>
    </row>
    <row r="631" spans="1:9" x14ac:dyDescent="0.25">
      <c r="A631" s="2" t="s">
        <v>4042</v>
      </c>
      <c r="B631" s="2" t="s">
        <v>4043</v>
      </c>
      <c r="C631" s="2" t="s">
        <v>4044</v>
      </c>
      <c r="D631" s="2"/>
      <c r="E631" s="2" t="s">
        <v>4045</v>
      </c>
      <c r="F631" s="2" t="s">
        <v>271</v>
      </c>
      <c r="G631" s="2" t="s">
        <v>19</v>
      </c>
      <c r="H631" s="2">
        <v>33345</v>
      </c>
      <c r="I631" t="s">
        <v>6191</v>
      </c>
    </row>
    <row r="632" spans="1:9" x14ac:dyDescent="0.25">
      <c r="A632" s="2" t="s">
        <v>4046</v>
      </c>
      <c r="B632" s="2" t="s">
        <v>4047</v>
      </c>
      <c r="C632" s="2" t="s">
        <v>4048</v>
      </c>
      <c r="D632" s="2" t="s">
        <v>4049</v>
      </c>
      <c r="E632" s="2" t="s">
        <v>4050</v>
      </c>
      <c r="F632" s="2" t="s">
        <v>190</v>
      </c>
      <c r="G632" s="2" t="s">
        <v>19</v>
      </c>
      <c r="H632" s="2">
        <v>76210</v>
      </c>
      <c r="I632" t="s">
        <v>6191</v>
      </c>
    </row>
    <row r="633" spans="1:9" x14ac:dyDescent="0.25">
      <c r="A633" s="2" t="s">
        <v>4051</v>
      </c>
      <c r="B633" s="2" t="s">
        <v>4052</v>
      </c>
      <c r="C633" s="2" t="s">
        <v>4053</v>
      </c>
      <c r="D633" s="2" t="s">
        <v>4054</v>
      </c>
      <c r="E633" s="2" t="s">
        <v>4055</v>
      </c>
      <c r="F633" s="2" t="s">
        <v>488</v>
      </c>
      <c r="G633" s="2" t="s">
        <v>318</v>
      </c>
      <c r="H633" s="2" t="s">
        <v>363</v>
      </c>
      <c r="I633" t="s">
        <v>6190</v>
      </c>
    </row>
    <row r="634" spans="1:9" x14ac:dyDescent="0.25">
      <c r="A634" s="2" t="s">
        <v>4057</v>
      </c>
      <c r="B634" s="2" t="s">
        <v>4058</v>
      </c>
      <c r="C634" s="2" t="s">
        <v>4059</v>
      </c>
      <c r="D634" s="2" t="s">
        <v>4060</v>
      </c>
      <c r="E634" s="2" t="s">
        <v>4061</v>
      </c>
      <c r="F634" s="2" t="s">
        <v>27</v>
      </c>
      <c r="G634" s="2" t="s">
        <v>19</v>
      </c>
      <c r="H634" s="2">
        <v>90005</v>
      </c>
      <c r="I634" t="s">
        <v>6191</v>
      </c>
    </row>
    <row r="635" spans="1:9" x14ac:dyDescent="0.25">
      <c r="A635" s="2" t="s">
        <v>4063</v>
      </c>
      <c r="B635" s="2" t="s">
        <v>4064</v>
      </c>
      <c r="C635" s="2" t="s">
        <v>4065</v>
      </c>
      <c r="D635" s="2" t="s">
        <v>4066</v>
      </c>
      <c r="E635" s="2" t="s">
        <v>4067</v>
      </c>
      <c r="F635" s="2" t="s">
        <v>202</v>
      </c>
      <c r="G635" s="2" t="s">
        <v>19</v>
      </c>
      <c r="H635" s="2">
        <v>18706</v>
      </c>
      <c r="I635" t="s">
        <v>6191</v>
      </c>
    </row>
    <row r="636" spans="1:9" x14ac:dyDescent="0.25">
      <c r="A636" s="2" t="s">
        <v>4069</v>
      </c>
      <c r="B636" s="2" t="s">
        <v>4070</v>
      </c>
      <c r="C636" s="2" t="s">
        <v>4071</v>
      </c>
      <c r="D636" s="2" t="s">
        <v>4072</v>
      </c>
      <c r="E636" s="2" t="s">
        <v>4073</v>
      </c>
      <c r="F636" s="2" t="s">
        <v>190</v>
      </c>
      <c r="G636" s="2" t="s">
        <v>19</v>
      </c>
      <c r="H636" s="2">
        <v>76205</v>
      </c>
      <c r="I636" t="s">
        <v>6191</v>
      </c>
    </row>
    <row r="637" spans="1:9" x14ac:dyDescent="0.25">
      <c r="A637" s="2" t="s">
        <v>4075</v>
      </c>
      <c r="B637" s="2" t="s">
        <v>4076</v>
      </c>
      <c r="C637" s="2" t="s">
        <v>4077</v>
      </c>
      <c r="D637" s="2" t="s">
        <v>4078</v>
      </c>
      <c r="E637" s="2" t="s">
        <v>4079</v>
      </c>
      <c r="F637" s="2" t="s">
        <v>37</v>
      </c>
      <c r="G637" s="2" t="s">
        <v>19</v>
      </c>
      <c r="H637" s="2">
        <v>64082</v>
      </c>
      <c r="I637" t="s">
        <v>6190</v>
      </c>
    </row>
    <row r="638" spans="1:9" x14ac:dyDescent="0.25">
      <c r="A638" s="2" t="s">
        <v>4081</v>
      </c>
      <c r="B638" s="2" t="s">
        <v>4082</v>
      </c>
      <c r="C638" s="2" t="s">
        <v>4083</v>
      </c>
      <c r="D638" s="2" t="s">
        <v>4084</v>
      </c>
      <c r="E638" s="2" t="s">
        <v>4085</v>
      </c>
      <c r="F638" s="2" t="s">
        <v>88</v>
      </c>
      <c r="G638" s="2" t="s">
        <v>19</v>
      </c>
      <c r="H638" s="2">
        <v>72209</v>
      </c>
      <c r="I638" t="s">
        <v>6190</v>
      </c>
    </row>
    <row r="639" spans="1:9" x14ac:dyDescent="0.25">
      <c r="A639" s="2" t="s">
        <v>4087</v>
      </c>
      <c r="B639" s="2" t="s">
        <v>4088</v>
      </c>
      <c r="C639" s="2" t="s">
        <v>4089</v>
      </c>
      <c r="D639" s="2" t="s">
        <v>4090</v>
      </c>
      <c r="E639" s="2" t="s">
        <v>4091</v>
      </c>
      <c r="F639" s="2" t="s">
        <v>4092</v>
      </c>
      <c r="G639" s="2" t="s">
        <v>318</v>
      </c>
      <c r="H639" s="2" t="s">
        <v>324</v>
      </c>
      <c r="I639" t="s">
        <v>6190</v>
      </c>
    </row>
    <row r="640" spans="1:9" x14ac:dyDescent="0.25">
      <c r="A640" s="2" t="s">
        <v>4094</v>
      </c>
      <c r="B640" s="2" t="s">
        <v>4095</v>
      </c>
      <c r="C640" s="2"/>
      <c r="D640" s="2" t="s">
        <v>4096</v>
      </c>
      <c r="E640" s="2" t="s">
        <v>4097</v>
      </c>
      <c r="F640" s="2" t="s">
        <v>3664</v>
      </c>
      <c r="G640" s="2" t="s">
        <v>318</v>
      </c>
      <c r="H640" s="2" t="s">
        <v>398</v>
      </c>
      <c r="I640" t="s">
        <v>6190</v>
      </c>
    </row>
    <row r="641" spans="1:9" x14ac:dyDescent="0.25">
      <c r="A641" s="2" t="s">
        <v>4099</v>
      </c>
      <c r="B641" s="2" t="s">
        <v>4100</v>
      </c>
      <c r="C641" s="2" t="s">
        <v>4101</v>
      </c>
      <c r="D641" s="2" t="s">
        <v>4102</v>
      </c>
      <c r="E641" s="2" t="s">
        <v>4103</v>
      </c>
      <c r="F641" s="2" t="s">
        <v>179</v>
      </c>
      <c r="G641" s="2" t="s">
        <v>19</v>
      </c>
      <c r="H641" s="2">
        <v>16534</v>
      </c>
      <c r="I641" t="s">
        <v>6190</v>
      </c>
    </row>
    <row r="642" spans="1:9" x14ac:dyDescent="0.25">
      <c r="A642" s="2" t="s">
        <v>4105</v>
      </c>
      <c r="B642" s="2" t="s">
        <v>4106</v>
      </c>
      <c r="C642" s="2"/>
      <c r="D642" s="2" t="s">
        <v>4107</v>
      </c>
      <c r="E642" s="2" t="s">
        <v>4108</v>
      </c>
      <c r="F642" s="2" t="s">
        <v>280</v>
      </c>
      <c r="G642" s="2" t="s">
        <v>28</v>
      </c>
      <c r="H642" s="2" t="s">
        <v>310</v>
      </c>
      <c r="I642" t="s">
        <v>6191</v>
      </c>
    </row>
    <row r="643" spans="1:9" x14ac:dyDescent="0.25">
      <c r="A643" s="2" t="s">
        <v>4110</v>
      </c>
      <c r="B643" s="2" t="s">
        <v>4111</v>
      </c>
      <c r="C643" s="2" t="s">
        <v>4112</v>
      </c>
      <c r="D643" s="2" t="s">
        <v>4113</v>
      </c>
      <c r="E643" s="2" t="s">
        <v>4114</v>
      </c>
      <c r="F643" s="2" t="s">
        <v>108</v>
      </c>
      <c r="G643" s="2" t="s">
        <v>19</v>
      </c>
      <c r="H643" s="2">
        <v>15255</v>
      </c>
      <c r="I643" t="s">
        <v>6190</v>
      </c>
    </row>
    <row r="644" spans="1:9" x14ac:dyDescent="0.25">
      <c r="A644" s="2" t="s">
        <v>4116</v>
      </c>
      <c r="B644" s="2" t="s">
        <v>4117</v>
      </c>
      <c r="C644" s="2" t="s">
        <v>4118</v>
      </c>
      <c r="D644" s="2" t="s">
        <v>4119</v>
      </c>
      <c r="E644" s="2" t="s">
        <v>4120</v>
      </c>
      <c r="F644" s="2" t="s">
        <v>4121</v>
      </c>
      <c r="G644" s="2" t="s">
        <v>28</v>
      </c>
      <c r="H644" s="2" t="s">
        <v>4122</v>
      </c>
      <c r="I644" t="s">
        <v>6190</v>
      </c>
    </row>
    <row r="645" spans="1:9" x14ac:dyDescent="0.25">
      <c r="A645" s="2" t="s">
        <v>4124</v>
      </c>
      <c r="B645" s="2" t="s">
        <v>4125</v>
      </c>
      <c r="C645" s="2" t="s">
        <v>4126</v>
      </c>
      <c r="D645" s="2"/>
      <c r="E645" s="2" t="s">
        <v>4127</v>
      </c>
      <c r="F645" s="2" t="s">
        <v>52</v>
      </c>
      <c r="G645" s="2" t="s">
        <v>19</v>
      </c>
      <c r="H645" s="2">
        <v>75260</v>
      </c>
      <c r="I645" t="s">
        <v>6190</v>
      </c>
    </row>
    <row r="646" spans="1:9" x14ac:dyDescent="0.25">
      <c r="A646" s="2" t="s">
        <v>4129</v>
      </c>
      <c r="B646" s="2" t="s">
        <v>4130</v>
      </c>
      <c r="C646" s="2"/>
      <c r="D646" s="2" t="s">
        <v>4131</v>
      </c>
      <c r="E646" s="2" t="s">
        <v>4132</v>
      </c>
      <c r="F646" s="2" t="s">
        <v>92</v>
      </c>
      <c r="G646" s="2" t="s">
        <v>19</v>
      </c>
      <c r="H646" s="2">
        <v>33233</v>
      </c>
      <c r="I646" t="s">
        <v>6191</v>
      </c>
    </row>
    <row r="647" spans="1:9" x14ac:dyDescent="0.25">
      <c r="A647" s="2" t="s">
        <v>4134</v>
      </c>
      <c r="B647" s="2" t="s">
        <v>4135</v>
      </c>
      <c r="C647" s="2" t="s">
        <v>4136</v>
      </c>
      <c r="D647" s="2" t="s">
        <v>4137</v>
      </c>
      <c r="E647" s="2" t="s">
        <v>4138</v>
      </c>
      <c r="F647" s="2" t="s">
        <v>467</v>
      </c>
      <c r="G647" s="2" t="s">
        <v>19</v>
      </c>
      <c r="H647" s="2">
        <v>76905</v>
      </c>
      <c r="I647" t="s">
        <v>6190</v>
      </c>
    </row>
    <row r="648" spans="1:9" x14ac:dyDescent="0.25">
      <c r="A648" s="2" t="s">
        <v>4140</v>
      </c>
      <c r="B648" s="2" t="s">
        <v>4141</v>
      </c>
      <c r="C648" s="2" t="s">
        <v>4142</v>
      </c>
      <c r="D648" s="2" t="s">
        <v>4143</v>
      </c>
      <c r="E648" s="2" t="s">
        <v>4144</v>
      </c>
      <c r="F648" s="2" t="s">
        <v>198</v>
      </c>
      <c r="G648" s="2" t="s">
        <v>19</v>
      </c>
      <c r="H648" s="2">
        <v>12205</v>
      </c>
      <c r="I648" t="s">
        <v>6190</v>
      </c>
    </row>
    <row r="649" spans="1:9" x14ac:dyDescent="0.25">
      <c r="A649" s="2" t="s">
        <v>4146</v>
      </c>
      <c r="B649" s="2" t="s">
        <v>4147</v>
      </c>
      <c r="C649" s="2" t="s">
        <v>4148</v>
      </c>
      <c r="D649" s="2" t="s">
        <v>4149</v>
      </c>
      <c r="E649" s="2" t="s">
        <v>4150</v>
      </c>
      <c r="F649" s="2" t="s">
        <v>279</v>
      </c>
      <c r="G649" s="2" t="s">
        <v>28</v>
      </c>
      <c r="H649" s="2" t="s">
        <v>210</v>
      </c>
      <c r="I649" t="s">
        <v>6190</v>
      </c>
    </row>
    <row r="650" spans="1:9" x14ac:dyDescent="0.25">
      <c r="A650" s="2" t="s">
        <v>4152</v>
      </c>
      <c r="B650" s="2" t="s">
        <v>4153</v>
      </c>
      <c r="C650" s="2" t="s">
        <v>4154</v>
      </c>
      <c r="D650" s="2" t="s">
        <v>4155</v>
      </c>
      <c r="E650" s="2" t="s">
        <v>4156</v>
      </c>
      <c r="F650" s="2" t="s">
        <v>39</v>
      </c>
      <c r="G650" s="2" t="s">
        <v>19</v>
      </c>
      <c r="H650" s="2">
        <v>43240</v>
      </c>
      <c r="I650" t="s">
        <v>6191</v>
      </c>
    </row>
    <row r="651" spans="1:9" x14ac:dyDescent="0.25">
      <c r="A651" s="2" t="s">
        <v>4158</v>
      </c>
      <c r="B651" s="2" t="s">
        <v>4159</v>
      </c>
      <c r="C651" s="2" t="s">
        <v>4160</v>
      </c>
      <c r="D651" s="2" t="s">
        <v>4161</v>
      </c>
      <c r="E651" s="2" t="s">
        <v>4162</v>
      </c>
      <c r="F651" s="2" t="s">
        <v>354</v>
      </c>
      <c r="G651" s="2" t="s">
        <v>28</v>
      </c>
      <c r="H651" s="2" t="s">
        <v>355</v>
      </c>
      <c r="I651" t="s">
        <v>6191</v>
      </c>
    </row>
    <row r="652" spans="1:9" x14ac:dyDescent="0.25">
      <c r="A652" s="2" t="s">
        <v>4164</v>
      </c>
      <c r="B652" s="2" t="s">
        <v>4165</v>
      </c>
      <c r="C652" s="2" t="s">
        <v>4166</v>
      </c>
      <c r="D652" s="2" t="s">
        <v>4167</v>
      </c>
      <c r="E652" s="2" t="s">
        <v>4168</v>
      </c>
      <c r="F652" s="2" t="s">
        <v>153</v>
      </c>
      <c r="G652" s="2" t="s">
        <v>19</v>
      </c>
      <c r="H652" s="2">
        <v>92883</v>
      </c>
      <c r="I652" t="s">
        <v>6190</v>
      </c>
    </row>
    <row r="653" spans="1:9" x14ac:dyDescent="0.25">
      <c r="A653" s="2" t="s">
        <v>4170</v>
      </c>
      <c r="B653" s="2" t="s">
        <v>4171</v>
      </c>
      <c r="C653" s="2"/>
      <c r="D653" s="2" t="s">
        <v>4172</v>
      </c>
      <c r="E653" s="2" t="s">
        <v>4173</v>
      </c>
      <c r="F653" s="2" t="s">
        <v>47</v>
      </c>
      <c r="G653" s="2" t="s">
        <v>19</v>
      </c>
      <c r="H653" s="2">
        <v>20436</v>
      </c>
      <c r="I653" t="s">
        <v>6191</v>
      </c>
    </row>
    <row r="654" spans="1:9" x14ac:dyDescent="0.25">
      <c r="A654" s="2" t="s">
        <v>4175</v>
      </c>
      <c r="B654" s="2" t="s">
        <v>4176</v>
      </c>
      <c r="C654" s="2" t="s">
        <v>4177</v>
      </c>
      <c r="D654" s="2"/>
      <c r="E654" s="2" t="s">
        <v>4178</v>
      </c>
      <c r="F654" s="2" t="s">
        <v>461</v>
      </c>
      <c r="G654" s="2" t="s">
        <v>318</v>
      </c>
      <c r="H654" s="2" t="s">
        <v>330</v>
      </c>
      <c r="I654" t="s">
        <v>6191</v>
      </c>
    </row>
    <row r="655" spans="1:9" x14ac:dyDescent="0.25">
      <c r="A655" s="2" t="s">
        <v>4180</v>
      </c>
      <c r="B655" s="2" t="s">
        <v>4181</v>
      </c>
      <c r="C655" s="2" t="s">
        <v>4182</v>
      </c>
      <c r="D655" s="2" t="s">
        <v>4183</v>
      </c>
      <c r="E655" s="2" t="s">
        <v>4184</v>
      </c>
      <c r="F655" s="2" t="s">
        <v>260</v>
      </c>
      <c r="G655" s="2" t="s">
        <v>19</v>
      </c>
      <c r="H655" s="2">
        <v>43610</v>
      </c>
      <c r="I655" t="s">
        <v>6191</v>
      </c>
    </row>
    <row r="656" spans="1:9" x14ac:dyDescent="0.25">
      <c r="A656" s="2" t="s">
        <v>4186</v>
      </c>
      <c r="B656" s="2" t="s">
        <v>4187</v>
      </c>
      <c r="C656" s="2" t="s">
        <v>4188</v>
      </c>
      <c r="D656" s="2" t="s">
        <v>4189</v>
      </c>
      <c r="E656" s="2" t="s">
        <v>4190</v>
      </c>
      <c r="F656" s="2" t="s">
        <v>47</v>
      </c>
      <c r="G656" s="2" t="s">
        <v>19</v>
      </c>
      <c r="H656" s="2">
        <v>20088</v>
      </c>
      <c r="I656" t="s">
        <v>6191</v>
      </c>
    </row>
    <row r="657" spans="1:9" x14ac:dyDescent="0.25">
      <c r="A657" s="2" t="s">
        <v>4192</v>
      </c>
      <c r="B657" s="2" t="s">
        <v>4193</v>
      </c>
      <c r="C657" s="2" t="s">
        <v>4194</v>
      </c>
      <c r="D657" s="2"/>
      <c r="E657" s="2" t="s">
        <v>4195</v>
      </c>
      <c r="F657" s="2" t="s">
        <v>186</v>
      </c>
      <c r="G657" s="2" t="s">
        <v>19</v>
      </c>
      <c r="H657" s="2">
        <v>52405</v>
      </c>
      <c r="I657" t="s">
        <v>6190</v>
      </c>
    </row>
    <row r="658" spans="1:9" x14ac:dyDescent="0.25">
      <c r="A658" s="2" t="s">
        <v>4197</v>
      </c>
      <c r="B658" s="2" t="s">
        <v>4198</v>
      </c>
      <c r="C658" s="2" t="s">
        <v>4199</v>
      </c>
      <c r="D658" s="2"/>
      <c r="E658" s="2" t="s">
        <v>4200</v>
      </c>
      <c r="F658" s="2" t="s">
        <v>133</v>
      </c>
      <c r="G658" s="2" t="s">
        <v>19</v>
      </c>
      <c r="H658" s="2">
        <v>80045</v>
      </c>
      <c r="I658" t="s">
        <v>6191</v>
      </c>
    </row>
    <row r="659" spans="1:9" x14ac:dyDescent="0.25">
      <c r="A659" s="2" t="s">
        <v>4202</v>
      </c>
      <c r="B659" s="2" t="s">
        <v>4203</v>
      </c>
      <c r="C659" s="2" t="s">
        <v>4204</v>
      </c>
      <c r="D659" s="2" t="s">
        <v>4205</v>
      </c>
      <c r="E659" s="2" t="s">
        <v>4206</v>
      </c>
      <c r="F659" s="2" t="s">
        <v>256</v>
      </c>
      <c r="G659" s="2" t="s">
        <v>19</v>
      </c>
      <c r="H659" s="2">
        <v>94089</v>
      </c>
      <c r="I659" t="s">
        <v>6190</v>
      </c>
    </row>
    <row r="660" spans="1:9" x14ac:dyDescent="0.25">
      <c r="A660" s="2" t="s">
        <v>4208</v>
      </c>
      <c r="B660" s="2" t="s">
        <v>4209</v>
      </c>
      <c r="C660" s="2"/>
      <c r="D660" s="2"/>
      <c r="E660" s="2" t="s">
        <v>4210</v>
      </c>
      <c r="F660" s="2" t="s">
        <v>375</v>
      </c>
      <c r="G660" s="2" t="s">
        <v>318</v>
      </c>
      <c r="H660" s="2" t="s">
        <v>376</v>
      </c>
      <c r="I660" t="s">
        <v>6190</v>
      </c>
    </row>
    <row r="661" spans="1:9" x14ac:dyDescent="0.25">
      <c r="A661" s="2" t="s">
        <v>4212</v>
      </c>
      <c r="B661" s="2" t="s">
        <v>4213</v>
      </c>
      <c r="C661" s="2" t="s">
        <v>4214</v>
      </c>
      <c r="D661" s="2" t="s">
        <v>4215</v>
      </c>
      <c r="E661" s="2" t="s">
        <v>4216</v>
      </c>
      <c r="F661" s="2" t="s">
        <v>397</v>
      </c>
      <c r="G661" s="2" t="s">
        <v>318</v>
      </c>
      <c r="H661" s="2" t="s">
        <v>398</v>
      </c>
      <c r="I661" t="s">
        <v>6190</v>
      </c>
    </row>
    <row r="662" spans="1:9" x14ac:dyDescent="0.25">
      <c r="A662" s="2" t="s">
        <v>4218</v>
      </c>
      <c r="B662" s="2" t="s">
        <v>4219</v>
      </c>
      <c r="C662" s="2" t="s">
        <v>4220</v>
      </c>
      <c r="D662" s="2" t="s">
        <v>4221</v>
      </c>
      <c r="E662" s="2" t="s">
        <v>4222</v>
      </c>
      <c r="F662" s="2" t="s">
        <v>174</v>
      </c>
      <c r="G662" s="2" t="s">
        <v>19</v>
      </c>
      <c r="H662" s="2">
        <v>48930</v>
      </c>
      <c r="I662" t="s">
        <v>6191</v>
      </c>
    </row>
    <row r="663" spans="1:9" x14ac:dyDescent="0.25">
      <c r="A663" s="2" t="s">
        <v>4224</v>
      </c>
      <c r="B663" s="2" t="s">
        <v>4225</v>
      </c>
      <c r="C663" s="2" t="s">
        <v>4226</v>
      </c>
      <c r="D663" s="2" t="s">
        <v>4227</v>
      </c>
      <c r="E663" s="2" t="s">
        <v>4228</v>
      </c>
      <c r="F663" s="2" t="s">
        <v>63</v>
      </c>
      <c r="G663" s="2" t="s">
        <v>19</v>
      </c>
      <c r="H663" s="2">
        <v>77281</v>
      </c>
      <c r="I663" t="s">
        <v>6190</v>
      </c>
    </row>
    <row r="664" spans="1:9" x14ac:dyDescent="0.25">
      <c r="A664" s="2" t="s">
        <v>4230</v>
      </c>
      <c r="B664" s="2" t="s">
        <v>4231</v>
      </c>
      <c r="C664" s="2" t="s">
        <v>4232</v>
      </c>
      <c r="D664" s="2"/>
      <c r="E664" s="2" t="s">
        <v>4233</v>
      </c>
      <c r="F664" s="2" t="s">
        <v>61</v>
      </c>
      <c r="G664" s="2" t="s">
        <v>19</v>
      </c>
      <c r="H664" s="2">
        <v>37131</v>
      </c>
      <c r="I664" t="s">
        <v>6191</v>
      </c>
    </row>
    <row r="665" spans="1:9" x14ac:dyDescent="0.25">
      <c r="A665" s="2" t="s">
        <v>4235</v>
      </c>
      <c r="B665" s="2" t="s">
        <v>4236</v>
      </c>
      <c r="C665" s="2" t="s">
        <v>4237</v>
      </c>
      <c r="D665" s="2"/>
      <c r="E665" s="2" t="s">
        <v>4238</v>
      </c>
      <c r="F665" s="2" t="s">
        <v>48</v>
      </c>
      <c r="G665" s="2" t="s">
        <v>19</v>
      </c>
      <c r="H665" s="2">
        <v>25362</v>
      </c>
      <c r="I665" t="s">
        <v>6191</v>
      </c>
    </row>
    <row r="666" spans="1:9" x14ac:dyDescent="0.25">
      <c r="A666" s="2" t="s">
        <v>4240</v>
      </c>
      <c r="B666" s="2" t="s">
        <v>4241</v>
      </c>
      <c r="C666" s="2" t="s">
        <v>4242</v>
      </c>
      <c r="D666" s="2" t="s">
        <v>4243</v>
      </c>
      <c r="E666" s="2" t="s">
        <v>4244</v>
      </c>
      <c r="F666" s="2" t="s">
        <v>179</v>
      </c>
      <c r="G666" s="2" t="s">
        <v>19</v>
      </c>
      <c r="H666" s="2">
        <v>16534</v>
      </c>
      <c r="I666" t="s">
        <v>6191</v>
      </c>
    </row>
    <row r="667" spans="1:9" x14ac:dyDescent="0.25">
      <c r="A667" s="2" t="s">
        <v>4245</v>
      </c>
      <c r="B667" s="2" t="s">
        <v>4246</v>
      </c>
      <c r="C667" s="2" t="s">
        <v>4247</v>
      </c>
      <c r="D667" s="2" t="s">
        <v>4248</v>
      </c>
      <c r="E667" s="2" t="s">
        <v>4249</v>
      </c>
      <c r="F667" s="2" t="s">
        <v>93</v>
      </c>
      <c r="G667" s="2" t="s">
        <v>19</v>
      </c>
      <c r="H667" s="2">
        <v>39204</v>
      </c>
      <c r="I667" t="s">
        <v>6190</v>
      </c>
    </row>
    <row r="668" spans="1:9" x14ac:dyDescent="0.25">
      <c r="A668" s="2" t="s">
        <v>4251</v>
      </c>
      <c r="B668" s="2" t="s">
        <v>4252</v>
      </c>
      <c r="C668" s="2" t="s">
        <v>4253</v>
      </c>
      <c r="D668" s="2" t="s">
        <v>4254</v>
      </c>
      <c r="E668" s="2" t="s">
        <v>4255</v>
      </c>
      <c r="F668" s="2" t="s">
        <v>297</v>
      </c>
      <c r="G668" s="2" t="s">
        <v>19</v>
      </c>
      <c r="H668" s="2">
        <v>79491</v>
      </c>
      <c r="I668" t="s">
        <v>6191</v>
      </c>
    </row>
    <row r="669" spans="1:9" x14ac:dyDescent="0.25">
      <c r="A669" s="2" t="s">
        <v>4257</v>
      </c>
      <c r="B669" s="2" t="s">
        <v>4258</v>
      </c>
      <c r="C669" s="2" t="s">
        <v>4259</v>
      </c>
      <c r="D669" s="2" t="s">
        <v>4260</v>
      </c>
      <c r="E669" s="2" t="s">
        <v>4261</v>
      </c>
      <c r="F669" s="2" t="s">
        <v>401</v>
      </c>
      <c r="G669" s="2" t="s">
        <v>318</v>
      </c>
      <c r="H669" s="2" t="s">
        <v>402</v>
      </c>
      <c r="I669" t="s">
        <v>6191</v>
      </c>
    </row>
    <row r="670" spans="1:9" x14ac:dyDescent="0.25">
      <c r="A670" s="2" t="s">
        <v>4263</v>
      </c>
      <c r="B670" s="2" t="s">
        <v>4264</v>
      </c>
      <c r="C670" s="2" t="s">
        <v>4265</v>
      </c>
      <c r="D670" s="2" t="s">
        <v>4266</v>
      </c>
      <c r="E670" s="2" t="s">
        <v>4267</v>
      </c>
      <c r="F670" s="2" t="s">
        <v>31</v>
      </c>
      <c r="G670" s="2" t="s">
        <v>19</v>
      </c>
      <c r="H670" s="2">
        <v>27717</v>
      </c>
      <c r="I670" t="s">
        <v>6190</v>
      </c>
    </row>
    <row r="671" spans="1:9" x14ac:dyDescent="0.25">
      <c r="A671" s="2" t="s">
        <v>4269</v>
      </c>
      <c r="B671" s="2" t="s">
        <v>4270</v>
      </c>
      <c r="C671" s="2" t="s">
        <v>4271</v>
      </c>
      <c r="D671" s="2" t="s">
        <v>4272</v>
      </c>
      <c r="E671" s="2" t="s">
        <v>4273</v>
      </c>
      <c r="F671" s="2" t="s">
        <v>275</v>
      </c>
      <c r="G671" s="2" t="s">
        <v>19</v>
      </c>
      <c r="H671" s="2">
        <v>29505</v>
      </c>
      <c r="I671" t="s">
        <v>6191</v>
      </c>
    </row>
    <row r="672" spans="1:9" x14ac:dyDescent="0.25">
      <c r="A672" s="2" t="s">
        <v>4275</v>
      </c>
      <c r="B672" s="2" t="s">
        <v>4276</v>
      </c>
      <c r="C672" s="2" t="s">
        <v>4277</v>
      </c>
      <c r="D672" s="2" t="s">
        <v>4278</v>
      </c>
      <c r="E672" s="2" t="s">
        <v>4279</v>
      </c>
      <c r="F672" s="2" t="s">
        <v>79</v>
      </c>
      <c r="G672" s="2" t="s">
        <v>19</v>
      </c>
      <c r="H672" s="2">
        <v>13205</v>
      </c>
      <c r="I672" t="s">
        <v>6190</v>
      </c>
    </row>
    <row r="673" spans="1:9" x14ac:dyDescent="0.25">
      <c r="A673" s="2" t="s">
        <v>4281</v>
      </c>
      <c r="B673" s="2" t="s">
        <v>4282</v>
      </c>
      <c r="C673" s="2" t="s">
        <v>4283</v>
      </c>
      <c r="D673" s="2" t="s">
        <v>4284</v>
      </c>
      <c r="E673" s="2" t="s">
        <v>4285</v>
      </c>
      <c r="F673" s="2" t="s">
        <v>259</v>
      </c>
      <c r="G673" s="2" t="s">
        <v>19</v>
      </c>
      <c r="H673" s="2">
        <v>30245</v>
      </c>
      <c r="I673" t="s">
        <v>6191</v>
      </c>
    </row>
    <row r="674" spans="1:9" x14ac:dyDescent="0.25">
      <c r="A674" s="2" t="s">
        <v>4287</v>
      </c>
      <c r="B674" s="2" t="s">
        <v>4288</v>
      </c>
      <c r="C674" s="2" t="s">
        <v>4289</v>
      </c>
      <c r="D674" s="2"/>
      <c r="E674" s="2" t="s">
        <v>4290</v>
      </c>
      <c r="F674" s="2" t="s">
        <v>63</v>
      </c>
      <c r="G674" s="2" t="s">
        <v>19</v>
      </c>
      <c r="H674" s="2">
        <v>77070</v>
      </c>
      <c r="I674" t="s">
        <v>6190</v>
      </c>
    </row>
    <row r="675" spans="1:9" x14ac:dyDescent="0.25">
      <c r="A675" s="2" t="s">
        <v>4292</v>
      </c>
      <c r="B675" s="2" t="s">
        <v>4293</v>
      </c>
      <c r="C675" s="2" t="s">
        <v>4294</v>
      </c>
      <c r="D675" s="2" t="s">
        <v>4295</v>
      </c>
      <c r="E675" s="2" t="s">
        <v>4296</v>
      </c>
      <c r="F675" s="2" t="s">
        <v>116</v>
      </c>
      <c r="G675" s="2" t="s">
        <v>19</v>
      </c>
      <c r="H675" s="2">
        <v>66160</v>
      </c>
      <c r="I675" t="s">
        <v>6190</v>
      </c>
    </row>
    <row r="676" spans="1:9" x14ac:dyDescent="0.25">
      <c r="A676" s="2" t="s">
        <v>4298</v>
      </c>
      <c r="B676" s="2" t="s">
        <v>4299</v>
      </c>
      <c r="C676" s="2" t="s">
        <v>4300</v>
      </c>
      <c r="D676" s="2" t="s">
        <v>4301</v>
      </c>
      <c r="E676" s="2" t="s">
        <v>4302</v>
      </c>
      <c r="F676" s="2" t="s">
        <v>396</v>
      </c>
      <c r="G676" s="2" t="s">
        <v>19</v>
      </c>
      <c r="H676" s="2">
        <v>34282</v>
      </c>
      <c r="I676" t="s">
        <v>6190</v>
      </c>
    </row>
    <row r="677" spans="1:9" x14ac:dyDescent="0.25">
      <c r="A677" s="2" t="s">
        <v>4304</v>
      </c>
      <c r="B677" s="2" t="s">
        <v>4305</v>
      </c>
      <c r="C677" s="2"/>
      <c r="D677" s="2" t="s">
        <v>4306</v>
      </c>
      <c r="E677" s="2" t="s">
        <v>4307</v>
      </c>
      <c r="F677" s="2" t="s">
        <v>313</v>
      </c>
      <c r="G677" s="2" t="s">
        <v>19</v>
      </c>
      <c r="H677" s="2">
        <v>18105</v>
      </c>
      <c r="I677" t="s">
        <v>6190</v>
      </c>
    </row>
    <row r="678" spans="1:9" x14ac:dyDescent="0.25">
      <c r="A678" s="2" t="s">
        <v>4309</v>
      </c>
      <c r="B678" s="2" t="s">
        <v>4310</v>
      </c>
      <c r="C678" s="2"/>
      <c r="D678" s="2" t="s">
        <v>4311</v>
      </c>
      <c r="E678" s="2" t="s">
        <v>4312</v>
      </c>
      <c r="F678" s="2" t="s">
        <v>214</v>
      </c>
      <c r="G678" s="2" t="s">
        <v>19</v>
      </c>
      <c r="H678" s="2">
        <v>23663</v>
      </c>
      <c r="I678" t="s">
        <v>6191</v>
      </c>
    </row>
    <row r="679" spans="1:9" x14ac:dyDescent="0.25">
      <c r="A679" s="2" t="s">
        <v>4314</v>
      </c>
      <c r="B679" s="2" t="s">
        <v>4315</v>
      </c>
      <c r="C679" s="2" t="s">
        <v>4316</v>
      </c>
      <c r="D679" s="2" t="s">
        <v>4317</v>
      </c>
      <c r="E679" s="2" t="s">
        <v>4318</v>
      </c>
      <c r="F679" s="2" t="s">
        <v>469</v>
      </c>
      <c r="G679" s="2" t="s">
        <v>318</v>
      </c>
      <c r="H679" s="2" t="s">
        <v>470</v>
      </c>
      <c r="I679" t="s">
        <v>6191</v>
      </c>
    </row>
    <row r="680" spans="1:9" x14ac:dyDescent="0.25">
      <c r="A680" s="2" t="s">
        <v>4320</v>
      </c>
      <c r="B680" s="2" t="s">
        <v>4321</v>
      </c>
      <c r="C680" s="2" t="s">
        <v>4322</v>
      </c>
      <c r="D680" s="2" t="s">
        <v>4323</v>
      </c>
      <c r="E680" s="2" t="s">
        <v>4324</v>
      </c>
      <c r="F680" s="2" t="s">
        <v>191</v>
      </c>
      <c r="G680" s="2" t="s">
        <v>19</v>
      </c>
      <c r="H680" s="2">
        <v>67260</v>
      </c>
      <c r="I680" t="s">
        <v>6190</v>
      </c>
    </row>
    <row r="681" spans="1:9" x14ac:dyDescent="0.25">
      <c r="A681" s="2" t="s">
        <v>4326</v>
      </c>
      <c r="B681" s="2" t="s">
        <v>4327</v>
      </c>
      <c r="C681" s="2" t="s">
        <v>4328</v>
      </c>
      <c r="D681" s="2" t="s">
        <v>4329</v>
      </c>
      <c r="E681" s="2" t="s">
        <v>4330</v>
      </c>
      <c r="F681" s="2" t="s">
        <v>279</v>
      </c>
      <c r="G681" s="2" t="s">
        <v>28</v>
      </c>
      <c r="H681" s="2" t="s">
        <v>210</v>
      </c>
      <c r="I681" t="s">
        <v>6191</v>
      </c>
    </row>
    <row r="682" spans="1:9" x14ac:dyDescent="0.25">
      <c r="A682" s="2" t="s">
        <v>4332</v>
      </c>
      <c r="B682" s="2" t="s">
        <v>4333</v>
      </c>
      <c r="C682" s="2" t="s">
        <v>4334</v>
      </c>
      <c r="D682" s="2"/>
      <c r="E682" s="2" t="s">
        <v>4335</v>
      </c>
      <c r="F682" s="2" t="s">
        <v>170</v>
      </c>
      <c r="G682" s="2" t="s">
        <v>19</v>
      </c>
      <c r="H682" s="2">
        <v>6816</v>
      </c>
      <c r="I682" t="s">
        <v>6191</v>
      </c>
    </row>
    <row r="683" spans="1:9" x14ac:dyDescent="0.25">
      <c r="A683" s="2" t="s">
        <v>4337</v>
      </c>
      <c r="B683" s="2" t="s">
        <v>4338</v>
      </c>
      <c r="C683" s="2" t="s">
        <v>4339</v>
      </c>
      <c r="D683" s="2" t="s">
        <v>4340</v>
      </c>
      <c r="E683" s="2" t="s">
        <v>4341</v>
      </c>
      <c r="F683" s="2" t="s">
        <v>248</v>
      </c>
      <c r="G683" s="2" t="s">
        <v>28</v>
      </c>
      <c r="H683" s="2" t="s">
        <v>249</v>
      </c>
      <c r="I683" t="s">
        <v>6190</v>
      </c>
    </row>
    <row r="684" spans="1:9" x14ac:dyDescent="0.25">
      <c r="A684" s="2" t="s">
        <v>4343</v>
      </c>
      <c r="B684" s="2" t="s">
        <v>4344</v>
      </c>
      <c r="C684" s="2" t="s">
        <v>4345</v>
      </c>
      <c r="D684" s="2" t="s">
        <v>4346</v>
      </c>
      <c r="E684" s="2" t="s">
        <v>4347</v>
      </c>
      <c r="F684" s="2" t="s">
        <v>22</v>
      </c>
      <c r="G684" s="2" t="s">
        <v>19</v>
      </c>
      <c r="H684" s="2">
        <v>32209</v>
      </c>
      <c r="I684" t="s">
        <v>6190</v>
      </c>
    </row>
    <row r="685" spans="1:9" x14ac:dyDescent="0.25">
      <c r="A685" s="2" t="s">
        <v>4349</v>
      </c>
      <c r="B685" s="2" t="s">
        <v>4350</v>
      </c>
      <c r="C685" s="2" t="s">
        <v>4351</v>
      </c>
      <c r="D685" s="2" t="s">
        <v>4352</v>
      </c>
      <c r="E685" s="2" t="s">
        <v>4353</v>
      </c>
      <c r="F685" s="2" t="s">
        <v>63</v>
      </c>
      <c r="G685" s="2" t="s">
        <v>19</v>
      </c>
      <c r="H685" s="2">
        <v>77299</v>
      </c>
      <c r="I685" t="s">
        <v>6191</v>
      </c>
    </row>
    <row r="686" spans="1:9" x14ac:dyDescent="0.25">
      <c r="A686" s="2" t="s">
        <v>4355</v>
      </c>
      <c r="B686" s="2" t="s">
        <v>4356</v>
      </c>
      <c r="C686" s="2"/>
      <c r="D686" s="2" t="s">
        <v>4357</v>
      </c>
      <c r="E686" s="2" t="s">
        <v>4358</v>
      </c>
      <c r="F686" s="2" t="s">
        <v>189</v>
      </c>
      <c r="G686" s="2" t="s">
        <v>19</v>
      </c>
      <c r="H686" s="2">
        <v>97255</v>
      </c>
      <c r="I686" t="s">
        <v>6191</v>
      </c>
    </row>
    <row r="687" spans="1:9" x14ac:dyDescent="0.25">
      <c r="A687" s="2" t="s">
        <v>4360</v>
      </c>
      <c r="B687" s="2" t="s">
        <v>4361</v>
      </c>
      <c r="C687" s="2" t="s">
        <v>4362</v>
      </c>
      <c r="D687" s="2" t="s">
        <v>4363</v>
      </c>
      <c r="E687" s="2" t="s">
        <v>4364</v>
      </c>
      <c r="F687" s="2" t="s">
        <v>87</v>
      </c>
      <c r="G687" s="2" t="s">
        <v>19</v>
      </c>
      <c r="H687" s="2">
        <v>91186</v>
      </c>
      <c r="I687" t="s">
        <v>6190</v>
      </c>
    </row>
    <row r="688" spans="1:9" x14ac:dyDescent="0.25">
      <c r="A688" s="2" t="s">
        <v>4366</v>
      </c>
      <c r="B688" s="2" t="s">
        <v>4367</v>
      </c>
      <c r="C688" s="2" t="s">
        <v>4368</v>
      </c>
      <c r="D688" s="2" t="s">
        <v>4369</v>
      </c>
      <c r="E688" s="2" t="s">
        <v>4370</v>
      </c>
      <c r="F688" s="2" t="s">
        <v>178</v>
      </c>
      <c r="G688" s="2" t="s">
        <v>19</v>
      </c>
      <c r="H688" s="2">
        <v>92725</v>
      </c>
      <c r="I688" t="s">
        <v>6190</v>
      </c>
    </row>
    <row r="689" spans="1:9" x14ac:dyDescent="0.25">
      <c r="A689" s="2" t="s">
        <v>4372</v>
      </c>
      <c r="B689" s="2" t="s">
        <v>4373</v>
      </c>
      <c r="C689" s="2" t="s">
        <v>4374</v>
      </c>
      <c r="D689" s="2" t="s">
        <v>4375</v>
      </c>
      <c r="E689" s="2" t="s">
        <v>4376</v>
      </c>
      <c r="F689" s="2" t="s">
        <v>98</v>
      </c>
      <c r="G689" s="2" t="s">
        <v>19</v>
      </c>
      <c r="H689" s="2">
        <v>95160</v>
      </c>
      <c r="I689" t="s">
        <v>6191</v>
      </c>
    </row>
    <row r="690" spans="1:9" x14ac:dyDescent="0.25">
      <c r="A690" s="2" t="s">
        <v>4378</v>
      </c>
      <c r="B690" s="2" t="s">
        <v>4379</v>
      </c>
      <c r="C690" s="2" t="s">
        <v>4380</v>
      </c>
      <c r="D690" s="2" t="s">
        <v>4381</v>
      </c>
      <c r="E690" s="2" t="s">
        <v>4382</v>
      </c>
      <c r="F690" s="2" t="s">
        <v>333</v>
      </c>
      <c r="G690" s="2" t="s">
        <v>318</v>
      </c>
      <c r="H690" s="2" t="s">
        <v>334</v>
      </c>
      <c r="I690" t="s">
        <v>6191</v>
      </c>
    </row>
    <row r="691" spans="1:9" x14ac:dyDescent="0.25">
      <c r="A691" s="2" t="s">
        <v>4384</v>
      </c>
      <c r="B691" s="2" t="s">
        <v>4385</v>
      </c>
      <c r="C691" s="2" t="s">
        <v>4386</v>
      </c>
      <c r="D691" s="2" t="s">
        <v>4387</v>
      </c>
      <c r="E691" s="2" t="s">
        <v>4388</v>
      </c>
      <c r="F691" s="2" t="s">
        <v>78</v>
      </c>
      <c r="G691" s="2" t="s">
        <v>19</v>
      </c>
      <c r="H691" s="2">
        <v>80935</v>
      </c>
      <c r="I691" t="s">
        <v>6191</v>
      </c>
    </row>
    <row r="692" spans="1:9" x14ac:dyDescent="0.25">
      <c r="A692" s="2" t="s">
        <v>4390</v>
      </c>
      <c r="B692" s="2" t="s">
        <v>4391</v>
      </c>
      <c r="C692" s="2"/>
      <c r="D692" s="2"/>
      <c r="E692" s="2" t="s">
        <v>4392</v>
      </c>
      <c r="F692" s="2" t="s">
        <v>260</v>
      </c>
      <c r="G692" s="2" t="s">
        <v>19</v>
      </c>
      <c r="H692" s="2">
        <v>43605</v>
      </c>
      <c r="I692" t="s">
        <v>6191</v>
      </c>
    </row>
    <row r="693" spans="1:9" x14ac:dyDescent="0.25">
      <c r="A693" s="2" t="s">
        <v>4394</v>
      </c>
      <c r="B693" s="2" t="s">
        <v>4395</v>
      </c>
      <c r="C693" s="2" t="s">
        <v>4396</v>
      </c>
      <c r="D693" s="2" t="s">
        <v>4397</v>
      </c>
      <c r="E693" s="2" t="s">
        <v>4398</v>
      </c>
      <c r="F693" s="2" t="s">
        <v>117</v>
      </c>
      <c r="G693" s="2" t="s">
        <v>19</v>
      </c>
      <c r="H693" s="2">
        <v>33436</v>
      </c>
      <c r="I693" t="s">
        <v>6190</v>
      </c>
    </row>
    <row r="694" spans="1:9" x14ac:dyDescent="0.25">
      <c r="A694" s="2" t="s">
        <v>4400</v>
      </c>
      <c r="B694" s="2" t="s">
        <v>4401</v>
      </c>
      <c r="C694" s="2" t="s">
        <v>4402</v>
      </c>
      <c r="D694" s="2" t="s">
        <v>4403</v>
      </c>
      <c r="E694" s="2" t="s">
        <v>4404</v>
      </c>
      <c r="F694" s="2" t="s">
        <v>51</v>
      </c>
      <c r="G694" s="2" t="s">
        <v>19</v>
      </c>
      <c r="H694" s="2">
        <v>45999</v>
      </c>
      <c r="I694" t="s">
        <v>6191</v>
      </c>
    </row>
    <row r="695" spans="1:9" x14ac:dyDescent="0.25">
      <c r="A695" s="2" t="s">
        <v>4406</v>
      </c>
      <c r="B695" s="2" t="s">
        <v>4407</v>
      </c>
      <c r="C695" s="2" t="s">
        <v>4408</v>
      </c>
      <c r="D695" s="2" t="s">
        <v>4409</v>
      </c>
      <c r="E695" s="2" t="s">
        <v>4410</v>
      </c>
      <c r="F695" s="2" t="s">
        <v>104</v>
      </c>
      <c r="G695" s="2" t="s">
        <v>19</v>
      </c>
      <c r="H695" s="2">
        <v>63121</v>
      </c>
      <c r="I695" t="s">
        <v>6190</v>
      </c>
    </row>
    <row r="696" spans="1:9" x14ac:dyDescent="0.25">
      <c r="A696" s="2" t="s">
        <v>4412</v>
      </c>
      <c r="B696" s="2" t="s">
        <v>4413</v>
      </c>
      <c r="C696" s="2" t="s">
        <v>4414</v>
      </c>
      <c r="D696" s="2" t="s">
        <v>4415</v>
      </c>
      <c r="E696" s="2" t="s">
        <v>4416</v>
      </c>
      <c r="F696" s="2" t="s">
        <v>243</v>
      </c>
      <c r="G696" s="2" t="s">
        <v>19</v>
      </c>
      <c r="H696" s="2">
        <v>10705</v>
      </c>
      <c r="I696" t="s">
        <v>6191</v>
      </c>
    </row>
    <row r="697" spans="1:9" x14ac:dyDescent="0.25">
      <c r="A697" s="2" t="s">
        <v>4418</v>
      </c>
      <c r="B697" s="2" t="s">
        <v>4419</v>
      </c>
      <c r="C697" s="2" t="s">
        <v>4420</v>
      </c>
      <c r="D697" s="2" t="s">
        <v>4421</v>
      </c>
      <c r="E697" s="2" t="s">
        <v>4422</v>
      </c>
      <c r="F697" s="2" t="s">
        <v>20</v>
      </c>
      <c r="G697" s="2" t="s">
        <v>19</v>
      </c>
      <c r="H697" s="2">
        <v>21290</v>
      </c>
      <c r="I697" t="s">
        <v>6190</v>
      </c>
    </row>
    <row r="698" spans="1:9" x14ac:dyDescent="0.25">
      <c r="A698" s="2" t="s">
        <v>4424</v>
      </c>
      <c r="B698" s="2" t="s">
        <v>4425</v>
      </c>
      <c r="C698" s="2" t="s">
        <v>4426</v>
      </c>
      <c r="D698" s="2" t="s">
        <v>4427</v>
      </c>
      <c r="E698" s="2" t="s">
        <v>4428</v>
      </c>
      <c r="F698" s="2" t="s">
        <v>22</v>
      </c>
      <c r="G698" s="2" t="s">
        <v>19</v>
      </c>
      <c r="H698" s="2">
        <v>32230</v>
      </c>
      <c r="I698" t="s">
        <v>6191</v>
      </c>
    </row>
    <row r="699" spans="1:9" x14ac:dyDescent="0.25">
      <c r="A699" s="2" t="s">
        <v>4430</v>
      </c>
      <c r="B699" s="2" t="s">
        <v>4431</v>
      </c>
      <c r="C699" s="2"/>
      <c r="D699" s="2"/>
      <c r="E699" s="2" t="s">
        <v>4432</v>
      </c>
      <c r="F699" s="2" t="s">
        <v>391</v>
      </c>
      <c r="G699" s="2" t="s">
        <v>318</v>
      </c>
      <c r="H699" s="2" t="s">
        <v>392</v>
      </c>
      <c r="I699" t="s">
        <v>6191</v>
      </c>
    </row>
    <row r="700" spans="1:9" x14ac:dyDescent="0.25">
      <c r="A700" s="2" t="s">
        <v>4434</v>
      </c>
      <c r="B700" s="2" t="s">
        <v>4435</v>
      </c>
      <c r="C700" s="2" t="s">
        <v>4436</v>
      </c>
      <c r="D700" s="2" t="s">
        <v>4437</v>
      </c>
      <c r="E700" s="2" t="s">
        <v>4438</v>
      </c>
      <c r="F700" s="2" t="s">
        <v>289</v>
      </c>
      <c r="G700" s="2" t="s">
        <v>318</v>
      </c>
      <c r="H700" s="2" t="s">
        <v>444</v>
      </c>
      <c r="I700" t="s">
        <v>6191</v>
      </c>
    </row>
    <row r="701" spans="1:9" x14ac:dyDescent="0.25">
      <c r="A701" s="2" t="s">
        <v>4440</v>
      </c>
      <c r="B701" s="2" t="s">
        <v>4441</v>
      </c>
      <c r="C701" s="2" t="s">
        <v>4442</v>
      </c>
      <c r="D701" s="2" t="s">
        <v>4443</v>
      </c>
      <c r="E701" s="2" t="s">
        <v>4444</v>
      </c>
      <c r="F701" s="2" t="s">
        <v>92</v>
      </c>
      <c r="G701" s="2" t="s">
        <v>19</v>
      </c>
      <c r="H701" s="2">
        <v>33196</v>
      </c>
      <c r="I701" t="s">
        <v>6190</v>
      </c>
    </row>
    <row r="702" spans="1:9" x14ac:dyDescent="0.25">
      <c r="A702" s="2" t="s">
        <v>4446</v>
      </c>
      <c r="B702" s="2" t="s">
        <v>4447</v>
      </c>
      <c r="C702" s="2" t="s">
        <v>4448</v>
      </c>
      <c r="D702" s="2"/>
      <c r="E702" s="2" t="s">
        <v>4449</v>
      </c>
      <c r="F702" s="2" t="s">
        <v>150</v>
      </c>
      <c r="G702" s="2" t="s">
        <v>19</v>
      </c>
      <c r="H702" s="2">
        <v>94121</v>
      </c>
      <c r="I702" t="s">
        <v>6191</v>
      </c>
    </row>
    <row r="703" spans="1:9" x14ac:dyDescent="0.25">
      <c r="A703" s="2" t="s">
        <v>4451</v>
      </c>
      <c r="B703" s="2" t="s">
        <v>4452</v>
      </c>
      <c r="C703" s="2" t="s">
        <v>4453</v>
      </c>
      <c r="D703" s="2" t="s">
        <v>4454</v>
      </c>
      <c r="E703" s="2" t="s">
        <v>4455</v>
      </c>
      <c r="F703" s="2" t="s">
        <v>390</v>
      </c>
      <c r="G703" s="2" t="s">
        <v>318</v>
      </c>
      <c r="H703" s="2" t="s">
        <v>348</v>
      </c>
      <c r="I703" t="s">
        <v>6190</v>
      </c>
    </row>
    <row r="704" spans="1:9" x14ac:dyDescent="0.25">
      <c r="A704" s="2" t="s">
        <v>4457</v>
      </c>
      <c r="B704" s="2" t="s">
        <v>4458</v>
      </c>
      <c r="C704" s="2" t="s">
        <v>4459</v>
      </c>
      <c r="D704" s="2"/>
      <c r="E704" s="2" t="s">
        <v>4460</v>
      </c>
      <c r="F704" s="2" t="s">
        <v>211</v>
      </c>
      <c r="G704" s="2" t="s">
        <v>19</v>
      </c>
      <c r="H704" s="2">
        <v>33982</v>
      </c>
      <c r="I704" t="s">
        <v>6190</v>
      </c>
    </row>
    <row r="705" spans="1:9" x14ac:dyDescent="0.25">
      <c r="A705" s="2" t="s">
        <v>4462</v>
      </c>
      <c r="B705" s="2" t="s">
        <v>4463</v>
      </c>
      <c r="C705" s="2"/>
      <c r="D705" s="2" t="s">
        <v>4464</v>
      </c>
      <c r="E705" s="2" t="s">
        <v>4465</v>
      </c>
      <c r="F705" s="2" t="s">
        <v>1282</v>
      </c>
      <c r="G705" s="2" t="s">
        <v>318</v>
      </c>
      <c r="H705" s="2" t="s">
        <v>444</v>
      </c>
      <c r="I705" t="s">
        <v>6190</v>
      </c>
    </row>
    <row r="706" spans="1:9" x14ac:dyDescent="0.25">
      <c r="A706" s="2" t="s">
        <v>4467</v>
      </c>
      <c r="B706" s="2" t="s">
        <v>4468</v>
      </c>
      <c r="C706" s="2"/>
      <c r="D706" s="2" t="s">
        <v>4469</v>
      </c>
      <c r="E706" s="2" t="s">
        <v>4470</v>
      </c>
      <c r="F706" s="2" t="s">
        <v>57</v>
      </c>
      <c r="G706" s="2" t="s">
        <v>19</v>
      </c>
      <c r="H706" s="2">
        <v>10125</v>
      </c>
      <c r="I706" t="s">
        <v>6190</v>
      </c>
    </row>
    <row r="707" spans="1:9" x14ac:dyDescent="0.25">
      <c r="A707" s="2" t="s">
        <v>4472</v>
      </c>
      <c r="B707" s="2" t="s">
        <v>4473</v>
      </c>
      <c r="C707" s="2" t="s">
        <v>4474</v>
      </c>
      <c r="D707" s="2" t="s">
        <v>4475</v>
      </c>
      <c r="E707" s="2" t="s">
        <v>4476</v>
      </c>
      <c r="F707" s="2" t="s">
        <v>295</v>
      </c>
      <c r="G707" s="2" t="s">
        <v>19</v>
      </c>
      <c r="H707" s="2">
        <v>29305</v>
      </c>
      <c r="I707" t="s">
        <v>6191</v>
      </c>
    </row>
    <row r="708" spans="1:9" x14ac:dyDescent="0.25">
      <c r="A708" s="2" t="s">
        <v>4478</v>
      </c>
      <c r="B708" s="2" t="s">
        <v>4479</v>
      </c>
      <c r="C708" s="2" t="s">
        <v>4480</v>
      </c>
      <c r="D708" s="2" t="s">
        <v>4481</v>
      </c>
      <c r="E708" s="2" t="s">
        <v>4482</v>
      </c>
      <c r="F708" s="2" t="s">
        <v>208</v>
      </c>
      <c r="G708" s="2" t="s">
        <v>19</v>
      </c>
      <c r="H708" s="2">
        <v>93305</v>
      </c>
      <c r="I708" t="s">
        <v>6191</v>
      </c>
    </row>
    <row r="709" spans="1:9" x14ac:dyDescent="0.25">
      <c r="A709" s="2" t="s">
        <v>4484</v>
      </c>
      <c r="B709" s="2" t="s">
        <v>4485</v>
      </c>
      <c r="C709" s="2"/>
      <c r="D709" s="2" t="s">
        <v>4486</v>
      </c>
      <c r="E709" s="2" t="s">
        <v>4487</v>
      </c>
      <c r="F709" s="2" t="s">
        <v>382</v>
      </c>
      <c r="G709" s="2" t="s">
        <v>318</v>
      </c>
      <c r="H709" s="2" t="s">
        <v>383</v>
      </c>
      <c r="I709" t="s">
        <v>6191</v>
      </c>
    </row>
    <row r="710" spans="1:9" x14ac:dyDescent="0.25">
      <c r="A710" s="2" t="s">
        <v>4489</v>
      </c>
      <c r="B710" s="2" t="s">
        <v>4490</v>
      </c>
      <c r="C710" s="2" t="s">
        <v>4491</v>
      </c>
      <c r="D710" s="2" t="s">
        <v>4492</v>
      </c>
      <c r="E710" s="2" t="s">
        <v>4493</v>
      </c>
      <c r="F710" s="2" t="s">
        <v>104</v>
      </c>
      <c r="G710" s="2" t="s">
        <v>19</v>
      </c>
      <c r="H710" s="2">
        <v>63169</v>
      </c>
      <c r="I710" t="s">
        <v>6190</v>
      </c>
    </row>
    <row r="711" spans="1:9" x14ac:dyDescent="0.25">
      <c r="A711" s="2" t="s">
        <v>4495</v>
      </c>
      <c r="B711" s="2" t="s">
        <v>4496</v>
      </c>
      <c r="C711" s="2"/>
      <c r="D711" s="2" t="s">
        <v>4497</v>
      </c>
      <c r="E711" s="2" t="s">
        <v>4498</v>
      </c>
      <c r="F711" s="2" t="s">
        <v>66</v>
      </c>
      <c r="G711" s="2" t="s">
        <v>19</v>
      </c>
      <c r="H711" s="2">
        <v>46896</v>
      </c>
      <c r="I711" t="s">
        <v>6190</v>
      </c>
    </row>
    <row r="712" spans="1:9" x14ac:dyDescent="0.25">
      <c r="A712" s="2" t="s">
        <v>4500</v>
      </c>
      <c r="B712" s="2" t="s">
        <v>4501</v>
      </c>
      <c r="C712" s="2" t="s">
        <v>4502</v>
      </c>
      <c r="D712" s="2" t="s">
        <v>4503</v>
      </c>
      <c r="E712" s="2" t="s">
        <v>4504</v>
      </c>
      <c r="F712" s="2" t="s">
        <v>200</v>
      </c>
      <c r="G712" s="2" t="s">
        <v>19</v>
      </c>
      <c r="H712" s="2">
        <v>55564</v>
      </c>
      <c r="I712" t="s">
        <v>6191</v>
      </c>
    </row>
    <row r="713" spans="1:9" x14ac:dyDescent="0.25">
      <c r="A713" s="2" t="s">
        <v>4506</v>
      </c>
      <c r="B713" s="2" t="s">
        <v>4507</v>
      </c>
      <c r="C713" s="2" t="s">
        <v>4508</v>
      </c>
      <c r="D713" s="2" t="s">
        <v>4509</v>
      </c>
      <c r="E713" s="2" t="s">
        <v>4510</v>
      </c>
      <c r="F713" s="2" t="s">
        <v>4511</v>
      </c>
      <c r="G713" s="2" t="s">
        <v>19</v>
      </c>
      <c r="H713" s="2">
        <v>72905</v>
      </c>
      <c r="I713" t="s">
        <v>6191</v>
      </c>
    </row>
    <row r="714" spans="1:9" x14ac:dyDescent="0.25">
      <c r="A714" s="2" t="s">
        <v>4513</v>
      </c>
      <c r="B714" s="2" t="s">
        <v>4514</v>
      </c>
      <c r="C714" s="2"/>
      <c r="D714" s="2"/>
      <c r="E714" s="2" t="s">
        <v>4515</v>
      </c>
      <c r="F714" s="2" t="s">
        <v>286</v>
      </c>
      <c r="G714" s="2" t="s">
        <v>28</v>
      </c>
      <c r="H714" s="2" t="s">
        <v>287</v>
      </c>
      <c r="I714" t="s">
        <v>6191</v>
      </c>
    </row>
    <row r="715" spans="1:9" x14ac:dyDescent="0.25">
      <c r="A715" s="2" t="s">
        <v>4517</v>
      </c>
      <c r="B715" s="2" t="s">
        <v>4518</v>
      </c>
      <c r="C715" s="2" t="s">
        <v>4519</v>
      </c>
      <c r="D715" s="2" t="s">
        <v>4520</v>
      </c>
      <c r="E715" s="2" t="s">
        <v>4521</v>
      </c>
      <c r="F715" s="2" t="s">
        <v>291</v>
      </c>
      <c r="G715" s="2" t="s">
        <v>19</v>
      </c>
      <c r="H715" s="2">
        <v>95210</v>
      </c>
      <c r="I715" t="s">
        <v>6191</v>
      </c>
    </row>
    <row r="716" spans="1:9" x14ac:dyDescent="0.25">
      <c r="A716" s="2" t="s">
        <v>4523</v>
      </c>
      <c r="B716" s="2" t="s">
        <v>4524</v>
      </c>
      <c r="C716" s="2" t="s">
        <v>4525</v>
      </c>
      <c r="D716" s="2" t="s">
        <v>4526</v>
      </c>
      <c r="E716" s="2" t="s">
        <v>4527</v>
      </c>
      <c r="F716" s="2" t="s">
        <v>436</v>
      </c>
      <c r="G716" s="2" t="s">
        <v>318</v>
      </c>
      <c r="H716" s="2" t="s">
        <v>410</v>
      </c>
      <c r="I716" t="s">
        <v>6190</v>
      </c>
    </row>
    <row r="717" spans="1:9" x14ac:dyDescent="0.25">
      <c r="A717" s="2" t="s">
        <v>4529</v>
      </c>
      <c r="B717" s="2" t="s">
        <v>4530</v>
      </c>
      <c r="C717" s="2" t="s">
        <v>4531</v>
      </c>
      <c r="D717" s="2"/>
      <c r="E717" s="2" t="s">
        <v>4532</v>
      </c>
      <c r="F717" s="2" t="s">
        <v>137</v>
      </c>
      <c r="G717" s="2" t="s">
        <v>19</v>
      </c>
      <c r="H717" s="2">
        <v>33686</v>
      </c>
      <c r="I717" t="s">
        <v>6191</v>
      </c>
    </row>
    <row r="718" spans="1:9" x14ac:dyDescent="0.25">
      <c r="A718" s="2" t="s">
        <v>4534</v>
      </c>
      <c r="B718" s="2" t="s">
        <v>4535</v>
      </c>
      <c r="C718" s="2" t="s">
        <v>4536</v>
      </c>
      <c r="D718" s="2" t="s">
        <v>4537</v>
      </c>
      <c r="E718" s="2" t="s">
        <v>4538</v>
      </c>
      <c r="F718" s="2" t="s">
        <v>1447</v>
      </c>
      <c r="G718" s="2" t="s">
        <v>318</v>
      </c>
      <c r="H718" s="2" t="s">
        <v>460</v>
      </c>
      <c r="I718" t="s">
        <v>6191</v>
      </c>
    </row>
    <row r="719" spans="1:9" x14ac:dyDescent="0.25">
      <c r="A719" s="2" t="s">
        <v>4540</v>
      </c>
      <c r="B719" s="2" t="s">
        <v>4541</v>
      </c>
      <c r="C719" s="2" t="s">
        <v>4542</v>
      </c>
      <c r="D719" s="2" t="s">
        <v>4543</v>
      </c>
      <c r="E719" s="2" t="s">
        <v>4544</v>
      </c>
      <c r="F719" s="2" t="s">
        <v>46</v>
      </c>
      <c r="G719" s="2" t="s">
        <v>19</v>
      </c>
      <c r="H719" s="2">
        <v>19104</v>
      </c>
      <c r="I719" t="s">
        <v>6191</v>
      </c>
    </row>
    <row r="720" spans="1:9" x14ac:dyDescent="0.25">
      <c r="A720" s="2" t="s">
        <v>4546</v>
      </c>
      <c r="B720" s="2" t="s">
        <v>4547</v>
      </c>
      <c r="C720" s="2" t="s">
        <v>4548</v>
      </c>
      <c r="D720" s="2" t="s">
        <v>4549</v>
      </c>
      <c r="E720" s="2" t="s">
        <v>4550</v>
      </c>
      <c r="F720" s="2" t="s">
        <v>467</v>
      </c>
      <c r="G720" s="2" t="s">
        <v>19</v>
      </c>
      <c r="H720" s="2">
        <v>76905</v>
      </c>
      <c r="I720" t="s">
        <v>6191</v>
      </c>
    </row>
    <row r="721" spans="1:9" x14ac:dyDescent="0.25">
      <c r="A721" s="2" t="s">
        <v>4552</v>
      </c>
      <c r="B721" s="2" t="s">
        <v>4553</v>
      </c>
      <c r="C721" s="2" t="s">
        <v>4554</v>
      </c>
      <c r="D721" s="2" t="s">
        <v>4555</v>
      </c>
      <c r="E721" s="2" t="s">
        <v>4556</v>
      </c>
      <c r="F721" s="2" t="s">
        <v>27</v>
      </c>
      <c r="G721" s="2" t="s">
        <v>19</v>
      </c>
      <c r="H721" s="2">
        <v>90035</v>
      </c>
      <c r="I721" t="s">
        <v>6190</v>
      </c>
    </row>
    <row r="722" spans="1:9" x14ac:dyDescent="0.25">
      <c r="A722" s="2" t="s">
        <v>4558</v>
      </c>
      <c r="B722" s="2" t="s">
        <v>4559</v>
      </c>
      <c r="C722" s="2" t="s">
        <v>4560</v>
      </c>
      <c r="D722" s="2" t="s">
        <v>4561</v>
      </c>
      <c r="E722" s="2" t="s">
        <v>4562</v>
      </c>
      <c r="F722" s="2" t="s">
        <v>174</v>
      </c>
      <c r="G722" s="2" t="s">
        <v>19</v>
      </c>
      <c r="H722" s="2">
        <v>48912</v>
      </c>
      <c r="I722" t="s">
        <v>6190</v>
      </c>
    </row>
    <row r="723" spans="1:9" x14ac:dyDescent="0.25">
      <c r="A723" s="2" t="s">
        <v>4564</v>
      </c>
      <c r="B723" s="2" t="s">
        <v>4565</v>
      </c>
      <c r="C723" s="2" t="s">
        <v>4566</v>
      </c>
      <c r="D723" s="2" t="s">
        <v>4567</v>
      </c>
      <c r="E723" s="2" t="s">
        <v>4568</v>
      </c>
      <c r="F723" s="2" t="s">
        <v>209</v>
      </c>
      <c r="G723" s="2" t="s">
        <v>19</v>
      </c>
      <c r="H723" s="2">
        <v>34615</v>
      </c>
      <c r="I723" t="s">
        <v>6190</v>
      </c>
    </row>
    <row r="724" spans="1:9" x14ac:dyDescent="0.25">
      <c r="A724" s="2" t="s">
        <v>4570</v>
      </c>
      <c r="B724" s="2" t="s">
        <v>4571</v>
      </c>
      <c r="C724" s="2"/>
      <c r="D724" s="2" t="s">
        <v>4572</v>
      </c>
      <c r="E724" s="2" t="s">
        <v>4573</v>
      </c>
      <c r="F724" s="2" t="s">
        <v>146</v>
      </c>
      <c r="G724" s="2" t="s">
        <v>19</v>
      </c>
      <c r="H724" s="2">
        <v>90605</v>
      </c>
      <c r="I724" t="s">
        <v>6191</v>
      </c>
    </row>
    <row r="725" spans="1:9" x14ac:dyDescent="0.25">
      <c r="A725" s="2" t="s">
        <v>4575</v>
      </c>
      <c r="B725" s="2" t="s">
        <v>4576</v>
      </c>
      <c r="C725" s="2" t="s">
        <v>4577</v>
      </c>
      <c r="D725" s="2" t="s">
        <v>4578</v>
      </c>
      <c r="E725" s="2" t="s">
        <v>4579</v>
      </c>
      <c r="F725" s="2" t="s">
        <v>30</v>
      </c>
      <c r="G725" s="2" t="s">
        <v>19</v>
      </c>
      <c r="H725" s="2">
        <v>93773</v>
      </c>
      <c r="I725" t="s">
        <v>6191</v>
      </c>
    </row>
    <row r="726" spans="1:9" x14ac:dyDescent="0.25">
      <c r="A726" s="2" t="s">
        <v>4581</v>
      </c>
      <c r="B726" s="2" t="s">
        <v>4582</v>
      </c>
      <c r="C726" s="2"/>
      <c r="D726" s="2" t="s">
        <v>4583</v>
      </c>
      <c r="E726" s="2" t="s">
        <v>4584</v>
      </c>
      <c r="F726" s="2" t="s">
        <v>57</v>
      </c>
      <c r="G726" s="2" t="s">
        <v>19</v>
      </c>
      <c r="H726" s="2">
        <v>10155</v>
      </c>
      <c r="I726" t="s">
        <v>6190</v>
      </c>
    </row>
    <row r="727" spans="1:9" x14ac:dyDescent="0.25">
      <c r="A727" s="2" t="s">
        <v>4586</v>
      </c>
      <c r="B727" s="2" t="s">
        <v>4587</v>
      </c>
      <c r="C727" s="2" t="s">
        <v>4588</v>
      </c>
      <c r="D727" s="2" t="s">
        <v>4589</v>
      </c>
      <c r="E727" s="2" t="s">
        <v>4590</v>
      </c>
      <c r="F727" s="2" t="s">
        <v>78</v>
      </c>
      <c r="G727" s="2" t="s">
        <v>19</v>
      </c>
      <c r="H727" s="2">
        <v>80935</v>
      </c>
      <c r="I727" t="s">
        <v>6191</v>
      </c>
    </row>
    <row r="728" spans="1:9" x14ac:dyDescent="0.25">
      <c r="A728" s="2" t="s">
        <v>4592</v>
      </c>
      <c r="B728" s="2" t="s">
        <v>4593</v>
      </c>
      <c r="C728" s="2"/>
      <c r="D728" s="2" t="s">
        <v>4594</v>
      </c>
      <c r="E728" s="2" t="s">
        <v>4595</v>
      </c>
      <c r="F728" s="2" t="s">
        <v>277</v>
      </c>
      <c r="G728" s="2" t="s">
        <v>19</v>
      </c>
      <c r="H728" s="2">
        <v>90831</v>
      </c>
      <c r="I728" t="s">
        <v>6191</v>
      </c>
    </row>
    <row r="729" spans="1:9" x14ac:dyDescent="0.25">
      <c r="A729" s="2" t="s">
        <v>4597</v>
      </c>
      <c r="B729" s="2" t="s">
        <v>4598</v>
      </c>
      <c r="C729" s="2" t="s">
        <v>4599</v>
      </c>
      <c r="D729" s="2" t="s">
        <v>4600</v>
      </c>
      <c r="E729" s="2" t="s">
        <v>4601</v>
      </c>
      <c r="F729" s="2" t="s">
        <v>331</v>
      </c>
      <c r="G729" s="2" t="s">
        <v>318</v>
      </c>
      <c r="H729" s="2" t="s">
        <v>332</v>
      </c>
      <c r="I729" t="s">
        <v>6190</v>
      </c>
    </row>
    <row r="730" spans="1:9" x14ac:dyDescent="0.25">
      <c r="A730" s="2" t="s">
        <v>4603</v>
      </c>
      <c r="B730" s="2" t="s">
        <v>4604</v>
      </c>
      <c r="C730" s="2" t="s">
        <v>4605</v>
      </c>
      <c r="D730" s="2" t="s">
        <v>4606</v>
      </c>
      <c r="E730" s="2" t="s">
        <v>4607</v>
      </c>
      <c r="F730" s="2" t="s">
        <v>122</v>
      </c>
      <c r="G730" s="2" t="s">
        <v>19</v>
      </c>
      <c r="H730" s="2">
        <v>89510</v>
      </c>
      <c r="I730" t="s">
        <v>6190</v>
      </c>
    </row>
    <row r="731" spans="1:9" x14ac:dyDescent="0.25">
      <c r="A731" s="2" t="s">
        <v>4609</v>
      </c>
      <c r="B731" s="2" t="s">
        <v>4610</v>
      </c>
      <c r="C731" s="2" t="s">
        <v>4611</v>
      </c>
      <c r="D731" s="2" t="s">
        <v>4612</v>
      </c>
      <c r="E731" s="2" t="s">
        <v>4613</v>
      </c>
      <c r="F731" s="2" t="s">
        <v>81</v>
      </c>
      <c r="G731" s="2" t="s">
        <v>28</v>
      </c>
      <c r="H731" s="2" t="s">
        <v>258</v>
      </c>
      <c r="I731" t="s">
        <v>6191</v>
      </c>
    </row>
    <row r="732" spans="1:9" x14ac:dyDescent="0.25">
      <c r="A732" s="2" t="s">
        <v>4615</v>
      </c>
      <c r="B732" s="2" t="s">
        <v>4616</v>
      </c>
      <c r="C732" s="2" t="s">
        <v>4617</v>
      </c>
      <c r="D732" s="2" t="s">
        <v>4618</v>
      </c>
      <c r="E732" s="2" t="s">
        <v>4619</v>
      </c>
      <c r="F732" s="2" t="s">
        <v>107</v>
      </c>
      <c r="G732" s="2" t="s">
        <v>19</v>
      </c>
      <c r="H732" s="2">
        <v>89155</v>
      </c>
      <c r="I732" t="s">
        <v>6191</v>
      </c>
    </row>
    <row r="733" spans="1:9" x14ac:dyDescent="0.25">
      <c r="A733" s="2" t="s">
        <v>4621</v>
      </c>
      <c r="B733" s="2" t="s">
        <v>4622</v>
      </c>
      <c r="C733" s="2"/>
      <c r="D733" s="2" t="s">
        <v>4623</v>
      </c>
      <c r="E733" s="2" t="s">
        <v>4624</v>
      </c>
      <c r="F733" s="2" t="s">
        <v>168</v>
      </c>
      <c r="G733" s="2" t="s">
        <v>19</v>
      </c>
      <c r="H733" s="2">
        <v>19805</v>
      </c>
      <c r="I733" t="s">
        <v>6190</v>
      </c>
    </row>
    <row r="734" spans="1:9" x14ac:dyDescent="0.25">
      <c r="A734" s="2" t="s">
        <v>4626</v>
      </c>
      <c r="B734" s="2" t="s">
        <v>4627</v>
      </c>
      <c r="C734" s="2" t="s">
        <v>4628</v>
      </c>
      <c r="D734" s="2" t="s">
        <v>4629</v>
      </c>
      <c r="E734" s="2" t="s">
        <v>4630</v>
      </c>
      <c r="F734" s="2" t="s">
        <v>122</v>
      </c>
      <c r="G734" s="2" t="s">
        <v>19</v>
      </c>
      <c r="H734" s="2">
        <v>89550</v>
      </c>
      <c r="I734" t="s">
        <v>6191</v>
      </c>
    </row>
    <row r="735" spans="1:9" x14ac:dyDescent="0.25">
      <c r="A735" s="2" t="s">
        <v>4632</v>
      </c>
      <c r="B735" s="2" t="s">
        <v>4633</v>
      </c>
      <c r="C735" s="2" t="s">
        <v>4634</v>
      </c>
      <c r="D735" s="2" t="s">
        <v>4635</v>
      </c>
      <c r="E735" s="2" t="s">
        <v>4636</v>
      </c>
      <c r="F735" s="2" t="s">
        <v>142</v>
      </c>
      <c r="G735" s="2" t="s">
        <v>19</v>
      </c>
      <c r="H735" s="2">
        <v>35487</v>
      </c>
      <c r="I735" t="s">
        <v>6190</v>
      </c>
    </row>
    <row r="736" spans="1:9" x14ac:dyDescent="0.25">
      <c r="A736" s="2" t="s">
        <v>4638</v>
      </c>
      <c r="B736" s="2" t="s">
        <v>4639</v>
      </c>
      <c r="C736" s="2"/>
      <c r="D736" s="2" t="s">
        <v>4640</v>
      </c>
      <c r="E736" s="2" t="s">
        <v>4641</v>
      </c>
      <c r="F736" s="2" t="s">
        <v>206</v>
      </c>
      <c r="G736" s="2" t="s">
        <v>19</v>
      </c>
      <c r="H736" s="2">
        <v>92645</v>
      </c>
      <c r="I736" t="s">
        <v>6191</v>
      </c>
    </row>
    <row r="737" spans="1:9" x14ac:dyDescent="0.25">
      <c r="A737" s="2" t="s">
        <v>4643</v>
      </c>
      <c r="B737" s="2" t="s">
        <v>4644</v>
      </c>
      <c r="C737" s="2" t="s">
        <v>4645</v>
      </c>
      <c r="D737" s="2"/>
      <c r="E737" s="2" t="s">
        <v>4646</v>
      </c>
      <c r="F737" s="2" t="s">
        <v>67</v>
      </c>
      <c r="G737" s="2" t="s">
        <v>19</v>
      </c>
      <c r="H737" s="2">
        <v>66225</v>
      </c>
      <c r="I737" t="s">
        <v>6191</v>
      </c>
    </row>
    <row r="738" spans="1:9" x14ac:dyDescent="0.25">
      <c r="A738" s="2" t="s">
        <v>4648</v>
      </c>
      <c r="B738" s="2" t="s">
        <v>4649</v>
      </c>
      <c r="C738" s="2" t="s">
        <v>4650</v>
      </c>
      <c r="D738" s="2" t="s">
        <v>4651</v>
      </c>
      <c r="E738" s="2" t="s">
        <v>4652</v>
      </c>
      <c r="F738" s="2" t="s">
        <v>1282</v>
      </c>
      <c r="G738" s="2" t="s">
        <v>318</v>
      </c>
      <c r="H738" s="2" t="s">
        <v>444</v>
      </c>
      <c r="I738" t="s">
        <v>6190</v>
      </c>
    </row>
    <row r="739" spans="1:9" x14ac:dyDescent="0.25">
      <c r="A739" s="2" t="s">
        <v>4654</v>
      </c>
      <c r="B739" s="2" t="s">
        <v>4655</v>
      </c>
      <c r="C739" s="2" t="s">
        <v>4656</v>
      </c>
      <c r="D739" s="2" t="s">
        <v>4657</v>
      </c>
      <c r="E739" s="2" t="s">
        <v>4658</v>
      </c>
      <c r="F739" s="2" t="s">
        <v>51</v>
      </c>
      <c r="G739" s="2" t="s">
        <v>19</v>
      </c>
      <c r="H739" s="2">
        <v>45228</v>
      </c>
      <c r="I739" t="s">
        <v>6191</v>
      </c>
    </row>
    <row r="740" spans="1:9" x14ac:dyDescent="0.25">
      <c r="A740" s="2" t="s">
        <v>4660</v>
      </c>
      <c r="B740" s="2" t="s">
        <v>4661</v>
      </c>
      <c r="C740" s="2" t="s">
        <v>4662</v>
      </c>
      <c r="D740" s="2" t="s">
        <v>4663</v>
      </c>
      <c r="E740" s="2" t="s">
        <v>4664</v>
      </c>
      <c r="F740" s="2" t="s">
        <v>264</v>
      </c>
      <c r="G740" s="2" t="s">
        <v>28</v>
      </c>
      <c r="H740" s="2" t="s">
        <v>265</v>
      </c>
      <c r="I740" t="s">
        <v>6191</v>
      </c>
    </row>
    <row r="741" spans="1:9" x14ac:dyDescent="0.25">
      <c r="A741" s="2" t="s">
        <v>4666</v>
      </c>
      <c r="B741" s="2" t="s">
        <v>4667</v>
      </c>
      <c r="C741" s="2"/>
      <c r="D741" s="2" t="s">
        <v>4668</v>
      </c>
      <c r="E741" s="2" t="s">
        <v>4669</v>
      </c>
      <c r="F741" s="2" t="s">
        <v>189</v>
      </c>
      <c r="G741" s="2" t="s">
        <v>19</v>
      </c>
      <c r="H741" s="2">
        <v>97296</v>
      </c>
      <c r="I741" t="s">
        <v>6190</v>
      </c>
    </row>
    <row r="742" spans="1:9" x14ac:dyDescent="0.25">
      <c r="A742" s="2" t="s">
        <v>4671</v>
      </c>
      <c r="B742" s="2" t="s">
        <v>4672</v>
      </c>
      <c r="C742" s="2" t="s">
        <v>4673</v>
      </c>
      <c r="D742" s="2" t="s">
        <v>4674</v>
      </c>
      <c r="E742" s="2" t="s">
        <v>4675</v>
      </c>
      <c r="F742" s="2" t="s">
        <v>382</v>
      </c>
      <c r="G742" s="2" t="s">
        <v>318</v>
      </c>
      <c r="H742" s="2" t="s">
        <v>383</v>
      </c>
      <c r="I742" t="s">
        <v>6191</v>
      </c>
    </row>
    <row r="743" spans="1:9" x14ac:dyDescent="0.25">
      <c r="A743" s="2" t="s">
        <v>4677</v>
      </c>
      <c r="B743" s="2" t="s">
        <v>4678</v>
      </c>
      <c r="C743" s="2" t="s">
        <v>4679</v>
      </c>
      <c r="D743" s="2" t="s">
        <v>4680</v>
      </c>
      <c r="E743" s="2" t="s">
        <v>4681</v>
      </c>
      <c r="F743" s="2" t="s">
        <v>256</v>
      </c>
      <c r="G743" s="2" t="s">
        <v>19</v>
      </c>
      <c r="H743" s="2">
        <v>94089</v>
      </c>
      <c r="I743" t="s">
        <v>6191</v>
      </c>
    </row>
    <row r="744" spans="1:9" x14ac:dyDescent="0.25">
      <c r="A744" s="2" t="s">
        <v>4683</v>
      </c>
      <c r="B744" s="2" t="s">
        <v>4684</v>
      </c>
      <c r="C744" s="2" t="s">
        <v>4685</v>
      </c>
      <c r="D744" s="2" t="s">
        <v>4686</v>
      </c>
      <c r="E744" s="2" t="s">
        <v>4687</v>
      </c>
      <c r="F744" s="2" t="s">
        <v>23</v>
      </c>
      <c r="G744" s="2" t="s">
        <v>19</v>
      </c>
      <c r="H744" s="2">
        <v>38188</v>
      </c>
      <c r="I744" t="s">
        <v>6191</v>
      </c>
    </row>
    <row r="745" spans="1:9" x14ac:dyDescent="0.25">
      <c r="A745" s="2" t="s">
        <v>4689</v>
      </c>
      <c r="B745" s="2" t="s">
        <v>4690</v>
      </c>
      <c r="C745" s="2" t="s">
        <v>4691</v>
      </c>
      <c r="D745" s="2" t="s">
        <v>4692</v>
      </c>
      <c r="E745" s="2" t="s">
        <v>4693</v>
      </c>
      <c r="F745" s="2" t="s">
        <v>80</v>
      </c>
      <c r="G745" s="2" t="s">
        <v>19</v>
      </c>
      <c r="H745" s="2">
        <v>32868</v>
      </c>
      <c r="I745" t="s">
        <v>6191</v>
      </c>
    </row>
    <row r="746" spans="1:9" x14ac:dyDescent="0.25">
      <c r="A746" s="2" t="s">
        <v>4695</v>
      </c>
      <c r="B746" s="2" t="s">
        <v>4696</v>
      </c>
      <c r="C746" s="2"/>
      <c r="D746" s="2" t="s">
        <v>4697</v>
      </c>
      <c r="E746" s="2" t="s">
        <v>4698</v>
      </c>
      <c r="F746" s="2" t="s">
        <v>41</v>
      </c>
      <c r="G746" s="2" t="s">
        <v>19</v>
      </c>
      <c r="H746" s="2">
        <v>48232</v>
      </c>
      <c r="I746" t="s">
        <v>6190</v>
      </c>
    </row>
    <row r="747" spans="1:9" x14ac:dyDescent="0.25">
      <c r="A747" s="2" t="s">
        <v>4700</v>
      </c>
      <c r="B747" s="2" t="s">
        <v>4701</v>
      </c>
      <c r="C747" s="2" t="s">
        <v>4702</v>
      </c>
      <c r="D747" s="2" t="s">
        <v>4703</v>
      </c>
      <c r="E747" s="2" t="s">
        <v>4704</v>
      </c>
      <c r="F747" s="2" t="s">
        <v>483</v>
      </c>
      <c r="G747" s="2" t="s">
        <v>318</v>
      </c>
      <c r="H747" s="2" t="s">
        <v>484</v>
      </c>
      <c r="I747" t="s">
        <v>6191</v>
      </c>
    </row>
    <row r="748" spans="1:9" x14ac:dyDescent="0.25">
      <c r="A748" s="2" t="s">
        <v>4706</v>
      </c>
      <c r="B748" s="2" t="s">
        <v>4707</v>
      </c>
      <c r="C748" s="2" t="s">
        <v>4708</v>
      </c>
      <c r="D748" s="2" t="s">
        <v>4709</v>
      </c>
      <c r="E748" s="2" t="s">
        <v>4710</v>
      </c>
      <c r="F748" s="2" t="s">
        <v>459</v>
      </c>
      <c r="G748" s="2" t="s">
        <v>318</v>
      </c>
      <c r="H748" s="2" t="s">
        <v>460</v>
      </c>
      <c r="I748" t="s">
        <v>6191</v>
      </c>
    </row>
    <row r="749" spans="1:9" x14ac:dyDescent="0.25">
      <c r="A749" s="2" t="s">
        <v>4712</v>
      </c>
      <c r="B749" s="2" t="s">
        <v>4713</v>
      </c>
      <c r="C749" s="2" t="s">
        <v>4714</v>
      </c>
      <c r="D749" s="2" t="s">
        <v>4715</v>
      </c>
      <c r="E749" s="2" t="s">
        <v>4716</v>
      </c>
      <c r="F749" s="2" t="s">
        <v>430</v>
      </c>
      <c r="G749" s="2" t="s">
        <v>318</v>
      </c>
      <c r="H749" s="2" t="s">
        <v>431</v>
      </c>
      <c r="I749" t="s">
        <v>6190</v>
      </c>
    </row>
    <row r="750" spans="1:9" x14ac:dyDescent="0.25">
      <c r="A750" s="2" t="s">
        <v>4718</v>
      </c>
      <c r="B750" s="2" t="s">
        <v>4719</v>
      </c>
      <c r="C750" s="2" t="s">
        <v>4720</v>
      </c>
      <c r="D750" s="2" t="s">
        <v>4721</v>
      </c>
      <c r="E750" s="2" t="s">
        <v>4722</v>
      </c>
      <c r="F750" s="2" t="s">
        <v>38</v>
      </c>
      <c r="G750" s="2" t="s">
        <v>19</v>
      </c>
      <c r="H750" s="2">
        <v>23203</v>
      </c>
      <c r="I750" t="s">
        <v>6191</v>
      </c>
    </row>
    <row r="751" spans="1:9" x14ac:dyDescent="0.25">
      <c r="A751" s="2" t="s">
        <v>4724</v>
      </c>
      <c r="B751" s="2" t="s">
        <v>4725</v>
      </c>
      <c r="C751" s="2" t="s">
        <v>4726</v>
      </c>
      <c r="D751" s="2" t="s">
        <v>4727</v>
      </c>
      <c r="E751" s="2" t="s">
        <v>4728</v>
      </c>
      <c r="F751" s="2" t="s">
        <v>4729</v>
      </c>
      <c r="G751" s="2" t="s">
        <v>318</v>
      </c>
      <c r="H751" s="2" t="s">
        <v>410</v>
      </c>
      <c r="I751" t="s">
        <v>6190</v>
      </c>
    </row>
    <row r="752" spans="1:9" x14ac:dyDescent="0.25">
      <c r="A752" s="2" t="s">
        <v>4731</v>
      </c>
      <c r="B752" s="2" t="s">
        <v>4732</v>
      </c>
      <c r="C752" s="2"/>
      <c r="D752" s="2" t="s">
        <v>4733</v>
      </c>
      <c r="E752" s="2" t="s">
        <v>4734</v>
      </c>
      <c r="F752" s="2" t="s">
        <v>106</v>
      </c>
      <c r="G752" s="2" t="s">
        <v>19</v>
      </c>
      <c r="H752" s="2">
        <v>76178</v>
      </c>
      <c r="I752" t="s">
        <v>6190</v>
      </c>
    </row>
    <row r="753" spans="1:9" x14ac:dyDescent="0.25">
      <c r="A753" s="2" t="s">
        <v>4736</v>
      </c>
      <c r="B753" s="2" t="s">
        <v>4737</v>
      </c>
      <c r="C753" s="2" t="s">
        <v>4738</v>
      </c>
      <c r="D753" s="2" t="s">
        <v>4739</v>
      </c>
      <c r="E753" s="2" t="s">
        <v>4740</v>
      </c>
      <c r="F753" s="2" t="s">
        <v>139</v>
      </c>
      <c r="G753" s="2" t="s">
        <v>19</v>
      </c>
      <c r="H753" s="2">
        <v>11254</v>
      </c>
      <c r="I753" t="s">
        <v>6191</v>
      </c>
    </row>
    <row r="754" spans="1:9" x14ac:dyDescent="0.25">
      <c r="A754" s="2" t="s">
        <v>4742</v>
      </c>
      <c r="B754" s="2" t="s">
        <v>4743</v>
      </c>
      <c r="C754" s="2" t="s">
        <v>4744</v>
      </c>
      <c r="D754" s="2" t="s">
        <v>4745</v>
      </c>
      <c r="E754" s="2" t="s">
        <v>4746</v>
      </c>
      <c r="F754" s="2" t="s">
        <v>106</v>
      </c>
      <c r="G754" s="2" t="s">
        <v>19</v>
      </c>
      <c r="H754" s="2">
        <v>76198</v>
      </c>
      <c r="I754" t="s">
        <v>6190</v>
      </c>
    </row>
    <row r="755" spans="1:9" x14ac:dyDescent="0.25">
      <c r="A755" s="2" t="s">
        <v>4748</v>
      </c>
      <c r="B755" s="2" t="s">
        <v>4749</v>
      </c>
      <c r="C755" s="2" t="s">
        <v>4750</v>
      </c>
      <c r="D755" s="2" t="s">
        <v>4751</v>
      </c>
      <c r="E755" s="2" t="s">
        <v>4752</v>
      </c>
      <c r="F755" s="2" t="s">
        <v>184</v>
      </c>
      <c r="G755" s="2" t="s">
        <v>19</v>
      </c>
      <c r="H755" s="2">
        <v>85053</v>
      </c>
      <c r="I755" t="s">
        <v>6191</v>
      </c>
    </row>
    <row r="756" spans="1:9" x14ac:dyDescent="0.25">
      <c r="A756" s="2" t="s">
        <v>4754</v>
      </c>
      <c r="B756" s="2" t="s">
        <v>4755</v>
      </c>
      <c r="C756" s="2" t="s">
        <v>4756</v>
      </c>
      <c r="D756" s="2"/>
      <c r="E756" s="2" t="s">
        <v>4757</v>
      </c>
      <c r="F756" s="2" t="s">
        <v>47</v>
      </c>
      <c r="G756" s="2" t="s">
        <v>19</v>
      </c>
      <c r="H756" s="2">
        <v>20470</v>
      </c>
      <c r="I756" t="s">
        <v>6191</v>
      </c>
    </row>
    <row r="757" spans="1:9" x14ac:dyDescent="0.25">
      <c r="A757" s="2" t="s">
        <v>4759</v>
      </c>
      <c r="B757" s="2" t="s">
        <v>4760</v>
      </c>
      <c r="C757" s="2" t="s">
        <v>4761</v>
      </c>
      <c r="D757" s="2" t="s">
        <v>4762</v>
      </c>
      <c r="E757" s="2" t="s">
        <v>4763</v>
      </c>
      <c r="F757" s="2" t="s">
        <v>52</v>
      </c>
      <c r="G757" s="2" t="s">
        <v>19</v>
      </c>
      <c r="H757" s="2">
        <v>75287</v>
      </c>
      <c r="I757" t="s">
        <v>6191</v>
      </c>
    </row>
    <row r="758" spans="1:9" x14ac:dyDescent="0.25">
      <c r="A758" s="2" t="s">
        <v>4765</v>
      </c>
      <c r="B758" s="2" t="s">
        <v>4766</v>
      </c>
      <c r="C758" s="2" t="s">
        <v>4767</v>
      </c>
      <c r="D758" s="2" t="s">
        <v>4768</v>
      </c>
      <c r="E758" s="2" t="s">
        <v>4769</v>
      </c>
      <c r="F758" s="2" t="s">
        <v>171</v>
      </c>
      <c r="G758" s="2" t="s">
        <v>19</v>
      </c>
      <c r="H758" s="2">
        <v>28805</v>
      </c>
      <c r="I758" t="s">
        <v>6190</v>
      </c>
    </row>
    <row r="759" spans="1:9" x14ac:dyDescent="0.25">
      <c r="A759" s="2" t="s">
        <v>4771</v>
      </c>
      <c r="B759" s="2" t="s">
        <v>4772</v>
      </c>
      <c r="C759" s="2" t="s">
        <v>4773</v>
      </c>
      <c r="D759" s="2" t="s">
        <v>4774</v>
      </c>
      <c r="E759" s="2" t="s">
        <v>4775</v>
      </c>
      <c r="F759" s="2" t="s">
        <v>252</v>
      </c>
      <c r="G759" s="2" t="s">
        <v>19</v>
      </c>
      <c r="H759" s="2">
        <v>59112</v>
      </c>
      <c r="I759" t="s">
        <v>6190</v>
      </c>
    </row>
    <row r="760" spans="1:9" x14ac:dyDescent="0.25">
      <c r="A760" s="2" t="s">
        <v>4777</v>
      </c>
      <c r="B760" s="2" t="s">
        <v>4778</v>
      </c>
      <c r="C760" s="2" t="s">
        <v>4779</v>
      </c>
      <c r="D760" s="2"/>
      <c r="E760" s="2" t="s">
        <v>4780</v>
      </c>
      <c r="F760" s="2" t="s">
        <v>104</v>
      </c>
      <c r="G760" s="2" t="s">
        <v>19</v>
      </c>
      <c r="H760" s="2">
        <v>63126</v>
      </c>
      <c r="I760" t="s">
        <v>6191</v>
      </c>
    </row>
    <row r="761" spans="1:9" x14ac:dyDescent="0.25">
      <c r="A761" s="2" t="s">
        <v>4782</v>
      </c>
      <c r="B761" s="2" t="s">
        <v>4783</v>
      </c>
      <c r="C761" s="2" t="s">
        <v>4784</v>
      </c>
      <c r="D761" s="2" t="s">
        <v>4785</v>
      </c>
      <c r="E761" s="2" t="s">
        <v>4786</v>
      </c>
      <c r="F761" s="2" t="s">
        <v>155</v>
      </c>
      <c r="G761" s="2" t="s">
        <v>19</v>
      </c>
      <c r="H761" s="2">
        <v>64054</v>
      </c>
      <c r="I761" t="s">
        <v>6190</v>
      </c>
    </row>
    <row r="762" spans="1:9" x14ac:dyDescent="0.25">
      <c r="A762" s="2" t="s">
        <v>4788</v>
      </c>
      <c r="B762" s="2" t="s">
        <v>4789</v>
      </c>
      <c r="C762" s="2" t="s">
        <v>4790</v>
      </c>
      <c r="D762" s="2"/>
      <c r="E762" s="2" t="s">
        <v>4791</v>
      </c>
      <c r="F762" s="2" t="s">
        <v>82</v>
      </c>
      <c r="G762" s="2" t="s">
        <v>19</v>
      </c>
      <c r="H762" s="2">
        <v>27404</v>
      </c>
      <c r="I762" t="s">
        <v>6191</v>
      </c>
    </row>
    <row r="763" spans="1:9" x14ac:dyDescent="0.25">
      <c r="A763" s="2" t="s">
        <v>4793</v>
      </c>
      <c r="B763" s="2" t="s">
        <v>4794</v>
      </c>
      <c r="C763" s="2" t="s">
        <v>4795</v>
      </c>
      <c r="D763" s="2"/>
      <c r="E763" s="2" t="s">
        <v>4796</v>
      </c>
      <c r="F763" s="2" t="s">
        <v>99</v>
      </c>
      <c r="G763" s="2" t="s">
        <v>19</v>
      </c>
      <c r="H763" s="2">
        <v>71213</v>
      </c>
      <c r="I763" t="s">
        <v>6190</v>
      </c>
    </row>
    <row r="764" spans="1:9" x14ac:dyDescent="0.25">
      <c r="A764" s="2" t="s">
        <v>4798</v>
      </c>
      <c r="B764" s="2" t="s">
        <v>4799</v>
      </c>
      <c r="C764" s="2" t="s">
        <v>4800</v>
      </c>
      <c r="D764" s="2" t="s">
        <v>4801</v>
      </c>
      <c r="E764" s="2" t="s">
        <v>4802</v>
      </c>
      <c r="F764" s="2" t="s">
        <v>159</v>
      </c>
      <c r="G764" s="2" t="s">
        <v>28</v>
      </c>
      <c r="H764" s="2" t="s">
        <v>160</v>
      </c>
      <c r="I764" t="s">
        <v>6191</v>
      </c>
    </row>
    <row r="765" spans="1:9" x14ac:dyDescent="0.25">
      <c r="A765" s="2" t="s">
        <v>4804</v>
      </c>
      <c r="B765" s="2" t="s">
        <v>4805</v>
      </c>
      <c r="C765" s="2"/>
      <c r="D765" s="2" t="s">
        <v>4806</v>
      </c>
      <c r="E765" s="2" t="s">
        <v>4807</v>
      </c>
      <c r="F765" s="2" t="s">
        <v>106</v>
      </c>
      <c r="G765" s="2" t="s">
        <v>19</v>
      </c>
      <c r="H765" s="2">
        <v>76129</v>
      </c>
      <c r="I765" t="s">
        <v>6191</v>
      </c>
    </row>
    <row r="766" spans="1:9" x14ac:dyDescent="0.25">
      <c r="A766" s="2" t="s">
        <v>4809</v>
      </c>
      <c r="B766" s="2" t="s">
        <v>4810</v>
      </c>
      <c r="C766" s="2" t="s">
        <v>4811</v>
      </c>
      <c r="D766" s="2" t="s">
        <v>4812</v>
      </c>
      <c r="E766" s="2" t="s">
        <v>4813</v>
      </c>
      <c r="F766" s="2" t="s">
        <v>97</v>
      </c>
      <c r="G766" s="2" t="s">
        <v>19</v>
      </c>
      <c r="H766" s="2">
        <v>58122</v>
      </c>
      <c r="I766" t="s">
        <v>6190</v>
      </c>
    </row>
    <row r="767" spans="1:9" x14ac:dyDescent="0.25">
      <c r="A767" s="2" t="s">
        <v>4815</v>
      </c>
      <c r="B767" s="2" t="s">
        <v>4816</v>
      </c>
      <c r="C767" s="2" t="s">
        <v>4817</v>
      </c>
      <c r="D767" s="2" t="s">
        <v>4818</v>
      </c>
      <c r="E767" s="2" t="s">
        <v>4819</v>
      </c>
      <c r="F767" s="2" t="s">
        <v>115</v>
      </c>
      <c r="G767" s="2" t="s">
        <v>19</v>
      </c>
      <c r="H767" s="2">
        <v>75044</v>
      </c>
      <c r="I767" t="s">
        <v>6190</v>
      </c>
    </row>
    <row r="768" spans="1:9" x14ac:dyDescent="0.25">
      <c r="A768" s="2" t="s">
        <v>4820</v>
      </c>
      <c r="B768" s="2" t="s">
        <v>4821</v>
      </c>
      <c r="C768" s="2" t="s">
        <v>4822</v>
      </c>
      <c r="D768" s="2" t="s">
        <v>4823</v>
      </c>
      <c r="E768" s="2" t="s">
        <v>4824</v>
      </c>
      <c r="F768" s="2" t="s">
        <v>39</v>
      </c>
      <c r="G768" s="2" t="s">
        <v>19</v>
      </c>
      <c r="H768" s="2">
        <v>43231</v>
      </c>
      <c r="I768" t="s">
        <v>6191</v>
      </c>
    </row>
    <row r="769" spans="1:9" x14ac:dyDescent="0.25">
      <c r="A769" s="2" t="s">
        <v>4826</v>
      </c>
      <c r="B769" s="2" t="s">
        <v>4827</v>
      </c>
      <c r="C769" s="2" t="s">
        <v>4828</v>
      </c>
      <c r="D769" s="2" t="s">
        <v>4829</v>
      </c>
      <c r="E769" s="2" t="s">
        <v>4830</v>
      </c>
      <c r="F769" s="2" t="s">
        <v>123</v>
      </c>
      <c r="G769" s="2" t="s">
        <v>19</v>
      </c>
      <c r="H769" s="2">
        <v>78737</v>
      </c>
      <c r="I769" t="s">
        <v>6191</v>
      </c>
    </row>
    <row r="770" spans="1:9" x14ac:dyDescent="0.25">
      <c r="A770" s="2" t="s">
        <v>4832</v>
      </c>
      <c r="B770" s="2" t="s">
        <v>4833</v>
      </c>
      <c r="C770" s="2"/>
      <c r="D770" s="2" t="s">
        <v>4834</v>
      </c>
      <c r="E770" s="2" t="s">
        <v>4835</v>
      </c>
      <c r="F770" s="2" t="s">
        <v>187</v>
      </c>
      <c r="G770" s="2" t="s">
        <v>19</v>
      </c>
      <c r="H770" s="2">
        <v>36104</v>
      </c>
      <c r="I770" t="s">
        <v>6190</v>
      </c>
    </row>
    <row r="771" spans="1:9" x14ac:dyDescent="0.25">
      <c r="A771" s="2" t="s">
        <v>4837</v>
      </c>
      <c r="B771" s="2" t="s">
        <v>4838</v>
      </c>
      <c r="C771" s="2" t="s">
        <v>4839</v>
      </c>
      <c r="D771" s="2" t="s">
        <v>4840</v>
      </c>
      <c r="E771" s="2" t="s">
        <v>4841</v>
      </c>
      <c r="F771" s="2" t="s">
        <v>144</v>
      </c>
      <c r="G771" s="2" t="s">
        <v>28</v>
      </c>
      <c r="H771" s="2" t="s">
        <v>215</v>
      </c>
      <c r="I771" t="s">
        <v>6191</v>
      </c>
    </row>
    <row r="772" spans="1:9" x14ac:dyDescent="0.25">
      <c r="A772" s="2" t="s">
        <v>4843</v>
      </c>
      <c r="B772" s="2" t="s">
        <v>4844</v>
      </c>
      <c r="C772" s="2" t="s">
        <v>4845</v>
      </c>
      <c r="D772" s="2"/>
      <c r="E772" s="2" t="s">
        <v>4846</v>
      </c>
      <c r="F772" s="2" t="s">
        <v>83</v>
      </c>
      <c r="G772" s="2" t="s">
        <v>19</v>
      </c>
      <c r="H772" s="2">
        <v>22156</v>
      </c>
      <c r="I772" t="s">
        <v>6191</v>
      </c>
    </row>
    <row r="773" spans="1:9" x14ac:dyDescent="0.25">
      <c r="A773" s="2" t="s">
        <v>4848</v>
      </c>
      <c r="B773" s="2" t="s">
        <v>4849</v>
      </c>
      <c r="C773" s="2" t="s">
        <v>4850</v>
      </c>
      <c r="D773" s="2" t="s">
        <v>4851</v>
      </c>
      <c r="E773" s="2" t="s">
        <v>4852</v>
      </c>
      <c r="F773" s="2" t="s">
        <v>204</v>
      </c>
      <c r="G773" s="2" t="s">
        <v>19</v>
      </c>
      <c r="H773" s="2">
        <v>80126</v>
      </c>
      <c r="I773" t="s">
        <v>6191</v>
      </c>
    </row>
    <row r="774" spans="1:9" x14ac:dyDescent="0.25">
      <c r="A774" s="2" t="s">
        <v>4854</v>
      </c>
      <c r="B774" s="2" t="s">
        <v>4855</v>
      </c>
      <c r="C774" s="2"/>
      <c r="D774" s="2" t="s">
        <v>4856</v>
      </c>
      <c r="E774" s="2" t="s">
        <v>4857</v>
      </c>
      <c r="F774" s="2" t="s">
        <v>20</v>
      </c>
      <c r="G774" s="2" t="s">
        <v>19</v>
      </c>
      <c r="H774" s="2">
        <v>21275</v>
      </c>
      <c r="I774" t="s">
        <v>6191</v>
      </c>
    </row>
    <row r="775" spans="1:9" x14ac:dyDescent="0.25">
      <c r="A775" s="2" t="s">
        <v>4859</v>
      </c>
      <c r="B775" s="2" t="s">
        <v>4860</v>
      </c>
      <c r="C775" s="2" t="s">
        <v>4861</v>
      </c>
      <c r="D775" s="2" t="s">
        <v>4862</v>
      </c>
      <c r="E775" s="2" t="s">
        <v>4863</v>
      </c>
      <c r="F775" s="2" t="s">
        <v>482</v>
      </c>
      <c r="G775" s="2" t="s">
        <v>318</v>
      </c>
      <c r="H775" s="2" t="s">
        <v>359</v>
      </c>
      <c r="I775" t="s">
        <v>6191</v>
      </c>
    </row>
    <row r="776" spans="1:9" x14ac:dyDescent="0.25">
      <c r="A776" s="2" t="s">
        <v>4865</v>
      </c>
      <c r="B776" s="2" t="s">
        <v>4866</v>
      </c>
      <c r="C776" s="2"/>
      <c r="D776" s="2" t="s">
        <v>4867</v>
      </c>
      <c r="E776" s="2" t="s">
        <v>4868</v>
      </c>
      <c r="F776" s="2" t="s">
        <v>271</v>
      </c>
      <c r="G776" s="2" t="s">
        <v>19</v>
      </c>
      <c r="H776" s="2">
        <v>33345</v>
      </c>
      <c r="I776" t="s">
        <v>6190</v>
      </c>
    </row>
    <row r="777" spans="1:9" x14ac:dyDescent="0.25">
      <c r="A777" s="2" t="s">
        <v>4870</v>
      </c>
      <c r="B777" s="2" t="s">
        <v>4871</v>
      </c>
      <c r="C777" s="2" t="s">
        <v>4872</v>
      </c>
      <c r="D777" s="2" t="s">
        <v>4873</v>
      </c>
      <c r="E777" s="2" t="s">
        <v>4874</v>
      </c>
      <c r="F777" s="2" t="s">
        <v>58</v>
      </c>
      <c r="G777" s="2" t="s">
        <v>19</v>
      </c>
      <c r="H777" s="2">
        <v>92191</v>
      </c>
      <c r="I777" t="s">
        <v>6190</v>
      </c>
    </row>
    <row r="778" spans="1:9" x14ac:dyDescent="0.25">
      <c r="A778" s="2" t="s">
        <v>4876</v>
      </c>
      <c r="B778" s="2" t="s">
        <v>4877</v>
      </c>
      <c r="C778" s="2" t="s">
        <v>4878</v>
      </c>
      <c r="D778" s="2" t="s">
        <v>4879</v>
      </c>
      <c r="E778" s="2" t="s">
        <v>4880</v>
      </c>
      <c r="F778" s="2" t="s">
        <v>52</v>
      </c>
      <c r="G778" s="2" t="s">
        <v>19</v>
      </c>
      <c r="H778" s="2">
        <v>75216</v>
      </c>
      <c r="I778" t="s">
        <v>6191</v>
      </c>
    </row>
    <row r="779" spans="1:9" x14ac:dyDescent="0.25">
      <c r="A779" s="2" t="s">
        <v>4882</v>
      </c>
      <c r="B779" s="2" t="s">
        <v>4883</v>
      </c>
      <c r="C779" s="2" t="s">
        <v>4884</v>
      </c>
      <c r="D779" s="2"/>
      <c r="E779" s="2" t="s">
        <v>4885</v>
      </c>
      <c r="F779" s="2" t="s">
        <v>316</v>
      </c>
      <c r="G779" s="2" t="s">
        <v>19</v>
      </c>
      <c r="H779" s="2">
        <v>60435</v>
      </c>
      <c r="I779" t="s">
        <v>6191</v>
      </c>
    </row>
    <row r="780" spans="1:9" x14ac:dyDescent="0.25">
      <c r="A780" s="2" t="s">
        <v>4887</v>
      </c>
      <c r="B780" s="2" t="s">
        <v>4888</v>
      </c>
      <c r="C780" s="2" t="s">
        <v>4889</v>
      </c>
      <c r="D780" s="2" t="s">
        <v>4890</v>
      </c>
      <c r="E780" s="2" t="s">
        <v>4891</v>
      </c>
      <c r="F780" s="2" t="s">
        <v>183</v>
      </c>
      <c r="G780" s="2" t="s">
        <v>19</v>
      </c>
      <c r="H780" s="2">
        <v>49510</v>
      </c>
      <c r="I780" t="s">
        <v>6190</v>
      </c>
    </row>
    <row r="781" spans="1:9" x14ac:dyDescent="0.25">
      <c r="A781" s="2" t="s">
        <v>4893</v>
      </c>
      <c r="B781" s="2" t="s">
        <v>4894</v>
      </c>
      <c r="C781" s="2" t="s">
        <v>4895</v>
      </c>
      <c r="D781" s="2" t="s">
        <v>4896</v>
      </c>
      <c r="E781" s="2" t="s">
        <v>4897</v>
      </c>
      <c r="F781" s="2" t="s">
        <v>209</v>
      </c>
      <c r="G781" s="2" t="s">
        <v>19</v>
      </c>
      <c r="H781" s="2">
        <v>34620</v>
      </c>
      <c r="I781" t="s">
        <v>6190</v>
      </c>
    </row>
    <row r="782" spans="1:9" x14ac:dyDescent="0.25">
      <c r="A782" s="2" t="s">
        <v>4899</v>
      </c>
      <c r="B782" s="2" t="s">
        <v>4900</v>
      </c>
      <c r="C782" s="2"/>
      <c r="D782" s="2" t="s">
        <v>4901</v>
      </c>
      <c r="E782" s="2" t="s">
        <v>4902</v>
      </c>
      <c r="F782" s="2" t="s">
        <v>33</v>
      </c>
      <c r="G782" s="2" t="s">
        <v>19</v>
      </c>
      <c r="H782" s="2">
        <v>55441</v>
      </c>
      <c r="I782" t="s">
        <v>6191</v>
      </c>
    </row>
    <row r="783" spans="1:9" x14ac:dyDescent="0.25">
      <c r="A783" s="2" t="s">
        <v>4904</v>
      </c>
      <c r="B783" s="2" t="s">
        <v>4905</v>
      </c>
      <c r="C783" s="2" t="s">
        <v>4906</v>
      </c>
      <c r="D783" s="2" t="s">
        <v>4907</v>
      </c>
      <c r="E783" s="2" t="s">
        <v>4908</v>
      </c>
      <c r="F783" s="2" t="s">
        <v>259</v>
      </c>
      <c r="G783" s="2" t="s">
        <v>19</v>
      </c>
      <c r="H783" s="2">
        <v>30045</v>
      </c>
      <c r="I783" t="s">
        <v>6191</v>
      </c>
    </row>
    <row r="784" spans="1:9" x14ac:dyDescent="0.25">
      <c r="A784" s="2" t="s">
        <v>4910</v>
      </c>
      <c r="B784" s="2" t="s">
        <v>4911</v>
      </c>
      <c r="C784" s="2" t="s">
        <v>4912</v>
      </c>
      <c r="D784" s="2" t="s">
        <v>4913</v>
      </c>
      <c r="E784" s="2" t="s">
        <v>4914</v>
      </c>
      <c r="F784" s="2" t="s">
        <v>480</v>
      </c>
      <c r="G784" s="2" t="s">
        <v>318</v>
      </c>
      <c r="H784" s="2" t="s">
        <v>341</v>
      </c>
      <c r="I784" t="s">
        <v>6191</v>
      </c>
    </row>
    <row r="785" spans="1:9" x14ac:dyDescent="0.25">
      <c r="A785" s="2" t="s">
        <v>4916</v>
      </c>
      <c r="B785" s="2" t="s">
        <v>4917</v>
      </c>
      <c r="C785" s="2" t="s">
        <v>4918</v>
      </c>
      <c r="D785" s="2" t="s">
        <v>4919</v>
      </c>
      <c r="E785" s="2" t="s">
        <v>4920</v>
      </c>
      <c r="F785" s="2" t="s">
        <v>137</v>
      </c>
      <c r="G785" s="2" t="s">
        <v>19</v>
      </c>
      <c r="H785" s="2">
        <v>33673</v>
      </c>
      <c r="I785" t="s">
        <v>6190</v>
      </c>
    </row>
    <row r="786" spans="1:9" x14ac:dyDescent="0.25">
      <c r="A786" s="2" t="s">
        <v>4922</v>
      </c>
      <c r="B786" s="2" t="s">
        <v>4923</v>
      </c>
      <c r="C786" s="2" t="s">
        <v>4924</v>
      </c>
      <c r="D786" s="2"/>
      <c r="E786" s="2" t="s">
        <v>4925</v>
      </c>
      <c r="F786" s="2" t="s">
        <v>130</v>
      </c>
      <c r="G786" s="2" t="s">
        <v>19</v>
      </c>
      <c r="H786" s="2">
        <v>37240</v>
      </c>
      <c r="I786" t="s">
        <v>6191</v>
      </c>
    </row>
    <row r="787" spans="1:9" x14ac:dyDescent="0.25">
      <c r="A787" s="2" t="s">
        <v>4927</v>
      </c>
      <c r="B787" s="2" t="s">
        <v>4928</v>
      </c>
      <c r="C787" s="2" t="s">
        <v>4929</v>
      </c>
      <c r="D787" s="2" t="s">
        <v>4930</v>
      </c>
      <c r="E787" s="2" t="s">
        <v>4931</v>
      </c>
      <c r="F787" s="2" t="s">
        <v>92</v>
      </c>
      <c r="G787" s="2" t="s">
        <v>19</v>
      </c>
      <c r="H787" s="2">
        <v>33175</v>
      </c>
      <c r="I787" t="s">
        <v>6191</v>
      </c>
    </row>
    <row r="788" spans="1:9" x14ac:dyDescent="0.25">
      <c r="A788" s="2" t="s">
        <v>4933</v>
      </c>
      <c r="B788" s="2" t="s">
        <v>4934</v>
      </c>
      <c r="C788" s="2" t="s">
        <v>4935</v>
      </c>
      <c r="D788" s="2" t="s">
        <v>4936</v>
      </c>
      <c r="E788" s="2" t="s">
        <v>4937</v>
      </c>
      <c r="F788" s="2" t="s">
        <v>203</v>
      </c>
      <c r="G788" s="2" t="s">
        <v>19</v>
      </c>
      <c r="H788" s="2">
        <v>45426</v>
      </c>
      <c r="I788" t="s">
        <v>6190</v>
      </c>
    </row>
    <row r="789" spans="1:9" x14ac:dyDescent="0.25">
      <c r="A789" s="2" t="s">
        <v>4939</v>
      </c>
      <c r="B789" s="2" t="s">
        <v>4940</v>
      </c>
      <c r="C789" s="2"/>
      <c r="D789" s="2" t="s">
        <v>4941</v>
      </c>
      <c r="E789" s="2" t="s">
        <v>4942</v>
      </c>
      <c r="F789" s="2" t="s">
        <v>56</v>
      </c>
      <c r="G789" s="2" t="s">
        <v>19</v>
      </c>
      <c r="H789" s="2">
        <v>60686</v>
      </c>
      <c r="I789" t="s">
        <v>6190</v>
      </c>
    </row>
    <row r="790" spans="1:9" x14ac:dyDescent="0.25">
      <c r="A790" s="2" t="s">
        <v>4944</v>
      </c>
      <c r="B790" s="2" t="s">
        <v>4945</v>
      </c>
      <c r="C790" s="2" t="s">
        <v>4946</v>
      </c>
      <c r="D790" s="2" t="s">
        <v>4947</v>
      </c>
      <c r="E790" s="2" t="s">
        <v>4948</v>
      </c>
      <c r="F790" s="2" t="s">
        <v>405</v>
      </c>
      <c r="G790" s="2" t="s">
        <v>318</v>
      </c>
      <c r="H790" s="2" t="s">
        <v>406</v>
      </c>
      <c r="I790" t="s">
        <v>6190</v>
      </c>
    </row>
    <row r="791" spans="1:9" x14ac:dyDescent="0.25">
      <c r="A791" s="2" t="s">
        <v>4950</v>
      </c>
      <c r="B791" s="2" t="s">
        <v>4951</v>
      </c>
      <c r="C791" s="2" t="s">
        <v>4952</v>
      </c>
      <c r="D791" s="2" t="s">
        <v>4953</v>
      </c>
      <c r="E791" s="2" t="s">
        <v>4954</v>
      </c>
      <c r="F791" s="2" t="s">
        <v>38</v>
      </c>
      <c r="G791" s="2" t="s">
        <v>19</v>
      </c>
      <c r="H791" s="2">
        <v>94807</v>
      </c>
      <c r="I791" t="s">
        <v>6191</v>
      </c>
    </row>
    <row r="792" spans="1:9" x14ac:dyDescent="0.25">
      <c r="A792" s="2" t="s">
        <v>4956</v>
      </c>
      <c r="B792" s="2" t="s">
        <v>4957</v>
      </c>
      <c r="C792" s="2" t="s">
        <v>4958</v>
      </c>
      <c r="D792" s="2" t="s">
        <v>4959</v>
      </c>
      <c r="E792" s="2" t="s">
        <v>4960</v>
      </c>
      <c r="F792" s="2" t="s">
        <v>76</v>
      </c>
      <c r="G792" s="2" t="s">
        <v>19</v>
      </c>
      <c r="H792" s="2">
        <v>98506</v>
      </c>
      <c r="I792" t="s">
        <v>6191</v>
      </c>
    </row>
    <row r="793" spans="1:9" x14ac:dyDescent="0.25">
      <c r="A793" s="2" t="s">
        <v>4962</v>
      </c>
      <c r="B793" s="2" t="s">
        <v>4963</v>
      </c>
      <c r="C793" s="2" t="s">
        <v>4964</v>
      </c>
      <c r="D793" s="2" t="s">
        <v>4965</v>
      </c>
      <c r="E793" s="2" t="s">
        <v>4966</v>
      </c>
      <c r="F793" s="2" t="s">
        <v>59</v>
      </c>
      <c r="G793" s="2" t="s">
        <v>19</v>
      </c>
      <c r="H793" s="2">
        <v>76011</v>
      </c>
      <c r="I793" t="s">
        <v>6190</v>
      </c>
    </row>
    <row r="794" spans="1:9" x14ac:dyDescent="0.25">
      <c r="A794" s="2" t="s">
        <v>4968</v>
      </c>
      <c r="B794" s="2" t="s">
        <v>4969</v>
      </c>
      <c r="C794" s="2" t="s">
        <v>4970</v>
      </c>
      <c r="D794" s="2" t="s">
        <v>4971</v>
      </c>
      <c r="E794" s="2" t="s">
        <v>4972</v>
      </c>
      <c r="F794" s="2" t="s">
        <v>357</v>
      </c>
      <c r="G794" s="2" t="s">
        <v>28</v>
      </c>
      <c r="H794" s="2" t="s">
        <v>358</v>
      </c>
      <c r="I794" t="s">
        <v>6190</v>
      </c>
    </row>
    <row r="795" spans="1:9" x14ac:dyDescent="0.25">
      <c r="A795" s="2" t="s">
        <v>4974</v>
      </c>
      <c r="B795" s="2" t="s">
        <v>4975</v>
      </c>
      <c r="C795" s="2" t="s">
        <v>4976</v>
      </c>
      <c r="D795" s="2" t="s">
        <v>4977</v>
      </c>
      <c r="E795" s="2" t="s">
        <v>4978</v>
      </c>
      <c r="F795" s="2" t="s">
        <v>24</v>
      </c>
      <c r="G795" s="2" t="s">
        <v>19</v>
      </c>
      <c r="H795" s="2">
        <v>24009</v>
      </c>
      <c r="I795" t="s">
        <v>6191</v>
      </c>
    </row>
    <row r="796" spans="1:9" x14ac:dyDescent="0.25">
      <c r="A796" s="2" t="s">
        <v>4980</v>
      </c>
      <c r="B796" s="2" t="s">
        <v>4981</v>
      </c>
      <c r="C796" s="2" t="s">
        <v>4982</v>
      </c>
      <c r="D796" s="2" t="s">
        <v>4983</v>
      </c>
      <c r="E796" s="2" t="s">
        <v>4984</v>
      </c>
      <c r="F796" s="2" t="s">
        <v>278</v>
      </c>
      <c r="G796" s="2" t="s">
        <v>19</v>
      </c>
      <c r="H796" s="2">
        <v>11044</v>
      </c>
      <c r="I796" t="s">
        <v>6191</v>
      </c>
    </row>
    <row r="797" spans="1:9" x14ac:dyDescent="0.25">
      <c r="A797" s="2" t="s">
        <v>4986</v>
      </c>
      <c r="B797" s="2" t="s">
        <v>4987</v>
      </c>
      <c r="C797" s="2" t="s">
        <v>4988</v>
      </c>
      <c r="D797" s="2" t="s">
        <v>4989</v>
      </c>
      <c r="E797" s="2" t="s">
        <v>4990</v>
      </c>
      <c r="F797" s="2" t="s">
        <v>282</v>
      </c>
      <c r="G797" s="2" t="s">
        <v>19</v>
      </c>
      <c r="H797" s="2">
        <v>92825</v>
      </c>
      <c r="I797" t="s">
        <v>6191</v>
      </c>
    </row>
    <row r="798" spans="1:9" x14ac:dyDescent="0.25">
      <c r="A798" s="2" t="s">
        <v>4992</v>
      </c>
      <c r="B798" s="2" t="s">
        <v>4993</v>
      </c>
      <c r="C798" s="2"/>
      <c r="D798" s="2" t="s">
        <v>4994</v>
      </c>
      <c r="E798" s="2" t="s">
        <v>4995</v>
      </c>
      <c r="F798" s="2" t="s">
        <v>43</v>
      </c>
      <c r="G798" s="2" t="s">
        <v>19</v>
      </c>
      <c r="H798" s="2">
        <v>40596</v>
      </c>
      <c r="I798" t="s">
        <v>6191</v>
      </c>
    </row>
    <row r="799" spans="1:9" x14ac:dyDescent="0.25">
      <c r="A799" s="2" t="s">
        <v>4997</v>
      </c>
      <c r="B799" s="2" t="s">
        <v>4998</v>
      </c>
      <c r="C799" s="2" t="s">
        <v>4999</v>
      </c>
      <c r="D799" s="2" t="s">
        <v>5000</v>
      </c>
      <c r="E799" s="2" t="s">
        <v>5001</v>
      </c>
      <c r="F799" s="2" t="s">
        <v>137</v>
      </c>
      <c r="G799" s="2" t="s">
        <v>19</v>
      </c>
      <c r="H799" s="2">
        <v>33673</v>
      </c>
      <c r="I799" t="s">
        <v>6191</v>
      </c>
    </row>
    <row r="800" spans="1:9" x14ac:dyDescent="0.25">
      <c r="A800" s="2" t="s">
        <v>5003</v>
      </c>
      <c r="B800" s="2" t="s">
        <v>5004</v>
      </c>
      <c r="C800" s="2" t="s">
        <v>5005</v>
      </c>
      <c r="D800" s="2" t="s">
        <v>5006</v>
      </c>
      <c r="E800" s="2" t="s">
        <v>5007</v>
      </c>
      <c r="F800" s="2" t="s">
        <v>98</v>
      </c>
      <c r="G800" s="2" t="s">
        <v>19</v>
      </c>
      <c r="H800" s="2">
        <v>95138</v>
      </c>
      <c r="I800" t="s">
        <v>6190</v>
      </c>
    </row>
    <row r="801" spans="1:9" x14ac:dyDescent="0.25">
      <c r="A801" s="2" t="s">
        <v>5009</v>
      </c>
      <c r="B801" s="2" t="s">
        <v>5010</v>
      </c>
      <c r="C801" s="2"/>
      <c r="D801" s="2"/>
      <c r="E801" s="2" t="s">
        <v>5011</v>
      </c>
      <c r="F801" s="2" t="s">
        <v>47</v>
      </c>
      <c r="G801" s="2" t="s">
        <v>19</v>
      </c>
      <c r="H801" s="2">
        <v>20470</v>
      </c>
      <c r="I801" t="s">
        <v>6190</v>
      </c>
    </row>
    <row r="802" spans="1:9" x14ac:dyDescent="0.25">
      <c r="A802" s="2" t="s">
        <v>5013</v>
      </c>
      <c r="B802" s="2" t="s">
        <v>5014</v>
      </c>
      <c r="C802" s="2" t="s">
        <v>5015</v>
      </c>
      <c r="D802" s="2" t="s">
        <v>5016</v>
      </c>
      <c r="E802" s="2" t="s">
        <v>5017</v>
      </c>
      <c r="F802" s="2" t="s">
        <v>3664</v>
      </c>
      <c r="G802" s="2" t="s">
        <v>318</v>
      </c>
      <c r="H802" s="2" t="s">
        <v>398</v>
      </c>
      <c r="I802" t="s">
        <v>6191</v>
      </c>
    </row>
    <row r="803" spans="1:9" x14ac:dyDescent="0.25">
      <c r="A803" s="2" t="s">
        <v>5019</v>
      </c>
      <c r="B803" s="2" t="s">
        <v>5020</v>
      </c>
      <c r="C803" s="2" t="s">
        <v>5021</v>
      </c>
      <c r="D803" s="2" t="s">
        <v>5022</v>
      </c>
      <c r="E803" s="2" t="s">
        <v>5023</v>
      </c>
      <c r="F803" s="2" t="s">
        <v>76</v>
      </c>
      <c r="G803" s="2" t="s">
        <v>19</v>
      </c>
      <c r="H803" s="2">
        <v>98506</v>
      </c>
      <c r="I803" t="s">
        <v>6190</v>
      </c>
    </row>
    <row r="804" spans="1:9" x14ac:dyDescent="0.25">
      <c r="A804" s="2" t="s">
        <v>5025</v>
      </c>
      <c r="B804" s="2" t="s">
        <v>5026</v>
      </c>
      <c r="C804" s="2" t="s">
        <v>5027</v>
      </c>
      <c r="D804" s="2" t="s">
        <v>5028</v>
      </c>
      <c r="E804" s="2" t="s">
        <v>5029</v>
      </c>
      <c r="F804" s="2" t="s">
        <v>458</v>
      </c>
      <c r="G804" s="2" t="s">
        <v>19</v>
      </c>
      <c r="H804" s="2">
        <v>75185</v>
      </c>
      <c r="I804" t="s">
        <v>6191</v>
      </c>
    </row>
    <row r="805" spans="1:9" x14ac:dyDescent="0.25">
      <c r="A805" s="2" t="s">
        <v>5031</v>
      </c>
      <c r="B805" s="2" t="s">
        <v>5032</v>
      </c>
      <c r="C805" s="2" t="s">
        <v>5033</v>
      </c>
      <c r="D805" s="2"/>
      <c r="E805" s="2" t="s">
        <v>5034</v>
      </c>
      <c r="F805" s="2" t="s">
        <v>131</v>
      </c>
      <c r="G805" s="2" t="s">
        <v>19</v>
      </c>
      <c r="H805" s="2">
        <v>94207</v>
      </c>
      <c r="I805" t="s">
        <v>6191</v>
      </c>
    </row>
    <row r="806" spans="1:9" x14ac:dyDescent="0.25">
      <c r="A806" s="2" t="s">
        <v>5036</v>
      </c>
      <c r="B806" s="2" t="s">
        <v>5037</v>
      </c>
      <c r="C806" s="2"/>
      <c r="D806" s="2" t="s">
        <v>5038</v>
      </c>
      <c r="E806" s="2" t="s">
        <v>5039</v>
      </c>
      <c r="F806" s="2" t="s">
        <v>280</v>
      </c>
      <c r="G806" s="2" t="s">
        <v>28</v>
      </c>
      <c r="H806" s="2" t="s">
        <v>310</v>
      </c>
      <c r="I806" t="s">
        <v>6191</v>
      </c>
    </row>
    <row r="807" spans="1:9" x14ac:dyDescent="0.25">
      <c r="A807" s="2" t="s">
        <v>5041</v>
      </c>
      <c r="B807" s="2" t="s">
        <v>5042</v>
      </c>
      <c r="C807" s="2"/>
      <c r="D807" s="2" t="s">
        <v>5043</v>
      </c>
      <c r="E807" s="2" t="s">
        <v>5044</v>
      </c>
      <c r="F807" s="2" t="s">
        <v>5045</v>
      </c>
      <c r="G807" s="2" t="s">
        <v>19</v>
      </c>
      <c r="H807" s="2">
        <v>55590</v>
      </c>
      <c r="I807" t="s">
        <v>6191</v>
      </c>
    </row>
    <row r="808" spans="1:9" x14ac:dyDescent="0.25">
      <c r="A808" s="2" t="s">
        <v>5047</v>
      </c>
      <c r="B808" s="2" t="s">
        <v>5048</v>
      </c>
      <c r="C808" s="2"/>
      <c r="D808" s="2"/>
      <c r="E808" s="2" t="s">
        <v>5049</v>
      </c>
      <c r="F808" s="2" t="s">
        <v>248</v>
      </c>
      <c r="G808" s="2" t="s">
        <v>28</v>
      </c>
      <c r="H808" s="2" t="s">
        <v>249</v>
      </c>
      <c r="I808" t="s">
        <v>6190</v>
      </c>
    </row>
    <row r="809" spans="1:9" x14ac:dyDescent="0.25">
      <c r="A809" s="2" t="s">
        <v>5051</v>
      </c>
      <c r="B809" s="2" t="s">
        <v>5052</v>
      </c>
      <c r="C809" s="2" t="s">
        <v>5053</v>
      </c>
      <c r="D809" s="2" t="s">
        <v>5054</v>
      </c>
      <c r="E809" s="2" t="s">
        <v>5055</v>
      </c>
      <c r="F809" s="2" t="s">
        <v>373</v>
      </c>
      <c r="G809" s="2" t="s">
        <v>318</v>
      </c>
      <c r="H809" s="2" t="s">
        <v>374</v>
      </c>
      <c r="I809" t="s">
        <v>6191</v>
      </c>
    </row>
    <row r="810" spans="1:9" x14ac:dyDescent="0.25">
      <c r="A810" s="2" t="s">
        <v>5057</v>
      </c>
      <c r="B810" s="2" t="s">
        <v>5058</v>
      </c>
      <c r="C810" s="2" t="s">
        <v>5059</v>
      </c>
      <c r="D810" s="2" t="s">
        <v>5060</v>
      </c>
      <c r="E810" s="2" t="s">
        <v>5061</v>
      </c>
      <c r="F810" s="2" t="s">
        <v>132</v>
      </c>
      <c r="G810" s="2" t="s">
        <v>19</v>
      </c>
      <c r="H810" s="2">
        <v>11499</v>
      </c>
      <c r="I810" t="s">
        <v>6190</v>
      </c>
    </row>
    <row r="811" spans="1:9" x14ac:dyDescent="0.25">
      <c r="A811" s="2" t="s">
        <v>5063</v>
      </c>
      <c r="B811" s="2" t="s">
        <v>5064</v>
      </c>
      <c r="C811" s="2"/>
      <c r="D811" s="2" t="s">
        <v>5065</v>
      </c>
      <c r="E811" s="2" t="s">
        <v>5066</v>
      </c>
      <c r="F811" s="2" t="s">
        <v>50</v>
      </c>
      <c r="G811" s="2" t="s">
        <v>19</v>
      </c>
      <c r="H811" s="2">
        <v>79934</v>
      </c>
      <c r="I811" t="s">
        <v>6190</v>
      </c>
    </row>
    <row r="812" spans="1:9" x14ac:dyDescent="0.25">
      <c r="A812" s="2" t="s">
        <v>5068</v>
      </c>
      <c r="B812" s="2" t="s">
        <v>5069</v>
      </c>
      <c r="C812" s="2" t="s">
        <v>5070</v>
      </c>
      <c r="D812" s="2" t="s">
        <v>5071</v>
      </c>
      <c r="E812" s="2" t="s">
        <v>5072</v>
      </c>
      <c r="F812" s="2" t="s">
        <v>309</v>
      </c>
      <c r="G812" s="2" t="s">
        <v>19</v>
      </c>
      <c r="H812" s="2">
        <v>34643</v>
      </c>
      <c r="I812" t="s">
        <v>6191</v>
      </c>
    </row>
    <row r="813" spans="1:9" x14ac:dyDescent="0.25">
      <c r="A813" s="2" t="s">
        <v>5074</v>
      </c>
      <c r="B813" s="2" t="s">
        <v>5075</v>
      </c>
      <c r="C813" s="2" t="s">
        <v>5076</v>
      </c>
      <c r="D813" s="2" t="s">
        <v>5077</v>
      </c>
      <c r="E813" s="2" t="s">
        <v>5078</v>
      </c>
      <c r="F813" s="2" t="s">
        <v>421</v>
      </c>
      <c r="G813" s="2" t="s">
        <v>318</v>
      </c>
      <c r="H813" s="2" t="s">
        <v>348</v>
      </c>
      <c r="I813" t="s">
        <v>6190</v>
      </c>
    </row>
    <row r="814" spans="1:9" x14ac:dyDescent="0.25">
      <c r="A814" s="2" t="s">
        <v>5079</v>
      </c>
      <c r="B814" s="2" t="s">
        <v>5080</v>
      </c>
      <c r="C814" s="2" t="s">
        <v>5081</v>
      </c>
      <c r="D814" s="2" t="s">
        <v>5082</v>
      </c>
      <c r="E814" s="2" t="s">
        <v>5083</v>
      </c>
      <c r="F814" s="2" t="s">
        <v>224</v>
      </c>
      <c r="G814" s="2" t="s">
        <v>28</v>
      </c>
      <c r="H814" s="2" t="s">
        <v>225</v>
      </c>
      <c r="I814" t="s">
        <v>6190</v>
      </c>
    </row>
    <row r="815" spans="1:9" x14ac:dyDescent="0.25">
      <c r="A815" s="2" t="s">
        <v>5085</v>
      </c>
      <c r="B815" s="2" t="s">
        <v>5086</v>
      </c>
      <c r="C815" s="2" t="s">
        <v>5087</v>
      </c>
      <c r="D815" s="2" t="s">
        <v>5088</v>
      </c>
      <c r="E815" s="2" t="s">
        <v>5089</v>
      </c>
      <c r="F815" s="2" t="s">
        <v>77</v>
      </c>
      <c r="G815" s="2" t="s">
        <v>19</v>
      </c>
      <c r="H815" s="2">
        <v>73179</v>
      </c>
      <c r="I815" t="s">
        <v>6190</v>
      </c>
    </row>
    <row r="816" spans="1:9" x14ac:dyDescent="0.25">
      <c r="A816" s="2" t="s">
        <v>5091</v>
      </c>
      <c r="B816" s="2" t="s">
        <v>5092</v>
      </c>
      <c r="C816" s="2" t="s">
        <v>5093</v>
      </c>
      <c r="D816" s="2" t="s">
        <v>5094</v>
      </c>
      <c r="E816" s="2" t="s">
        <v>5095</v>
      </c>
      <c r="F816" s="2" t="s">
        <v>47</v>
      </c>
      <c r="G816" s="2" t="s">
        <v>19</v>
      </c>
      <c r="H816" s="2">
        <v>20051</v>
      </c>
      <c r="I816" t="s">
        <v>6191</v>
      </c>
    </row>
    <row r="817" spans="1:9" x14ac:dyDescent="0.25">
      <c r="A817" s="2" t="s">
        <v>5097</v>
      </c>
      <c r="B817" s="2" t="s">
        <v>5098</v>
      </c>
      <c r="C817" s="2" t="s">
        <v>5099</v>
      </c>
      <c r="D817" s="2" t="s">
        <v>5100</v>
      </c>
      <c r="E817" s="2" t="s">
        <v>5101</v>
      </c>
      <c r="F817" s="2" t="s">
        <v>84</v>
      </c>
      <c r="G817" s="2" t="s">
        <v>19</v>
      </c>
      <c r="H817" s="2">
        <v>30351</v>
      </c>
      <c r="I817" t="s">
        <v>6191</v>
      </c>
    </row>
    <row r="818" spans="1:9" x14ac:dyDescent="0.25">
      <c r="A818" s="2" t="s">
        <v>5103</v>
      </c>
      <c r="B818" s="2" t="s">
        <v>5104</v>
      </c>
      <c r="C818" s="2" t="s">
        <v>5105</v>
      </c>
      <c r="D818" s="2" t="s">
        <v>5106</v>
      </c>
      <c r="E818" s="2" t="s">
        <v>298</v>
      </c>
      <c r="F818" s="2" t="s">
        <v>1419</v>
      </c>
      <c r="G818" s="2" t="s">
        <v>318</v>
      </c>
      <c r="H818" s="2" t="s">
        <v>370</v>
      </c>
      <c r="I818" t="s">
        <v>6191</v>
      </c>
    </row>
    <row r="819" spans="1:9" x14ac:dyDescent="0.25">
      <c r="A819" s="2" t="s">
        <v>5108</v>
      </c>
      <c r="B819" s="2" t="s">
        <v>5109</v>
      </c>
      <c r="C819" s="2" t="s">
        <v>5110</v>
      </c>
      <c r="D819" s="2"/>
      <c r="E819" s="2" t="s">
        <v>5111</v>
      </c>
      <c r="F819" s="2" t="s">
        <v>120</v>
      </c>
      <c r="G819" s="2" t="s">
        <v>19</v>
      </c>
      <c r="H819" s="2">
        <v>14276</v>
      </c>
      <c r="I819" t="s">
        <v>6191</v>
      </c>
    </row>
    <row r="820" spans="1:9" x14ac:dyDescent="0.25">
      <c r="A820" s="2" t="s">
        <v>5113</v>
      </c>
      <c r="B820" s="2" t="s">
        <v>5114</v>
      </c>
      <c r="C820" s="2"/>
      <c r="D820" s="2" t="s">
        <v>5115</v>
      </c>
      <c r="E820" s="2" t="s">
        <v>5116</v>
      </c>
      <c r="F820" s="2" t="s">
        <v>63</v>
      </c>
      <c r="G820" s="2" t="s">
        <v>19</v>
      </c>
      <c r="H820" s="2">
        <v>77260</v>
      </c>
      <c r="I820" t="s">
        <v>6191</v>
      </c>
    </row>
    <row r="821" spans="1:9" x14ac:dyDescent="0.25">
      <c r="A821" s="2" t="s">
        <v>5118</v>
      </c>
      <c r="B821" s="2" t="s">
        <v>5119</v>
      </c>
      <c r="C821" s="2" t="s">
        <v>5120</v>
      </c>
      <c r="D821" s="2" t="s">
        <v>5121</v>
      </c>
      <c r="E821" s="2" t="s">
        <v>5122</v>
      </c>
      <c r="F821" s="2" t="s">
        <v>47</v>
      </c>
      <c r="G821" s="2" t="s">
        <v>19</v>
      </c>
      <c r="H821" s="2">
        <v>20470</v>
      </c>
      <c r="I821" t="s">
        <v>6190</v>
      </c>
    </row>
    <row r="822" spans="1:9" x14ac:dyDescent="0.25">
      <c r="A822" s="2" t="s">
        <v>5124</v>
      </c>
      <c r="B822" s="2" t="s">
        <v>5125</v>
      </c>
      <c r="C822" s="2" t="s">
        <v>5126</v>
      </c>
      <c r="D822" s="2" t="s">
        <v>5127</v>
      </c>
      <c r="E822" s="2" t="s">
        <v>5128</v>
      </c>
      <c r="F822" s="2" t="s">
        <v>123</v>
      </c>
      <c r="G822" s="2" t="s">
        <v>19</v>
      </c>
      <c r="H822" s="2">
        <v>78764</v>
      </c>
      <c r="I822" t="s">
        <v>6190</v>
      </c>
    </row>
    <row r="823" spans="1:9" x14ac:dyDescent="0.25">
      <c r="A823" s="2" t="s">
        <v>5130</v>
      </c>
      <c r="B823" s="2" t="s">
        <v>5131</v>
      </c>
      <c r="C823" s="2" t="s">
        <v>5132</v>
      </c>
      <c r="D823" s="2" t="s">
        <v>5133</v>
      </c>
      <c r="E823" s="2" t="s">
        <v>5134</v>
      </c>
      <c r="F823" s="2" t="s">
        <v>188</v>
      </c>
      <c r="G823" s="2" t="s">
        <v>19</v>
      </c>
      <c r="H823" s="2">
        <v>85205</v>
      </c>
      <c r="I823" t="s">
        <v>6191</v>
      </c>
    </row>
    <row r="824" spans="1:9" x14ac:dyDescent="0.25">
      <c r="A824" s="2" t="s">
        <v>5136</v>
      </c>
      <c r="B824" s="2" t="s">
        <v>5137</v>
      </c>
      <c r="C824" s="2" t="s">
        <v>5138</v>
      </c>
      <c r="D824" s="2" t="s">
        <v>5139</v>
      </c>
      <c r="E824" s="2" t="s">
        <v>5140</v>
      </c>
      <c r="F824" s="2" t="s">
        <v>129</v>
      </c>
      <c r="G824" s="2" t="s">
        <v>19</v>
      </c>
      <c r="H824" s="2">
        <v>31416</v>
      </c>
      <c r="I824" t="s">
        <v>6191</v>
      </c>
    </row>
    <row r="825" spans="1:9" x14ac:dyDescent="0.25">
      <c r="A825" s="2" t="s">
        <v>5142</v>
      </c>
      <c r="B825" s="2" t="s">
        <v>5143</v>
      </c>
      <c r="C825" s="2" t="s">
        <v>5144</v>
      </c>
      <c r="D825" s="2" t="s">
        <v>5145</v>
      </c>
      <c r="E825" s="2" t="s">
        <v>5146</v>
      </c>
      <c r="F825" s="2" t="s">
        <v>74</v>
      </c>
      <c r="G825" s="2" t="s">
        <v>19</v>
      </c>
      <c r="H825" s="2">
        <v>87140</v>
      </c>
      <c r="I825" t="s">
        <v>6190</v>
      </c>
    </row>
    <row r="826" spans="1:9" x14ac:dyDescent="0.25">
      <c r="A826" s="2" t="s">
        <v>5148</v>
      </c>
      <c r="B826" s="2" t="s">
        <v>5149</v>
      </c>
      <c r="C826" s="2" t="s">
        <v>5150</v>
      </c>
      <c r="D826" s="2"/>
      <c r="E826" s="2" t="s">
        <v>5151</v>
      </c>
      <c r="F826" s="2" t="s">
        <v>35</v>
      </c>
      <c r="G826" s="2" t="s">
        <v>19</v>
      </c>
      <c r="H826" s="2">
        <v>28299</v>
      </c>
      <c r="I826" t="s">
        <v>6190</v>
      </c>
    </row>
    <row r="827" spans="1:9" x14ac:dyDescent="0.25">
      <c r="A827" s="2" t="s">
        <v>5153</v>
      </c>
      <c r="B827" s="2" t="s">
        <v>5154</v>
      </c>
      <c r="C827" s="2" t="s">
        <v>5155</v>
      </c>
      <c r="D827" s="2" t="s">
        <v>5156</v>
      </c>
      <c r="E827" s="2" t="s">
        <v>5157</v>
      </c>
      <c r="F827" s="2" t="s">
        <v>58</v>
      </c>
      <c r="G827" s="2" t="s">
        <v>19</v>
      </c>
      <c r="H827" s="2">
        <v>92191</v>
      </c>
      <c r="I827" t="s">
        <v>6190</v>
      </c>
    </row>
    <row r="828" spans="1:9" x14ac:dyDescent="0.25">
      <c r="A828" s="2" t="s">
        <v>5159</v>
      </c>
      <c r="B828" s="2" t="s">
        <v>5160</v>
      </c>
      <c r="C828" s="2" t="s">
        <v>5161</v>
      </c>
      <c r="D828" s="2" t="s">
        <v>5162</v>
      </c>
      <c r="E828" s="2" t="s">
        <v>5163</v>
      </c>
      <c r="F828" s="2" t="s">
        <v>250</v>
      </c>
      <c r="G828" s="2" t="s">
        <v>19</v>
      </c>
      <c r="H828" s="2">
        <v>32575</v>
      </c>
      <c r="I828" t="s">
        <v>6190</v>
      </c>
    </row>
    <row r="829" spans="1:9" x14ac:dyDescent="0.25">
      <c r="A829" s="2" t="s">
        <v>5165</v>
      </c>
      <c r="B829" s="2" t="s">
        <v>5166</v>
      </c>
      <c r="C829" s="2" t="s">
        <v>5167</v>
      </c>
      <c r="D829" s="2" t="s">
        <v>5168</v>
      </c>
      <c r="E829" s="2" t="s">
        <v>5169</v>
      </c>
      <c r="F829" s="2" t="s">
        <v>47</v>
      </c>
      <c r="G829" s="2" t="s">
        <v>19</v>
      </c>
      <c r="H829" s="2">
        <v>20470</v>
      </c>
      <c r="I829" t="s">
        <v>6191</v>
      </c>
    </row>
    <row r="830" spans="1:9" x14ac:dyDescent="0.25">
      <c r="A830" s="2" t="s">
        <v>5171</v>
      </c>
      <c r="B830" s="2" t="s">
        <v>5172</v>
      </c>
      <c r="C830" s="2" t="s">
        <v>5173</v>
      </c>
      <c r="D830" s="2" t="s">
        <v>5174</v>
      </c>
      <c r="E830" s="2" t="s">
        <v>5175</v>
      </c>
      <c r="F830" s="2" t="s">
        <v>263</v>
      </c>
      <c r="G830" s="2" t="s">
        <v>19</v>
      </c>
      <c r="H830" s="2">
        <v>34985</v>
      </c>
      <c r="I830" t="s">
        <v>6190</v>
      </c>
    </row>
    <row r="831" spans="1:9" x14ac:dyDescent="0.25">
      <c r="A831" s="2" t="s">
        <v>5177</v>
      </c>
      <c r="B831" s="2" t="s">
        <v>5178</v>
      </c>
      <c r="C831" s="2" t="s">
        <v>5179</v>
      </c>
      <c r="D831" s="2" t="s">
        <v>5180</v>
      </c>
      <c r="E831" s="2" t="s">
        <v>5181</v>
      </c>
      <c r="F831" s="2" t="s">
        <v>26</v>
      </c>
      <c r="G831" s="2" t="s">
        <v>19</v>
      </c>
      <c r="H831" s="2">
        <v>25705</v>
      </c>
      <c r="I831" t="s">
        <v>6191</v>
      </c>
    </row>
    <row r="832" spans="1:9" x14ac:dyDescent="0.25">
      <c r="A832" s="2" t="s">
        <v>5183</v>
      </c>
      <c r="B832" s="2" t="s">
        <v>5184</v>
      </c>
      <c r="C832" s="2" t="s">
        <v>5185</v>
      </c>
      <c r="D832" s="2" t="s">
        <v>5186</v>
      </c>
      <c r="E832" s="2" t="s">
        <v>5187</v>
      </c>
      <c r="F832" s="2" t="s">
        <v>46</v>
      </c>
      <c r="G832" s="2" t="s">
        <v>19</v>
      </c>
      <c r="H832" s="2">
        <v>19172</v>
      </c>
      <c r="I832" t="s">
        <v>6191</v>
      </c>
    </row>
    <row r="833" spans="1:9" x14ac:dyDescent="0.25">
      <c r="A833" s="2" t="s">
        <v>5188</v>
      </c>
      <c r="B833" s="2" t="s">
        <v>5189</v>
      </c>
      <c r="C833" s="2" t="s">
        <v>5190</v>
      </c>
      <c r="D833" s="2" t="s">
        <v>5191</v>
      </c>
      <c r="E833" s="2" t="s">
        <v>5192</v>
      </c>
      <c r="F833" s="2" t="s">
        <v>77</v>
      </c>
      <c r="G833" s="2" t="s">
        <v>19</v>
      </c>
      <c r="H833" s="2">
        <v>73167</v>
      </c>
      <c r="I833" t="s">
        <v>6190</v>
      </c>
    </row>
    <row r="834" spans="1:9" x14ac:dyDescent="0.25">
      <c r="A834" s="2" t="s">
        <v>5194</v>
      </c>
      <c r="B834" s="2" t="s">
        <v>5195</v>
      </c>
      <c r="C834" s="2" t="s">
        <v>5196</v>
      </c>
      <c r="D834" s="2" t="s">
        <v>5197</v>
      </c>
      <c r="E834" s="2" t="s">
        <v>5198</v>
      </c>
      <c r="F834" s="2" t="s">
        <v>267</v>
      </c>
      <c r="G834" s="2" t="s">
        <v>19</v>
      </c>
      <c r="H834" s="2">
        <v>34114</v>
      </c>
      <c r="I834" t="s">
        <v>6191</v>
      </c>
    </row>
    <row r="835" spans="1:9" x14ac:dyDescent="0.25">
      <c r="A835" s="2" t="s">
        <v>5200</v>
      </c>
      <c r="B835" s="2" t="s">
        <v>5201</v>
      </c>
      <c r="C835" s="2" t="s">
        <v>5202</v>
      </c>
      <c r="D835" s="2" t="s">
        <v>5203</v>
      </c>
      <c r="E835" s="2" t="s">
        <v>5204</v>
      </c>
      <c r="F835" s="2" t="s">
        <v>106</v>
      </c>
      <c r="G835" s="2" t="s">
        <v>19</v>
      </c>
      <c r="H835" s="2">
        <v>76105</v>
      </c>
      <c r="I835" t="s">
        <v>6190</v>
      </c>
    </row>
    <row r="836" spans="1:9" x14ac:dyDescent="0.25">
      <c r="A836" s="2" t="s">
        <v>5206</v>
      </c>
      <c r="B836" s="2" t="s">
        <v>5207</v>
      </c>
      <c r="C836" s="2" t="s">
        <v>5208</v>
      </c>
      <c r="D836" s="2" t="s">
        <v>5209</v>
      </c>
      <c r="E836" s="2" t="s">
        <v>5210</v>
      </c>
      <c r="F836" s="2" t="s">
        <v>127</v>
      </c>
      <c r="G836" s="2" t="s">
        <v>19</v>
      </c>
      <c r="H836" s="2">
        <v>68117</v>
      </c>
      <c r="I836" t="s">
        <v>6191</v>
      </c>
    </row>
    <row r="837" spans="1:9" x14ac:dyDescent="0.25">
      <c r="A837" s="2" t="s">
        <v>5212</v>
      </c>
      <c r="B837" s="2" t="s">
        <v>5213</v>
      </c>
      <c r="C837" s="2" t="s">
        <v>5214</v>
      </c>
      <c r="D837" s="2"/>
      <c r="E837" s="2" t="s">
        <v>5215</v>
      </c>
      <c r="F837" s="2" t="s">
        <v>126</v>
      </c>
      <c r="G837" s="2" t="s">
        <v>19</v>
      </c>
      <c r="H837" s="2">
        <v>85732</v>
      </c>
      <c r="I837" t="s">
        <v>6190</v>
      </c>
    </row>
    <row r="838" spans="1:9" x14ac:dyDescent="0.25">
      <c r="A838" s="2" t="s">
        <v>5217</v>
      </c>
      <c r="B838" s="2" t="s">
        <v>5218</v>
      </c>
      <c r="C838" s="2" t="s">
        <v>5219</v>
      </c>
      <c r="D838" s="2" t="s">
        <v>5220</v>
      </c>
      <c r="E838" s="2" t="s">
        <v>5221</v>
      </c>
      <c r="F838" s="2" t="s">
        <v>351</v>
      </c>
      <c r="G838" s="2" t="s">
        <v>19</v>
      </c>
      <c r="H838" s="2">
        <v>89436</v>
      </c>
      <c r="I838" t="s">
        <v>6191</v>
      </c>
    </row>
    <row r="839" spans="1:9" x14ac:dyDescent="0.25">
      <c r="A839" s="2" t="s">
        <v>5223</v>
      </c>
      <c r="B839" s="2" t="s">
        <v>5224</v>
      </c>
      <c r="C839" s="2" t="s">
        <v>5225</v>
      </c>
      <c r="D839" s="2" t="s">
        <v>5226</v>
      </c>
      <c r="E839" s="2" t="s">
        <v>5227</v>
      </c>
      <c r="F839" s="2" t="s">
        <v>80</v>
      </c>
      <c r="G839" s="2" t="s">
        <v>19</v>
      </c>
      <c r="H839" s="2">
        <v>32835</v>
      </c>
      <c r="I839" t="s">
        <v>6190</v>
      </c>
    </row>
    <row r="840" spans="1:9" x14ac:dyDescent="0.25">
      <c r="A840" s="2" t="s">
        <v>5229</v>
      </c>
      <c r="B840" s="2" t="s">
        <v>5230</v>
      </c>
      <c r="C840" s="2" t="s">
        <v>5231</v>
      </c>
      <c r="D840" s="2" t="s">
        <v>5232</v>
      </c>
      <c r="E840" s="2" t="s">
        <v>5233</v>
      </c>
      <c r="F840" s="2" t="s">
        <v>47</v>
      </c>
      <c r="G840" s="2" t="s">
        <v>19</v>
      </c>
      <c r="H840" s="2">
        <v>20067</v>
      </c>
      <c r="I840" t="s">
        <v>6191</v>
      </c>
    </row>
    <row r="841" spans="1:9" x14ac:dyDescent="0.25">
      <c r="A841" s="2" t="s">
        <v>5235</v>
      </c>
      <c r="B841" s="2" t="s">
        <v>5236</v>
      </c>
      <c r="C841" s="2" t="s">
        <v>5237</v>
      </c>
      <c r="D841" s="2" t="s">
        <v>5238</v>
      </c>
      <c r="E841" s="2" t="s">
        <v>5239</v>
      </c>
      <c r="F841" s="2" t="s">
        <v>207</v>
      </c>
      <c r="G841" s="2" t="s">
        <v>19</v>
      </c>
      <c r="H841" s="2">
        <v>93907</v>
      </c>
      <c r="I841" t="s">
        <v>6191</v>
      </c>
    </row>
    <row r="842" spans="1:9" x14ac:dyDescent="0.25">
      <c r="A842" s="2" t="s">
        <v>5241</v>
      </c>
      <c r="B842" s="2" t="s">
        <v>5242</v>
      </c>
      <c r="C842" s="2" t="s">
        <v>5243</v>
      </c>
      <c r="D842" s="2" t="s">
        <v>5244</v>
      </c>
      <c r="E842" s="2" t="s">
        <v>5245</v>
      </c>
      <c r="F842" s="2" t="s">
        <v>271</v>
      </c>
      <c r="G842" s="2" t="s">
        <v>19</v>
      </c>
      <c r="H842" s="2">
        <v>33345</v>
      </c>
      <c r="I842" t="s">
        <v>6190</v>
      </c>
    </row>
    <row r="843" spans="1:9" x14ac:dyDescent="0.25">
      <c r="A843" s="2" t="s">
        <v>5247</v>
      </c>
      <c r="B843" s="2" t="s">
        <v>5248</v>
      </c>
      <c r="C843" s="2" t="s">
        <v>5249</v>
      </c>
      <c r="D843" s="2"/>
      <c r="E843" s="2" t="s">
        <v>5250</v>
      </c>
      <c r="F843" s="2" t="s">
        <v>50</v>
      </c>
      <c r="G843" s="2" t="s">
        <v>19</v>
      </c>
      <c r="H843" s="2">
        <v>88553</v>
      </c>
      <c r="I843" t="s">
        <v>6191</v>
      </c>
    </row>
    <row r="844" spans="1:9" x14ac:dyDescent="0.25">
      <c r="A844" s="2" t="s">
        <v>5252</v>
      </c>
      <c r="B844" s="2" t="s">
        <v>5253</v>
      </c>
      <c r="C844" s="2" t="s">
        <v>5254</v>
      </c>
      <c r="D844" s="2"/>
      <c r="E844" s="2" t="s">
        <v>5255</v>
      </c>
      <c r="F844" s="2" t="s">
        <v>446</v>
      </c>
      <c r="G844" s="2" t="s">
        <v>19</v>
      </c>
      <c r="H844" s="2">
        <v>91210</v>
      </c>
      <c r="I844" t="s">
        <v>6190</v>
      </c>
    </row>
    <row r="845" spans="1:9" x14ac:dyDescent="0.25">
      <c r="A845" s="2" t="s">
        <v>5257</v>
      </c>
      <c r="B845" s="2" t="s">
        <v>5258</v>
      </c>
      <c r="C845" s="2" t="s">
        <v>5259</v>
      </c>
      <c r="D845" s="2" t="s">
        <v>5260</v>
      </c>
      <c r="E845" s="2" t="s">
        <v>5261</v>
      </c>
      <c r="F845" s="2" t="s">
        <v>164</v>
      </c>
      <c r="G845" s="2" t="s">
        <v>19</v>
      </c>
      <c r="H845" s="2">
        <v>22313</v>
      </c>
      <c r="I845" t="s">
        <v>6190</v>
      </c>
    </row>
    <row r="846" spans="1:9" x14ac:dyDescent="0.25">
      <c r="A846" s="2" t="s">
        <v>5263</v>
      </c>
      <c r="B846" s="2" t="s">
        <v>5264</v>
      </c>
      <c r="C846" s="2" t="s">
        <v>5265</v>
      </c>
      <c r="D846" s="2" t="s">
        <v>5266</v>
      </c>
      <c r="E846" s="2" t="s">
        <v>5267</v>
      </c>
      <c r="F846" s="2" t="s">
        <v>20</v>
      </c>
      <c r="G846" s="2" t="s">
        <v>19</v>
      </c>
      <c r="H846" s="2">
        <v>21290</v>
      </c>
      <c r="I846" t="s">
        <v>6190</v>
      </c>
    </row>
    <row r="847" spans="1:9" x14ac:dyDescent="0.25">
      <c r="A847" s="2" t="s">
        <v>5269</v>
      </c>
      <c r="B847" s="2" t="s">
        <v>5270</v>
      </c>
      <c r="C847" s="2" t="s">
        <v>5271</v>
      </c>
      <c r="D847" s="2"/>
      <c r="E847" s="2" t="s">
        <v>5272</v>
      </c>
      <c r="F847" s="2" t="s">
        <v>95</v>
      </c>
      <c r="G847" s="2" t="s">
        <v>19</v>
      </c>
      <c r="H847" s="2">
        <v>47732</v>
      </c>
      <c r="I847" t="s">
        <v>6191</v>
      </c>
    </row>
    <row r="848" spans="1:9" x14ac:dyDescent="0.25">
      <c r="A848" s="2" t="s">
        <v>5274</v>
      </c>
      <c r="B848" s="2" t="s">
        <v>5275</v>
      </c>
      <c r="C848" s="2"/>
      <c r="D848" s="2" t="s">
        <v>5276</v>
      </c>
      <c r="E848" s="2" t="s">
        <v>5277</v>
      </c>
      <c r="F848" s="2" t="s">
        <v>259</v>
      </c>
      <c r="G848" s="2" t="s">
        <v>19</v>
      </c>
      <c r="H848" s="2">
        <v>30045</v>
      </c>
      <c r="I848" t="s">
        <v>6190</v>
      </c>
    </row>
    <row r="849" spans="1:9" x14ac:dyDescent="0.25">
      <c r="A849" s="2" t="s">
        <v>5279</v>
      </c>
      <c r="B849" s="2" t="s">
        <v>5280</v>
      </c>
      <c r="C849" s="2" t="s">
        <v>5281</v>
      </c>
      <c r="D849" s="2"/>
      <c r="E849" s="2" t="s">
        <v>5282</v>
      </c>
      <c r="F849" s="2" t="s">
        <v>119</v>
      </c>
      <c r="G849" s="2" t="s">
        <v>19</v>
      </c>
      <c r="H849" s="2">
        <v>36670</v>
      </c>
      <c r="I849" t="s">
        <v>6190</v>
      </c>
    </row>
    <row r="850" spans="1:9" x14ac:dyDescent="0.25">
      <c r="A850" s="2" t="s">
        <v>5284</v>
      </c>
      <c r="B850" s="2" t="s">
        <v>5285</v>
      </c>
      <c r="C850" s="2"/>
      <c r="D850" s="2" t="s">
        <v>5286</v>
      </c>
      <c r="E850" s="2" t="s">
        <v>5287</v>
      </c>
      <c r="F850" s="2" t="s">
        <v>212</v>
      </c>
      <c r="G850" s="2" t="s">
        <v>19</v>
      </c>
      <c r="H850" s="2">
        <v>79705</v>
      </c>
      <c r="I850" t="s">
        <v>6191</v>
      </c>
    </row>
    <row r="851" spans="1:9" x14ac:dyDescent="0.25">
      <c r="A851" s="2" t="s">
        <v>5289</v>
      </c>
      <c r="B851" s="2" t="s">
        <v>5290</v>
      </c>
      <c r="C851" s="2" t="s">
        <v>5291</v>
      </c>
      <c r="D851" s="2" t="s">
        <v>5292</v>
      </c>
      <c r="E851" s="2" t="s">
        <v>5293</v>
      </c>
      <c r="F851" s="2" t="s">
        <v>136</v>
      </c>
      <c r="G851" s="2" t="s">
        <v>19</v>
      </c>
      <c r="H851" s="2">
        <v>33023</v>
      </c>
      <c r="I851" t="s">
        <v>6190</v>
      </c>
    </row>
    <row r="852" spans="1:9" x14ac:dyDescent="0.25">
      <c r="A852" s="2" t="s">
        <v>5294</v>
      </c>
      <c r="B852" s="2" t="s">
        <v>5295</v>
      </c>
      <c r="C852" s="2" t="s">
        <v>5296</v>
      </c>
      <c r="D852" s="2" t="s">
        <v>5297</v>
      </c>
      <c r="E852" s="2" t="s">
        <v>5298</v>
      </c>
      <c r="F852" s="2" t="s">
        <v>148</v>
      </c>
      <c r="G852" s="2" t="s">
        <v>19</v>
      </c>
      <c r="H852" s="2">
        <v>66611</v>
      </c>
      <c r="I852" t="s">
        <v>6190</v>
      </c>
    </row>
    <row r="853" spans="1:9" x14ac:dyDescent="0.25">
      <c r="A853" s="2" t="s">
        <v>5300</v>
      </c>
      <c r="B853" s="2" t="s">
        <v>5301</v>
      </c>
      <c r="C853" s="2" t="s">
        <v>5302</v>
      </c>
      <c r="D853" s="2" t="s">
        <v>5303</v>
      </c>
      <c r="E853" s="2" t="s">
        <v>5304</v>
      </c>
      <c r="F853" s="2" t="s">
        <v>237</v>
      </c>
      <c r="G853" s="2" t="s">
        <v>19</v>
      </c>
      <c r="H853" s="2">
        <v>95973</v>
      </c>
      <c r="I853" t="s">
        <v>6190</v>
      </c>
    </row>
    <row r="854" spans="1:9" x14ac:dyDescent="0.25">
      <c r="A854" s="2" t="s">
        <v>5306</v>
      </c>
      <c r="B854" s="2" t="s">
        <v>5307</v>
      </c>
      <c r="C854" s="2" t="s">
        <v>5308</v>
      </c>
      <c r="D854" s="2"/>
      <c r="E854" s="2" t="s">
        <v>5309</v>
      </c>
      <c r="F854" s="2" t="s">
        <v>123</v>
      </c>
      <c r="G854" s="2" t="s">
        <v>19</v>
      </c>
      <c r="H854" s="2">
        <v>78737</v>
      </c>
      <c r="I854" t="s">
        <v>6190</v>
      </c>
    </row>
    <row r="855" spans="1:9" x14ac:dyDescent="0.25">
      <c r="A855" s="2" t="s">
        <v>5311</v>
      </c>
      <c r="B855" s="2" t="s">
        <v>5312</v>
      </c>
      <c r="C855" s="2" t="s">
        <v>5313</v>
      </c>
      <c r="D855" s="2"/>
      <c r="E855" s="2" t="s">
        <v>5314</v>
      </c>
      <c r="F855" s="2" t="s">
        <v>50</v>
      </c>
      <c r="G855" s="2" t="s">
        <v>19</v>
      </c>
      <c r="H855" s="2">
        <v>88546</v>
      </c>
      <c r="I855" t="s">
        <v>6191</v>
      </c>
    </row>
    <row r="856" spans="1:9" x14ac:dyDescent="0.25">
      <c r="A856" s="2" t="s">
        <v>5316</v>
      </c>
      <c r="B856" s="2" t="s">
        <v>5317</v>
      </c>
      <c r="C856" s="2" t="s">
        <v>5318</v>
      </c>
      <c r="D856" s="2" t="s">
        <v>5319</v>
      </c>
      <c r="E856" s="2" t="s">
        <v>5320</v>
      </c>
      <c r="F856" s="2" t="s">
        <v>48</v>
      </c>
      <c r="G856" s="2" t="s">
        <v>19</v>
      </c>
      <c r="H856" s="2">
        <v>25326</v>
      </c>
      <c r="I856" t="s">
        <v>6190</v>
      </c>
    </row>
    <row r="857" spans="1:9" x14ac:dyDescent="0.25">
      <c r="A857" s="2" t="s">
        <v>5322</v>
      </c>
      <c r="B857" s="2" t="s">
        <v>5323</v>
      </c>
      <c r="C857" s="2" t="s">
        <v>5324</v>
      </c>
      <c r="D857" s="2" t="s">
        <v>5325</v>
      </c>
      <c r="E857" s="2" t="s">
        <v>5326</v>
      </c>
      <c r="F857" s="2" t="s">
        <v>313</v>
      </c>
      <c r="G857" s="2" t="s">
        <v>19</v>
      </c>
      <c r="H857" s="2">
        <v>18105</v>
      </c>
      <c r="I857" t="s">
        <v>6191</v>
      </c>
    </row>
    <row r="858" spans="1:9" x14ac:dyDescent="0.25">
      <c r="A858" s="2" t="s">
        <v>5328</v>
      </c>
      <c r="B858" s="2" t="s">
        <v>5329</v>
      </c>
      <c r="C858" s="2" t="s">
        <v>5330</v>
      </c>
      <c r="D858" s="2" t="s">
        <v>5331</v>
      </c>
      <c r="E858" s="2" t="s">
        <v>5332</v>
      </c>
      <c r="F858" s="2" t="s">
        <v>180</v>
      </c>
      <c r="G858" s="2" t="s">
        <v>28</v>
      </c>
      <c r="H858" s="2" t="s">
        <v>314</v>
      </c>
      <c r="I858" t="s">
        <v>6190</v>
      </c>
    </row>
    <row r="859" spans="1:9" x14ac:dyDescent="0.25">
      <c r="A859" s="2" t="s">
        <v>5334</v>
      </c>
      <c r="B859" s="2" t="s">
        <v>5335</v>
      </c>
      <c r="C859" s="2" t="s">
        <v>5336</v>
      </c>
      <c r="D859" s="2" t="s">
        <v>5337</v>
      </c>
      <c r="E859" s="2" t="s">
        <v>5338</v>
      </c>
      <c r="F859" s="2" t="s">
        <v>309</v>
      </c>
      <c r="G859" s="2" t="s">
        <v>19</v>
      </c>
      <c r="H859" s="2">
        <v>34643</v>
      </c>
      <c r="I859" t="s">
        <v>6191</v>
      </c>
    </row>
    <row r="860" spans="1:9" x14ac:dyDescent="0.25">
      <c r="A860" s="2" t="s">
        <v>5340</v>
      </c>
      <c r="B860" s="2" t="s">
        <v>5341</v>
      </c>
      <c r="C860" s="2" t="s">
        <v>5342</v>
      </c>
      <c r="D860" s="2" t="s">
        <v>5343</v>
      </c>
      <c r="E860" s="2" t="s">
        <v>5344</v>
      </c>
      <c r="F860" s="2" t="s">
        <v>97</v>
      </c>
      <c r="G860" s="2" t="s">
        <v>19</v>
      </c>
      <c r="H860" s="2">
        <v>58122</v>
      </c>
      <c r="I860" t="s">
        <v>6191</v>
      </c>
    </row>
    <row r="861" spans="1:9" x14ac:dyDescent="0.25">
      <c r="A861" s="2" t="s">
        <v>5346</v>
      </c>
      <c r="B861" s="2" t="s">
        <v>5347</v>
      </c>
      <c r="C861" s="2" t="s">
        <v>5348</v>
      </c>
      <c r="D861" s="2" t="s">
        <v>5349</v>
      </c>
      <c r="E861" s="2" t="s">
        <v>5350</v>
      </c>
      <c r="F861" s="2" t="s">
        <v>4511</v>
      </c>
      <c r="G861" s="2" t="s">
        <v>19</v>
      </c>
      <c r="H861" s="2">
        <v>72905</v>
      </c>
      <c r="I861" t="s">
        <v>6191</v>
      </c>
    </row>
    <row r="862" spans="1:9" x14ac:dyDescent="0.25">
      <c r="A862" s="2" t="s">
        <v>5352</v>
      </c>
      <c r="B862" s="2" t="s">
        <v>5353</v>
      </c>
      <c r="C862" s="2"/>
      <c r="D862" s="2" t="s">
        <v>5354</v>
      </c>
      <c r="E862" s="2" t="s">
        <v>5355</v>
      </c>
      <c r="F862" s="2" t="s">
        <v>319</v>
      </c>
      <c r="G862" s="2" t="s">
        <v>19</v>
      </c>
      <c r="H862" s="2">
        <v>33811</v>
      </c>
      <c r="I862" t="s">
        <v>6191</v>
      </c>
    </row>
    <row r="863" spans="1:9" x14ac:dyDescent="0.25">
      <c r="A863" s="2" t="s">
        <v>5357</v>
      </c>
      <c r="B863" s="2" t="s">
        <v>5358</v>
      </c>
      <c r="C863" s="2" t="s">
        <v>5359</v>
      </c>
      <c r="D863" s="2" t="s">
        <v>5360</v>
      </c>
      <c r="E863" s="2" t="s">
        <v>5361</v>
      </c>
      <c r="F863" s="2" t="s">
        <v>49</v>
      </c>
      <c r="G863" s="2" t="s">
        <v>19</v>
      </c>
      <c r="H863" s="2">
        <v>37924</v>
      </c>
      <c r="I863" t="s">
        <v>6190</v>
      </c>
    </row>
    <row r="864" spans="1:9" x14ac:dyDescent="0.25">
      <c r="A864" s="2" t="s">
        <v>5363</v>
      </c>
      <c r="B864" s="2" t="s">
        <v>5364</v>
      </c>
      <c r="C864" s="2" t="s">
        <v>5365</v>
      </c>
      <c r="D864" s="2" t="s">
        <v>5366</v>
      </c>
      <c r="E864" s="2" t="s">
        <v>5367</v>
      </c>
      <c r="F864" s="2" t="s">
        <v>27</v>
      </c>
      <c r="G864" s="2" t="s">
        <v>19</v>
      </c>
      <c r="H864" s="2">
        <v>90030</v>
      </c>
      <c r="I864" t="s">
        <v>6190</v>
      </c>
    </row>
    <row r="865" spans="1:9" x14ac:dyDescent="0.25">
      <c r="A865" s="2" t="s">
        <v>5369</v>
      </c>
      <c r="B865" s="2" t="s">
        <v>5370</v>
      </c>
      <c r="C865" s="2" t="s">
        <v>5371</v>
      </c>
      <c r="D865" s="2" t="s">
        <v>5372</v>
      </c>
      <c r="E865" s="2" t="s">
        <v>5373</v>
      </c>
      <c r="F865" s="2" t="s">
        <v>92</v>
      </c>
      <c r="G865" s="2" t="s">
        <v>19</v>
      </c>
      <c r="H865" s="2">
        <v>33169</v>
      </c>
      <c r="I865" t="s">
        <v>6190</v>
      </c>
    </row>
    <row r="866" spans="1:9" x14ac:dyDescent="0.25">
      <c r="A866" s="2" t="s">
        <v>5375</v>
      </c>
      <c r="B866" s="2" t="s">
        <v>5376</v>
      </c>
      <c r="C866" s="2" t="s">
        <v>5377</v>
      </c>
      <c r="D866" s="2" t="s">
        <v>5378</v>
      </c>
      <c r="E866" s="2" t="s">
        <v>5379</v>
      </c>
      <c r="F866" s="2" t="s">
        <v>483</v>
      </c>
      <c r="G866" s="2" t="s">
        <v>318</v>
      </c>
      <c r="H866" s="2" t="s">
        <v>484</v>
      </c>
      <c r="I866" t="s">
        <v>6191</v>
      </c>
    </row>
    <row r="867" spans="1:9" x14ac:dyDescent="0.25">
      <c r="A867" s="2" t="s">
        <v>5381</v>
      </c>
      <c r="B867" s="2" t="s">
        <v>5382</v>
      </c>
      <c r="C867" s="2"/>
      <c r="D867" s="2" t="s">
        <v>5383</v>
      </c>
      <c r="E867" s="2" t="s">
        <v>5384</v>
      </c>
      <c r="F867" s="2" t="s">
        <v>56</v>
      </c>
      <c r="G867" s="2" t="s">
        <v>19</v>
      </c>
      <c r="H867" s="2">
        <v>60604</v>
      </c>
      <c r="I867" t="s">
        <v>6190</v>
      </c>
    </row>
    <row r="868" spans="1:9" x14ac:dyDescent="0.25">
      <c r="A868" s="2" t="s">
        <v>5386</v>
      </c>
      <c r="B868" s="2" t="s">
        <v>5387</v>
      </c>
      <c r="C868" s="2" t="s">
        <v>5388</v>
      </c>
      <c r="D868" s="2" t="s">
        <v>5389</v>
      </c>
      <c r="E868" s="2" t="s">
        <v>5390</v>
      </c>
      <c r="F868" s="2" t="s">
        <v>445</v>
      </c>
      <c r="G868" s="2" t="s">
        <v>318</v>
      </c>
      <c r="H868" s="2" t="s">
        <v>388</v>
      </c>
      <c r="I868" t="s">
        <v>6191</v>
      </c>
    </row>
    <row r="869" spans="1:9" x14ac:dyDescent="0.25">
      <c r="A869" s="2" t="s">
        <v>5392</v>
      </c>
      <c r="B869" s="2" t="s">
        <v>5393</v>
      </c>
      <c r="C869" s="2" t="s">
        <v>5394</v>
      </c>
      <c r="D869" s="2"/>
      <c r="E869" s="2" t="s">
        <v>5395</v>
      </c>
      <c r="F869" s="2" t="s">
        <v>478</v>
      </c>
      <c r="G869" s="2" t="s">
        <v>318</v>
      </c>
      <c r="H869" s="2" t="s">
        <v>479</v>
      </c>
      <c r="I869" t="s">
        <v>6190</v>
      </c>
    </row>
    <row r="870" spans="1:9" x14ac:dyDescent="0.25">
      <c r="A870" s="2" t="s">
        <v>5397</v>
      </c>
      <c r="B870" s="2" t="s">
        <v>5398</v>
      </c>
      <c r="C870" s="2" t="s">
        <v>5399</v>
      </c>
      <c r="D870" s="2" t="s">
        <v>5400</v>
      </c>
      <c r="E870" s="2" t="s">
        <v>5401</v>
      </c>
      <c r="F870" s="2" t="s">
        <v>121</v>
      </c>
      <c r="G870" s="2" t="s">
        <v>19</v>
      </c>
      <c r="H870" s="2">
        <v>33064</v>
      </c>
      <c r="I870" t="s">
        <v>6190</v>
      </c>
    </row>
    <row r="871" spans="1:9" x14ac:dyDescent="0.25">
      <c r="A871" s="2" t="s">
        <v>5403</v>
      </c>
      <c r="B871" s="2" t="s">
        <v>5404</v>
      </c>
      <c r="C871" s="2"/>
      <c r="D871" s="2" t="s">
        <v>5405</v>
      </c>
      <c r="E871" s="2" t="s">
        <v>5406</v>
      </c>
      <c r="F871" s="2" t="s">
        <v>131</v>
      </c>
      <c r="G871" s="2" t="s">
        <v>19</v>
      </c>
      <c r="H871" s="2">
        <v>94297</v>
      </c>
      <c r="I871" t="s">
        <v>6190</v>
      </c>
    </row>
    <row r="872" spans="1:9" x14ac:dyDescent="0.25">
      <c r="A872" s="2" t="s">
        <v>5408</v>
      </c>
      <c r="B872" s="2" t="s">
        <v>5409</v>
      </c>
      <c r="C872" s="2" t="s">
        <v>5410</v>
      </c>
      <c r="D872" s="2" t="s">
        <v>5411</v>
      </c>
      <c r="E872" s="2" t="s">
        <v>5412</v>
      </c>
      <c r="F872" s="2" t="s">
        <v>347</v>
      </c>
      <c r="G872" s="2" t="s">
        <v>318</v>
      </c>
      <c r="H872" s="2" t="s">
        <v>348</v>
      </c>
      <c r="I872" t="s">
        <v>6190</v>
      </c>
    </row>
    <row r="873" spans="1:9" x14ac:dyDescent="0.25">
      <c r="A873" s="2" t="s">
        <v>5414</v>
      </c>
      <c r="B873" s="2" t="s">
        <v>5415</v>
      </c>
      <c r="C873" s="2" t="s">
        <v>5416</v>
      </c>
      <c r="D873" s="2" t="s">
        <v>5417</v>
      </c>
      <c r="E873" s="2" t="s">
        <v>5418</v>
      </c>
      <c r="F873" s="2" t="s">
        <v>5419</v>
      </c>
      <c r="G873" s="2" t="s">
        <v>28</v>
      </c>
      <c r="H873" s="2" t="s">
        <v>5420</v>
      </c>
      <c r="I873" t="s">
        <v>6190</v>
      </c>
    </row>
    <row r="874" spans="1:9" x14ac:dyDescent="0.25">
      <c r="A874" s="2" t="s">
        <v>5422</v>
      </c>
      <c r="B874" s="2" t="s">
        <v>5423</v>
      </c>
      <c r="C874" s="2" t="s">
        <v>5424</v>
      </c>
      <c r="D874" s="2" t="s">
        <v>5425</v>
      </c>
      <c r="E874" s="2" t="s">
        <v>5426</v>
      </c>
      <c r="F874" s="2" t="s">
        <v>171</v>
      </c>
      <c r="G874" s="2" t="s">
        <v>19</v>
      </c>
      <c r="H874" s="2">
        <v>28805</v>
      </c>
      <c r="I874" t="s">
        <v>6191</v>
      </c>
    </row>
    <row r="875" spans="1:9" x14ac:dyDescent="0.25">
      <c r="A875" s="2" t="s">
        <v>5428</v>
      </c>
      <c r="B875" s="2" t="s">
        <v>5429</v>
      </c>
      <c r="C875" s="2" t="s">
        <v>5430</v>
      </c>
      <c r="D875" s="2" t="s">
        <v>5431</v>
      </c>
      <c r="E875" s="2" t="s">
        <v>5432</v>
      </c>
      <c r="F875" s="2" t="s">
        <v>48</v>
      </c>
      <c r="G875" s="2" t="s">
        <v>19</v>
      </c>
      <c r="H875" s="2">
        <v>25362</v>
      </c>
      <c r="I875" t="s">
        <v>6190</v>
      </c>
    </row>
    <row r="876" spans="1:9" x14ac:dyDescent="0.25">
      <c r="A876" s="2" t="s">
        <v>5434</v>
      </c>
      <c r="B876" s="2" t="s">
        <v>5435</v>
      </c>
      <c r="C876" s="2" t="s">
        <v>5436</v>
      </c>
      <c r="D876" s="2" t="s">
        <v>5437</v>
      </c>
      <c r="E876" s="2" t="s">
        <v>5438</v>
      </c>
      <c r="F876" s="2" t="s">
        <v>63</v>
      </c>
      <c r="G876" s="2" t="s">
        <v>19</v>
      </c>
      <c r="H876" s="2">
        <v>77281</v>
      </c>
      <c r="I876" t="s">
        <v>6191</v>
      </c>
    </row>
    <row r="877" spans="1:9" x14ac:dyDescent="0.25">
      <c r="A877" s="2" t="s">
        <v>5440</v>
      </c>
      <c r="B877" s="2" t="s">
        <v>5441</v>
      </c>
      <c r="C877" s="2" t="s">
        <v>5442</v>
      </c>
      <c r="D877" s="2" t="s">
        <v>5443</v>
      </c>
      <c r="E877" s="2" t="s">
        <v>5444</v>
      </c>
      <c r="F877" s="2" t="s">
        <v>384</v>
      </c>
      <c r="G877" s="2" t="s">
        <v>318</v>
      </c>
      <c r="H877" s="2" t="s">
        <v>369</v>
      </c>
      <c r="I877" t="s">
        <v>6191</v>
      </c>
    </row>
    <row r="878" spans="1:9" x14ac:dyDescent="0.25">
      <c r="A878" s="2" t="s">
        <v>5445</v>
      </c>
      <c r="B878" s="2" t="s">
        <v>5446</v>
      </c>
      <c r="C878" s="2" t="s">
        <v>5447</v>
      </c>
      <c r="D878" s="2" t="s">
        <v>5448</v>
      </c>
      <c r="E878" s="2" t="s">
        <v>5449</v>
      </c>
      <c r="F878" s="2" t="s">
        <v>47</v>
      </c>
      <c r="G878" s="2" t="s">
        <v>19</v>
      </c>
      <c r="H878" s="2">
        <v>20575</v>
      </c>
      <c r="I878" t="s">
        <v>6190</v>
      </c>
    </row>
    <row r="879" spans="1:9" x14ac:dyDescent="0.25">
      <c r="A879" s="2" t="s">
        <v>5451</v>
      </c>
      <c r="B879" s="2" t="s">
        <v>5452</v>
      </c>
      <c r="C879" s="2" t="s">
        <v>5453</v>
      </c>
      <c r="D879" s="2" t="s">
        <v>5454</v>
      </c>
      <c r="E879" s="2" t="s">
        <v>5455</v>
      </c>
      <c r="F879" s="2" t="s">
        <v>199</v>
      </c>
      <c r="G879" s="2" t="s">
        <v>19</v>
      </c>
      <c r="H879" s="2">
        <v>7195</v>
      </c>
      <c r="I879" t="s">
        <v>6191</v>
      </c>
    </row>
    <row r="880" spans="1:9" x14ac:dyDescent="0.25">
      <c r="A880" s="2" t="s">
        <v>5457</v>
      </c>
      <c r="B880" s="2" t="s">
        <v>5458</v>
      </c>
      <c r="C880" s="2"/>
      <c r="D880" s="2" t="s">
        <v>5459</v>
      </c>
      <c r="E880" s="2" t="s">
        <v>5460</v>
      </c>
      <c r="F880" s="2" t="s">
        <v>105</v>
      </c>
      <c r="G880" s="2" t="s">
        <v>19</v>
      </c>
      <c r="H880" s="2">
        <v>98195</v>
      </c>
      <c r="I880" t="s">
        <v>6190</v>
      </c>
    </row>
    <row r="881" spans="1:9" x14ac:dyDescent="0.25">
      <c r="A881" s="2" t="s">
        <v>5462</v>
      </c>
      <c r="B881" s="2" t="s">
        <v>5463</v>
      </c>
      <c r="C881" s="2"/>
      <c r="D881" s="2" t="s">
        <v>5464</v>
      </c>
      <c r="E881" s="2" t="s">
        <v>5465</v>
      </c>
      <c r="F881" s="2" t="s">
        <v>157</v>
      </c>
      <c r="G881" s="2" t="s">
        <v>19</v>
      </c>
      <c r="H881" s="2">
        <v>80150</v>
      </c>
      <c r="I881" t="s">
        <v>6191</v>
      </c>
    </row>
    <row r="882" spans="1:9" x14ac:dyDescent="0.25">
      <c r="A882" s="2" t="s">
        <v>5467</v>
      </c>
      <c r="B882" s="2" t="s">
        <v>5468</v>
      </c>
      <c r="C882" s="2" t="s">
        <v>5469</v>
      </c>
      <c r="D882" s="2" t="s">
        <v>5470</v>
      </c>
      <c r="E882" s="2" t="s">
        <v>5471</v>
      </c>
      <c r="F882" s="2" t="s">
        <v>156</v>
      </c>
      <c r="G882" s="2" t="s">
        <v>19</v>
      </c>
      <c r="H882" s="2">
        <v>61105</v>
      </c>
      <c r="I882" t="s">
        <v>6191</v>
      </c>
    </row>
    <row r="883" spans="1:9" x14ac:dyDescent="0.25">
      <c r="A883" s="2" t="s">
        <v>5473</v>
      </c>
      <c r="B883" s="2" t="s">
        <v>5474</v>
      </c>
      <c r="C883" s="2"/>
      <c r="D883" s="2" t="s">
        <v>5475</v>
      </c>
      <c r="E883" s="2" t="s">
        <v>5476</v>
      </c>
      <c r="F883" s="2" t="s">
        <v>252</v>
      </c>
      <c r="G883" s="2" t="s">
        <v>19</v>
      </c>
      <c r="H883" s="2">
        <v>59112</v>
      </c>
      <c r="I883" t="s">
        <v>6190</v>
      </c>
    </row>
    <row r="884" spans="1:9" x14ac:dyDescent="0.25">
      <c r="A884" s="2" t="s">
        <v>5478</v>
      </c>
      <c r="B884" s="2" t="s">
        <v>5479</v>
      </c>
      <c r="C884" s="2" t="s">
        <v>5480</v>
      </c>
      <c r="D884" s="2" t="s">
        <v>5481</v>
      </c>
      <c r="E884" s="2" t="s">
        <v>5482</v>
      </c>
      <c r="F884" s="2" t="s">
        <v>84</v>
      </c>
      <c r="G884" s="2" t="s">
        <v>19</v>
      </c>
      <c r="H884" s="2">
        <v>31165</v>
      </c>
      <c r="I884" t="s">
        <v>6191</v>
      </c>
    </row>
    <row r="885" spans="1:9" x14ac:dyDescent="0.25">
      <c r="A885" s="2" t="s">
        <v>5484</v>
      </c>
      <c r="B885" s="2" t="s">
        <v>5485</v>
      </c>
      <c r="C885" s="2" t="s">
        <v>5486</v>
      </c>
      <c r="D885" s="2" t="s">
        <v>5487</v>
      </c>
      <c r="E885" s="2" t="s">
        <v>5488</v>
      </c>
      <c r="F885" s="2" t="s">
        <v>90</v>
      </c>
      <c r="G885" s="2" t="s">
        <v>19</v>
      </c>
      <c r="H885" s="2">
        <v>74108</v>
      </c>
      <c r="I885" t="s">
        <v>6190</v>
      </c>
    </row>
    <row r="886" spans="1:9" x14ac:dyDescent="0.25">
      <c r="A886" s="2" t="s">
        <v>5490</v>
      </c>
      <c r="B886" s="2" t="s">
        <v>5491</v>
      </c>
      <c r="C886" s="2" t="s">
        <v>5492</v>
      </c>
      <c r="D886" s="2" t="s">
        <v>5493</v>
      </c>
      <c r="E886" s="2" t="s">
        <v>5494</v>
      </c>
      <c r="F886" s="2" t="s">
        <v>30</v>
      </c>
      <c r="G886" s="2" t="s">
        <v>19</v>
      </c>
      <c r="H886" s="2">
        <v>93704</v>
      </c>
      <c r="I886" t="s">
        <v>6190</v>
      </c>
    </row>
    <row r="887" spans="1:9" x14ac:dyDescent="0.25">
      <c r="A887" s="2" t="s">
        <v>5496</v>
      </c>
      <c r="B887" s="2" t="s">
        <v>5497</v>
      </c>
      <c r="C887" s="2" t="s">
        <v>5498</v>
      </c>
      <c r="D887" s="2" t="s">
        <v>5499</v>
      </c>
      <c r="E887" s="2" t="s">
        <v>5500</v>
      </c>
      <c r="F887" s="2" t="s">
        <v>464</v>
      </c>
      <c r="G887" s="2" t="s">
        <v>318</v>
      </c>
      <c r="H887" s="2" t="s">
        <v>321</v>
      </c>
      <c r="I887" t="s">
        <v>6191</v>
      </c>
    </row>
    <row r="888" spans="1:9" x14ac:dyDescent="0.25">
      <c r="A888" s="2" t="s">
        <v>5502</v>
      </c>
      <c r="B888" s="2" t="s">
        <v>5503</v>
      </c>
      <c r="C888" s="2" t="s">
        <v>5504</v>
      </c>
      <c r="D888" s="2" t="s">
        <v>5505</v>
      </c>
      <c r="E888" s="2" t="s">
        <v>5506</v>
      </c>
      <c r="F888" s="2" t="s">
        <v>150</v>
      </c>
      <c r="G888" s="2" t="s">
        <v>19</v>
      </c>
      <c r="H888" s="2">
        <v>94154</v>
      </c>
      <c r="I888" t="s">
        <v>6191</v>
      </c>
    </row>
    <row r="889" spans="1:9" x14ac:dyDescent="0.25">
      <c r="A889" s="2" t="s">
        <v>5508</v>
      </c>
      <c r="B889" s="2" t="s">
        <v>5509</v>
      </c>
      <c r="C889" s="2" t="s">
        <v>5510</v>
      </c>
      <c r="D889" s="2" t="s">
        <v>5511</v>
      </c>
      <c r="E889" s="2" t="s">
        <v>5512</v>
      </c>
      <c r="F889" s="2" t="s">
        <v>119</v>
      </c>
      <c r="G889" s="2" t="s">
        <v>19</v>
      </c>
      <c r="H889" s="2">
        <v>36689</v>
      </c>
      <c r="I889" t="s">
        <v>6191</v>
      </c>
    </row>
    <row r="890" spans="1:9" x14ac:dyDescent="0.25">
      <c r="A890" s="2" t="s">
        <v>5514</v>
      </c>
      <c r="B890" s="2" t="s">
        <v>5515</v>
      </c>
      <c r="C890" s="2" t="s">
        <v>5516</v>
      </c>
      <c r="D890" s="2" t="s">
        <v>5517</v>
      </c>
      <c r="E890" s="2" t="s">
        <v>5518</v>
      </c>
      <c r="F890" s="2" t="s">
        <v>150</v>
      </c>
      <c r="G890" s="2" t="s">
        <v>19</v>
      </c>
      <c r="H890" s="2">
        <v>94110</v>
      </c>
      <c r="I890" t="s">
        <v>6190</v>
      </c>
    </row>
    <row r="891" spans="1:9" x14ac:dyDescent="0.25">
      <c r="A891" s="2" t="s">
        <v>5520</v>
      </c>
      <c r="B891" s="2" t="s">
        <v>5521</v>
      </c>
      <c r="C891" s="2" t="s">
        <v>5522</v>
      </c>
      <c r="D891" s="2" t="s">
        <v>5523</v>
      </c>
      <c r="E891" s="2" t="s">
        <v>5524</v>
      </c>
      <c r="F891" s="2" t="s">
        <v>132</v>
      </c>
      <c r="G891" s="2" t="s">
        <v>19</v>
      </c>
      <c r="H891" s="2">
        <v>11470</v>
      </c>
      <c r="I891" t="s">
        <v>6190</v>
      </c>
    </row>
    <row r="892" spans="1:9" x14ac:dyDescent="0.25">
      <c r="A892" s="2" t="s">
        <v>5526</v>
      </c>
      <c r="B892" s="2" t="s">
        <v>5527</v>
      </c>
      <c r="C892" s="2" t="s">
        <v>5528</v>
      </c>
      <c r="D892" s="2" t="s">
        <v>5529</v>
      </c>
      <c r="E892" s="2" t="s">
        <v>5530</v>
      </c>
      <c r="F892" s="2" t="s">
        <v>42</v>
      </c>
      <c r="G892" s="2" t="s">
        <v>19</v>
      </c>
      <c r="H892" s="2">
        <v>80243</v>
      </c>
      <c r="I892" t="s">
        <v>6190</v>
      </c>
    </row>
    <row r="893" spans="1:9" x14ac:dyDescent="0.25">
      <c r="A893" s="2" t="s">
        <v>5532</v>
      </c>
      <c r="B893" s="2" t="s">
        <v>5533</v>
      </c>
      <c r="C893" s="2" t="s">
        <v>5534</v>
      </c>
      <c r="D893" s="2" t="s">
        <v>5535</v>
      </c>
      <c r="E893" s="2" t="s">
        <v>5536</v>
      </c>
      <c r="F893" s="2" t="s">
        <v>58</v>
      </c>
      <c r="G893" s="2" t="s">
        <v>19</v>
      </c>
      <c r="H893" s="2">
        <v>92165</v>
      </c>
      <c r="I893" t="s">
        <v>6190</v>
      </c>
    </row>
    <row r="894" spans="1:9" x14ac:dyDescent="0.25">
      <c r="A894" s="2" t="s">
        <v>5538</v>
      </c>
      <c r="B894" s="2" t="s">
        <v>5539</v>
      </c>
      <c r="C894" s="2" t="s">
        <v>5540</v>
      </c>
      <c r="D894" s="2" t="s">
        <v>5541</v>
      </c>
      <c r="E894" s="2" t="s">
        <v>5542</v>
      </c>
      <c r="F894" s="2" t="s">
        <v>305</v>
      </c>
      <c r="G894" s="2" t="s">
        <v>28</v>
      </c>
      <c r="H894" s="2" t="s">
        <v>306</v>
      </c>
      <c r="I894" t="s">
        <v>6191</v>
      </c>
    </row>
    <row r="895" spans="1:9" x14ac:dyDescent="0.25">
      <c r="A895" s="2" t="s">
        <v>5544</v>
      </c>
      <c r="B895" s="2" t="s">
        <v>5545</v>
      </c>
      <c r="C895" s="2" t="s">
        <v>5546</v>
      </c>
      <c r="D895" s="2"/>
      <c r="E895" s="2" t="s">
        <v>5547</v>
      </c>
      <c r="F895" s="2" t="s">
        <v>108</v>
      </c>
      <c r="G895" s="2" t="s">
        <v>19</v>
      </c>
      <c r="H895" s="2">
        <v>15250</v>
      </c>
      <c r="I895" t="s">
        <v>6190</v>
      </c>
    </row>
    <row r="896" spans="1:9" x14ac:dyDescent="0.25">
      <c r="A896" s="2" t="s">
        <v>5549</v>
      </c>
      <c r="B896" s="2" t="s">
        <v>5550</v>
      </c>
      <c r="C896" s="2"/>
      <c r="D896" s="2" t="s">
        <v>5551</v>
      </c>
      <c r="E896" s="2" t="s">
        <v>5552</v>
      </c>
      <c r="F896" s="2" t="s">
        <v>481</v>
      </c>
      <c r="G896" s="2" t="s">
        <v>318</v>
      </c>
      <c r="H896" s="2" t="s">
        <v>361</v>
      </c>
      <c r="I896" t="s">
        <v>6190</v>
      </c>
    </row>
    <row r="897" spans="1:9" x14ac:dyDescent="0.25">
      <c r="A897" s="2" t="s">
        <v>5554</v>
      </c>
      <c r="B897" s="2" t="s">
        <v>5555</v>
      </c>
      <c r="C897" s="2"/>
      <c r="D897" s="2" t="s">
        <v>5556</v>
      </c>
      <c r="E897" s="2" t="s">
        <v>5557</v>
      </c>
      <c r="F897" s="2" t="s">
        <v>57</v>
      </c>
      <c r="G897" s="2" t="s">
        <v>19</v>
      </c>
      <c r="H897" s="2">
        <v>10004</v>
      </c>
      <c r="I897" t="s">
        <v>6191</v>
      </c>
    </row>
    <row r="898" spans="1:9" x14ac:dyDescent="0.25">
      <c r="A898" s="2" t="s">
        <v>5559</v>
      </c>
      <c r="B898" s="2" t="s">
        <v>5560</v>
      </c>
      <c r="C898" s="2" t="s">
        <v>5561</v>
      </c>
      <c r="D898" s="2" t="s">
        <v>5562</v>
      </c>
      <c r="E898" s="2" t="s">
        <v>5563</v>
      </c>
      <c r="F898" s="2" t="s">
        <v>105</v>
      </c>
      <c r="G898" s="2" t="s">
        <v>19</v>
      </c>
      <c r="H898" s="2">
        <v>98148</v>
      </c>
      <c r="I898" t="s">
        <v>6190</v>
      </c>
    </row>
    <row r="899" spans="1:9" x14ac:dyDescent="0.25">
      <c r="A899" s="2" t="s">
        <v>5565</v>
      </c>
      <c r="B899" s="2" t="s">
        <v>5566</v>
      </c>
      <c r="C899" s="2" t="s">
        <v>5567</v>
      </c>
      <c r="D899" s="2" t="s">
        <v>5568</v>
      </c>
      <c r="E899" s="2" t="s">
        <v>5569</v>
      </c>
      <c r="F899" s="2" t="s">
        <v>144</v>
      </c>
      <c r="G899" s="2" t="s">
        <v>28</v>
      </c>
      <c r="H899" s="2" t="s">
        <v>145</v>
      </c>
      <c r="I899" t="s">
        <v>6191</v>
      </c>
    </row>
    <row r="900" spans="1:9" x14ac:dyDescent="0.25">
      <c r="A900" s="2" t="s">
        <v>5571</v>
      </c>
      <c r="B900" s="2" t="s">
        <v>5572</v>
      </c>
      <c r="C900" s="2"/>
      <c r="D900" s="2" t="s">
        <v>5573</v>
      </c>
      <c r="E900" s="2" t="s">
        <v>5574</v>
      </c>
      <c r="F900" s="2" t="s">
        <v>276</v>
      </c>
      <c r="G900" s="2" t="s">
        <v>19</v>
      </c>
      <c r="H900" s="2">
        <v>49018</v>
      </c>
      <c r="I900" t="s">
        <v>6191</v>
      </c>
    </row>
    <row r="901" spans="1:9" x14ac:dyDescent="0.25">
      <c r="A901" s="2" t="s">
        <v>5576</v>
      </c>
      <c r="B901" s="2" t="s">
        <v>5577</v>
      </c>
      <c r="C901" s="2" t="s">
        <v>5578</v>
      </c>
      <c r="D901" s="2"/>
      <c r="E901" s="2" t="s">
        <v>5579</v>
      </c>
      <c r="F901" s="2" t="s">
        <v>437</v>
      </c>
      <c r="G901" s="2" t="s">
        <v>318</v>
      </c>
      <c r="H901" s="2" t="s">
        <v>438</v>
      </c>
      <c r="I901" t="s">
        <v>6190</v>
      </c>
    </row>
    <row r="902" spans="1:9" x14ac:dyDescent="0.25">
      <c r="A902" s="2" t="s">
        <v>5581</v>
      </c>
      <c r="B902" s="2" t="s">
        <v>5582</v>
      </c>
      <c r="C902" s="2"/>
      <c r="D902" s="2" t="s">
        <v>5583</v>
      </c>
      <c r="E902" s="2" t="s">
        <v>5584</v>
      </c>
      <c r="F902" s="2" t="s">
        <v>409</v>
      </c>
      <c r="G902" s="2" t="s">
        <v>318</v>
      </c>
      <c r="H902" s="2" t="s">
        <v>410</v>
      </c>
      <c r="I902" t="s">
        <v>6191</v>
      </c>
    </row>
    <row r="903" spans="1:9" x14ac:dyDescent="0.25">
      <c r="A903" s="2" t="s">
        <v>5586</v>
      </c>
      <c r="B903" s="2" t="s">
        <v>5587</v>
      </c>
      <c r="C903" s="2" t="s">
        <v>5588</v>
      </c>
      <c r="D903" s="2" t="s">
        <v>5589</v>
      </c>
      <c r="E903" s="2" t="s">
        <v>5590</v>
      </c>
      <c r="F903" s="2" t="s">
        <v>63</v>
      </c>
      <c r="G903" s="2" t="s">
        <v>19</v>
      </c>
      <c r="H903" s="2">
        <v>77070</v>
      </c>
      <c r="I903" t="s">
        <v>6190</v>
      </c>
    </row>
    <row r="904" spans="1:9" x14ac:dyDescent="0.25">
      <c r="A904" s="2" t="s">
        <v>5592</v>
      </c>
      <c r="B904" s="2" t="s">
        <v>5593</v>
      </c>
      <c r="C904" s="2" t="s">
        <v>5594</v>
      </c>
      <c r="D904" s="2" t="s">
        <v>5595</v>
      </c>
      <c r="E904" s="2" t="s">
        <v>5596</v>
      </c>
      <c r="F904" s="2" t="s">
        <v>51</v>
      </c>
      <c r="G904" s="2" t="s">
        <v>19</v>
      </c>
      <c r="H904" s="2">
        <v>45249</v>
      </c>
      <c r="I904" t="s">
        <v>6191</v>
      </c>
    </row>
    <row r="905" spans="1:9" x14ac:dyDescent="0.25">
      <c r="A905" s="2" t="s">
        <v>5598</v>
      </c>
      <c r="B905" s="2" t="s">
        <v>5599</v>
      </c>
      <c r="C905" s="2" t="s">
        <v>5600</v>
      </c>
      <c r="D905" s="2" t="s">
        <v>5601</v>
      </c>
      <c r="E905" s="2" t="s">
        <v>5602</v>
      </c>
      <c r="F905" s="2" t="s">
        <v>30</v>
      </c>
      <c r="G905" s="2" t="s">
        <v>19</v>
      </c>
      <c r="H905" s="2">
        <v>93704</v>
      </c>
      <c r="I905" t="s">
        <v>6191</v>
      </c>
    </row>
    <row r="906" spans="1:9" x14ac:dyDescent="0.25">
      <c r="A906" s="2" t="s">
        <v>5604</v>
      </c>
      <c r="B906" s="2" t="s">
        <v>5605</v>
      </c>
      <c r="C906" s="2" t="s">
        <v>5606</v>
      </c>
      <c r="D906" s="2" t="s">
        <v>5607</v>
      </c>
      <c r="E906" s="2" t="s">
        <v>5608</v>
      </c>
      <c r="F906" s="2" t="s">
        <v>173</v>
      </c>
      <c r="G906" s="2" t="s">
        <v>19</v>
      </c>
      <c r="H906" s="2">
        <v>55123</v>
      </c>
      <c r="I906" t="s">
        <v>6191</v>
      </c>
    </row>
    <row r="907" spans="1:9" x14ac:dyDescent="0.25">
      <c r="A907" s="2" t="s">
        <v>5610</v>
      </c>
      <c r="B907" s="2" t="s">
        <v>5611</v>
      </c>
      <c r="C907" s="2"/>
      <c r="D907" s="2" t="s">
        <v>5612</v>
      </c>
      <c r="E907" s="2" t="s">
        <v>5613</v>
      </c>
      <c r="F907" s="2" t="s">
        <v>50</v>
      </c>
      <c r="G907" s="2" t="s">
        <v>19</v>
      </c>
      <c r="H907" s="2">
        <v>88519</v>
      </c>
      <c r="I907" t="s">
        <v>6190</v>
      </c>
    </row>
    <row r="908" spans="1:9" x14ac:dyDescent="0.25">
      <c r="A908" s="2" t="s">
        <v>5615</v>
      </c>
      <c r="B908" s="2" t="s">
        <v>5616</v>
      </c>
      <c r="C908" s="2" t="s">
        <v>5617</v>
      </c>
      <c r="D908" s="2" t="s">
        <v>5618</v>
      </c>
      <c r="E908" s="2" t="s">
        <v>5619</v>
      </c>
      <c r="F908" s="2" t="s">
        <v>169</v>
      </c>
      <c r="G908" s="2" t="s">
        <v>19</v>
      </c>
      <c r="H908" s="2">
        <v>50981</v>
      </c>
      <c r="I908" t="s">
        <v>6190</v>
      </c>
    </row>
    <row r="909" spans="1:9" x14ac:dyDescent="0.25">
      <c r="A909" s="2" t="s">
        <v>5621</v>
      </c>
      <c r="B909" s="2" t="s">
        <v>5622</v>
      </c>
      <c r="C909" s="2" t="s">
        <v>5623</v>
      </c>
      <c r="D909" s="2" t="s">
        <v>5624</v>
      </c>
      <c r="E909" s="2" t="s">
        <v>5625</v>
      </c>
      <c r="F909" s="2" t="s">
        <v>189</v>
      </c>
      <c r="G909" s="2" t="s">
        <v>19</v>
      </c>
      <c r="H909" s="2">
        <v>97240</v>
      </c>
      <c r="I909" t="s">
        <v>6191</v>
      </c>
    </row>
    <row r="910" spans="1:9" x14ac:dyDescent="0.25">
      <c r="A910" s="2" t="s">
        <v>5627</v>
      </c>
      <c r="B910" s="2" t="s">
        <v>5628</v>
      </c>
      <c r="C910" s="2" t="s">
        <v>5629</v>
      </c>
      <c r="D910" s="2" t="s">
        <v>5630</v>
      </c>
      <c r="E910" s="2" t="s">
        <v>5631</v>
      </c>
      <c r="F910" s="2" t="s">
        <v>63</v>
      </c>
      <c r="G910" s="2" t="s">
        <v>19</v>
      </c>
      <c r="H910" s="2">
        <v>77070</v>
      </c>
      <c r="I910" t="s">
        <v>6191</v>
      </c>
    </row>
    <row r="911" spans="1:9" x14ac:dyDescent="0.25">
      <c r="A911" s="2" t="s">
        <v>5633</v>
      </c>
      <c r="B911" s="2" t="s">
        <v>5634</v>
      </c>
      <c r="C911" s="2"/>
      <c r="D911" s="2" t="s">
        <v>5635</v>
      </c>
      <c r="E911" s="2" t="s">
        <v>5636</v>
      </c>
      <c r="F911" s="2" t="s">
        <v>31</v>
      </c>
      <c r="G911" s="2" t="s">
        <v>19</v>
      </c>
      <c r="H911" s="2">
        <v>27705</v>
      </c>
      <c r="I911" t="s">
        <v>6191</v>
      </c>
    </row>
    <row r="912" spans="1:9" x14ac:dyDescent="0.25">
      <c r="A912" s="2" t="s">
        <v>5638</v>
      </c>
      <c r="B912" s="2" t="s">
        <v>5639</v>
      </c>
      <c r="C912" s="2" t="s">
        <v>5640</v>
      </c>
      <c r="D912" s="2" t="s">
        <v>5641</v>
      </c>
      <c r="E912" s="2" t="s">
        <v>5642</v>
      </c>
      <c r="F912" s="2" t="s">
        <v>241</v>
      </c>
      <c r="G912" s="2" t="s">
        <v>19</v>
      </c>
      <c r="H912" s="2">
        <v>2298</v>
      </c>
      <c r="I912" t="s">
        <v>6191</v>
      </c>
    </row>
    <row r="913" spans="1:9" x14ac:dyDescent="0.25">
      <c r="A913" s="2" t="s">
        <v>5644</v>
      </c>
      <c r="B913" s="2" t="s">
        <v>5645</v>
      </c>
      <c r="C913" s="2" t="s">
        <v>5646</v>
      </c>
      <c r="D913" s="2" t="s">
        <v>5647</v>
      </c>
      <c r="E913" s="2" t="s">
        <v>5648</v>
      </c>
      <c r="F913" s="2" t="s">
        <v>47</v>
      </c>
      <c r="G913" s="2" t="s">
        <v>19</v>
      </c>
      <c r="H913" s="2">
        <v>20226</v>
      </c>
      <c r="I913" t="s">
        <v>6190</v>
      </c>
    </row>
    <row r="914" spans="1:9" x14ac:dyDescent="0.25">
      <c r="A914" s="2" t="s">
        <v>5650</v>
      </c>
      <c r="B914" s="2" t="s">
        <v>5651</v>
      </c>
      <c r="C914" s="2"/>
      <c r="D914" s="2" t="s">
        <v>5652</v>
      </c>
      <c r="E914" s="2" t="s">
        <v>5653</v>
      </c>
      <c r="F914" s="2" t="s">
        <v>198</v>
      </c>
      <c r="G914" s="2" t="s">
        <v>19</v>
      </c>
      <c r="H914" s="2">
        <v>12205</v>
      </c>
      <c r="I914" t="s">
        <v>6190</v>
      </c>
    </row>
    <row r="915" spans="1:9" x14ac:dyDescent="0.25">
      <c r="A915" s="2" t="s">
        <v>5655</v>
      </c>
      <c r="B915" s="2" t="s">
        <v>5656</v>
      </c>
      <c r="C915" s="2" t="s">
        <v>5657</v>
      </c>
      <c r="D915" s="2" t="s">
        <v>5658</v>
      </c>
      <c r="E915" s="2" t="s">
        <v>5659</v>
      </c>
      <c r="F915" s="2" t="s">
        <v>126</v>
      </c>
      <c r="G915" s="2" t="s">
        <v>19</v>
      </c>
      <c r="H915" s="2">
        <v>85732</v>
      </c>
      <c r="I915" t="s">
        <v>6191</v>
      </c>
    </row>
    <row r="916" spans="1:9" x14ac:dyDescent="0.25">
      <c r="A916" s="2" t="s">
        <v>5661</v>
      </c>
      <c r="B916" s="2" t="s">
        <v>5662</v>
      </c>
      <c r="C916" s="2" t="s">
        <v>5663</v>
      </c>
      <c r="D916" s="2" t="s">
        <v>5664</v>
      </c>
      <c r="E916" s="2" t="s">
        <v>5665</v>
      </c>
      <c r="F916" s="2" t="s">
        <v>187</v>
      </c>
      <c r="G916" s="2" t="s">
        <v>19</v>
      </c>
      <c r="H916" s="2">
        <v>36195</v>
      </c>
      <c r="I916" t="s">
        <v>6191</v>
      </c>
    </row>
    <row r="917" spans="1:9" x14ac:dyDescent="0.25">
      <c r="A917" s="2" t="s">
        <v>5667</v>
      </c>
      <c r="B917" s="2" t="s">
        <v>5668</v>
      </c>
      <c r="C917" s="2" t="s">
        <v>5669</v>
      </c>
      <c r="D917" s="2" t="s">
        <v>5670</v>
      </c>
      <c r="E917" s="2" t="s">
        <v>5671</v>
      </c>
      <c r="F917" s="2" t="s">
        <v>205</v>
      </c>
      <c r="G917" s="2" t="s">
        <v>19</v>
      </c>
      <c r="H917" s="2">
        <v>99709</v>
      </c>
      <c r="I917" t="s">
        <v>6190</v>
      </c>
    </row>
    <row r="918" spans="1:9" x14ac:dyDescent="0.25">
      <c r="A918" s="2" t="s">
        <v>5673</v>
      </c>
      <c r="B918" s="2" t="s">
        <v>5674</v>
      </c>
      <c r="C918" s="2"/>
      <c r="D918" s="2"/>
      <c r="E918" s="2" t="s">
        <v>5675</v>
      </c>
      <c r="F918" s="2" t="s">
        <v>2998</v>
      </c>
      <c r="G918" s="2" t="s">
        <v>318</v>
      </c>
      <c r="H918" s="2" t="s">
        <v>395</v>
      </c>
      <c r="I918" t="s">
        <v>6190</v>
      </c>
    </row>
    <row r="919" spans="1:9" x14ac:dyDescent="0.25">
      <c r="A919" s="2" t="s">
        <v>5677</v>
      </c>
      <c r="B919" s="2" t="s">
        <v>5678</v>
      </c>
      <c r="C919" s="2" t="s">
        <v>5679</v>
      </c>
      <c r="D919" s="2" t="s">
        <v>5680</v>
      </c>
      <c r="E919" s="2" t="s">
        <v>5681</v>
      </c>
      <c r="F919" s="2" t="s">
        <v>220</v>
      </c>
      <c r="G919" s="2" t="s">
        <v>28</v>
      </c>
      <c r="H919" s="2" t="s">
        <v>221</v>
      </c>
      <c r="I919" t="s">
        <v>6191</v>
      </c>
    </row>
    <row r="920" spans="1:9" x14ac:dyDescent="0.25">
      <c r="A920" s="2" t="s">
        <v>5682</v>
      </c>
      <c r="B920" s="2" t="s">
        <v>5683</v>
      </c>
      <c r="C920" s="2" t="s">
        <v>5684</v>
      </c>
      <c r="D920" s="2" t="s">
        <v>5685</v>
      </c>
      <c r="E920" s="2" t="s">
        <v>5686</v>
      </c>
      <c r="F920" s="2" t="s">
        <v>209</v>
      </c>
      <c r="G920" s="2" t="s">
        <v>19</v>
      </c>
      <c r="H920" s="2">
        <v>34615</v>
      </c>
      <c r="I920" t="s">
        <v>6191</v>
      </c>
    </row>
    <row r="921" spans="1:9" x14ac:dyDescent="0.25">
      <c r="A921" s="2" t="s">
        <v>5688</v>
      </c>
      <c r="B921" s="2" t="s">
        <v>5689</v>
      </c>
      <c r="C921" s="2" t="s">
        <v>5690</v>
      </c>
      <c r="D921" s="2" t="s">
        <v>5691</v>
      </c>
      <c r="E921" s="2" t="s">
        <v>5692</v>
      </c>
      <c r="F921" s="2" t="s">
        <v>43</v>
      </c>
      <c r="G921" s="2" t="s">
        <v>19</v>
      </c>
      <c r="H921" s="2">
        <v>40515</v>
      </c>
      <c r="I921" t="s">
        <v>6190</v>
      </c>
    </row>
    <row r="922" spans="1:9" x14ac:dyDescent="0.25">
      <c r="A922" s="2" t="s">
        <v>5694</v>
      </c>
      <c r="B922" s="2" t="s">
        <v>5695</v>
      </c>
      <c r="C922" s="2" t="s">
        <v>5696</v>
      </c>
      <c r="D922" s="2" t="s">
        <v>5697</v>
      </c>
      <c r="E922" s="2" t="s">
        <v>5698</v>
      </c>
      <c r="F922" s="2" t="s">
        <v>183</v>
      </c>
      <c r="G922" s="2" t="s">
        <v>19</v>
      </c>
      <c r="H922" s="2">
        <v>49560</v>
      </c>
      <c r="I922" t="s">
        <v>6191</v>
      </c>
    </row>
    <row r="923" spans="1:9" x14ac:dyDescent="0.25">
      <c r="A923" s="2" t="s">
        <v>5700</v>
      </c>
      <c r="B923" s="2" t="s">
        <v>5701</v>
      </c>
      <c r="C923" s="2" t="s">
        <v>5702</v>
      </c>
      <c r="D923" s="2" t="s">
        <v>5703</v>
      </c>
      <c r="E923" s="2" t="s">
        <v>5704</v>
      </c>
      <c r="F923" s="2" t="s">
        <v>169</v>
      </c>
      <c r="G923" s="2" t="s">
        <v>19</v>
      </c>
      <c r="H923" s="2">
        <v>50369</v>
      </c>
      <c r="I923" t="s">
        <v>6191</v>
      </c>
    </row>
    <row r="924" spans="1:9" x14ac:dyDescent="0.25">
      <c r="A924" s="2" t="s">
        <v>5706</v>
      </c>
      <c r="B924" s="2" t="s">
        <v>5707</v>
      </c>
      <c r="C924" s="2"/>
      <c r="D924" s="2"/>
      <c r="E924" s="2" t="s">
        <v>5708</v>
      </c>
      <c r="F924" s="2" t="s">
        <v>168</v>
      </c>
      <c r="G924" s="2" t="s">
        <v>19</v>
      </c>
      <c r="H924" s="2">
        <v>19810</v>
      </c>
      <c r="I924" t="s">
        <v>6190</v>
      </c>
    </row>
    <row r="925" spans="1:9" x14ac:dyDescent="0.25">
      <c r="A925" s="2" t="s">
        <v>5710</v>
      </c>
      <c r="B925" s="2" t="s">
        <v>5711</v>
      </c>
      <c r="C925" s="2" t="s">
        <v>5712</v>
      </c>
      <c r="D925" s="2" t="s">
        <v>5713</v>
      </c>
      <c r="E925" s="2" t="s">
        <v>5714</v>
      </c>
      <c r="F925" s="2" t="s">
        <v>123</v>
      </c>
      <c r="G925" s="2" t="s">
        <v>19</v>
      </c>
      <c r="H925" s="2">
        <v>78726</v>
      </c>
      <c r="I925" t="s">
        <v>6191</v>
      </c>
    </row>
    <row r="926" spans="1:9" x14ac:dyDescent="0.25">
      <c r="A926" s="2" t="s">
        <v>5716</v>
      </c>
      <c r="B926" s="2" t="s">
        <v>5717</v>
      </c>
      <c r="C926" s="2" t="s">
        <v>5718</v>
      </c>
      <c r="D926" s="2"/>
      <c r="E926" s="2" t="s">
        <v>5719</v>
      </c>
      <c r="F926" s="2" t="s">
        <v>80</v>
      </c>
      <c r="G926" s="2" t="s">
        <v>19</v>
      </c>
      <c r="H926" s="2">
        <v>32835</v>
      </c>
      <c r="I926" t="s">
        <v>6191</v>
      </c>
    </row>
    <row r="927" spans="1:9" x14ac:dyDescent="0.25">
      <c r="A927" s="2" t="s">
        <v>5721</v>
      </c>
      <c r="B927" s="2" t="s">
        <v>5722</v>
      </c>
      <c r="C927" s="2"/>
      <c r="D927" s="2" t="s">
        <v>5723</v>
      </c>
      <c r="E927" s="2" t="s">
        <v>5724</v>
      </c>
      <c r="F927" s="2" t="s">
        <v>87</v>
      </c>
      <c r="G927" s="2" t="s">
        <v>19</v>
      </c>
      <c r="H927" s="2">
        <v>91199</v>
      </c>
      <c r="I927" t="s">
        <v>6190</v>
      </c>
    </row>
    <row r="928" spans="1:9" x14ac:dyDescent="0.25">
      <c r="A928" s="2" t="s">
        <v>5726</v>
      </c>
      <c r="B928" s="2" t="s">
        <v>5727</v>
      </c>
      <c r="C928" s="2" t="s">
        <v>5728</v>
      </c>
      <c r="D928" s="2" t="s">
        <v>5729</v>
      </c>
      <c r="E928" s="2" t="s">
        <v>5730</v>
      </c>
      <c r="F928" s="2" t="s">
        <v>47</v>
      </c>
      <c r="G928" s="2" t="s">
        <v>19</v>
      </c>
      <c r="H928" s="2">
        <v>20238</v>
      </c>
      <c r="I928" t="s">
        <v>6190</v>
      </c>
    </row>
    <row r="929" spans="1:9" x14ac:dyDescent="0.25">
      <c r="A929" s="2" t="s">
        <v>5732</v>
      </c>
      <c r="B929" s="2" t="s">
        <v>5733</v>
      </c>
      <c r="C929" s="2" t="s">
        <v>5734</v>
      </c>
      <c r="D929" s="2" t="s">
        <v>5735</v>
      </c>
      <c r="E929" s="2" t="s">
        <v>5736</v>
      </c>
      <c r="F929" s="2" t="s">
        <v>189</v>
      </c>
      <c r="G929" s="2" t="s">
        <v>19</v>
      </c>
      <c r="H929" s="2">
        <v>97271</v>
      </c>
      <c r="I929" t="s">
        <v>6191</v>
      </c>
    </row>
    <row r="930" spans="1:9" x14ac:dyDescent="0.25">
      <c r="A930" s="2" t="s">
        <v>5738</v>
      </c>
      <c r="B930" s="2" t="s">
        <v>5739</v>
      </c>
      <c r="C930" s="2" t="s">
        <v>5740</v>
      </c>
      <c r="D930" s="2"/>
      <c r="E930" s="2" t="s">
        <v>5741</v>
      </c>
      <c r="F930" s="2" t="s">
        <v>57</v>
      </c>
      <c r="G930" s="2" t="s">
        <v>19</v>
      </c>
      <c r="H930" s="2">
        <v>10004</v>
      </c>
      <c r="I930" t="s">
        <v>6190</v>
      </c>
    </row>
    <row r="931" spans="1:9" x14ac:dyDescent="0.25">
      <c r="A931" s="2" t="s">
        <v>5743</v>
      </c>
      <c r="B931" s="2" t="s">
        <v>5744</v>
      </c>
      <c r="C931" s="2" t="s">
        <v>5745</v>
      </c>
      <c r="D931" s="2" t="s">
        <v>5746</v>
      </c>
      <c r="E931" s="2" t="s">
        <v>5747</v>
      </c>
      <c r="F931" s="2" t="s">
        <v>47</v>
      </c>
      <c r="G931" s="2" t="s">
        <v>19</v>
      </c>
      <c r="H931" s="2">
        <v>20404</v>
      </c>
      <c r="I931" t="s">
        <v>6190</v>
      </c>
    </row>
    <row r="932" spans="1:9" x14ac:dyDescent="0.25">
      <c r="A932" s="2" t="s">
        <v>5749</v>
      </c>
      <c r="B932" s="2" t="s">
        <v>5750</v>
      </c>
      <c r="C932" s="2" t="s">
        <v>5751</v>
      </c>
      <c r="D932" s="2"/>
      <c r="E932" s="2" t="s">
        <v>5752</v>
      </c>
      <c r="F932" s="2" t="s">
        <v>47</v>
      </c>
      <c r="G932" s="2" t="s">
        <v>19</v>
      </c>
      <c r="H932" s="2">
        <v>20067</v>
      </c>
      <c r="I932" t="s">
        <v>6190</v>
      </c>
    </row>
    <row r="933" spans="1:9" x14ac:dyDescent="0.25">
      <c r="A933" s="2" t="s">
        <v>5754</v>
      </c>
      <c r="B933" s="2" t="s">
        <v>5755</v>
      </c>
      <c r="C933" s="2"/>
      <c r="D933" s="2"/>
      <c r="E933" s="2" t="s">
        <v>5756</v>
      </c>
      <c r="F933" s="2" t="s">
        <v>313</v>
      </c>
      <c r="G933" s="2" t="s">
        <v>19</v>
      </c>
      <c r="H933" s="2">
        <v>18105</v>
      </c>
      <c r="I933" t="s">
        <v>6190</v>
      </c>
    </row>
    <row r="934" spans="1:9" x14ac:dyDescent="0.25">
      <c r="A934" s="2" t="s">
        <v>5758</v>
      </c>
      <c r="B934" s="2" t="s">
        <v>5759</v>
      </c>
      <c r="C934" s="2" t="s">
        <v>5760</v>
      </c>
      <c r="D934" s="2" t="s">
        <v>5761</v>
      </c>
      <c r="E934" s="2" t="s">
        <v>5762</v>
      </c>
      <c r="F934" s="2" t="s">
        <v>92</v>
      </c>
      <c r="G934" s="2" t="s">
        <v>19</v>
      </c>
      <c r="H934" s="2">
        <v>33169</v>
      </c>
      <c r="I934" t="s">
        <v>6191</v>
      </c>
    </row>
    <row r="935" spans="1:9" x14ac:dyDescent="0.25">
      <c r="A935" s="2" t="s">
        <v>5764</v>
      </c>
      <c r="B935" s="2" t="s">
        <v>5765</v>
      </c>
      <c r="C935" s="2"/>
      <c r="D935" s="2" t="s">
        <v>5766</v>
      </c>
      <c r="E935" s="2" t="s">
        <v>5767</v>
      </c>
      <c r="F935" s="2" t="s">
        <v>77</v>
      </c>
      <c r="G935" s="2" t="s">
        <v>19</v>
      </c>
      <c r="H935" s="2">
        <v>73129</v>
      </c>
      <c r="I935" t="s">
        <v>6190</v>
      </c>
    </row>
    <row r="936" spans="1:9" x14ac:dyDescent="0.25">
      <c r="A936" s="2" t="s">
        <v>5769</v>
      </c>
      <c r="B936" s="2" t="s">
        <v>5770</v>
      </c>
      <c r="C936" s="2" t="s">
        <v>5771</v>
      </c>
      <c r="D936" s="2" t="s">
        <v>5772</v>
      </c>
      <c r="E936" s="2" t="s">
        <v>5773</v>
      </c>
      <c r="F936" s="2" t="s">
        <v>156</v>
      </c>
      <c r="G936" s="2" t="s">
        <v>19</v>
      </c>
      <c r="H936" s="2">
        <v>61105</v>
      </c>
      <c r="I936" t="s">
        <v>6191</v>
      </c>
    </row>
    <row r="937" spans="1:9" x14ac:dyDescent="0.25">
      <c r="A937" s="2" t="s">
        <v>5775</v>
      </c>
      <c r="B937" s="2" t="s">
        <v>5776</v>
      </c>
      <c r="C937" s="2" t="s">
        <v>5777</v>
      </c>
      <c r="D937" s="2" t="s">
        <v>5778</v>
      </c>
      <c r="E937" s="2" t="s">
        <v>5779</v>
      </c>
      <c r="F937" s="2" t="s">
        <v>187</v>
      </c>
      <c r="G937" s="2" t="s">
        <v>19</v>
      </c>
      <c r="H937" s="2">
        <v>36177</v>
      </c>
      <c r="I937" t="s">
        <v>6190</v>
      </c>
    </row>
    <row r="938" spans="1:9" x14ac:dyDescent="0.25">
      <c r="A938" s="2" t="s">
        <v>5781</v>
      </c>
      <c r="B938" s="2" t="s">
        <v>5782</v>
      </c>
      <c r="C938" s="2" t="s">
        <v>5783</v>
      </c>
      <c r="D938" s="2" t="s">
        <v>5784</v>
      </c>
      <c r="E938" s="2" t="s">
        <v>5785</v>
      </c>
      <c r="F938" s="2" t="s">
        <v>87</v>
      </c>
      <c r="G938" s="2" t="s">
        <v>19</v>
      </c>
      <c r="H938" s="2">
        <v>91117</v>
      </c>
      <c r="I938" t="s">
        <v>6190</v>
      </c>
    </row>
    <row r="939" spans="1:9" x14ac:dyDescent="0.25">
      <c r="A939" s="2" t="s">
        <v>5786</v>
      </c>
      <c r="B939" s="2" t="s">
        <v>5787</v>
      </c>
      <c r="C939" s="2" t="s">
        <v>5788</v>
      </c>
      <c r="D939" s="2" t="s">
        <v>5789</v>
      </c>
      <c r="E939" s="2" t="s">
        <v>5790</v>
      </c>
      <c r="F939" s="2" t="s">
        <v>56</v>
      </c>
      <c r="G939" s="2" t="s">
        <v>19</v>
      </c>
      <c r="H939" s="2">
        <v>60624</v>
      </c>
      <c r="I939" t="s">
        <v>6191</v>
      </c>
    </row>
    <row r="940" spans="1:9" x14ac:dyDescent="0.25">
      <c r="A940" s="2" t="s">
        <v>5792</v>
      </c>
      <c r="B940" s="2" t="s">
        <v>5793</v>
      </c>
      <c r="C940" s="2" t="s">
        <v>5794</v>
      </c>
      <c r="D940" s="2" t="s">
        <v>5795</v>
      </c>
      <c r="E940" s="2" t="s">
        <v>5796</v>
      </c>
      <c r="F940" s="2" t="s">
        <v>63</v>
      </c>
      <c r="G940" s="2" t="s">
        <v>19</v>
      </c>
      <c r="H940" s="2">
        <v>77293</v>
      </c>
      <c r="I940" t="s">
        <v>6190</v>
      </c>
    </row>
    <row r="941" spans="1:9" x14ac:dyDescent="0.25">
      <c r="A941" s="2" t="s">
        <v>5798</v>
      </c>
      <c r="B941" s="2" t="s">
        <v>5799</v>
      </c>
      <c r="C941" s="2" t="s">
        <v>5800</v>
      </c>
      <c r="D941" s="2" t="s">
        <v>5801</v>
      </c>
      <c r="E941" s="2" t="s">
        <v>5802</v>
      </c>
      <c r="F941" s="2" t="s">
        <v>227</v>
      </c>
      <c r="G941" s="2" t="s">
        <v>19</v>
      </c>
      <c r="H941" s="2">
        <v>49444</v>
      </c>
      <c r="I941" t="s">
        <v>6191</v>
      </c>
    </row>
    <row r="942" spans="1:9" x14ac:dyDescent="0.25">
      <c r="A942" s="2" t="s">
        <v>5804</v>
      </c>
      <c r="B942" s="2" t="s">
        <v>5805</v>
      </c>
      <c r="C942" s="2" t="s">
        <v>5806</v>
      </c>
      <c r="D942" s="2" t="s">
        <v>5807</v>
      </c>
      <c r="E942" s="2" t="s">
        <v>5808</v>
      </c>
      <c r="F942" s="2" t="s">
        <v>47</v>
      </c>
      <c r="G942" s="2" t="s">
        <v>19</v>
      </c>
      <c r="H942" s="2">
        <v>20380</v>
      </c>
      <c r="I942" t="s">
        <v>6190</v>
      </c>
    </row>
    <row r="943" spans="1:9" x14ac:dyDescent="0.25">
      <c r="A943" s="2" t="s">
        <v>5810</v>
      </c>
      <c r="B943" s="2" t="s">
        <v>5811</v>
      </c>
      <c r="C943" s="2" t="s">
        <v>5812</v>
      </c>
      <c r="D943" s="2" t="s">
        <v>5813</v>
      </c>
      <c r="E943" s="2" t="s">
        <v>5814</v>
      </c>
      <c r="F943" s="2" t="s">
        <v>5815</v>
      </c>
      <c r="G943" s="2" t="s">
        <v>318</v>
      </c>
      <c r="H943" s="2" t="s">
        <v>462</v>
      </c>
      <c r="I943" t="s">
        <v>6190</v>
      </c>
    </row>
    <row r="944" spans="1:9" x14ac:dyDescent="0.25">
      <c r="A944" s="2" t="s">
        <v>5817</v>
      </c>
      <c r="B944" s="2" t="s">
        <v>5818</v>
      </c>
      <c r="C944" s="2" t="s">
        <v>5819</v>
      </c>
      <c r="D944" s="2" t="s">
        <v>5820</v>
      </c>
      <c r="E944" s="2" t="s">
        <v>5821</v>
      </c>
      <c r="F944" s="2" t="s">
        <v>167</v>
      </c>
      <c r="G944" s="2" t="s">
        <v>19</v>
      </c>
      <c r="H944" s="2">
        <v>31205</v>
      </c>
      <c r="I944" t="s">
        <v>6191</v>
      </c>
    </row>
    <row r="945" spans="1:9" x14ac:dyDescent="0.25">
      <c r="A945" s="2" t="s">
        <v>5823</v>
      </c>
      <c r="B945" s="2" t="s">
        <v>5824</v>
      </c>
      <c r="C945" s="2" t="s">
        <v>5825</v>
      </c>
      <c r="D945" s="2" t="s">
        <v>5826</v>
      </c>
      <c r="E945" s="2" t="s">
        <v>5827</v>
      </c>
      <c r="F945" s="2" t="s">
        <v>175</v>
      </c>
      <c r="G945" s="2" t="s">
        <v>19</v>
      </c>
      <c r="H945" s="2">
        <v>71105</v>
      </c>
      <c r="I945" t="s">
        <v>6191</v>
      </c>
    </row>
    <row r="946" spans="1:9" x14ac:dyDescent="0.25">
      <c r="A946" s="2" t="s">
        <v>5829</v>
      </c>
      <c r="B946" s="2" t="s">
        <v>5830</v>
      </c>
      <c r="C946" s="2" t="s">
        <v>5831</v>
      </c>
      <c r="D946" s="2" t="s">
        <v>5832</v>
      </c>
      <c r="E946" s="2" t="s">
        <v>5833</v>
      </c>
      <c r="F946" s="2" t="s">
        <v>134</v>
      </c>
      <c r="G946" s="2" t="s">
        <v>19</v>
      </c>
      <c r="H946" s="2">
        <v>98405</v>
      </c>
      <c r="I946" t="s">
        <v>6191</v>
      </c>
    </row>
    <row r="947" spans="1:9" x14ac:dyDescent="0.25">
      <c r="A947" s="2" t="s">
        <v>5835</v>
      </c>
      <c r="B947" s="2" t="s">
        <v>5836</v>
      </c>
      <c r="C947" s="2"/>
      <c r="D947" s="2" t="s">
        <v>5837</v>
      </c>
      <c r="E947" s="2" t="s">
        <v>5838</v>
      </c>
      <c r="F947" s="2" t="s">
        <v>50</v>
      </c>
      <c r="G947" s="2" t="s">
        <v>19</v>
      </c>
      <c r="H947" s="2">
        <v>79934</v>
      </c>
      <c r="I947" t="s">
        <v>6191</v>
      </c>
    </row>
    <row r="948" spans="1:9" x14ac:dyDescent="0.25">
      <c r="A948" s="2" t="s">
        <v>5840</v>
      </c>
      <c r="B948" s="2" t="s">
        <v>5841</v>
      </c>
      <c r="C948" s="2"/>
      <c r="D948" s="2" t="s">
        <v>5842</v>
      </c>
      <c r="E948" s="2" t="s">
        <v>5843</v>
      </c>
      <c r="F948" s="2" t="s">
        <v>144</v>
      </c>
      <c r="G948" s="2" t="s">
        <v>19</v>
      </c>
      <c r="H948" s="2">
        <v>35263</v>
      </c>
      <c r="I948" t="s">
        <v>6191</v>
      </c>
    </row>
    <row r="949" spans="1:9" x14ac:dyDescent="0.25">
      <c r="A949" s="2" t="s">
        <v>5845</v>
      </c>
      <c r="B949" s="2" t="s">
        <v>5846</v>
      </c>
      <c r="C949" s="2" t="s">
        <v>5847</v>
      </c>
      <c r="D949" s="2"/>
      <c r="E949" s="2" t="s">
        <v>5848</v>
      </c>
      <c r="F949" s="2" t="s">
        <v>320</v>
      </c>
      <c r="G949" s="2" t="s">
        <v>318</v>
      </c>
      <c r="H949" s="2" t="s">
        <v>321</v>
      </c>
      <c r="I949" t="s">
        <v>6191</v>
      </c>
    </row>
    <row r="950" spans="1:9" x14ac:dyDescent="0.25">
      <c r="A950" s="2" t="s">
        <v>5850</v>
      </c>
      <c r="B950" s="2" t="s">
        <v>5851</v>
      </c>
      <c r="C950" s="2" t="s">
        <v>5852</v>
      </c>
      <c r="D950" s="2" t="s">
        <v>5853</v>
      </c>
      <c r="E950" s="2" t="s">
        <v>5854</v>
      </c>
      <c r="F950" s="2" t="s">
        <v>180</v>
      </c>
      <c r="G950" s="2" t="s">
        <v>28</v>
      </c>
      <c r="H950" s="2" t="s">
        <v>262</v>
      </c>
      <c r="I950" t="s">
        <v>6190</v>
      </c>
    </row>
    <row r="951" spans="1:9" x14ac:dyDescent="0.25">
      <c r="A951" s="2" t="s">
        <v>5856</v>
      </c>
      <c r="B951" s="2" t="s">
        <v>5857</v>
      </c>
      <c r="C951" s="2" t="s">
        <v>5858</v>
      </c>
      <c r="D951" s="2" t="s">
        <v>5859</v>
      </c>
      <c r="E951" s="2" t="s">
        <v>5860</v>
      </c>
      <c r="F951" s="2" t="s">
        <v>489</v>
      </c>
      <c r="G951" s="2" t="s">
        <v>318</v>
      </c>
      <c r="H951" s="2" t="s">
        <v>448</v>
      </c>
      <c r="I951" t="s">
        <v>6191</v>
      </c>
    </row>
    <row r="952" spans="1:9" x14ac:dyDescent="0.25">
      <c r="A952" s="2" t="s">
        <v>5862</v>
      </c>
      <c r="B952" s="2" t="s">
        <v>5863</v>
      </c>
      <c r="C952" s="2"/>
      <c r="D952" s="2" t="s">
        <v>5864</v>
      </c>
      <c r="E952" s="2" t="s">
        <v>5865</v>
      </c>
      <c r="F952" s="2" t="s">
        <v>168</v>
      </c>
      <c r="G952" s="2" t="s">
        <v>19</v>
      </c>
      <c r="H952" s="2">
        <v>19810</v>
      </c>
      <c r="I952" t="s">
        <v>6190</v>
      </c>
    </row>
    <row r="953" spans="1:9" x14ac:dyDescent="0.25">
      <c r="A953" s="2" t="s">
        <v>5867</v>
      </c>
      <c r="B953" s="2" t="s">
        <v>5868</v>
      </c>
      <c r="C953" s="2" t="s">
        <v>5869</v>
      </c>
      <c r="D953" s="2" t="s">
        <v>5870</v>
      </c>
      <c r="E953" s="2" t="s">
        <v>5871</v>
      </c>
      <c r="F953" s="2" t="s">
        <v>172</v>
      </c>
      <c r="G953" s="2" t="s">
        <v>19</v>
      </c>
      <c r="H953" s="2">
        <v>17121</v>
      </c>
      <c r="I953" t="s">
        <v>6191</v>
      </c>
    </row>
    <row r="954" spans="1:9" x14ac:dyDescent="0.25">
      <c r="A954" s="2" t="s">
        <v>5873</v>
      </c>
      <c r="B954" s="2" t="s">
        <v>5874</v>
      </c>
      <c r="C954" s="2" t="s">
        <v>5875</v>
      </c>
      <c r="D954" s="2" t="s">
        <v>5876</v>
      </c>
      <c r="E954" s="2" t="s">
        <v>5877</v>
      </c>
      <c r="F954" s="2" t="s">
        <v>5815</v>
      </c>
      <c r="G954" s="2" t="s">
        <v>318</v>
      </c>
      <c r="H954" s="2" t="s">
        <v>462</v>
      </c>
      <c r="I954" t="s">
        <v>6190</v>
      </c>
    </row>
    <row r="955" spans="1:9" x14ac:dyDescent="0.25">
      <c r="A955" s="2" t="s">
        <v>5879</v>
      </c>
      <c r="B955" s="2" t="s">
        <v>5880</v>
      </c>
      <c r="C955" s="2" t="s">
        <v>5881</v>
      </c>
      <c r="D955" s="2" t="s">
        <v>5882</v>
      </c>
      <c r="E955" s="2" t="s">
        <v>5883</v>
      </c>
      <c r="F955" s="2" t="s">
        <v>50</v>
      </c>
      <c r="G955" s="2" t="s">
        <v>19</v>
      </c>
      <c r="H955" s="2">
        <v>79940</v>
      </c>
      <c r="I955" t="s">
        <v>6190</v>
      </c>
    </row>
    <row r="956" spans="1:9" x14ac:dyDescent="0.25">
      <c r="A956" s="2" t="s">
        <v>5885</v>
      </c>
      <c r="B956" s="2" t="s">
        <v>5886</v>
      </c>
      <c r="C956" s="2" t="s">
        <v>5887</v>
      </c>
      <c r="D956" s="2" t="s">
        <v>5888</v>
      </c>
      <c r="E956" s="2" t="s">
        <v>5889</v>
      </c>
      <c r="F956" s="2" t="s">
        <v>104</v>
      </c>
      <c r="G956" s="2" t="s">
        <v>19</v>
      </c>
      <c r="H956" s="2">
        <v>63136</v>
      </c>
      <c r="I956" t="s">
        <v>6190</v>
      </c>
    </row>
    <row r="957" spans="1:9" x14ac:dyDescent="0.25">
      <c r="A957" s="2" t="s">
        <v>5891</v>
      </c>
      <c r="B957" s="2" t="s">
        <v>5892</v>
      </c>
      <c r="C957" s="2" t="s">
        <v>5893</v>
      </c>
      <c r="D957" s="2" t="s">
        <v>5894</v>
      </c>
      <c r="E957" s="2" t="s">
        <v>5895</v>
      </c>
      <c r="F957" s="2" t="s">
        <v>4511</v>
      </c>
      <c r="G957" s="2" t="s">
        <v>19</v>
      </c>
      <c r="H957" s="2">
        <v>72905</v>
      </c>
      <c r="I957" t="s">
        <v>6190</v>
      </c>
    </row>
    <row r="958" spans="1:9" x14ac:dyDescent="0.25">
      <c r="A958" s="2" t="s">
        <v>5896</v>
      </c>
      <c r="B958" s="2" t="s">
        <v>5897</v>
      </c>
      <c r="C958" s="2" t="s">
        <v>5898</v>
      </c>
      <c r="D958" s="2" t="s">
        <v>5899</v>
      </c>
      <c r="E958" s="2" t="s">
        <v>5900</v>
      </c>
      <c r="F958" s="2" t="s">
        <v>130</v>
      </c>
      <c r="G958" s="2" t="s">
        <v>19</v>
      </c>
      <c r="H958" s="2">
        <v>37245</v>
      </c>
      <c r="I958" t="s">
        <v>6191</v>
      </c>
    </row>
    <row r="959" spans="1:9" x14ac:dyDescent="0.25">
      <c r="A959" s="2" t="s">
        <v>5901</v>
      </c>
      <c r="B959" s="2" t="s">
        <v>5902</v>
      </c>
      <c r="C959" s="2" t="s">
        <v>5903</v>
      </c>
      <c r="D959" s="2" t="s">
        <v>5904</v>
      </c>
      <c r="E959" s="2" t="s">
        <v>5905</v>
      </c>
      <c r="F959" s="2" t="s">
        <v>47</v>
      </c>
      <c r="G959" s="2" t="s">
        <v>19</v>
      </c>
      <c r="H959" s="2">
        <v>20088</v>
      </c>
      <c r="I959" t="s">
        <v>6190</v>
      </c>
    </row>
    <row r="960" spans="1:9" x14ac:dyDescent="0.25">
      <c r="A960" s="2" t="s">
        <v>5906</v>
      </c>
      <c r="B960" s="2" t="s">
        <v>5907</v>
      </c>
      <c r="C960" s="2" t="s">
        <v>5908</v>
      </c>
      <c r="D960" s="2"/>
      <c r="E960" s="2" t="s">
        <v>5909</v>
      </c>
      <c r="F960" s="2" t="s">
        <v>182</v>
      </c>
      <c r="G960" s="2" t="s">
        <v>19</v>
      </c>
      <c r="H960" s="2">
        <v>90305</v>
      </c>
      <c r="I960" t="s">
        <v>6190</v>
      </c>
    </row>
    <row r="961" spans="1:9" x14ac:dyDescent="0.25">
      <c r="A961" s="2" t="s">
        <v>5911</v>
      </c>
      <c r="B961" s="2" t="s">
        <v>5912</v>
      </c>
      <c r="C961" s="2" t="s">
        <v>5913</v>
      </c>
      <c r="D961" s="2"/>
      <c r="E961" s="2" t="s">
        <v>5914</v>
      </c>
      <c r="F961" s="2" t="s">
        <v>88</v>
      </c>
      <c r="G961" s="2" t="s">
        <v>19</v>
      </c>
      <c r="H961" s="2">
        <v>72215</v>
      </c>
      <c r="I961" t="s">
        <v>6190</v>
      </c>
    </row>
    <row r="962" spans="1:9" x14ac:dyDescent="0.25">
      <c r="A962" s="2" t="s">
        <v>5916</v>
      </c>
      <c r="B962" s="2" t="s">
        <v>5917</v>
      </c>
      <c r="C962" s="2" t="s">
        <v>5918</v>
      </c>
      <c r="D962" s="2" t="s">
        <v>5919</v>
      </c>
      <c r="E962" s="2" t="s">
        <v>5920</v>
      </c>
      <c r="F962" s="2" t="s">
        <v>261</v>
      </c>
      <c r="G962" s="2" t="s">
        <v>19</v>
      </c>
      <c r="H962" s="2">
        <v>21747</v>
      </c>
      <c r="I962" t="s">
        <v>6190</v>
      </c>
    </row>
    <row r="963" spans="1:9" x14ac:dyDescent="0.25">
      <c r="A963" s="2" t="s">
        <v>5922</v>
      </c>
      <c r="B963" s="2" t="s">
        <v>5923</v>
      </c>
      <c r="C963" s="2"/>
      <c r="D963" s="2" t="s">
        <v>5924</v>
      </c>
      <c r="E963" s="2" t="s">
        <v>5925</v>
      </c>
      <c r="F963" s="2" t="s">
        <v>198</v>
      </c>
      <c r="G963" s="2" t="s">
        <v>19</v>
      </c>
      <c r="H963" s="2">
        <v>12205</v>
      </c>
      <c r="I963" t="s">
        <v>6190</v>
      </c>
    </row>
    <row r="964" spans="1:9" x14ac:dyDescent="0.25">
      <c r="A964" s="2" t="s">
        <v>5927</v>
      </c>
      <c r="B964" s="2" t="s">
        <v>5928</v>
      </c>
      <c r="C964" s="2" t="s">
        <v>5929</v>
      </c>
      <c r="D964" s="2" t="s">
        <v>5930</v>
      </c>
      <c r="E964" s="2" t="s">
        <v>5931</v>
      </c>
      <c r="F964" s="2" t="s">
        <v>453</v>
      </c>
      <c r="G964" s="2" t="s">
        <v>318</v>
      </c>
      <c r="H964" s="2" t="s">
        <v>454</v>
      </c>
      <c r="I964" t="s">
        <v>6190</v>
      </c>
    </row>
    <row r="965" spans="1:9" x14ac:dyDescent="0.25">
      <c r="A965" s="2" t="s">
        <v>5933</v>
      </c>
      <c r="B965" s="2" t="s">
        <v>5934</v>
      </c>
      <c r="C965" s="2" t="s">
        <v>5935</v>
      </c>
      <c r="D965" s="2" t="s">
        <v>5936</v>
      </c>
      <c r="E965" s="2" t="s">
        <v>5937</v>
      </c>
      <c r="F965" s="2" t="s">
        <v>43</v>
      </c>
      <c r="G965" s="2" t="s">
        <v>19</v>
      </c>
      <c r="H965" s="2">
        <v>40510</v>
      </c>
      <c r="I965" t="s">
        <v>6190</v>
      </c>
    </row>
    <row r="966" spans="1:9" x14ac:dyDescent="0.25">
      <c r="A966" s="2" t="s">
        <v>5939</v>
      </c>
      <c r="B966" s="2" t="s">
        <v>5940</v>
      </c>
      <c r="C966" s="2" t="s">
        <v>5941</v>
      </c>
      <c r="D966" s="2" t="s">
        <v>5942</v>
      </c>
      <c r="E966" s="2" t="s">
        <v>5943</v>
      </c>
      <c r="F966" s="2" t="s">
        <v>58</v>
      </c>
      <c r="G966" s="2" t="s">
        <v>19</v>
      </c>
      <c r="H966" s="2">
        <v>92165</v>
      </c>
      <c r="I966" t="s">
        <v>6191</v>
      </c>
    </row>
    <row r="967" spans="1:9" x14ac:dyDescent="0.25">
      <c r="A967" s="2" t="s">
        <v>5945</v>
      </c>
      <c r="B967" s="2" t="s">
        <v>5946</v>
      </c>
      <c r="C967" s="2" t="s">
        <v>5947</v>
      </c>
      <c r="D967" s="2"/>
      <c r="E967" s="2" t="s">
        <v>5948</v>
      </c>
      <c r="F967" s="2" t="s">
        <v>27</v>
      </c>
      <c r="G967" s="2" t="s">
        <v>19</v>
      </c>
      <c r="H967" s="2">
        <v>90040</v>
      </c>
      <c r="I967" t="s">
        <v>6190</v>
      </c>
    </row>
    <row r="968" spans="1:9" x14ac:dyDescent="0.25">
      <c r="A968" s="2" t="s">
        <v>5950</v>
      </c>
      <c r="B968" s="2" t="s">
        <v>5951</v>
      </c>
      <c r="C968" s="2" t="s">
        <v>5952</v>
      </c>
      <c r="D968" s="2" t="s">
        <v>5953</v>
      </c>
      <c r="E968" s="2" t="s">
        <v>5954</v>
      </c>
      <c r="F968" s="2" t="s">
        <v>139</v>
      </c>
      <c r="G968" s="2" t="s">
        <v>19</v>
      </c>
      <c r="H968" s="2">
        <v>11210</v>
      </c>
      <c r="I968" t="s">
        <v>6190</v>
      </c>
    </row>
    <row r="969" spans="1:9" x14ac:dyDescent="0.25">
      <c r="A969" s="2" t="s">
        <v>5956</v>
      </c>
      <c r="B969" s="2" t="s">
        <v>5957</v>
      </c>
      <c r="C969" s="2" t="s">
        <v>5958</v>
      </c>
      <c r="D969" s="2" t="s">
        <v>5959</v>
      </c>
      <c r="E969" s="2" t="s">
        <v>5960</v>
      </c>
      <c r="F969" s="2" t="s">
        <v>353</v>
      </c>
      <c r="G969" s="2" t="s">
        <v>318</v>
      </c>
      <c r="H969" s="2" t="s">
        <v>348</v>
      </c>
      <c r="I969" t="s">
        <v>6190</v>
      </c>
    </row>
    <row r="970" spans="1:9" x14ac:dyDescent="0.25">
      <c r="A970" s="2" t="s">
        <v>5962</v>
      </c>
      <c r="B970" s="2" t="s">
        <v>5963</v>
      </c>
      <c r="C970" s="2" t="s">
        <v>5964</v>
      </c>
      <c r="D970" s="2" t="s">
        <v>5965</v>
      </c>
      <c r="E970" s="2" t="s">
        <v>5966</v>
      </c>
      <c r="F970" s="2" t="s">
        <v>293</v>
      </c>
      <c r="G970" s="2" t="s">
        <v>19</v>
      </c>
      <c r="H970" s="2">
        <v>32627</v>
      </c>
      <c r="I970" t="s">
        <v>6191</v>
      </c>
    </row>
    <row r="971" spans="1:9" x14ac:dyDescent="0.25">
      <c r="A971" s="2" t="s">
        <v>5968</v>
      </c>
      <c r="B971" s="2" t="s">
        <v>5969</v>
      </c>
      <c r="C971" s="2" t="s">
        <v>5970</v>
      </c>
      <c r="D971" s="2" t="s">
        <v>5971</v>
      </c>
      <c r="E971" s="2" t="s">
        <v>5972</v>
      </c>
      <c r="F971" s="2" t="s">
        <v>209</v>
      </c>
      <c r="G971" s="2" t="s">
        <v>19</v>
      </c>
      <c r="H971" s="2">
        <v>34620</v>
      </c>
      <c r="I971" t="s">
        <v>6190</v>
      </c>
    </row>
    <row r="972" spans="1:9" x14ac:dyDescent="0.25">
      <c r="A972" s="2" t="s">
        <v>5974</v>
      </c>
      <c r="B972" s="2" t="s">
        <v>5975</v>
      </c>
      <c r="C972" s="2"/>
      <c r="D972" s="2" t="s">
        <v>5976</v>
      </c>
      <c r="E972" s="2" t="s">
        <v>5977</v>
      </c>
      <c r="F972" s="2" t="s">
        <v>240</v>
      </c>
      <c r="G972" s="2" t="s">
        <v>19</v>
      </c>
      <c r="H972" s="2">
        <v>79165</v>
      </c>
      <c r="I972" t="s">
        <v>6191</v>
      </c>
    </row>
    <row r="973" spans="1:9" x14ac:dyDescent="0.25">
      <c r="A973" s="2" t="s">
        <v>5979</v>
      </c>
      <c r="B973" s="2" t="s">
        <v>5980</v>
      </c>
      <c r="C973" s="2" t="s">
        <v>5981</v>
      </c>
      <c r="D973" s="2" t="s">
        <v>5982</v>
      </c>
      <c r="E973" s="2" t="s">
        <v>5983</v>
      </c>
      <c r="F973" s="2" t="s">
        <v>106</v>
      </c>
      <c r="G973" s="2" t="s">
        <v>19</v>
      </c>
      <c r="H973" s="2">
        <v>76121</v>
      </c>
      <c r="I973" t="s">
        <v>6191</v>
      </c>
    </row>
    <row r="974" spans="1:9" x14ac:dyDescent="0.25">
      <c r="A974" s="2" t="s">
        <v>5985</v>
      </c>
      <c r="B974" s="2" t="s">
        <v>5986</v>
      </c>
      <c r="C974" s="2"/>
      <c r="D974" s="2" t="s">
        <v>5987</v>
      </c>
      <c r="E974" s="2" t="s">
        <v>5988</v>
      </c>
      <c r="F974" s="2" t="s">
        <v>331</v>
      </c>
      <c r="G974" s="2" t="s">
        <v>318</v>
      </c>
      <c r="H974" s="2" t="s">
        <v>332</v>
      </c>
      <c r="I974" t="s">
        <v>6190</v>
      </c>
    </row>
    <row r="975" spans="1:9" x14ac:dyDescent="0.25">
      <c r="A975" s="2" t="s">
        <v>5990</v>
      </c>
      <c r="B975" s="2" t="s">
        <v>5991</v>
      </c>
      <c r="C975" s="2" t="s">
        <v>5992</v>
      </c>
      <c r="D975" s="2" t="s">
        <v>5993</v>
      </c>
      <c r="E975" s="2" t="s">
        <v>5994</v>
      </c>
      <c r="F975" s="2" t="s">
        <v>250</v>
      </c>
      <c r="G975" s="2" t="s">
        <v>19</v>
      </c>
      <c r="H975" s="2">
        <v>32575</v>
      </c>
      <c r="I975" t="s">
        <v>6191</v>
      </c>
    </row>
    <row r="976" spans="1:9" x14ac:dyDescent="0.25">
      <c r="A976" s="2" t="s">
        <v>5996</v>
      </c>
      <c r="B976" s="2" t="s">
        <v>5997</v>
      </c>
      <c r="C976" s="2" t="s">
        <v>5998</v>
      </c>
      <c r="D976" s="2" t="s">
        <v>5999</v>
      </c>
      <c r="E976" s="2" t="s">
        <v>6000</v>
      </c>
      <c r="F976" s="2" t="s">
        <v>134</v>
      </c>
      <c r="G976" s="2" t="s">
        <v>19</v>
      </c>
      <c r="H976" s="2">
        <v>98405</v>
      </c>
      <c r="I976" t="s">
        <v>6190</v>
      </c>
    </row>
    <row r="977" spans="1:9" x14ac:dyDescent="0.25">
      <c r="A977" s="2" t="s">
        <v>6002</v>
      </c>
      <c r="B977" s="2" t="s">
        <v>6003</v>
      </c>
      <c r="C977" s="2" t="s">
        <v>6004</v>
      </c>
      <c r="D977" s="2" t="s">
        <v>6005</v>
      </c>
      <c r="E977" s="2" t="s">
        <v>6006</v>
      </c>
      <c r="F977" s="2" t="s">
        <v>485</v>
      </c>
      <c r="G977" s="2" t="s">
        <v>318</v>
      </c>
      <c r="H977" s="2" t="s">
        <v>442</v>
      </c>
      <c r="I977" t="s">
        <v>6190</v>
      </c>
    </row>
    <row r="978" spans="1:9" x14ac:dyDescent="0.25">
      <c r="A978" s="2" t="s">
        <v>6008</v>
      </c>
      <c r="B978" s="2" t="s">
        <v>6009</v>
      </c>
      <c r="C978" s="2" t="s">
        <v>6010</v>
      </c>
      <c r="D978" s="2" t="s">
        <v>6011</v>
      </c>
      <c r="E978" s="2" t="s">
        <v>6012</v>
      </c>
      <c r="F978" s="2" t="s">
        <v>66</v>
      </c>
      <c r="G978" s="2" t="s">
        <v>19</v>
      </c>
      <c r="H978" s="2">
        <v>46896</v>
      </c>
      <c r="I978" t="s">
        <v>6190</v>
      </c>
    </row>
    <row r="979" spans="1:9" x14ac:dyDescent="0.25">
      <c r="A979" s="2" t="s">
        <v>6014</v>
      </c>
      <c r="B979" s="2" t="s">
        <v>6015</v>
      </c>
      <c r="C979" s="2" t="s">
        <v>6016</v>
      </c>
      <c r="D979" s="2" t="s">
        <v>6017</v>
      </c>
      <c r="E979" s="2" t="s">
        <v>6018</v>
      </c>
      <c r="F979" s="2" t="s">
        <v>240</v>
      </c>
      <c r="G979" s="2" t="s">
        <v>19</v>
      </c>
      <c r="H979" s="2">
        <v>79105</v>
      </c>
      <c r="I979" t="s">
        <v>6191</v>
      </c>
    </row>
    <row r="980" spans="1:9" x14ac:dyDescent="0.25">
      <c r="A980" s="2" t="s">
        <v>6020</v>
      </c>
      <c r="B980" s="2" t="s">
        <v>6021</v>
      </c>
      <c r="C980" s="2" t="s">
        <v>6022</v>
      </c>
      <c r="D980" s="2" t="s">
        <v>6023</v>
      </c>
      <c r="E980" s="2" t="s">
        <v>6024</v>
      </c>
      <c r="F980" s="2" t="s">
        <v>47</v>
      </c>
      <c r="G980" s="2" t="s">
        <v>19</v>
      </c>
      <c r="H980" s="2">
        <v>20436</v>
      </c>
      <c r="I980" t="s">
        <v>6190</v>
      </c>
    </row>
    <row r="981" spans="1:9" x14ac:dyDescent="0.25">
      <c r="A981" s="2" t="s">
        <v>6026</v>
      </c>
      <c r="B981" s="2" t="s">
        <v>6027</v>
      </c>
      <c r="C981" s="2"/>
      <c r="D981" s="2" t="s">
        <v>6028</v>
      </c>
      <c r="E981" s="2" t="s">
        <v>6029</v>
      </c>
      <c r="F981" s="2" t="s">
        <v>312</v>
      </c>
      <c r="G981" s="2" t="s">
        <v>19</v>
      </c>
      <c r="H981" s="2">
        <v>20910</v>
      </c>
      <c r="I981" t="s">
        <v>6191</v>
      </c>
    </row>
    <row r="982" spans="1:9" x14ac:dyDescent="0.25">
      <c r="A982" s="2" t="s">
        <v>6031</v>
      </c>
      <c r="B982" s="2" t="s">
        <v>6032</v>
      </c>
      <c r="C982" s="2"/>
      <c r="D982" s="2" t="s">
        <v>6033</v>
      </c>
      <c r="E982" s="2" t="s">
        <v>6034</v>
      </c>
      <c r="F982" s="2" t="s">
        <v>231</v>
      </c>
      <c r="G982" s="2" t="s">
        <v>19</v>
      </c>
      <c r="H982" s="2">
        <v>53726</v>
      </c>
      <c r="I982" t="s">
        <v>6190</v>
      </c>
    </row>
    <row r="983" spans="1:9" x14ac:dyDescent="0.25">
      <c r="A983" s="2" t="s">
        <v>6036</v>
      </c>
      <c r="B983" s="2" t="s">
        <v>6037</v>
      </c>
      <c r="C983" s="2" t="s">
        <v>6038</v>
      </c>
      <c r="D983" s="2" t="s">
        <v>6039</v>
      </c>
      <c r="E983" s="2" t="s">
        <v>6040</v>
      </c>
      <c r="F983" s="2" t="s">
        <v>226</v>
      </c>
      <c r="G983" s="2" t="s">
        <v>19</v>
      </c>
      <c r="H983" s="2">
        <v>77305</v>
      </c>
      <c r="I983" t="s">
        <v>6190</v>
      </c>
    </row>
    <row r="984" spans="1:9" x14ac:dyDescent="0.25">
      <c r="A984" s="2" t="s">
        <v>6042</v>
      </c>
      <c r="B984" s="2" t="s">
        <v>6043</v>
      </c>
      <c r="C984" s="2" t="s">
        <v>6044</v>
      </c>
      <c r="D984" s="2" t="s">
        <v>6045</v>
      </c>
      <c r="E984" s="2" t="s">
        <v>6046</v>
      </c>
      <c r="F984" s="2" t="s">
        <v>190</v>
      </c>
      <c r="G984" s="2" t="s">
        <v>19</v>
      </c>
      <c r="H984" s="2">
        <v>76205</v>
      </c>
      <c r="I984" t="s">
        <v>6190</v>
      </c>
    </row>
    <row r="985" spans="1:9" x14ac:dyDescent="0.25">
      <c r="A985" s="2" t="s">
        <v>6048</v>
      </c>
      <c r="B985" s="2" t="s">
        <v>6049</v>
      </c>
      <c r="C985" s="2" t="s">
        <v>6050</v>
      </c>
      <c r="D985" s="2" t="s">
        <v>6051</v>
      </c>
      <c r="E985" s="2" t="s">
        <v>6052</v>
      </c>
      <c r="F985" s="2" t="s">
        <v>39</v>
      </c>
      <c r="G985" s="2" t="s">
        <v>19</v>
      </c>
      <c r="H985" s="2">
        <v>43231</v>
      </c>
      <c r="I985" t="s">
        <v>6190</v>
      </c>
    </row>
    <row r="986" spans="1:9" x14ac:dyDescent="0.25">
      <c r="A986" s="2" t="s">
        <v>6054</v>
      </c>
      <c r="B986" s="2" t="s">
        <v>6055</v>
      </c>
      <c r="C986" s="2" t="s">
        <v>6056</v>
      </c>
      <c r="D986" s="2"/>
      <c r="E986" s="2" t="s">
        <v>6057</v>
      </c>
      <c r="F986" s="2" t="s">
        <v>407</v>
      </c>
      <c r="G986" s="2" t="s">
        <v>318</v>
      </c>
      <c r="H986" s="2" t="s">
        <v>404</v>
      </c>
      <c r="I986" t="s">
        <v>6190</v>
      </c>
    </row>
    <row r="987" spans="1:9" x14ac:dyDescent="0.25">
      <c r="A987" s="2" t="s">
        <v>6059</v>
      </c>
      <c r="B987" s="2" t="s">
        <v>6060</v>
      </c>
      <c r="C987" s="2" t="s">
        <v>6061</v>
      </c>
      <c r="D987" s="2" t="s">
        <v>6062</v>
      </c>
      <c r="E987" s="2" t="s">
        <v>6063</v>
      </c>
      <c r="F987" s="2" t="s">
        <v>133</v>
      </c>
      <c r="G987" s="2" t="s">
        <v>19</v>
      </c>
      <c r="H987" s="2">
        <v>80045</v>
      </c>
      <c r="I987" t="s">
        <v>6191</v>
      </c>
    </row>
    <row r="988" spans="1:9" x14ac:dyDescent="0.25">
      <c r="A988" s="2" t="s">
        <v>6065</v>
      </c>
      <c r="B988" s="2" t="s">
        <v>6066</v>
      </c>
      <c r="C988" s="2" t="s">
        <v>6067</v>
      </c>
      <c r="D988" s="2" t="s">
        <v>6068</v>
      </c>
      <c r="E988" s="2" t="s">
        <v>6069</v>
      </c>
      <c r="F988" s="2" t="s">
        <v>147</v>
      </c>
      <c r="G988" s="2" t="s">
        <v>19</v>
      </c>
      <c r="H988" s="2">
        <v>32128</v>
      </c>
      <c r="I988" t="s">
        <v>6191</v>
      </c>
    </row>
    <row r="989" spans="1:9" x14ac:dyDescent="0.25">
      <c r="A989" s="2" t="s">
        <v>6071</v>
      </c>
      <c r="B989" s="2" t="s">
        <v>6072</v>
      </c>
      <c r="C989" s="2" t="s">
        <v>6073</v>
      </c>
      <c r="D989" s="2" t="s">
        <v>6074</v>
      </c>
      <c r="E989" s="2" t="s">
        <v>6075</v>
      </c>
      <c r="F989" s="2" t="s">
        <v>251</v>
      </c>
      <c r="G989" s="2" t="s">
        <v>28</v>
      </c>
      <c r="H989" s="2" t="s">
        <v>114</v>
      </c>
      <c r="I989" t="s">
        <v>6190</v>
      </c>
    </row>
    <row r="990" spans="1:9" x14ac:dyDescent="0.25">
      <c r="A990" s="2" t="s">
        <v>6077</v>
      </c>
      <c r="B990" s="2" t="s">
        <v>6078</v>
      </c>
      <c r="C990" s="2"/>
      <c r="D990" s="2" t="s">
        <v>6079</v>
      </c>
      <c r="E990" s="2" t="s">
        <v>6080</v>
      </c>
      <c r="F990" s="2" t="s">
        <v>367</v>
      </c>
      <c r="G990" s="2" t="s">
        <v>28</v>
      </c>
      <c r="H990" s="2" t="s">
        <v>368</v>
      </c>
      <c r="I990" t="s">
        <v>6190</v>
      </c>
    </row>
    <row r="991" spans="1:9" x14ac:dyDescent="0.25">
      <c r="A991" s="2" t="s">
        <v>6082</v>
      </c>
      <c r="B991" s="2" t="s">
        <v>6083</v>
      </c>
      <c r="C991" s="2"/>
      <c r="D991" s="2" t="s">
        <v>6084</v>
      </c>
      <c r="E991" s="2" t="s">
        <v>6085</v>
      </c>
      <c r="F991" s="2" t="s">
        <v>104</v>
      </c>
      <c r="G991" s="2" t="s">
        <v>19</v>
      </c>
      <c r="H991" s="2">
        <v>63131</v>
      </c>
      <c r="I991" t="s">
        <v>6190</v>
      </c>
    </row>
    <row r="992" spans="1:9" x14ac:dyDescent="0.25">
      <c r="A992" s="2" t="s">
        <v>6087</v>
      </c>
      <c r="B992" s="2" t="s">
        <v>6088</v>
      </c>
      <c r="C992" s="2" t="s">
        <v>6089</v>
      </c>
      <c r="D992" s="2" t="s">
        <v>6090</v>
      </c>
      <c r="E992" s="2" t="s">
        <v>6091</v>
      </c>
      <c r="F992" s="2" t="s">
        <v>290</v>
      </c>
      <c r="G992" s="2" t="s">
        <v>19</v>
      </c>
      <c r="H992" s="2">
        <v>92056</v>
      </c>
      <c r="I992" t="s">
        <v>6191</v>
      </c>
    </row>
    <row r="993" spans="1:9" x14ac:dyDescent="0.25">
      <c r="A993" s="2" t="s">
        <v>6092</v>
      </c>
      <c r="B993" s="2" t="s">
        <v>6093</v>
      </c>
      <c r="C993" s="2"/>
      <c r="D993" s="2" t="s">
        <v>6094</v>
      </c>
      <c r="E993" s="2" t="s">
        <v>6095</v>
      </c>
      <c r="F993" s="2" t="s">
        <v>65</v>
      </c>
      <c r="G993" s="2" t="s">
        <v>19</v>
      </c>
      <c r="H993" s="2">
        <v>37416</v>
      </c>
      <c r="I993" t="s">
        <v>6190</v>
      </c>
    </row>
    <row r="994" spans="1:9" x14ac:dyDescent="0.25">
      <c r="A994" s="2" t="s">
        <v>6097</v>
      </c>
      <c r="B994" s="2" t="s">
        <v>6098</v>
      </c>
      <c r="C994" s="2"/>
      <c r="D994" s="2" t="s">
        <v>6099</v>
      </c>
      <c r="E994" s="2" t="s">
        <v>6100</v>
      </c>
      <c r="F994" s="2" t="s">
        <v>488</v>
      </c>
      <c r="G994" s="2" t="s">
        <v>318</v>
      </c>
      <c r="H994" s="2" t="s">
        <v>363</v>
      </c>
      <c r="I994" t="s">
        <v>6191</v>
      </c>
    </row>
    <row r="995" spans="1:9" x14ac:dyDescent="0.25">
      <c r="A995" s="2" t="s">
        <v>6102</v>
      </c>
      <c r="B995" s="2" t="s">
        <v>6103</v>
      </c>
      <c r="C995" s="2"/>
      <c r="D995" s="2" t="s">
        <v>6104</v>
      </c>
      <c r="E995" s="2" t="s">
        <v>6105</v>
      </c>
      <c r="F995" s="2" t="s">
        <v>46</v>
      </c>
      <c r="G995" s="2" t="s">
        <v>19</v>
      </c>
      <c r="H995" s="2">
        <v>19125</v>
      </c>
      <c r="I995" t="s">
        <v>6191</v>
      </c>
    </row>
    <row r="996" spans="1:9" x14ac:dyDescent="0.25">
      <c r="A996" s="2" t="s">
        <v>6107</v>
      </c>
      <c r="B996" s="2" t="s">
        <v>6108</v>
      </c>
      <c r="C996" s="2"/>
      <c r="D996" s="2" t="s">
        <v>6109</v>
      </c>
      <c r="E996" s="2" t="s">
        <v>6110</v>
      </c>
      <c r="F996" s="2" t="s">
        <v>465</v>
      </c>
      <c r="G996" s="2" t="s">
        <v>318</v>
      </c>
      <c r="H996" s="2" t="s">
        <v>383</v>
      </c>
      <c r="I996" t="s">
        <v>6191</v>
      </c>
    </row>
    <row r="997" spans="1:9" x14ac:dyDescent="0.25">
      <c r="A997" s="2" t="s">
        <v>6112</v>
      </c>
      <c r="B997" s="2" t="s">
        <v>6113</v>
      </c>
      <c r="C997" s="2" t="s">
        <v>6114</v>
      </c>
      <c r="D997" s="2" t="s">
        <v>6115</v>
      </c>
      <c r="E997" s="2" t="s">
        <v>6116</v>
      </c>
      <c r="F997" s="2" t="s">
        <v>52</v>
      </c>
      <c r="G997" s="2" t="s">
        <v>19</v>
      </c>
      <c r="H997" s="2">
        <v>75210</v>
      </c>
      <c r="I997" t="s">
        <v>6191</v>
      </c>
    </row>
    <row r="998" spans="1:9" x14ac:dyDescent="0.25">
      <c r="A998" s="2" t="s">
        <v>6118</v>
      </c>
      <c r="B998" s="2" t="s">
        <v>6119</v>
      </c>
      <c r="C998" s="2"/>
      <c r="D998" s="2" t="s">
        <v>6120</v>
      </c>
      <c r="E998" s="2" t="s">
        <v>6121</v>
      </c>
      <c r="F998" s="2" t="s">
        <v>4511</v>
      </c>
      <c r="G998" s="2" t="s">
        <v>19</v>
      </c>
      <c r="H998" s="2">
        <v>72905</v>
      </c>
      <c r="I998" t="s">
        <v>6191</v>
      </c>
    </row>
    <row r="999" spans="1:9" x14ac:dyDescent="0.25">
      <c r="A999" s="2" t="s">
        <v>6123</v>
      </c>
      <c r="B999" s="2" t="s">
        <v>6124</v>
      </c>
      <c r="C999" s="2"/>
      <c r="D999" s="2" t="s">
        <v>6125</v>
      </c>
      <c r="E999" s="2" t="s">
        <v>6126</v>
      </c>
      <c r="F999" s="2" t="s">
        <v>78</v>
      </c>
      <c r="G999" s="2" t="s">
        <v>19</v>
      </c>
      <c r="H999" s="2">
        <v>80920</v>
      </c>
      <c r="I999" t="s">
        <v>6190</v>
      </c>
    </row>
    <row r="1000" spans="1:9" x14ac:dyDescent="0.25">
      <c r="A1000" s="2" t="s">
        <v>6128</v>
      </c>
      <c r="B1000" s="2" t="s">
        <v>6129</v>
      </c>
      <c r="C1000" s="2" t="s">
        <v>6130</v>
      </c>
      <c r="D1000" s="2" t="s">
        <v>6131</v>
      </c>
      <c r="E1000" s="2" t="s">
        <v>6132</v>
      </c>
      <c r="F1000" s="2" t="s">
        <v>146</v>
      </c>
      <c r="G1000" s="2" t="s">
        <v>19</v>
      </c>
      <c r="H1000" s="2">
        <v>90610</v>
      </c>
      <c r="I1000" t="s">
        <v>6191</v>
      </c>
    </row>
    <row r="1001" spans="1:9" x14ac:dyDescent="0.25">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heetViews>
  <sheetFormatPr defaultRowHeight="15" x14ac:dyDescent="0.25"/>
  <cols>
    <col min="1" max="1" width="10.140625" bestFit="1" customWidth="1"/>
    <col min="2" max="2" width="11.7109375" bestFit="1" customWidth="1"/>
    <col min="3" max="3" width="10.5703125" bestFit="1" customWidth="1"/>
    <col min="4" max="4" width="4.5703125" bestFit="1" customWidth="1"/>
    <col min="5" max="5" width="9.5703125" bestFit="1" customWidth="1"/>
    <col min="6" max="6" width="13.42578125" bestFit="1" customWidth="1"/>
    <col min="7" max="7" width="8" bestFit="1" customWidth="1"/>
  </cols>
  <sheetData>
    <row r="1" spans="1:7" x14ac:dyDescent="0.25">
      <c r="A1" t="s">
        <v>11</v>
      </c>
      <c r="B1" t="s">
        <v>9</v>
      </c>
      <c r="C1" t="s">
        <v>10</v>
      </c>
      <c r="D1" t="s">
        <v>12</v>
      </c>
      <c r="E1" t="s">
        <v>13</v>
      </c>
      <c r="F1" t="s">
        <v>17</v>
      </c>
      <c r="G1" t="s">
        <v>16</v>
      </c>
    </row>
    <row r="2" spans="1:7" x14ac:dyDescent="0.25">
      <c r="A2" t="s">
        <v>6167</v>
      </c>
      <c r="B2" t="s">
        <v>6193</v>
      </c>
      <c r="C2" t="s">
        <v>6186</v>
      </c>
      <c r="D2" s="1">
        <v>0.2</v>
      </c>
      <c r="E2">
        <v>3.8849999999999998</v>
      </c>
      <c r="F2">
        <v>1.9424999999999999</v>
      </c>
      <c r="G2">
        <v>0.34964999999999996</v>
      </c>
    </row>
    <row r="3" spans="1:7" x14ac:dyDescent="0.25">
      <c r="A3" t="s">
        <v>6180</v>
      </c>
      <c r="B3" t="s">
        <v>6193</v>
      </c>
      <c r="C3" t="s">
        <v>6186</v>
      </c>
      <c r="D3" s="1">
        <v>0.5</v>
      </c>
      <c r="E3">
        <v>7.77</v>
      </c>
      <c r="F3">
        <v>1.5539999999999998</v>
      </c>
      <c r="G3">
        <v>0.69929999999999992</v>
      </c>
    </row>
    <row r="4" spans="1:7" x14ac:dyDescent="0.25">
      <c r="A4" t="s">
        <v>6140</v>
      </c>
      <c r="B4" t="s">
        <v>6193</v>
      </c>
      <c r="C4" t="s">
        <v>6186</v>
      </c>
      <c r="D4" s="1">
        <v>1</v>
      </c>
      <c r="E4">
        <v>12.95</v>
      </c>
      <c r="F4">
        <v>1.2949999999999999</v>
      </c>
      <c r="G4">
        <v>1.1655</v>
      </c>
    </row>
    <row r="5" spans="1:7" x14ac:dyDescent="0.25">
      <c r="A5" t="s">
        <v>6182</v>
      </c>
      <c r="B5" t="s">
        <v>6193</v>
      </c>
      <c r="C5" t="s">
        <v>6186</v>
      </c>
      <c r="D5" s="1">
        <v>2.5</v>
      </c>
      <c r="E5">
        <v>29.784999999999997</v>
      </c>
      <c r="F5">
        <v>1.1913999999999998</v>
      </c>
      <c r="G5">
        <v>2.6806499999999995</v>
      </c>
    </row>
    <row r="6" spans="1:7" x14ac:dyDescent="0.25">
      <c r="A6" t="s">
        <v>6152</v>
      </c>
      <c r="B6" t="s">
        <v>6193</v>
      </c>
      <c r="C6" t="s">
        <v>6188</v>
      </c>
      <c r="D6" s="1">
        <v>0.2</v>
      </c>
      <c r="E6">
        <v>3.375</v>
      </c>
      <c r="F6">
        <v>1.6875</v>
      </c>
      <c r="G6">
        <v>0.30374999999999996</v>
      </c>
    </row>
    <row r="7" spans="1:7" x14ac:dyDescent="0.25">
      <c r="A7" t="s">
        <v>6157</v>
      </c>
      <c r="B7" t="s">
        <v>6193</v>
      </c>
      <c r="C7" t="s">
        <v>6188</v>
      </c>
      <c r="D7" s="1">
        <v>0.5</v>
      </c>
      <c r="E7">
        <v>6.75</v>
      </c>
      <c r="F7">
        <v>1.35</v>
      </c>
      <c r="G7">
        <v>0.60749999999999993</v>
      </c>
    </row>
    <row r="8" spans="1:7" x14ac:dyDescent="0.25">
      <c r="A8" t="s">
        <v>6155</v>
      </c>
      <c r="B8" t="s">
        <v>6193</v>
      </c>
      <c r="C8" t="s">
        <v>6188</v>
      </c>
      <c r="D8" s="1">
        <v>1</v>
      </c>
      <c r="E8">
        <v>11.25</v>
      </c>
      <c r="F8">
        <v>1.125</v>
      </c>
      <c r="G8">
        <v>1.0125</v>
      </c>
    </row>
    <row r="9" spans="1:7" x14ac:dyDescent="0.25">
      <c r="A9" t="s">
        <v>6175</v>
      </c>
      <c r="B9" t="s">
        <v>6193</v>
      </c>
      <c r="C9" t="s">
        <v>6188</v>
      </c>
      <c r="D9" s="1">
        <v>2.5</v>
      </c>
      <c r="E9">
        <v>25.874999999999996</v>
      </c>
      <c r="F9">
        <v>1.0349999999999999</v>
      </c>
      <c r="G9">
        <v>2.3287499999999994</v>
      </c>
    </row>
    <row r="10" spans="1:7" x14ac:dyDescent="0.25">
      <c r="A10" t="s">
        <v>6154</v>
      </c>
      <c r="B10" t="s">
        <v>6193</v>
      </c>
      <c r="C10" t="s">
        <v>6187</v>
      </c>
      <c r="D10" s="1">
        <v>0.2</v>
      </c>
      <c r="E10">
        <v>2.9849999999999999</v>
      </c>
      <c r="F10">
        <v>1.4924999999999999</v>
      </c>
      <c r="G10">
        <v>0.26865</v>
      </c>
    </row>
    <row r="11" spans="1:7" x14ac:dyDescent="0.25">
      <c r="A11" t="s">
        <v>6158</v>
      </c>
      <c r="B11" t="s">
        <v>6193</v>
      </c>
      <c r="C11" t="s">
        <v>6187</v>
      </c>
      <c r="D11" s="1">
        <v>0.5</v>
      </c>
      <c r="E11">
        <v>5.97</v>
      </c>
      <c r="F11">
        <v>1.194</v>
      </c>
      <c r="G11">
        <v>0.5373</v>
      </c>
    </row>
    <row r="12" spans="1:7" x14ac:dyDescent="0.25">
      <c r="A12" t="s">
        <v>6147</v>
      </c>
      <c r="B12" t="s">
        <v>6193</v>
      </c>
      <c r="C12" t="s">
        <v>6187</v>
      </c>
      <c r="D12" s="1">
        <v>1</v>
      </c>
      <c r="E12">
        <v>9.9499999999999993</v>
      </c>
      <c r="F12">
        <v>0.99499999999999988</v>
      </c>
      <c r="G12">
        <v>0.89549999999999985</v>
      </c>
    </row>
    <row r="13" spans="1:7" x14ac:dyDescent="0.25">
      <c r="A13" t="s">
        <v>6168</v>
      </c>
      <c r="B13" t="s">
        <v>6193</v>
      </c>
      <c r="C13" t="s">
        <v>6187</v>
      </c>
      <c r="D13" s="1">
        <v>2.5</v>
      </c>
      <c r="E13">
        <v>22.884999999999998</v>
      </c>
      <c r="F13">
        <v>0.91539999999999988</v>
      </c>
      <c r="G13">
        <v>2.0596499999999995</v>
      </c>
    </row>
    <row r="14" spans="1:7" x14ac:dyDescent="0.25">
      <c r="A14" t="s">
        <v>6178</v>
      </c>
      <c r="B14" t="s">
        <v>6192</v>
      </c>
      <c r="C14" t="s">
        <v>6186</v>
      </c>
      <c r="D14" s="1">
        <v>0.2</v>
      </c>
      <c r="E14">
        <v>3.5849999999999995</v>
      </c>
      <c r="F14">
        <v>1.7924999999999998</v>
      </c>
      <c r="G14">
        <v>0.21509999999999996</v>
      </c>
    </row>
    <row r="15" spans="1:7" x14ac:dyDescent="0.25">
      <c r="A15" t="s">
        <v>6173</v>
      </c>
      <c r="B15" t="s">
        <v>6192</v>
      </c>
      <c r="C15" t="s">
        <v>6186</v>
      </c>
      <c r="D15" s="1">
        <v>0.5</v>
      </c>
      <c r="E15">
        <v>7.169999999999999</v>
      </c>
      <c r="F15">
        <v>1.4339999999999997</v>
      </c>
      <c r="G15">
        <v>0.43019999999999992</v>
      </c>
    </row>
    <row r="16" spans="1:7" x14ac:dyDescent="0.25">
      <c r="A16" t="s">
        <v>6179</v>
      </c>
      <c r="B16" t="s">
        <v>6192</v>
      </c>
      <c r="C16" t="s">
        <v>6186</v>
      </c>
      <c r="D16" s="1">
        <v>1</v>
      </c>
      <c r="E16">
        <v>11.95</v>
      </c>
      <c r="F16">
        <v>1.1949999999999998</v>
      </c>
      <c r="G16">
        <v>0.71699999999999997</v>
      </c>
    </row>
    <row r="17" spans="1:7" x14ac:dyDescent="0.25">
      <c r="A17" t="s">
        <v>6142</v>
      </c>
      <c r="B17" t="s">
        <v>6192</v>
      </c>
      <c r="C17" t="s">
        <v>6186</v>
      </c>
      <c r="D17" s="1">
        <v>2.5</v>
      </c>
      <c r="E17">
        <v>27.484999999999996</v>
      </c>
      <c r="F17">
        <v>1.0993999999999999</v>
      </c>
      <c r="G17">
        <v>1.6490999999999998</v>
      </c>
    </row>
    <row r="18" spans="1:7" x14ac:dyDescent="0.25">
      <c r="A18" t="s">
        <v>6174</v>
      </c>
      <c r="B18" t="s">
        <v>6192</v>
      </c>
      <c r="C18" t="s">
        <v>6188</v>
      </c>
      <c r="D18" s="1">
        <v>0.2</v>
      </c>
      <c r="E18">
        <v>2.9849999999999999</v>
      </c>
      <c r="F18">
        <v>1.4924999999999999</v>
      </c>
      <c r="G18">
        <v>0.17909999999999998</v>
      </c>
    </row>
    <row r="19" spans="1:7" x14ac:dyDescent="0.25">
      <c r="A19" t="s">
        <v>6146</v>
      </c>
      <c r="B19" t="s">
        <v>6192</v>
      </c>
      <c r="C19" t="s">
        <v>6188</v>
      </c>
      <c r="D19" s="1">
        <v>0.5</v>
      </c>
      <c r="E19">
        <v>5.97</v>
      </c>
      <c r="F19">
        <v>1.194</v>
      </c>
      <c r="G19">
        <v>0.35819999999999996</v>
      </c>
    </row>
    <row r="20" spans="1:7" x14ac:dyDescent="0.25">
      <c r="A20" t="s">
        <v>6138</v>
      </c>
      <c r="B20" t="s">
        <v>6192</v>
      </c>
      <c r="C20" t="s">
        <v>6188</v>
      </c>
      <c r="D20" s="1">
        <v>1</v>
      </c>
      <c r="E20">
        <v>9.9499999999999993</v>
      </c>
      <c r="F20">
        <v>0.99499999999999988</v>
      </c>
      <c r="G20">
        <v>0.59699999999999998</v>
      </c>
    </row>
    <row r="21" spans="1:7" x14ac:dyDescent="0.25">
      <c r="A21" t="s">
        <v>6151</v>
      </c>
      <c r="B21" t="s">
        <v>6192</v>
      </c>
      <c r="C21" t="s">
        <v>6188</v>
      </c>
      <c r="D21" s="1">
        <v>2.5</v>
      </c>
      <c r="E21">
        <v>22.884999999999998</v>
      </c>
      <c r="F21">
        <v>0.91539999999999988</v>
      </c>
      <c r="G21">
        <v>1.3730999999999998</v>
      </c>
    </row>
    <row r="22" spans="1:7" x14ac:dyDescent="0.25">
      <c r="A22" t="s">
        <v>6163</v>
      </c>
      <c r="B22" t="s">
        <v>6192</v>
      </c>
      <c r="C22" t="s">
        <v>6187</v>
      </c>
      <c r="D22" s="1">
        <v>0.2</v>
      </c>
      <c r="E22">
        <v>2.6849999999999996</v>
      </c>
      <c r="F22">
        <v>1.3424999999999998</v>
      </c>
      <c r="G22">
        <v>0.16109999999999997</v>
      </c>
    </row>
    <row r="23" spans="1:7" x14ac:dyDescent="0.25">
      <c r="A23" t="s">
        <v>6172</v>
      </c>
      <c r="B23" t="s">
        <v>6192</v>
      </c>
      <c r="C23" t="s">
        <v>6187</v>
      </c>
      <c r="D23" s="1">
        <v>0.5</v>
      </c>
      <c r="E23">
        <v>5.3699999999999992</v>
      </c>
      <c r="F23">
        <v>1.0739999999999998</v>
      </c>
      <c r="G23">
        <v>0.32219999999999993</v>
      </c>
    </row>
    <row r="24" spans="1:7" x14ac:dyDescent="0.25">
      <c r="A24" t="s">
        <v>6177</v>
      </c>
      <c r="B24" t="s">
        <v>6192</v>
      </c>
      <c r="C24" t="s">
        <v>6187</v>
      </c>
      <c r="D24" s="1">
        <v>1</v>
      </c>
      <c r="E24">
        <v>8.9499999999999993</v>
      </c>
      <c r="F24">
        <v>0.89499999999999991</v>
      </c>
      <c r="G24">
        <v>0.53699999999999992</v>
      </c>
    </row>
    <row r="25" spans="1:7" x14ac:dyDescent="0.25">
      <c r="A25" t="s">
        <v>6149</v>
      </c>
      <c r="B25" t="s">
        <v>6192</v>
      </c>
      <c r="C25" t="s">
        <v>6187</v>
      </c>
      <c r="D25" s="1">
        <v>2.5</v>
      </c>
      <c r="E25">
        <v>20.584999999999997</v>
      </c>
      <c r="F25">
        <v>0.82339999999999991</v>
      </c>
      <c r="G25">
        <v>1.2350999999999999</v>
      </c>
    </row>
    <row r="26" spans="1:7" x14ac:dyDescent="0.25">
      <c r="A26" t="s">
        <v>6145</v>
      </c>
      <c r="B26" t="s">
        <v>6195</v>
      </c>
      <c r="C26" t="s">
        <v>6186</v>
      </c>
      <c r="D26" s="1">
        <v>0.2</v>
      </c>
      <c r="E26">
        <v>4.7549999999999999</v>
      </c>
      <c r="F26">
        <v>2.3774999999999999</v>
      </c>
      <c r="G26">
        <v>0.61814999999999998</v>
      </c>
    </row>
    <row r="27" spans="1:7" x14ac:dyDescent="0.25">
      <c r="A27" t="s">
        <v>6161</v>
      </c>
      <c r="B27" t="s">
        <v>6195</v>
      </c>
      <c r="C27" t="s">
        <v>6186</v>
      </c>
      <c r="D27" s="1">
        <v>0.5</v>
      </c>
      <c r="E27">
        <v>9.51</v>
      </c>
      <c r="F27">
        <v>1.9019999999999999</v>
      </c>
      <c r="G27">
        <v>1.2363</v>
      </c>
    </row>
    <row r="28" spans="1:7" x14ac:dyDescent="0.25">
      <c r="A28" t="s">
        <v>6170</v>
      </c>
      <c r="B28" t="s">
        <v>6195</v>
      </c>
      <c r="C28" t="s">
        <v>6186</v>
      </c>
      <c r="D28" s="1">
        <v>1</v>
      </c>
      <c r="E28">
        <v>15.85</v>
      </c>
      <c r="F28">
        <v>1.585</v>
      </c>
      <c r="G28">
        <v>2.0605000000000002</v>
      </c>
    </row>
    <row r="29" spans="1:7" x14ac:dyDescent="0.25">
      <c r="A29" t="s">
        <v>6164</v>
      </c>
      <c r="B29" t="s">
        <v>6195</v>
      </c>
      <c r="C29" t="s">
        <v>6186</v>
      </c>
      <c r="D29" s="1">
        <v>2.5</v>
      </c>
      <c r="E29">
        <v>36.454999999999998</v>
      </c>
      <c r="F29">
        <v>1.4581999999999999</v>
      </c>
      <c r="G29">
        <v>4.7391499999999995</v>
      </c>
    </row>
    <row r="30" spans="1:7" x14ac:dyDescent="0.25">
      <c r="A30" t="s">
        <v>6159</v>
      </c>
      <c r="B30" t="s">
        <v>6195</v>
      </c>
      <c r="C30" t="s">
        <v>6188</v>
      </c>
      <c r="D30" s="1">
        <v>0.2</v>
      </c>
      <c r="E30">
        <v>4.3650000000000002</v>
      </c>
      <c r="F30">
        <v>2.1825000000000001</v>
      </c>
      <c r="G30">
        <v>0.56745000000000001</v>
      </c>
    </row>
    <row r="31" spans="1:7" x14ac:dyDescent="0.25">
      <c r="A31" t="s">
        <v>6160</v>
      </c>
      <c r="B31" t="s">
        <v>6195</v>
      </c>
      <c r="C31" t="s">
        <v>6188</v>
      </c>
      <c r="D31" s="1">
        <v>0.5</v>
      </c>
      <c r="E31">
        <v>8.73</v>
      </c>
      <c r="F31">
        <v>1.746</v>
      </c>
      <c r="G31">
        <v>1.1349</v>
      </c>
    </row>
    <row r="32" spans="1:7" x14ac:dyDescent="0.25">
      <c r="A32" t="s">
        <v>6162</v>
      </c>
      <c r="B32" t="s">
        <v>6195</v>
      </c>
      <c r="C32" t="s">
        <v>6188</v>
      </c>
      <c r="D32" s="1">
        <v>1</v>
      </c>
      <c r="E32">
        <v>14.55</v>
      </c>
      <c r="F32">
        <v>1.4550000000000001</v>
      </c>
      <c r="G32">
        <v>1.8915000000000002</v>
      </c>
    </row>
    <row r="33" spans="1:7" x14ac:dyDescent="0.25">
      <c r="A33" t="s">
        <v>6181</v>
      </c>
      <c r="B33" t="s">
        <v>6195</v>
      </c>
      <c r="C33" t="s">
        <v>6188</v>
      </c>
      <c r="D33" s="1">
        <v>2.5</v>
      </c>
      <c r="E33">
        <v>33.464999999999996</v>
      </c>
      <c r="F33">
        <v>1.3385999999999998</v>
      </c>
      <c r="G33">
        <v>4.3504499999999995</v>
      </c>
    </row>
    <row r="34" spans="1:7" x14ac:dyDescent="0.25">
      <c r="A34" t="s">
        <v>6150</v>
      </c>
      <c r="B34" t="s">
        <v>6195</v>
      </c>
      <c r="C34" t="s">
        <v>6187</v>
      </c>
      <c r="D34" s="1">
        <v>0.2</v>
      </c>
      <c r="E34">
        <v>3.8849999999999998</v>
      </c>
      <c r="F34">
        <v>1.9424999999999999</v>
      </c>
      <c r="G34">
        <v>0.50505</v>
      </c>
    </row>
    <row r="35" spans="1:7" x14ac:dyDescent="0.25">
      <c r="A35" t="s">
        <v>6169</v>
      </c>
      <c r="B35" t="s">
        <v>6195</v>
      </c>
      <c r="C35" t="s">
        <v>6187</v>
      </c>
      <c r="D35" s="1">
        <v>0.5</v>
      </c>
      <c r="E35">
        <v>7.77</v>
      </c>
      <c r="F35">
        <v>1.5539999999999998</v>
      </c>
      <c r="G35">
        <v>1.0101</v>
      </c>
    </row>
    <row r="36" spans="1:7" x14ac:dyDescent="0.25">
      <c r="A36" t="s">
        <v>6143</v>
      </c>
      <c r="B36" t="s">
        <v>6195</v>
      </c>
      <c r="C36" t="s">
        <v>6187</v>
      </c>
      <c r="D36" s="1">
        <v>1</v>
      </c>
      <c r="E36">
        <v>12.95</v>
      </c>
      <c r="F36">
        <v>1.2949999999999999</v>
      </c>
      <c r="G36">
        <v>1.6835</v>
      </c>
    </row>
    <row r="37" spans="1:7" x14ac:dyDescent="0.25">
      <c r="A37" t="s">
        <v>6165</v>
      </c>
      <c r="B37" t="s">
        <v>6195</v>
      </c>
      <c r="C37" t="s">
        <v>6187</v>
      </c>
      <c r="D37" s="1">
        <v>2.5</v>
      </c>
      <c r="E37">
        <v>29.784999999999997</v>
      </c>
      <c r="F37">
        <v>1.1913999999999998</v>
      </c>
      <c r="G37">
        <v>3.8720499999999998</v>
      </c>
    </row>
    <row r="38" spans="1:7" x14ac:dyDescent="0.25">
      <c r="A38" t="s">
        <v>6184</v>
      </c>
      <c r="B38" t="s">
        <v>6194</v>
      </c>
      <c r="C38" t="s">
        <v>6186</v>
      </c>
      <c r="D38" s="1">
        <v>0.2</v>
      </c>
      <c r="E38">
        <v>4.4550000000000001</v>
      </c>
      <c r="F38">
        <v>2.2275</v>
      </c>
      <c r="G38">
        <v>0.49004999999999999</v>
      </c>
    </row>
    <row r="39" spans="1:7" x14ac:dyDescent="0.25">
      <c r="A39" t="s">
        <v>6176</v>
      </c>
      <c r="B39" t="s">
        <v>6194</v>
      </c>
      <c r="C39" t="s">
        <v>6186</v>
      </c>
      <c r="D39" s="1">
        <v>0.5</v>
      </c>
      <c r="E39">
        <v>8.91</v>
      </c>
      <c r="F39">
        <v>1.782</v>
      </c>
      <c r="G39">
        <v>0.98009999999999997</v>
      </c>
    </row>
    <row r="40" spans="1:7" x14ac:dyDescent="0.25">
      <c r="A40" t="s">
        <v>6171</v>
      </c>
      <c r="B40" t="s">
        <v>6194</v>
      </c>
      <c r="C40" t="s">
        <v>6186</v>
      </c>
      <c r="D40" s="1">
        <v>1</v>
      </c>
      <c r="E40">
        <v>14.85</v>
      </c>
      <c r="F40">
        <v>1.4849999999999999</v>
      </c>
      <c r="G40">
        <v>1.6335</v>
      </c>
    </row>
    <row r="41" spans="1:7" x14ac:dyDescent="0.25">
      <c r="A41" t="s">
        <v>6148</v>
      </c>
      <c r="B41" t="s">
        <v>6194</v>
      </c>
      <c r="C41" t="s">
        <v>6186</v>
      </c>
      <c r="D41" s="1">
        <v>2.5</v>
      </c>
      <c r="E41">
        <v>34.154999999999994</v>
      </c>
      <c r="F41">
        <v>1.3661999999999999</v>
      </c>
      <c r="G41">
        <v>3.7570499999999996</v>
      </c>
    </row>
    <row r="42" spans="1:7" x14ac:dyDescent="0.25">
      <c r="A42" t="s">
        <v>6156</v>
      </c>
      <c r="B42" t="s">
        <v>6194</v>
      </c>
      <c r="C42" t="s">
        <v>6188</v>
      </c>
      <c r="D42" s="1">
        <v>0.2</v>
      </c>
      <c r="E42">
        <v>4.125</v>
      </c>
      <c r="F42">
        <v>2.0625</v>
      </c>
      <c r="G42">
        <v>0.45374999999999999</v>
      </c>
    </row>
    <row r="43" spans="1:7" x14ac:dyDescent="0.25">
      <c r="A43" t="s">
        <v>6139</v>
      </c>
      <c r="B43" t="s">
        <v>6194</v>
      </c>
      <c r="C43" t="s">
        <v>6188</v>
      </c>
      <c r="D43" s="1">
        <v>0.5</v>
      </c>
      <c r="E43">
        <v>8.25</v>
      </c>
      <c r="F43">
        <v>1.65</v>
      </c>
      <c r="G43">
        <v>0.90749999999999997</v>
      </c>
    </row>
    <row r="44" spans="1:7" x14ac:dyDescent="0.25">
      <c r="A44" t="s">
        <v>6141</v>
      </c>
      <c r="B44" t="s">
        <v>6194</v>
      </c>
      <c r="C44" t="s">
        <v>6188</v>
      </c>
      <c r="D44" s="1">
        <v>1</v>
      </c>
      <c r="E44">
        <v>13.75</v>
      </c>
      <c r="F44">
        <v>1.375</v>
      </c>
      <c r="G44">
        <v>1.5125</v>
      </c>
    </row>
    <row r="45" spans="1:7" x14ac:dyDescent="0.25">
      <c r="A45" t="s">
        <v>6166</v>
      </c>
      <c r="B45" t="s">
        <v>6194</v>
      </c>
      <c r="C45" t="s">
        <v>6188</v>
      </c>
      <c r="D45" s="1">
        <v>2.5</v>
      </c>
      <c r="E45">
        <v>31.624999999999996</v>
      </c>
      <c r="F45">
        <v>1.2649999999999999</v>
      </c>
      <c r="G45">
        <v>3.4787499999999998</v>
      </c>
    </row>
    <row r="46" spans="1:7" x14ac:dyDescent="0.25">
      <c r="A46" t="s">
        <v>6153</v>
      </c>
      <c r="B46" t="s">
        <v>6194</v>
      </c>
      <c r="C46" t="s">
        <v>6187</v>
      </c>
      <c r="D46" s="1">
        <v>0.2</v>
      </c>
      <c r="E46">
        <v>3.645</v>
      </c>
      <c r="F46">
        <v>1.8225</v>
      </c>
      <c r="G46">
        <v>0.40095000000000003</v>
      </c>
    </row>
    <row r="47" spans="1:7" x14ac:dyDescent="0.25">
      <c r="A47" t="s">
        <v>6144</v>
      </c>
      <c r="B47" t="s">
        <v>6194</v>
      </c>
      <c r="C47" t="s">
        <v>6187</v>
      </c>
      <c r="D47" s="1">
        <v>0.5</v>
      </c>
      <c r="E47">
        <v>7.29</v>
      </c>
      <c r="F47">
        <v>1.458</v>
      </c>
      <c r="G47">
        <v>0.80190000000000006</v>
      </c>
    </row>
    <row r="48" spans="1:7" x14ac:dyDescent="0.25">
      <c r="A48" t="s">
        <v>6183</v>
      </c>
      <c r="B48" t="s">
        <v>6194</v>
      </c>
      <c r="C48" t="s">
        <v>6187</v>
      </c>
      <c r="D48" s="1">
        <v>1</v>
      </c>
      <c r="E48">
        <v>12.15</v>
      </c>
      <c r="F48">
        <v>1.2150000000000001</v>
      </c>
      <c r="G48">
        <v>1.3365</v>
      </c>
    </row>
    <row r="49" spans="1:7" x14ac:dyDescent="0.25">
      <c r="A49" t="s">
        <v>6185</v>
      </c>
      <c r="B49" t="s">
        <v>6194</v>
      </c>
      <c r="C49" t="s">
        <v>6187</v>
      </c>
      <c r="D49" s="1">
        <v>2.5</v>
      </c>
      <c r="E49">
        <v>27.945</v>
      </c>
      <c r="F49">
        <v>1.1177999999999999</v>
      </c>
      <c r="G49">
        <v>3.07395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925FA2-39D8-4584-800D-D7DB478C662D}">
  <dimension ref="A1:AB1001"/>
  <sheetViews>
    <sheetView workbookViewId="0">
      <selection activeCell="S3" sqref="S3"/>
    </sheetView>
  </sheetViews>
  <sheetFormatPr defaultRowHeight="15" x14ac:dyDescent="0.25"/>
  <cols>
    <col min="1" max="1" width="15.5703125" bestFit="1" customWidth="1"/>
    <col min="2" max="2" width="13" bestFit="1" customWidth="1"/>
    <col min="3" max="3" width="16.28515625" bestFit="1" customWidth="1"/>
    <col min="4" max="4" width="12.42578125" bestFit="1" customWidth="1"/>
    <col min="5" max="5" width="11" bestFit="1" customWidth="1"/>
    <col min="6" max="6" width="23.7109375" bestFit="1" customWidth="1"/>
    <col min="7" max="7" width="39.42578125" bestFit="1" customWidth="1"/>
    <col min="8" max="8" width="15.42578125" bestFit="1" customWidth="1"/>
    <col min="9" max="9" width="14" bestFit="1" customWidth="1"/>
    <col min="10" max="10" width="12.85546875" bestFit="1" customWidth="1"/>
    <col min="11" max="11" width="6.85546875" bestFit="1" customWidth="1"/>
    <col min="12" max="12" width="12" bestFit="1" customWidth="1"/>
    <col min="13" max="13" width="9" bestFit="1" customWidth="1"/>
    <col min="14" max="14" width="20" bestFit="1" customWidth="1"/>
    <col min="15" max="15" width="18.7109375" bestFit="1" customWidth="1"/>
    <col min="16" max="16" width="14" bestFit="1" customWidth="1"/>
    <col min="17" max="17" width="18.28515625" bestFit="1" customWidth="1"/>
    <col min="18" max="18" width="20.7109375" style="10" bestFit="1" customWidth="1"/>
    <col min="19" max="19" width="18.7109375" bestFit="1" customWidth="1"/>
    <col min="20" max="20" width="20.42578125" bestFit="1" customWidth="1"/>
    <col min="21" max="21" width="20.140625" bestFit="1" customWidth="1"/>
    <col min="22" max="22" width="11.7109375" bestFit="1" customWidth="1"/>
    <col min="23" max="23" width="14.85546875" bestFit="1" customWidth="1"/>
    <col min="24" max="24" width="23.7109375" bestFit="1" customWidth="1"/>
    <col min="26" max="26" width="13.85546875" bestFit="1" customWidth="1"/>
    <col min="27" max="27" width="15.140625" bestFit="1" customWidth="1"/>
  </cols>
  <sheetData>
    <row r="1" spans="1:28" x14ac:dyDescent="0.25">
      <c r="A1" s="2" t="s">
        <v>0</v>
      </c>
      <c r="B1" s="4" t="s">
        <v>1</v>
      </c>
      <c r="C1" s="2" t="s">
        <v>3</v>
      </c>
      <c r="D1" s="2" t="s">
        <v>11</v>
      </c>
      <c r="E1" s="2" t="s">
        <v>14</v>
      </c>
      <c r="F1" s="2" t="s">
        <v>4</v>
      </c>
      <c r="G1" s="2" t="s">
        <v>2</v>
      </c>
      <c r="H1" s="2" t="s">
        <v>7</v>
      </c>
      <c r="I1" s="2" t="s">
        <v>9</v>
      </c>
      <c r="J1" s="2" t="s">
        <v>10</v>
      </c>
      <c r="K1" s="2" t="s">
        <v>12</v>
      </c>
      <c r="L1" s="2" t="s">
        <v>13</v>
      </c>
      <c r="M1" s="2" t="s">
        <v>15</v>
      </c>
      <c r="N1" s="2" t="s">
        <v>6196</v>
      </c>
      <c r="O1" s="2" t="s">
        <v>6197</v>
      </c>
      <c r="P1" s="2" t="s">
        <v>6189</v>
      </c>
      <c r="Q1" s="2" t="s">
        <v>6216</v>
      </c>
      <c r="R1" s="16" t="s">
        <v>6220</v>
      </c>
      <c r="S1" s="2" t="s">
        <v>6217</v>
      </c>
      <c r="T1" s="2" t="s">
        <v>6219</v>
      </c>
      <c r="U1" s="2" t="s">
        <v>6233</v>
      </c>
      <c r="V1" s="2" t="s">
        <v>6240</v>
      </c>
      <c r="W1" s="2" t="s">
        <v>6241</v>
      </c>
      <c r="X1" s="2" t="s">
        <v>6242</v>
      </c>
      <c r="Y1" s="2" t="s">
        <v>6249</v>
      </c>
      <c r="Z1" s="2" t="s">
        <v>6250</v>
      </c>
      <c r="AA1" s="2" t="s">
        <v>6255</v>
      </c>
      <c r="AB1" s="2" t="s">
        <v>6268</v>
      </c>
    </row>
    <row r="2" spans="1:28" x14ac:dyDescent="0.25">
      <c r="A2" s="2" t="s">
        <v>4764</v>
      </c>
      <c r="B2" s="4">
        <v>44715</v>
      </c>
      <c r="C2" s="2" t="s">
        <v>4765</v>
      </c>
      <c r="D2" t="s">
        <v>6177</v>
      </c>
      <c r="E2" s="2">
        <v>4</v>
      </c>
      <c r="F2" s="2" t="str">
        <f>_xlfn.XLOOKUP(C2,customers!$A$1:$A$1001,customers!$B$1:$B$1001,,0)</f>
        <v>Fernando Sulman</v>
      </c>
      <c r="G2" s="2" t="str">
        <f>IF(_xlfn.XLOOKUP(C2,customers!$A$1:$A$1001,customers!$C$1:$C$1001,,0)=0,"",_xlfn.XLOOKUP(C2,customers!$A$1:$A$1001,customers!$C$1:$C$1001,,0))</f>
        <v>fsulmanl0@washington.edu</v>
      </c>
      <c r="H2" s="2" t="str">
        <f>_xlfn.XLOOKUP(C2,customers!$A$1:$A$1001,customers!$G$1:$G$1001,,0)</f>
        <v>United States</v>
      </c>
      <c r="I2" t="str">
        <f>INDEX(products!$A$1:$G$49, MATCH(orders!$D758,products!$A$1:$A805,0), MATCH(orders!I$1,products!$A$1:$G$1,0))</f>
        <v>Rob</v>
      </c>
      <c r="J2" t="str">
        <f>INDEX(products!$A$1:$G$49, MATCH(orders!$D758,products!$A$1:$A805,0), MATCH(orders!J$1,products!$A$1:$G$1,0))</f>
        <v>D</v>
      </c>
      <c r="K2" s="5">
        <f>INDEX(products!$A$1:$G$49, MATCH(orders!$D758,products!$A$1:$A805,0), MATCH(orders!K$1,products!$A$1:$G$1,0))</f>
        <v>1</v>
      </c>
      <c r="L2" s="6">
        <f>INDEX(products!$A$1:$G$49, MATCH(orders!$D758,products!$A$1:$A805,0), MATCH(orders!L$1,products!$A$1:$G$1,0))</f>
        <v>8.9499999999999993</v>
      </c>
      <c r="M2" s="6">
        <f t="shared" ref="M2:M65" si="0">L2*E2</f>
        <v>35.799999999999997</v>
      </c>
      <c r="N2" t="str">
        <f t="shared" ref="N2:N65" si="1">IF(I2="Rob", "Robusta", IF(I2="Exc", "Excelsa", IF(I2="Ara","Arabica", IF(I2="Lib", "Liberica",""))))</f>
        <v>Robusta</v>
      </c>
      <c r="O2" t="str">
        <f t="shared" ref="O2:O65" si="2">IF(J2="M", "Medium", IF(J2="L", "Light", IF(J2="D", "Dark", "")))</f>
        <v>Dark</v>
      </c>
      <c r="P2" t="str">
        <f>_xlfn.XLOOKUP(Orders[[#This Row],[Customer ID]],customers!$A$1:$A$1001,customers!$I$1:$I$1001,,0)</f>
        <v>Yes</v>
      </c>
      <c r="Q2">
        <f>COUNTIF(Orders[Order ID],Orders[[#This Row],[Order ID]])</f>
        <v>1</v>
      </c>
      <c r="R2" s="10">
        <f>SUMIF(Orders[Order ID], Orders[[#This Row],[Order ID]],Orders[Sales])/Orders[[#This Row],[Order Frequency]]</f>
        <v>35.799999999999997</v>
      </c>
      <c r="S2" t="str">
        <f>IF(Orders[[#This Row],[Order Frequency]]&gt;4, "More than 4", IF(AND(Orders[[#This Row],[Order Frequency]]&lt;=4,Orders[[#This Row],[Order Frequency]]&gt;=2), "Between 4 and 2", "Less than 2"))</f>
        <v>Less than 2</v>
      </c>
      <c r="T2" t="str">
        <f>IF(Orders[[#This Row],[Frequency Group]]="less than 2", "Low Value", IF(Orders[[#This Row],[Frequency Group]]="between 4 and 2", "Medium Value", "High Value"))</f>
        <v>Low Value</v>
      </c>
      <c r="U2" t="str">
        <f>IF(Orders[[#This Row],[Sales]]&lt;50, "$0-50", IF(AND(Orders[[#This Row],[Sales]]&gt;=50,Orders[[#This Row],[Sales]]&lt;=100), "$50-100", IF(AND(Orders[[#This Row],[Sales]]&gt;100,Orders[[#This Row],[Sales]]&lt;=150), "$101-150", "$150+")))</f>
        <v>$0-50</v>
      </c>
      <c r="V2" t="str">
        <f>IF(Orders[[#This Row],[Sales]]&gt;MEDIAN(M:M), "High Price", "Low Price")</f>
        <v>High Price</v>
      </c>
      <c r="W2" t="str">
        <f>IF(Orders[[#This Row],[Quantity]]&gt;MEDIAN(E:E), "High Volume", "Low Volume")</f>
        <v>Low Volume</v>
      </c>
      <c r="X2" t="str">
        <f>Orders[[#This Row],[Sales Tier]] &amp; "-" &amp; Orders[[#This Row],[Quantity Tier]]</f>
        <v>High Price-Low Volume</v>
      </c>
      <c r="Y2" t="str">
        <f>TEXT(Orders[[#This Row],[Order Date]], "mmmm")</f>
        <v>June</v>
      </c>
      <c r="Z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 t="str">
        <f>Orders[[#This Row],[Coffee Type Name]] &amp; "-" &amp; Orders[[#This Row],[Roast Type Name]]</f>
        <v>Robusta-Dark</v>
      </c>
      <c r="AB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3" spans="1:28" x14ac:dyDescent="0.25">
      <c r="A3" s="2" t="s">
        <v>5141</v>
      </c>
      <c r="B3" s="4">
        <v>44134</v>
      </c>
      <c r="C3" s="2" t="s">
        <v>5142</v>
      </c>
      <c r="D3" t="s">
        <v>6170</v>
      </c>
      <c r="E3" s="2">
        <v>3</v>
      </c>
      <c r="F3" s="2" t="str">
        <f>_xlfn.XLOOKUP(C3,customers!$A$1:$A$1001,customers!$B$1:$B$1001,,0)</f>
        <v>Tess Benediktovich</v>
      </c>
      <c r="G3" s="2" t="str">
        <f>IF(_xlfn.XLOOKUP(C3,customers!$A$1:$A$1001,customers!$C$1:$C$1001,,0)=0,"",_xlfn.XLOOKUP(C3,customers!$A$1:$A$1001,customers!$C$1:$C$1001,,0))</f>
        <v>tbenediktovichmv@ebay.com</v>
      </c>
      <c r="H3" s="2" t="str">
        <f>_xlfn.XLOOKUP(C3,customers!$A$1:$A$1001,customers!$G$1:$G$1001,,0)</f>
        <v>United States</v>
      </c>
      <c r="I3" t="str">
        <f>INDEX(products!$A$1:$G$49, MATCH(orders!$D825,products!$A$1:$A872,0), MATCH(orders!I$1,products!$A$1:$G$1,0))</f>
        <v>Lib</v>
      </c>
      <c r="J3" t="str">
        <f>INDEX(products!$A$1:$G$49, MATCH(orders!$D825,products!$A$1:$A872,0), MATCH(orders!J$1,products!$A$1:$G$1,0))</f>
        <v>L</v>
      </c>
      <c r="K3" s="5">
        <f>INDEX(products!$A$1:$G$49, MATCH(orders!$D825,products!$A$1:$A872,0), MATCH(orders!K$1,products!$A$1:$G$1,0))</f>
        <v>1</v>
      </c>
      <c r="L3" s="6">
        <f>INDEX(products!$A$1:$G$49, MATCH(orders!$D825,products!$A$1:$A872,0), MATCH(orders!L$1,products!$A$1:$G$1,0))</f>
        <v>15.85</v>
      </c>
      <c r="M3" s="6">
        <f t="shared" si="0"/>
        <v>47.55</v>
      </c>
      <c r="N3" t="str">
        <f t="shared" si="1"/>
        <v>Liberica</v>
      </c>
      <c r="O3" t="str">
        <f t="shared" si="2"/>
        <v>Light</v>
      </c>
      <c r="P3" t="str">
        <f>_xlfn.XLOOKUP(Orders[[#This Row],[Customer ID]],customers!$A$1:$A$1001,customers!$I$1:$I$1001,,0)</f>
        <v>Yes</v>
      </c>
      <c r="Q3">
        <f>COUNTIF(Orders[Order ID],Orders[[#This Row],[Order ID]])</f>
        <v>1</v>
      </c>
      <c r="R3" s="10">
        <f>SUMIF(Orders[Order ID], Orders[[#This Row],[Order ID]],Orders[Sales])/Orders[[#This Row],[Order Frequency]]</f>
        <v>47.55</v>
      </c>
      <c r="S3" t="str">
        <f>IF(Orders[[#This Row],[Order Frequency]]&gt;4, "More than 4", IF(AND(Orders[[#This Row],[Order Frequency]]&lt;=4,Orders[[#This Row],[Order Frequency]]&gt;=2), "Between 4 and 2", "Less than 2"))</f>
        <v>Less than 2</v>
      </c>
      <c r="T3" t="str">
        <f>IF(Orders[[#This Row],[Frequency Group]]="less than 2", "Low Value", IF(Orders[[#This Row],[Frequency Group]]="between 4 and 2", "Medium Value", "High Value"))</f>
        <v>Low Value</v>
      </c>
      <c r="U3" t="str">
        <f>IF(Orders[[#This Row],[Sales]]&lt;50, "$0-50", IF(AND(Orders[[#This Row],[Sales]]&gt;=50,Orders[[#This Row],[Sales]]&lt;=100), "$50-100", IF(AND(Orders[[#This Row],[Sales]]&gt;100,Orders[[#This Row],[Sales]]&lt;=150), "$101-150", "$150+")))</f>
        <v>$0-50</v>
      </c>
      <c r="V3" t="str">
        <f>IF(Orders[[#This Row],[Sales]]&gt;MEDIAN(M:M), "High Price", "Low Price")</f>
        <v>High Price</v>
      </c>
      <c r="W3" t="str">
        <f>IF(Orders[[#This Row],[Quantity]]&gt;MEDIAN(E:E), "High Volume", "Low Volume")</f>
        <v>Low Volume</v>
      </c>
      <c r="X3" t="str">
        <f>Orders[[#This Row],[Sales Tier]] &amp; "-" &amp; Orders[[#This Row],[Quantity Tier]]</f>
        <v>High Price-Low Volume</v>
      </c>
      <c r="Y3" t="str">
        <f>TEXT(Orders[[#This Row],[Order Date]], "mmmm")</f>
        <v>October</v>
      </c>
      <c r="Z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3" t="str">
        <f>Orders[[#This Row],[Coffee Type Name]] &amp; "-" &amp; Orders[[#This Row],[Roast Type Name]]</f>
        <v>Liberica-Light</v>
      </c>
      <c r="AB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4" spans="1:28" x14ac:dyDescent="0.25">
      <c r="A4" s="2" t="s">
        <v>1436</v>
      </c>
      <c r="B4" s="4">
        <v>43484</v>
      </c>
      <c r="C4" s="2" t="s">
        <v>1437</v>
      </c>
      <c r="D4" t="s">
        <v>6157</v>
      </c>
      <c r="E4" s="2">
        <v>6</v>
      </c>
      <c r="F4" s="2" t="str">
        <f>_xlfn.XLOOKUP(C4,customers!$A$1:$A$1001,customers!$B$1:$B$1001,,0)</f>
        <v>Stanislaus Valsler</v>
      </c>
      <c r="G4" s="2" t="str">
        <f>IF(_xlfn.XLOOKUP(C4,customers!$A$1:$A$1001,customers!$C$1:$C$1001,,0)=0,"",_xlfn.XLOOKUP(C4,customers!$A$1:$A$1001,customers!$C$1:$C$1001,,0))</f>
        <v/>
      </c>
      <c r="H4" s="2" t="str">
        <f>_xlfn.XLOOKUP(C4,customers!$A$1:$A$1001,customers!$G$1:$G$1001,,0)</f>
        <v>Ireland</v>
      </c>
      <c r="I4" t="str">
        <f>INDEX(products!$A$1:$G$49, MATCH(orders!$D170,products!$A$1:$A217,0), MATCH(orders!I$1,products!$A$1:$G$1,0))</f>
        <v>Ara</v>
      </c>
      <c r="J4" t="str">
        <f>INDEX(products!$A$1:$G$49, MATCH(orders!$D170,products!$A$1:$A217,0), MATCH(orders!J$1,products!$A$1:$G$1,0))</f>
        <v>M</v>
      </c>
      <c r="K4" s="5">
        <f>INDEX(products!$A$1:$G$49, MATCH(orders!$D170,products!$A$1:$A217,0), MATCH(orders!K$1,products!$A$1:$G$1,0))</f>
        <v>0.5</v>
      </c>
      <c r="L4" s="6">
        <f>INDEX(products!$A$1:$G$49, MATCH(orders!$D170,products!$A$1:$A217,0), MATCH(orders!L$1,products!$A$1:$G$1,0))</f>
        <v>6.75</v>
      </c>
      <c r="M4" s="6">
        <f t="shared" si="0"/>
        <v>40.5</v>
      </c>
      <c r="N4" t="str">
        <f t="shared" si="1"/>
        <v>Arabica</v>
      </c>
      <c r="O4" t="str">
        <f t="shared" si="2"/>
        <v>Medium</v>
      </c>
      <c r="P4" t="str">
        <f>_xlfn.XLOOKUP(Orders[[#This Row],[Customer ID]],customers!$A$1:$A$1001,customers!$I$1:$I$1001,,0)</f>
        <v>No</v>
      </c>
      <c r="Q4">
        <f>COUNTIF(Orders[Order ID],Orders[[#This Row],[Order ID]])</f>
        <v>1</v>
      </c>
      <c r="R4" s="10">
        <f>SUMIF(Orders[Order ID], Orders[[#This Row],[Order ID]],Orders[Sales])/Orders[[#This Row],[Order Frequency]]</f>
        <v>40.5</v>
      </c>
      <c r="S4" t="str">
        <f>IF(Orders[[#This Row],[Order Frequency]]&gt;4, "More than 4", IF(AND(Orders[[#This Row],[Order Frequency]]&lt;=4,Orders[[#This Row],[Order Frequency]]&gt;=2), "Between 4 and 2", "Less than 2"))</f>
        <v>Less than 2</v>
      </c>
      <c r="T4" t="str">
        <f>IF(Orders[[#This Row],[Frequency Group]]="less than 2", "Low Value", IF(Orders[[#This Row],[Frequency Group]]="between 4 and 2", "Medium Value", "High Value"))</f>
        <v>Low Value</v>
      </c>
      <c r="U4" t="str">
        <f>IF(Orders[[#This Row],[Sales]]&lt;50, "$0-50", IF(AND(Orders[[#This Row],[Sales]]&gt;=50,Orders[[#This Row],[Sales]]&lt;=100), "$50-100", IF(AND(Orders[[#This Row],[Sales]]&gt;100,Orders[[#This Row],[Sales]]&lt;=150), "$101-150", "$150+")))</f>
        <v>$0-50</v>
      </c>
      <c r="V4" t="str">
        <f>IF(Orders[[#This Row],[Sales]]&gt;MEDIAN(M:M), "High Price", "Low Price")</f>
        <v>High Price</v>
      </c>
      <c r="W4" t="str">
        <f>IF(Orders[[#This Row],[Quantity]]&gt;MEDIAN(E:E), "High Volume", "Low Volume")</f>
        <v>High Volume</v>
      </c>
      <c r="X4" t="str">
        <f>Orders[[#This Row],[Sales Tier]] &amp; "-" &amp; Orders[[#This Row],[Quantity Tier]]</f>
        <v>High Price-High Volume</v>
      </c>
      <c r="Y4" t="str">
        <f>TEXT(Orders[[#This Row],[Order Date]], "mmmm")</f>
        <v>January</v>
      </c>
      <c r="Z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4" t="str">
        <f>Orders[[#This Row],[Coffee Type Name]] &amp; "-" &amp; Orders[[#This Row],[Roast Type Name]]</f>
        <v>Arabica-Medium</v>
      </c>
      <c r="AB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5" spans="1:28" x14ac:dyDescent="0.25">
      <c r="A5" s="2" t="s">
        <v>2894</v>
      </c>
      <c r="B5" s="4">
        <v>44224</v>
      </c>
      <c r="C5" s="2" t="s">
        <v>2895</v>
      </c>
      <c r="D5" t="s">
        <v>6175</v>
      </c>
      <c r="E5" s="2">
        <v>3</v>
      </c>
      <c r="F5" s="2" t="str">
        <f>_xlfn.XLOOKUP(C5,customers!$A$1:$A$1001,customers!$B$1:$B$1001,,0)</f>
        <v>Kynthia Berick</v>
      </c>
      <c r="G5" s="2" t="str">
        <f>IF(_xlfn.XLOOKUP(C5,customers!$A$1:$A$1001,customers!$C$1:$C$1001,,0)=0,"",_xlfn.XLOOKUP(C5,customers!$A$1:$A$1001,customers!$C$1:$C$1001,,0))</f>
        <v/>
      </c>
      <c r="H5" s="2" t="str">
        <f>_xlfn.XLOOKUP(C5,customers!$A$1:$A$1001,customers!$G$1:$G$1001,,0)</f>
        <v>United States</v>
      </c>
      <c r="I5" t="str">
        <f>INDEX(products!$A$1:$G$49, MATCH(orders!$D429,products!$A$1:$A476,0), MATCH(orders!I$1,products!$A$1:$G$1,0))</f>
        <v>Ara</v>
      </c>
      <c r="J5" t="str">
        <f>INDEX(products!$A$1:$G$49, MATCH(orders!$D429,products!$A$1:$A476,0), MATCH(orders!J$1,products!$A$1:$G$1,0))</f>
        <v>M</v>
      </c>
      <c r="K5" s="5">
        <f>INDEX(products!$A$1:$G$49, MATCH(orders!$D429,products!$A$1:$A476,0), MATCH(orders!K$1,products!$A$1:$G$1,0))</f>
        <v>2.5</v>
      </c>
      <c r="L5" s="6">
        <f>INDEX(products!$A$1:$G$49, MATCH(orders!$D429,products!$A$1:$A476,0), MATCH(orders!L$1,products!$A$1:$G$1,0))</f>
        <v>25.874999999999996</v>
      </c>
      <c r="M5" s="6">
        <f t="shared" si="0"/>
        <v>77.624999999999986</v>
      </c>
      <c r="N5" t="str">
        <f t="shared" si="1"/>
        <v>Arabica</v>
      </c>
      <c r="O5" t="str">
        <f t="shared" si="2"/>
        <v>Medium</v>
      </c>
      <c r="P5" t="str">
        <f>_xlfn.XLOOKUP(Orders[[#This Row],[Customer ID]],customers!$A$1:$A$1001,customers!$I$1:$I$1001,,0)</f>
        <v>Yes</v>
      </c>
      <c r="Q5">
        <f>COUNTIF(Orders[Order ID],Orders[[#This Row],[Order ID]])</f>
        <v>1</v>
      </c>
      <c r="R5" s="10">
        <f>SUMIF(Orders[Order ID], Orders[[#This Row],[Order ID]],Orders[Sales])/Orders[[#This Row],[Order Frequency]]</f>
        <v>77.624999999999986</v>
      </c>
      <c r="S5" t="str">
        <f>IF(Orders[[#This Row],[Order Frequency]]&gt;4, "More than 4", IF(AND(Orders[[#This Row],[Order Frequency]]&lt;=4,Orders[[#This Row],[Order Frequency]]&gt;=2), "Between 4 and 2", "Less than 2"))</f>
        <v>Less than 2</v>
      </c>
      <c r="T5" t="str">
        <f>IF(Orders[[#This Row],[Frequency Group]]="less than 2", "Low Value", IF(Orders[[#This Row],[Frequency Group]]="between 4 and 2", "Medium Value", "High Value"))</f>
        <v>Low Value</v>
      </c>
      <c r="U5" t="str">
        <f>IF(Orders[[#This Row],[Sales]]&lt;50, "$0-50", IF(AND(Orders[[#This Row],[Sales]]&gt;=50,Orders[[#This Row],[Sales]]&lt;=100), "$50-100", IF(AND(Orders[[#This Row],[Sales]]&gt;100,Orders[[#This Row],[Sales]]&lt;=150), "$101-150", "$150+")))</f>
        <v>$50-100</v>
      </c>
      <c r="V5" t="str">
        <f>IF(Orders[[#This Row],[Sales]]&gt;MEDIAN(M:M), "High Price", "Low Price")</f>
        <v>High Price</v>
      </c>
      <c r="W5" t="str">
        <f>IF(Orders[[#This Row],[Quantity]]&gt;MEDIAN(E:E), "High Volume", "Low Volume")</f>
        <v>Low Volume</v>
      </c>
      <c r="X5" t="str">
        <f>Orders[[#This Row],[Sales Tier]] &amp; "-" &amp; Orders[[#This Row],[Quantity Tier]]</f>
        <v>High Price-Low Volume</v>
      </c>
      <c r="Y5" t="str">
        <f>TEXT(Orders[[#This Row],[Order Date]], "mmmm")</f>
        <v>January</v>
      </c>
      <c r="Z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5" t="str">
        <f>Orders[[#This Row],[Coffee Type Name]] &amp; "-" &amp; Orders[[#This Row],[Roast Type Name]]</f>
        <v>Arabica-Medium</v>
      </c>
      <c r="AB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6" spans="1:28" x14ac:dyDescent="0.25">
      <c r="A6" s="2" t="s">
        <v>3654</v>
      </c>
      <c r="B6" s="4">
        <v>44401</v>
      </c>
      <c r="C6" s="2" t="s">
        <v>3655</v>
      </c>
      <c r="D6" t="s">
        <v>6166</v>
      </c>
      <c r="E6" s="2">
        <v>6</v>
      </c>
      <c r="F6" s="2" t="str">
        <f>_xlfn.XLOOKUP(C6,customers!$A$1:$A$1001,customers!$B$1:$B$1001,,0)</f>
        <v>Hatty Dovydenas</v>
      </c>
      <c r="G6" s="2" t="str">
        <f>IF(_xlfn.XLOOKUP(C6,customers!$A$1:$A$1001,customers!$C$1:$C$1001,,0)=0,"",_xlfn.XLOOKUP(C6,customers!$A$1:$A$1001,customers!$C$1:$C$1001,,0))</f>
        <v/>
      </c>
      <c r="H6" s="2" t="str">
        <f>_xlfn.XLOOKUP(C6,customers!$A$1:$A$1001,customers!$G$1:$G$1001,,0)</f>
        <v>United States</v>
      </c>
      <c r="I6" t="str">
        <f>INDEX(products!$A$1:$G$49, MATCH(orders!$D562,products!$A$1:$A609,0), MATCH(orders!I$1,products!$A$1:$G$1,0))</f>
        <v>Exc</v>
      </c>
      <c r="J6" t="str">
        <f>INDEX(products!$A$1:$G$49, MATCH(orders!$D562,products!$A$1:$A609,0), MATCH(orders!J$1,products!$A$1:$G$1,0))</f>
        <v>M</v>
      </c>
      <c r="K6" s="5">
        <f>INDEX(products!$A$1:$G$49, MATCH(orders!$D562,products!$A$1:$A609,0), MATCH(orders!K$1,products!$A$1:$G$1,0))</f>
        <v>2.5</v>
      </c>
      <c r="L6" s="6">
        <f>INDEX(products!$A$1:$G$49, MATCH(orders!$D562,products!$A$1:$A609,0), MATCH(orders!L$1,products!$A$1:$G$1,0))</f>
        <v>31.624999999999996</v>
      </c>
      <c r="M6" s="6">
        <f t="shared" si="0"/>
        <v>189.74999999999997</v>
      </c>
      <c r="N6" t="str">
        <f t="shared" si="1"/>
        <v>Excelsa</v>
      </c>
      <c r="O6" t="str">
        <f t="shared" si="2"/>
        <v>Medium</v>
      </c>
      <c r="P6" t="str">
        <f>_xlfn.XLOOKUP(Orders[[#This Row],[Customer ID]],customers!$A$1:$A$1001,customers!$I$1:$I$1001,,0)</f>
        <v>Yes</v>
      </c>
      <c r="Q6">
        <f>COUNTIF(Orders[Order ID],Orders[[#This Row],[Order ID]])</f>
        <v>1</v>
      </c>
      <c r="R6" s="10">
        <f>SUMIF(Orders[Order ID], Orders[[#This Row],[Order ID]],Orders[Sales])/Orders[[#This Row],[Order Frequency]]</f>
        <v>189.74999999999997</v>
      </c>
      <c r="S6" t="str">
        <f>IF(Orders[[#This Row],[Order Frequency]]&gt;4, "More than 4", IF(AND(Orders[[#This Row],[Order Frequency]]&lt;=4,Orders[[#This Row],[Order Frequency]]&gt;=2), "Between 4 and 2", "Less than 2"))</f>
        <v>Less than 2</v>
      </c>
      <c r="T6" t="str">
        <f>IF(Orders[[#This Row],[Frequency Group]]="less than 2", "Low Value", IF(Orders[[#This Row],[Frequency Group]]="between 4 and 2", "Medium Value", "High Value"))</f>
        <v>Low Value</v>
      </c>
      <c r="U6" t="str">
        <f>IF(Orders[[#This Row],[Sales]]&lt;50, "$0-50", IF(AND(Orders[[#This Row],[Sales]]&gt;=50,Orders[[#This Row],[Sales]]&lt;=100), "$50-100", IF(AND(Orders[[#This Row],[Sales]]&gt;100,Orders[[#This Row],[Sales]]&lt;=150), "$101-150", "$150+")))</f>
        <v>$150+</v>
      </c>
      <c r="V6" t="str">
        <f>IF(Orders[[#This Row],[Sales]]&gt;MEDIAN(M:M), "High Price", "Low Price")</f>
        <v>High Price</v>
      </c>
      <c r="W6" t="str">
        <f>IF(Orders[[#This Row],[Quantity]]&gt;MEDIAN(E:E), "High Volume", "Low Volume")</f>
        <v>High Volume</v>
      </c>
      <c r="X6" t="str">
        <f>Orders[[#This Row],[Sales Tier]] &amp; "-" &amp; Orders[[#This Row],[Quantity Tier]]</f>
        <v>High Price-High Volume</v>
      </c>
      <c r="Y6" t="str">
        <f>TEXT(Orders[[#This Row],[Order Date]], "mmmm")</f>
        <v>July</v>
      </c>
      <c r="Z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6" t="str">
        <f>Orders[[#This Row],[Coffee Type Name]] &amp; "-" &amp; Orders[[#This Row],[Roast Type Name]]</f>
        <v>Excelsa-Medium</v>
      </c>
      <c r="AB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7" spans="1:28" x14ac:dyDescent="0.25">
      <c r="A7" s="2" t="s">
        <v>2968</v>
      </c>
      <c r="B7" s="4">
        <v>44230</v>
      </c>
      <c r="C7" s="2" t="s">
        <v>2969</v>
      </c>
      <c r="D7" t="s">
        <v>6175</v>
      </c>
      <c r="E7" s="2">
        <v>4</v>
      </c>
      <c r="F7" s="2" t="str">
        <f>_xlfn.XLOOKUP(C7,customers!$A$1:$A$1001,customers!$B$1:$B$1001,,0)</f>
        <v>Freda Hollows</v>
      </c>
      <c r="G7" s="2" t="str">
        <f>IF(_xlfn.XLOOKUP(C7,customers!$A$1:$A$1001,customers!$C$1:$C$1001,,0)=0,"",_xlfn.XLOOKUP(C7,customers!$A$1:$A$1001,customers!$C$1:$C$1001,,0))</f>
        <v>fhollowsc8@blogtalkradio.com</v>
      </c>
      <c r="H7" s="2" t="str">
        <f>_xlfn.XLOOKUP(C7,customers!$A$1:$A$1001,customers!$G$1:$G$1001,,0)</f>
        <v>United States</v>
      </c>
      <c r="I7" t="str">
        <f>INDEX(products!$A$1:$G$49, MATCH(orders!$D442,products!$A$1:$A489,0), MATCH(orders!I$1,products!$A$1:$G$1,0))</f>
        <v>Ara</v>
      </c>
      <c r="J7" t="str">
        <f>INDEX(products!$A$1:$G$49, MATCH(orders!$D442,products!$A$1:$A489,0), MATCH(orders!J$1,products!$A$1:$G$1,0))</f>
        <v>M</v>
      </c>
      <c r="K7" s="5">
        <f>INDEX(products!$A$1:$G$49, MATCH(orders!$D442,products!$A$1:$A489,0), MATCH(orders!K$1,products!$A$1:$G$1,0))</f>
        <v>2.5</v>
      </c>
      <c r="L7" s="6">
        <f>INDEX(products!$A$1:$G$49, MATCH(orders!$D442,products!$A$1:$A489,0), MATCH(orders!L$1,products!$A$1:$G$1,0))</f>
        <v>25.874999999999996</v>
      </c>
      <c r="M7" s="6">
        <f t="shared" si="0"/>
        <v>103.49999999999999</v>
      </c>
      <c r="N7" t="str">
        <f t="shared" si="1"/>
        <v>Arabica</v>
      </c>
      <c r="O7" t="str">
        <f t="shared" si="2"/>
        <v>Medium</v>
      </c>
      <c r="P7" t="str">
        <f>_xlfn.XLOOKUP(Orders[[#This Row],[Customer ID]],customers!$A$1:$A$1001,customers!$I$1:$I$1001,,0)</f>
        <v>Yes</v>
      </c>
      <c r="Q7">
        <f>COUNTIF(Orders[Order ID],Orders[[#This Row],[Order ID]])</f>
        <v>1</v>
      </c>
      <c r="R7" s="10">
        <f>SUMIF(Orders[Order ID], Orders[[#This Row],[Order ID]],Orders[Sales])/Orders[[#This Row],[Order Frequency]]</f>
        <v>103.49999999999999</v>
      </c>
      <c r="S7" t="str">
        <f>IF(Orders[[#This Row],[Order Frequency]]&gt;4, "More than 4", IF(AND(Orders[[#This Row],[Order Frequency]]&lt;=4,Orders[[#This Row],[Order Frequency]]&gt;=2), "Between 4 and 2", "Less than 2"))</f>
        <v>Less than 2</v>
      </c>
      <c r="T7" t="str">
        <f>IF(Orders[[#This Row],[Frequency Group]]="less than 2", "Low Value", IF(Orders[[#This Row],[Frequency Group]]="between 4 and 2", "Medium Value", "High Value"))</f>
        <v>Low Value</v>
      </c>
      <c r="U7" t="str">
        <f>IF(Orders[[#This Row],[Sales]]&lt;50, "$0-50", IF(AND(Orders[[#This Row],[Sales]]&gt;=50,Orders[[#This Row],[Sales]]&lt;=100), "$50-100", IF(AND(Orders[[#This Row],[Sales]]&gt;100,Orders[[#This Row],[Sales]]&lt;=150), "$101-150", "$150+")))</f>
        <v>$101-150</v>
      </c>
      <c r="V7" t="str">
        <f>IF(Orders[[#This Row],[Sales]]&gt;MEDIAN(M:M), "High Price", "Low Price")</f>
        <v>High Price</v>
      </c>
      <c r="W7" t="str">
        <f>IF(Orders[[#This Row],[Quantity]]&gt;MEDIAN(E:E), "High Volume", "Low Volume")</f>
        <v>Low Volume</v>
      </c>
      <c r="X7" t="str">
        <f>Orders[[#This Row],[Sales Tier]] &amp; "-" &amp; Orders[[#This Row],[Quantity Tier]]</f>
        <v>High Price-Low Volume</v>
      </c>
      <c r="Y7" t="str">
        <f>TEXT(Orders[[#This Row],[Order Date]], "mmmm")</f>
        <v>February</v>
      </c>
      <c r="Z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 t="str">
        <f>Orders[[#This Row],[Coffee Type Name]] &amp; "-" &amp; Orders[[#This Row],[Roast Type Name]]</f>
        <v>Arabica-Medium</v>
      </c>
      <c r="AB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8" spans="1:28" x14ac:dyDescent="0.25">
      <c r="A8" s="2" t="s">
        <v>2232</v>
      </c>
      <c r="B8" s="4">
        <v>43864</v>
      </c>
      <c r="C8" s="2" t="s">
        <v>2233</v>
      </c>
      <c r="D8" t="s">
        <v>6159</v>
      </c>
      <c r="E8" s="2">
        <v>6</v>
      </c>
      <c r="F8" s="2" t="str">
        <f>_xlfn.XLOOKUP(C8,customers!$A$1:$A$1001,customers!$B$1:$B$1001,,0)</f>
        <v>Eveleen Bletsor</v>
      </c>
      <c r="G8" s="2" t="str">
        <f>IF(_xlfn.XLOOKUP(C8,customers!$A$1:$A$1001,customers!$C$1:$C$1001,,0)=0,"",_xlfn.XLOOKUP(C8,customers!$A$1:$A$1001,customers!$C$1:$C$1001,,0))</f>
        <v>ebletsor8l@vinaora.com</v>
      </c>
      <c r="H8" s="2" t="str">
        <f>_xlfn.XLOOKUP(C8,customers!$A$1:$A$1001,customers!$G$1:$G$1001,,0)</f>
        <v>United States</v>
      </c>
      <c r="I8" t="str">
        <f>INDEX(products!$A$1:$G$49, MATCH(orders!$D311,products!$A$1:$A358,0), MATCH(orders!I$1,products!$A$1:$G$1,0))</f>
        <v>Lib</v>
      </c>
      <c r="J8" t="str">
        <f>INDEX(products!$A$1:$G$49, MATCH(orders!$D311,products!$A$1:$A358,0), MATCH(orders!J$1,products!$A$1:$G$1,0))</f>
        <v>M</v>
      </c>
      <c r="K8" s="5">
        <f>INDEX(products!$A$1:$G$49, MATCH(orders!$D311,products!$A$1:$A358,0), MATCH(orders!K$1,products!$A$1:$G$1,0))</f>
        <v>0.2</v>
      </c>
      <c r="L8" s="6">
        <f>INDEX(products!$A$1:$G$49, MATCH(orders!$D311,products!$A$1:$A358,0), MATCH(orders!L$1,products!$A$1:$G$1,0))</f>
        <v>4.3650000000000002</v>
      </c>
      <c r="M8" s="6">
        <f t="shared" si="0"/>
        <v>26.19</v>
      </c>
      <c r="N8" t="str">
        <f t="shared" si="1"/>
        <v>Liberica</v>
      </c>
      <c r="O8" t="str">
        <f t="shared" si="2"/>
        <v>Medium</v>
      </c>
      <c r="P8" t="str">
        <f>_xlfn.XLOOKUP(Orders[[#This Row],[Customer ID]],customers!$A$1:$A$1001,customers!$I$1:$I$1001,,0)</f>
        <v>Yes</v>
      </c>
      <c r="Q8">
        <f>COUNTIF(Orders[Order ID],Orders[[#This Row],[Order ID]])</f>
        <v>1</v>
      </c>
      <c r="R8" s="10">
        <f>SUMIF(Orders[Order ID], Orders[[#This Row],[Order ID]],Orders[Sales])/Orders[[#This Row],[Order Frequency]]</f>
        <v>26.19</v>
      </c>
      <c r="S8" t="str">
        <f>IF(Orders[[#This Row],[Order Frequency]]&gt;4, "More than 4", IF(AND(Orders[[#This Row],[Order Frequency]]&lt;=4,Orders[[#This Row],[Order Frequency]]&gt;=2), "Between 4 and 2", "Less than 2"))</f>
        <v>Less than 2</v>
      </c>
      <c r="T8" t="str">
        <f>IF(Orders[[#This Row],[Frequency Group]]="less than 2", "Low Value", IF(Orders[[#This Row],[Frequency Group]]="between 4 and 2", "Medium Value", "High Value"))</f>
        <v>Low Value</v>
      </c>
      <c r="U8" t="str">
        <f>IF(Orders[[#This Row],[Sales]]&lt;50, "$0-50", IF(AND(Orders[[#This Row],[Sales]]&gt;=50,Orders[[#This Row],[Sales]]&lt;=100), "$50-100", IF(AND(Orders[[#This Row],[Sales]]&gt;100,Orders[[#This Row],[Sales]]&lt;=150), "$101-150", "$150+")))</f>
        <v>$0-50</v>
      </c>
      <c r="V8" t="str">
        <f>IF(Orders[[#This Row],[Sales]]&gt;MEDIAN(M:M), "High Price", "Low Price")</f>
        <v>Low Price</v>
      </c>
      <c r="W8" t="str">
        <f>IF(Orders[[#This Row],[Quantity]]&gt;MEDIAN(E:E), "High Volume", "Low Volume")</f>
        <v>High Volume</v>
      </c>
      <c r="X8" t="str">
        <f>Orders[[#This Row],[Sales Tier]] &amp; "-" &amp; Orders[[#This Row],[Quantity Tier]]</f>
        <v>Low Price-High Volume</v>
      </c>
      <c r="Y8" t="str">
        <f>TEXT(Orders[[#This Row],[Order Date]], "mmmm")</f>
        <v>February</v>
      </c>
      <c r="Z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 t="str">
        <f>Orders[[#This Row],[Coffee Type Name]] &amp; "-" &amp; Orders[[#This Row],[Roast Type Name]]</f>
        <v>Liberica-Medium</v>
      </c>
      <c r="AB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9" spans="1:28" x14ac:dyDescent="0.25">
      <c r="A9" s="2" t="s">
        <v>6117</v>
      </c>
      <c r="B9" s="4">
        <v>44685</v>
      </c>
      <c r="C9" s="2" t="s">
        <v>6118</v>
      </c>
      <c r="D9" t="s">
        <v>6146</v>
      </c>
      <c r="E9" s="2">
        <v>5</v>
      </c>
      <c r="F9" s="2" t="str">
        <f>_xlfn.XLOOKUP(C9,customers!$A$1:$A$1001,customers!$B$1:$B$1001,,0)</f>
        <v>Marguerite Graves</v>
      </c>
      <c r="G9" s="2" t="str">
        <f>IF(_xlfn.XLOOKUP(C9,customers!$A$1:$A$1001,customers!$C$1:$C$1001,,0)=0,"",_xlfn.XLOOKUP(C9,customers!$A$1:$A$1001,customers!$C$1:$C$1001,,0))</f>
        <v/>
      </c>
      <c r="H9" s="2" t="str">
        <f>_xlfn.XLOOKUP(C9,customers!$A$1:$A$1001,customers!$G$1:$G$1001,,0)</f>
        <v>United States</v>
      </c>
      <c r="I9" t="str">
        <f>INDEX(products!$A$1:$G$49, MATCH(orders!$D998,products!$A$1:$A1045,0), MATCH(orders!I$1,products!$A$1:$G$1,0))</f>
        <v>Rob</v>
      </c>
      <c r="J9" t="str">
        <f>INDEX(products!$A$1:$G$49, MATCH(orders!$D998,products!$A$1:$A1045,0), MATCH(orders!J$1,products!$A$1:$G$1,0))</f>
        <v>M</v>
      </c>
      <c r="K9" s="5">
        <f>INDEX(products!$A$1:$G$49, MATCH(orders!$D998,products!$A$1:$A1045,0), MATCH(orders!K$1,products!$A$1:$G$1,0))</f>
        <v>0.5</v>
      </c>
      <c r="L9" s="6">
        <f>INDEX(products!$A$1:$G$49, MATCH(orders!$D998,products!$A$1:$A1045,0), MATCH(orders!L$1,products!$A$1:$G$1,0))</f>
        <v>5.97</v>
      </c>
      <c r="M9" s="6">
        <f t="shared" si="0"/>
        <v>29.849999999999998</v>
      </c>
      <c r="N9" t="str">
        <f t="shared" si="1"/>
        <v>Robusta</v>
      </c>
      <c r="O9" t="str">
        <f t="shared" si="2"/>
        <v>Medium</v>
      </c>
      <c r="P9" t="str">
        <f>_xlfn.XLOOKUP(Orders[[#This Row],[Customer ID]],customers!$A$1:$A$1001,customers!$I$1:$I$1001,,0)</f>
        <v>No</v>
      </c>
      <c r="Q9">
        <f>COUNTIF(Orders[Order ID],Orders[[#This Row],[Order ID]])</f>
        <v>1</v>
      </c>
      <c r="R9" s="10">
        <f>SUMIF(Orders[Order ID], Orders[[#This Row],[Order ID]],Orders[Sales])/Orders[[#This Row],[Order Frequency]]</f>
        <v>29.849999999999998</v>
      </c>
      <c r="S9" t="str">
        <f>IF(Orders[[#This Row],[Order Frequency]]&gt;4, "More than 4", IF(AND(Orders[[#This Row],[Order Frequency]]&lt;=4,Orders[[#This Row],[Order Frequency]]&gt;=2), "Between 4 and 2", "Less than 2"))</f>
        <v>Less than 2</v>
      </c>
      <c r="T9" t="str">
        <f>IF(Orders[[#This Row],[Frequency Group]]="less than 2", "Low Value", IF(Orders[[#This Row],[Frequency Group]]="between 4 and 2", "Medium Value", "High Value"))</f>
        <v>Low Value</v>
      </c>
      <c r="U9" t="str">
        <f>IF(Orders[[#This Row],[Sales]]&lt;50, "$0-50", IF(AND(Orders[[#This Row],[Sales]]&gt;=50,Orders[[#This Row],[Sales]]&lt;=100), "$50-100", IF(AND(Orders[[#This Row],[Sales]]&gt;100,Orders[[#This Row],[Sales]]&lt;=150), "$101-150", "$150+")))</f>
        <v>$0-50</v>
      </c>
      <c r="V9" t="str">
        <f>IF(Orders[[#This Row],[Sales]]&gt;MEDIAN(M:M), "High Price", "Low Price")</f>
        <v>High Price</v>
      </c>
      <c r="W9" t="str">
        <f>IF(Orders[[#This Row],[Quantity]]&gt;MEDIAN(E:E), "High Volume", "Low Volume")</f>
        <v>High Volume</v>
      </c>
      <c r="X9" t="str">
        <f>Orders[[#This Row],[Sales Tier]] &amp; "-" &amp; Orders[[#This Row],[Quantity Tier]]</f>
        <v>High Price-High Volume</v>
      </c>
      <c r="Y9" t="str">
        <f>TEXT(Orders[[#This Row],[Order Date]], "mmmm")</f>
        <v>May</v>
      </c>
      <c r="Z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9" t="str">
        <f>Orders[[#This Row],[Coffee Type Name]] &amp; "-" &amp; Orders[[#This Row],[Roast Type Name]]</f>
        <v>Robusta-Medium</v>
      </c>
      <c r="AB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10" spans="1:28" x14ac:dyDescent="0.25">
      <c r="A10" s="2" t="s">
        <v>4377</v>
      </c>
      <c r="B10" s="4">
        <v>43579</v>
      </c>
      <c r="C10" s="2" t="s">
        <v>4378</v>
      </c>
      <c r="D10" t="s">
        <v>6140</v>
      </c>
      <c r="E10" s="2">
        <v>5</v>
      </c>
      <c r="F10" s="2" t="str">
        <f>_xlfn.XLOOKUP(C10,customers!$A$1:$A$1001,customers!$B$1:$B$1001,,0)</f>
        <v>Kevan Grinsted</v>
      </c>
      <c r="G10" s="2" t="str">
        <f>IF(_xlfn.XLOOKUP(C10,customers!$A$1:$A$1001,customers!$C$1:$C$1001,,0)=0,"",_xlfn.XLOOKUP(C10,customers!$A$1:$A$1001,customers!$C$1:$C$1001,,0))</f>
        <v>kgrinstedj4@google.com.br</v>
      </c>
      <c r="H10" s="2" t="str">
        <f>_xlfn.XLOOKUP(C10,customers!$A$1:$A$1001,customers!$G$1:$G$1001,,0)</f>
        <v>Ireland</v>
      </c>
      <c r="I10" t="str">
        <f>INDEX(products!$A$1:$G$49, MATCH(orders!$D690,products!$A$1:$A737,0), MATCH(orders!I$1,products!$A$1:$G$1,0))</f>
        <v>Ara</v>
      </c>
      <c r="J10" t="str">
        <f>INDEX(products!$A$1:$G$49, MATCH(orders!$D690,products!$A$1:$A737,0), MATCH(orders!J$1,products!$A$1:$G$1,0))</f>
        <v>L</v>
      </c>
      <c r="K10" s="5">
        <f>INDEX(products!$A$1:$G$49, MATCH(orders!$D690,products!$A$1:$A737,0), MATCH(orders!K$1,products!$A$1:$G$1,0))</f>
        <v>1</v>
      </c>
      <c r="L10" s="6">
        <f>INDEX(products!$A$1:$G$49, MATCH(orders!$D690,products!$A$1:$A737,0), MATCH(orders!L$1,products!$A$1:$G$1,0))</f>
        <v>12.95</v>
      </c>
      <c r="M10" s="6">
        <f t="shared" si="0"/>
        <v>64.75</v>
      </c>
      <c r="N10" t="str">
        <f t="shared" si="1"/>
        <v>Arabica</v>
      </c>
      <c r="O10" t="str">
        <f t="shared" si="2"/>
        <v>Light</v>
      </c>
      <c r="P10" t="str">
        <f>_xlfn.XLOOKUP(Orders[[#This Row],[Customer ID]],customers!$A$1:$A$1001,customers!$I$1:$I$1001,,0)</f>
        <v>No</v>
      </c>
      <c r="Q10">
        <f>COUNTIF(Orders[Order ID],Orders[[#This Row],[Order ID]])</f>
        <v>1</v>
      </c>
      <c r="R10" s="10">
        <f>SUMIF(Orders[Order ID], Orders[[#This Row],[Order ID]],Orders[Sales])/Orders[[#This Row],[Order Frequency]]</f>
        <v>64.75</v>
      </c>
      <c r="S10" t="str">
        <f>IF(Orders[[#This Row],[Order Frequency]]&gt;4, "More than 4", IF(AND(Orders[[#This Row],[Order Frequency]]&lt;=4,Orders[[#This Row],[Order Frequency]]&gt;=2), "Between 4 and 2", "Less than 2"))</f>
        <v>Less than 2</v>
      </c>
      <c r="T10" t="str">
        <f>IF(Orders[[#This Row],[Frequency Group]]="less than 2", "Low Value", IF(Orders[[#This Row],[Frequency Group]]="between 4 and 2", "Medium Value", "High Value"))</f>
        <v>Low Value</v>
      </c>
      <c r="U10" t="str">
        <f>IF(Orders[[#This Row],[Sales]]&lt;50, "$0-50", IF(AND(Orders[[#This Row],[Sales]]&gt;=50,Orders[[#This Row],[Sales]]&lt;=100), "$50-100", IF(AND(Orders[[#This Row],[Sales]]&gt;100,Orders[[#This Row],[Sales]]&lt;=150), "$101-150", "$150+")))</f>
        <v>$50-100</v>
      </c>
      <c r="V10" t="str">
        <f>IF(Orders[[#This Row],[Sales]]&gt;MEDIAN(M:M), "High Price", "Low Price")</f>
        <v>High Price</v>
      </c>
      <c r="W10" t="str">
        <f>IF(Orders[[#This Row],[Quantity]]&gt;MEDIAN(E:E), "High Volume", "Low Volume")</f>
        <v>High Volume</v>
      </c>
      <c r="X10" t="str">
        <f>Orders[[#This Row],[Sales Tier]] &amp; "-" &amp; Orders[[#This Row],[Quantity Tier]]</f>
        <v>High Price-High Volume</v>
      </c>
      <c r="Y10" t="str">
        <f>TEXT(Orders[[#This Row],[Order Date]], "mmmm")</f>
        <v>April</v>
      </c>
      <c r="Z1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10" t="str">
        <f>Orders[[#This Row],[Coffee Type Name]] &amp; "-" &amp; Orders[[#This Row],[Roast Type Name]]</f>
        <v>Arabica-Light</v>
      </c>
      <c r="AB1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11" spans="1:28" x14ac:dyDescent="0.25">
      <c r="A11" s="2" t="s">
        <v>4842</v>
      </c>
      <c r="B11" s="4">
        <v>44092</v>
      </c>
      <c r="C11" s="2" t="s">
        <v>4843</v>
      </c>
      <c r="D11" t="s">
        <v>6147</v>
      </c>
      <c r="E11" s="2">
        <v>1</v>
      </c>
      <c r="F11" s="2" t="str">
        <f>_xlfn.XLOOKUP(C11,customers!$A$1:$A$1001,customers!$B$1:$B$1001,,0)</f>
        <v>Martie Brimilcombe</v>
      </c>
      <c r="G11" s="2" t="str">
        <f>IF(_xlfn.XLOOKUP(C11,customers!$A$1:$A$1001,customers!$C$1:$C$1001,,0)=0,"",_xlfn.XLOOKUP(C11,customers!$A$1:$A$1001,customers!$C$1:$C$1001,,0))</f>
        <v>mbrimilcombele@cnn.com</v>
      </c>
      <c r="H11" s="2" t="str">
        <f>_xlfn.XLOOKUP(C11,customers!$A$1:$A$1001,customers!$G$1:$G$1001,,0)</f>
        <v>United States</v>
      </c>
      <c r="I11" t="str">
        <f>INDEX(products!$A$1:$G$49, MATCH(orders!$D772,products!$A$1:$A819,0), MATCH(orders!I$1,products!$A$1:$G$1,0))</f>
        <v>Ara</v>
      </c>
      <c r="J11" t="str">
        <f>INDEX(products!$A$1:$G$49, MATCH(orders!$D772,products!$A$1:$A819,0), MATCH(orders!J$1,products!$A$1:$G$1,0))</f>
        <v>D</v>
      </c>
      <c r="K11" s="5">
        <f>INDEX(products!$A$1:$G$49, MATCH(orders!$D772,products!$A$1:$A819,0), MATCH(orders!K$1,products!$A$1:$G$1,0))</f>
        <v>1</v>
      </c>
      <c r="L11" s="6">
        <f>INDEX(products!$A$1:$G$49, MATCH(orders!$D772,products!$A$1:$A819,0), MATCH(orders!L$1,products!$A$1:$G$1,0))</f>
        <v>9.9499999999999993</v>
      </c>
      <c r="M11" s="6">
        <f t="shared" si="0"/>
        <v>9.9499999999999993</v>
      </c>
      <c r="N11" t="str">
        <f t="shared" si="1"/>
        <v>Arabica</v>
      </c>
      <c r="O11" t="str">
        <f t="shared" si="2"/>
        <v>Dark</v>
      </c>
      <c r="P11" t="str">
        <f>_xlfn.XLOOKUP(Orders[[#This Row],[Customer ID]],customers!$A$1:$A$1001,customers!$I$1:$I$1001,,0)</f>
        <v>No</v>
      </c>
      <c r="Q11">
        <f>COUNTIF(Orders[Order ID],Orders[[#This Row],[Order ID]])</f>
        <v>1</v>
      </c>
      <c r="R11" s="10">
        <f>SUMIF(Orders[Order ID], Orders[[#This Row],[Order ID]],Orders[Sales])/Orders[[#This Row],[Order Frequency]]</f>
        <v>9.9499999999999993</v>
      </c>
      <c r="S11" t="str">
        <f>IF(Orders[[#This Row],[Order Frequency]]&gt;4, "More than 4", IF(AND(Orders[[#This Row],[Order Frequency]]&lt;=4,Orders[[#This Row],[Order Frequency]]&gt;=2), "Between 4 and 2", "Less than 2"))</f>
        <v>Less than 2</v>
      </c>
      <c r="T11" t="str">
        <f>IF(Orders[[#This Row],[Frequency Group]]="less than 2", "Low Value", IF(Orders[[#This Row],[Frequency Group]]="between 4 and 2", "Medium Value", "High Value"))</f>
        <v>Low Value</v>
      </c>
      <c r="U11" t="str">
        <f>IF(Orders[[#This Row],[Sales]]&lt;50, "$0-50", IF(AND(Orders[[#This Row],[Sales]]&gt;=50,Orders[[#This Row],[Sales]]&lt;=100), "$50-100", IF(AND(Orders[[#This Row],[Sales]]&gt;100,Orders[[#This Row],[Sales]]&lt;=150), "$101-150", "$150+")))</f>
        <v>$0-50</v>
      </c>
      <c r="V11" t="str">
        <f>IF(Orders[[#This Row],[Sales]]&gt;MEDIAN(M:M), "High Price", "Low Price")</f>
        <v>Low Price</v>
      </c>
      <c r="W11" t="str">
        <f>IF(Orders[[#This Row],[Quantity]]&gt;MEDIAN(E:E), "High Volume", "Low Volume")</f>
        <v>Low Volume</v>
      </c>
      <c r="X11" t="str">
        <f>Orders[[#This Row],[Sales Tier]] &amp; "-" &amp; Orders[[#This Row],[Quantity Tier]]</f>
        <v>Low Price-Low Volume</v>
      </c>
      <c r="Y11" t="str">
        <f>TEXT(Orders[[#This Row],[Order Date]], "mmmm")</f>
        <v>September</v>
      </c>
      <c r="Z1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11" t="str">
        <f>Orders[[#This Row],[Coffee Type Name]] &amp; "-" &amp; Orders[[#This Row],[Roast Type Name]]</f>
        <v>Arabica-Dark</v>
      </c>
      <c r="AB1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12" spans="1:28" x14ac:dyDescent="0.25">
      <c r="A12" s="2" t="s">
        <v>1849</v>
      </c>
      <c r="B12" s="4">
        <v>44082</v>
      </c>
      <c r="C12" s="2" t="s">
        <v>1850</v>
      </c>
      <c r="D12" t="s">
        <v>6151</v>
      </c>
      <c r="E12" s="2">
        <v>2</v>
      </c>
      <c r="F12" s="2" t="str">
        <f>_xlfn.XLOOKUP(C12,customers!$A$1:$A$1001,customers!$B$1:$B$1001,,0)</f>
        <v>Christel Speak</v>
      </c>
      <c r="G12" s="2" t="str">
        <f>IF(_xlfn.XLOOKUP(C12,customers!$A$1:$A$1001,customers!$C$1:$C$1001,,0)=0,"",_xlfn.XLOOKUP(C12,customers!$A$1:$A$1001,customers!$C$1:$C$1001,,0))</f>
        <v/>
      </c>
      <c r="H12" s="2" t="str">
        <f>_xlfn.XLOOKUP(C12,customers!$A$1:$A$1001,customers!$G$1:$G$1001,,0)</f>
        <v>United States</v>
      </c>
      <c r="I12" t="str">
        <f>INDEX(products!$A$1:$G$49, MATCH(orders!$D243,products!$A$1:$A290,0), MATCH(orders!I$1,products!$A$1:$G$1,0))</f>
        <v>Rob</v>
      </c>
      <c r="J12" t="str">
        <f>INDEX(products!$A$1:$G$49, MATCH(orders!$D243,products!$A$1:$A290,0), MATCH(orders!J$1,products!$A$1:$G$1,0))</f>
        <v>M</v>
      </c>
      <c r="K12" s="5">
        <f>INDEX(products!$A$1:$G$49, MATCH(orders!$D243,products!$A$1:$A290,0), MATCH(orders!K$1,products!$A$1:$G$1,0))</f>
        <v>2.5</v>
      </c>
      <c r="L12" s="6">
        <f>INDEX(products!$A$1:$G$49, MATCH(orders!$D243,products!$A$1:$A290,0), MATCH(orders!L$1,products!$A$1:$G$1,0))</f>
        <v>22.884999999999998</v>
      </c>
      <c r="M12" s="6">
        <f t="shared" si="0"/>
        <v>45.769999999999996</v>
      </c>
      <c r="N12" t="str">
        <f t="shared" si="1"/>
        <v>Robusta</v>
      </c>
      <c r="O12" t="str">
        <f t="shared" si="2"/>
        <v>Medium</v>
      </c>
      <c r="P12" t="str">
        <f>_xlfn.XLOOKUP(Orders[[#This Row],[Customer ID]],customers!$A$1:$A$1001,customers!$I$1:$I$1001,,0)</f>
        <v>No</v>
      </c>
      <c r="Q12">
        <f>COUNTIF(Orders[Order ID],Orders[[#This Row],[Order ID]])</f>
        <v>1</v>
      </c>
      <c r="R12" s="10">
        <f>SUMIF(Orders[Order ID], Orders[[#This Row],[Order ID]],Orders[Sales])/Orders[[#This Row],[Order Frequency]]</f>
        <v>45.769999999999996</v>
      </c>
      <c r="S12" t="str">
        <f>IF(Orders[[#This Row],[Order Frequency]]&gt;4, "More than 4", IF(AND(Orders[[#This Row],[Order Frequency]]&lt;=4,Orders[[#This Row],[Order Frequency]]&gt;=2), "Between 4 and 2", "Less than 2"))</f>
        <v>Less than 2</v>
      </c>
      <c r="T12" t="str">
        <f>IF(Orders[[#This Row],[Frequency Group]]="less than 2", "Low Value", IF(Orders[[#This Row],[Frequency Group]]="between 4 and 2", "Medium Value", "High Value"))</f>
        <v>Low Value</v>
      </c>
      <c r="U12" t="str">
        <f>IF(Orders[[#This Row],[Sales]]&lt;50, "$0-50", IF(AND(Orders[[#This Row],[Sales]]&gt;=50,Orders[[#This Row],[Sales]]&lt;=100), "$50-100", IF(AND(Orders[[#This Row],[Sales]]&gt;100,Orders[[#This Row],[Sales]]&lt;=150), "$101-150", "$150+")))</f>
        <v>$0-50</v>
      </c>
      <c r="V12" t="str">
        <f>IF(Orders[[#This Row],[Sales]]&gt;MEDIAN(M:M), "High Price", "Low Price")</f>
        <v>High Price</v>
      </c>
      <c r="W12" t="str">
        <f>IF(Orders[[#This Row],[Quantity]]&gt;MEDIAN(E:E), "High Volume", "Low Volume")</f>
        <v>Low Volume</v>
      </c>
      <c r="X12" t="str">
        <f>Orders[[#This Row],[Sales Tier]] &amp; "-" &amp; Orders[[#This Row],[Quantity Tier]]</f>
        <v>High Price-Low Volume</v>
      </c>
      <c r="Y12" t="str">
        <f>TEXT(Orders[[#This Row],[Order Date]], "mmmm")</f>
        <v>September</v>
      </c>
      <c r="Z1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12" t="str">
        <f>Orders[[#This Row],[Coffee Type Name]] &amp; "-" &amp; Orders[[#This Row],[Roast Type Name]]</f>
        <v>Robusta-Medium</v>
      </c>
      <c r="AB1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13" spans="1:28" x14ac:dyDescent="0.25">
      <c r="A13" s="2" t="s">
        <v>4336</v>
      </c>
      <c r="B13" s="4">
        <v>44080</v>
      </c>
      <c r="C13" s="2" t="s">
        <v>4337</v>
      </c>
      <c r="D13" t="s">
        <v>6145</v>
      </c>
      <c r="E13" s="2">
        <v>2</v>
      </c>
      <c r="F13" s="2" t="str">
        <f>_xlfn.XLOOKUP(C13,customers!$A$1:$A$1001,customers!$B$1:$B$1001,,0)</f>
        <v>Nicky Ayris</v>
      </c>
      <c r="G13" s="2" t="str">
        <f>IF(_xlfn.XLOOKUP(C13,customers!$A$1:$A$1001,customers!$C$1:$C$1001,,0)=0,"",_xlfn.XLOOKUP(C13,customers!$A$1:$A$1001,customers!$C$1:$C$1001,,0))</f>
        <v>nayrisix@t-online.de</v>
      </c>
      <c r="H13" s="2" t="str">
        <f>_xlfn.XLOOKUP(C13,customers!$A$1:$A$1001,customers!$G$1:$G$1001,,0)</f>
        <v>United Kingdom</v>
      </c>
      <c r="I13" t="str">
        <f>INDEX(products!$A$1:$G$49, MATCH(orders!$D683,products!$A$1:$A730,0), MATCH(orders!I$1,products!$A$1:$G$1,0))</f>
        <v>Lib</v>
      </c>
      <c r="J13" t="str">
        <f>INDEX(products!$A$1:$G$49, MATCH(orders!$D683,products!$A$1:$A730,0), MATCH(orders!J$1,products!$A$1:$G$1,0))</f>
        <v>L</v>
      </c>
      <c r="K13" s="5">
        <f>INDEX(products!$A$1:$G$49, MATCH(orders!$D683,products!$A$1:$A730,0), MATCH(orders!K$1,products!$A$1:$G$1,0))</f>
        <v>0.2</v>
      </c>
      <c r="L13" s="6">
        <f>INDEX(products!$A$1:$G$49, MATCH(orders!$D683,products!$A$1:$A730,0), MATCH(orders!L$1,products!$A$1:$G$1,0))</f>
        <v>4.7549999999999999</v>
      </c>
      <c r="M13" s="6">
        <f t="shared" si="0"/>
        <v>9.51</v>
      </c>
      <c r="N13" t="str">
        <f t="shared" si="1"/>
        <v>Liberica</v>
      </c>
      <c r="O13" t="str">
        <f t="shared" si="2"/>
        <v>Light</v>
      </c>
      <c r="P13" t="str">
        <f>_xlfn.XLOOKUP(Orders[[#This Row],[Customer ID]],customers!$A$1:$A$1001,customers!$I$1:$I$1001,,0)</f>
        <v>Yes</v>
      </c>
      <c r="Q13">
        <f>COUNTIF(Orders[Order ID],Orders[[#This Row],[Order ID]])</f>
        <v>1</v>
      </c>
      <c r="R13" s="10">
        <f>SUMIF(Orders[Order ID], Orders[[#This Row],[Order ID]],Orders[Sales])/Orders[[#This Row],[Order Frequency]]</f>
        <v>9.51</v>
      </c>
      <c r="S13" t="str">
        <f>IF(Orders[[#This Row],[Order Frequency]]&gt;4, "More than 4", IF(AND(Orders[[#This Row],[Order Frequency]]&lt;=4,Orders[[#This Row],[Order Frequency]]&gt;=2), "Between 4 and 2", "Less than 2"))</f>
        <v>Less than 2</v>
      </c>
      <c r="T13" t="str">
        <f>IF(Orders[[#This Row],[Frequency Group]]="less than 2", "Low Value", IF(Orders[[#This Row],[Frequency Group]]="between 4 and 2", "Medium Value", "High Value"))</f>
        <v>Low Value</v>
      </c>
      <c r="U13" t="str">
        <f>IF(Orders[[#This Row],[Sales]]&lt;50, "$0-50", IF(AND(Orders[[#This Row],[Sales]]&gt;=50,Orders[[#This Row],[Sales]]&lt;=100), "$50-100", IF(AND(Orders[[#This Row],[Sales]]&gt;100,Orders[[#This Row],[Sales]]&lt;=150), "$101-150", "$150+")))</f>
        <v>$0-50</v>
      </c>
      <c r="V13" t="str">
        <f>IF(Orders[[#This Row],[Sales]]&gt;MEDIAN(M:M), "High Price", "Low Price")</f>
        <v>Low Price</v>
      </c>
      <c r="W13" t="str">
        <f>IF(Orders[[#This Row],[Quantity]]&gt;MEDIAN(E:E), "High Volume", "Low Volume")</f>
        <v>Low Volume</v>
      </c>
      <c r="X13" t="str">
        <f>Orders[[#This Row],[Sales Tier]] &amp; "-" &amp; Orders[[#This Row],[Quantity Tier]]</f>
        <v>Low Price-Low Volume</v>
      </c>
      <c r="Y13" t="str">
        <f>TEXT(Orders[[#This Row],[Order Date]], "mmmm")</f>
        <v>September</v>
      </c>
      <c r="Z1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13" t="str">
        <f>Orders[[#This Row],[Coffee Type Name]] &amp; "-" &amp; Orders[[#This Row],[Roast Type Name]]</f>
        <v>Liberica-Light</v>
      </c>
      <c r="AB1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14" spans="1:28" x14ac:dyDescent="0.25">
      <c r="A14" s="2" t="s">
        <v>4516</v>
      </c>
      <c r="B14" s="4">
        <v>43960</v>
      </c>
      <c r="C14" s="2" t="s">
        <v>4517</v>
      </c>
      <c r="D14" t="s">
        <v>6174</v>
      </c>
      <c r="E14" s="2">
        <v>1</v>
      </c>
      <c r="F14" s="2" t="str">
        <f>_xlfn.XLOOKUP(C14,customers!$A$1:$A$1001,customers!$B$1:$B$1001,,0)</f>
        <v>Sacha Bruun</v>
      </c>
      <c r="G14" s="2" t="str">
        <f>IF(_xlfn.XLOOKUP(C14,customers!$A$1:$A$1001,customers!$C$1:$C$1001,,0)=0,"",_xlfn.XLOOKUP(C14,customers!$A$1:$A$1001,customers!$C$1:$C$1001,,0))</f>
        <v>sbruunjt@blogtalkradio.com</v>
      </c>
      <c r="H14" s="2" t="str">
        <f>_xlfn.XLOOKUP(C14,customers!$A$1:$A$1001,customers!$G$1:$G$1001,,0)</f>
        <v>United States</v>
      </c>
      <c r="I14" t="str">
        <f>INDEX(products!$A$1:$G$49, MATCH(orders!$D715,products!$A$1:$A762,0), MATCH(orders!I$1,products!$A$1:$G$1,0))</f>
        <v>Rob</v>
      </c>
      <c r="J14" t="str">
        <f>INDEX(products!$A$1:$G$49, MATCH(orders!$D715,products!$A$1:$A762,0), MATCH(orders!J$1,products!$A$1:$G$1,0))</f>
        <v>M</v>
      </c>
      <c r="K14" s="5">
        <f>INDEX(products!$A$1:$G$49, MATCH(orders!$D715,products!$A$1:$A762,0), MATCH(orders!K$1,products!$A$1:$G$1,0))</f>
        <v>0.2</v>
      </c>
      <c r="L14" s="6">
        <f>INDEX(products!$A$1:$G$49, MATCH(orders!$D715,products!$A$1:$A762,0), MATCH(orders!L$1,products!$A$1:$G$1,0))</f>
        <v>2.9849999999999999</v>
      </c>
      <c r="M14" s="6">
        <f t="shared" si="0"/>
        <v>2.9849999999999999</v>
      </c>
      <c r="N14" t="str">
        <f t="shared" si="1"/>
        <v>Robusta</v>
      </c>
      <c r="O14" t="str">
        <f t="shared" si="2"/>
        <v>Medium</v>
      </c>
      <c r="P14" t="str">
        <f>_xlfn.XLOOKUP(Orders[[#This Row],[Customer ID]],customers!$A$1:$A$1001,customers!$I$1:$I$1001,,0)</f>
        <v>No</v>
      </c>
      <c r="Q14">
        <f>COUNTIF(Orders[Order ID],Orders[[#This Row],[Order ID]])</f>
        <v>1</v>
      </c>
      <c r="R14" s="10">
        <f>SUMIF(Orders[Order ID], Orders[[#This Row],[Order ID]],Orders[Sales])/Orders[[#This Row],[Order Frequency]]</f>
        <v>2.9849999999999999</v>
      </c>
      <c r="S14" t="str">
        <f>IF(Orders[[#This Row],[Order Frequency]]&gt;4, "More than 4", IF(AND(Orders[[#This Row],[Order Frequency]]&lt;=4,Orders[[#This Row],[Order Frequency]]&gt;=2), "Between 4 and 2", "Less than 2"))</f>
        <v>Less than 2</v>
      </c>
      <c r="T14" t="str">
        <f>IF(Orders[[#This Row],[Frequency Group]]="less than 2", "Low Value", IF(Orders[[#This Row],[Frequency Group]]="between 4 and 2", "Medium Value", "High Value"))</f>
        <v>Low Value</v>
      </c>
      <c r="U14" t="str">
        <f>IF(Orders[[#This Row],[Sales]]&lt;50, "$0-50", IF(AND(Orders[[#This Row],[Sales]]&gt;=50,Orders[[#This Row],[Sales]]&lt;=100), "$50-100", IF(AND(Orders[[#This Row],[Sales]]&gt;100,Orders[[#This Row],[Sales]]&lt;=150), "$101-150", "$150+")))</f>
        <v>$0-50</v>
      </c>
      <c r="V14" t="str">
        <f>IF(Orders[[#This Row],[Sales]]&gt;MEDIAN(M:M), "High Price", "Low Price")</f>
        <v>Low Price</v>
      </c>
      <c r="W14" t="str">
        <f>IF(Orders[[#This Row],[Quantity]]&gt;MEDIAN(E:E), "High Volume", "Low Volume")</f>
        <v>Low Volume</v>
      </c>
      <c r="X14" t="str">
        <f>Orders[[#This Row],[Sales Tier]] &amp; "-" &amp; Orders[[#This Row],[Quantity Tier]]</f>
        <v>Low Price-Low Volume</v>
      </c>
      <c r="Y14" t="str">
        <f>TEXT(Orders[[#This Row],[Order Date]], "mmmm")</f>
        <v>May</v>
      </c>
      <c r="Z1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14" t="str">
        <f>Orders[[#This Row],[Coffee Type Name]] &amp; "-" &amp; Orders[[#This Row],[Roast Type Name]]</f>
        <v>Robusta-Medium</v>
      </c>
      <c r="AB1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15" spans="1:28" x14ac:dyDescent="0.25">
      <c r="A15" s="2" t="s">
        <v>1083</v>
      </c>
      <c r="B15" s="4">
        <v>43956</v>
      </c>
      <c r="C15" s="2" t="s">
        <v>1084</v>
      </c>
      <c r="D15" t="s">
        <v>6183</v>
      </c>
      <c r="E15" s="2">
        <v>2</v>
      </c>
      <c r="F15" s="2" t="str">
        <f>_xlfn.XLOOKUP(C15,customers!$A$1:$A$1001,customers!$B$1:$B$1001,,0)</f>
        <v>Lind Conyers</v>
      </c>
      <c r="G15" s="2" t="str">
        <f>IF(_xlfn.XLOOKUP(C15,customers!$A$1:$A$1001,customers!$C$1:$C$1001,,0)=0,"",_xlfn.XLOOKUP(C15,customers!$A$1:$A$1001,customers!$C$1:$C$1001,,0))</f>
        <v>lconyers2y@twitter.com</v>
      </c>
      <c r="H15" s="2" t="str">
        <f>_xlfn.XLOOKUP(C15,customers!$A$1:$A$1001,customers!$G$1:$G$1001,,0)</f>
        <v>United States</v>
      </c>
      <c r="I15" t="str">
        <f>INDEX(products!$A$1:$G$49, MATCH(orders!$D108,products!$A$1:$A155,0), MATCH(orders!I$1,products!$A$1:$G$1,0))</f>
        <v>Exc</v>
      </c>
      <c r="J15" t="str">
        <f>INDEX(products!$A$1:$G$49, MATCH(orders!$D108,products!$A$1:$A155,0), MATCH(orders!J$1,products!$A$1:$G$1,0))</f>
        <v>D</v>
      </c>
      <c r="K15" s="5">
        <f>INDEX(products!$A$1:$G$49, MATCH(orders!$D108,products!$A$1:$A155,0), MATCH(orders!K$1,products!$A$1:$G$1,0))</f>
        <v>1</v>
      </c>
      <c r="L15" s="6">
        <f>INDEX(products!$A$1:$G$49, MATCH(orders!$D108,products!$A$1:$A155,0), MATCH(orders!L$1,products!$A$1:$G$1,0))</f>
        <v>12.15</v>
      </c>
      <c r="M15" s="6">
        <f t="shared" si="0"/>
        <v>24.3</v>
      </c>
      <c r="N15" t="str">
        <f t="shared" si="1"/>
        <v>Excelsa</v>
      </c>
      <c r="O15" t="str">
        <f t="shared" si="2"/>
        <v>Dark</v>
      </c>
      <c r="P15" t="str">
        <f>_xlfn.XLOOKUP(Orders[[#This Row],[Customer ID]],customers!$A$1:$A$1001,customers!$I$1:$I$1001,,0)</f>
        <v>No</v>
      </c>
      <c r="Q15">
        <f>COUNTIF(Orders[Order ID],Orders[[#This Row],[Order ID]])</f>
        <v>1</v>
      </c>
      <c r="R15" s="10">
        <f>SUMIF(Orders[Order ID], Orders[[#This Row],[Order ID]],Orders[Sales])/Orders[[#This Row],[Order Frequency]]</f>
        <v>24.3</v>
      </c>
      <c r="S15" t="str">
        <f>IF(Orders[[#This Row],[Order Frequency]]&gt;4, "More than 4", IF(AND(Orders[[#This Row],[Order Frequency]]&lt;=4,Orders[[#This Row],[Order Frequency]]&gt;=2), "Between 4 and 2", "Less than 2"))</f>
        <v>Less than 2</v>
      </c>
      <c r="T15" t="str">
        <f>IF(Orders[[#This Row],[Frequency Group]]="less than 2", "Low Value", IF(Orders[[#This Row],[Frequency Group]]="between 4 and 2", "Medium Value", "High Value"))</f>
        <v>Low Value</v>
      </c>
      <c r="U15" t="str">
        <f>IF(Orders[[#This Row],[Sales]]&lt;50, "$0-50", IF(AND(Orders[[#This Row],[Sales]]&gt;=50,Orders[[#This Row],[Sales]]&lt;=100), "$50-100", IF(AND(Orders[[#This Row],[Sales]]&gt;100,Orders[[#This Row],[Sales]]&lt;=150), "$101-150", "$150+")))</f>
        <v>$0-50</v>
      </c>
      <c r="V15" t="str">
        <f>IF(Orders[[#This Row],[Sales]]&gt;MEDIAN(M:M), "High Price", "Low Price")</f>
        <v>Low Price</v>
      </c>
      <c r="W15" t="str">
        <f>IF(Orders[[#This Row],[Quantity]]&gt;MEDIAN(E:E), "High Volume", "Low Volume")</f>
        <v>Low Volume</v>
      </c>
      <c r="X15" t="str">
        <f>Orders[[#This Row],[Sales Tier]] &amp; "-" &amp; Orders[[#This Row],[Quantity Tier]]</f>
        <v>Low Price-Low Volume</v>
      </c>
      <c r="Y15" t="str">
        <f>TEXT(Orders[[#This Row],[Order Date]], "mmmm")</f>
        <v>May</v>
      </c>
      <c r="Z1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15" t="str">
        <f>Orders[[#This Row],[Coffee Type Name]] &amp; "-" &amp; Orders[[#This Row],[Roast Type Name]]</f>
        <v>Excelsa-Dark</v>
      </c>
      <c r="AB1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16" spans="1:28" x14ac:dyDescent="0.25">
      <c r="A16" s="2" t="s">
        <v>3064</v>
      </c>
      <c r="B16" s="4">
        <v>44017</v>
      </c>
      <c r="C16" s="2" t="s">
        <v>3065</v>
      </c>
      <c r="D16" t="s">
        <v>6149</v>
      </c>
      <c r="E16" s="2">
        <v>2</v>
      </c>
      <c r="F16" s="2" t="str">
        <f>_xlfn.XLOOKUP(C16,customers!$A$1:$A$1001,customers!$B$1:$B$1001,,0)</f>
        <v>Agnes Adamides</v>
      </c>
      <c r="G16" s="2" t="str">
        <f>IF(_xlfn.XLOOKUP(C16,customers!$A$1:$A$1001,customers!$C$1:$C$1001,,0)=0,"",_xlfn.XLOOKUP(C16,customers!$A$1:$A$1001,customers!$C$1:$C$1001,,0))</f>
        <v>aadamidesco@bizjournals.com</v>
      </c>
      <c r="H16" s="2" t="str">
        <f>_xlfn.XLOOKUP(C16,customers!$A$1:$A$1001,customers!$G$1:$G$1001,,0)</f>
        <v>United Kingdom</v>
      </c>
      <c r="I16" t="str">
        <f>INDEX(products!$A$1:$G$49, MATCH(orders!$D458,products!$A$1:$A505,0), MATCH(orders!I$1,products!$A$1:$G$1,0))</f>
        <v>Rob</v>
      </c>
      <c r="J16" t="str">
        <f>INDEX(products!$A$1:$G$49, MATCH(orders!$D458,products!$A$1:$A505,0), MATCH(orders!J$1,products!$A$1:$G$1,0))</f>
        <v>D</v>
      </c>
      <c r="K16" s="5">
        <f>INDEX(products!$A$1:$G$49, MATCH(orders!$D458,products!$A$1:$A505,0), MATCH(orders!K$1,products!$A$1:$G$1,0))</f>
        <v>2.5</v>
      </c>
      <c r="L16" s="6">
        <f>INDEX(products!$A$1:$G$49, MATCH(orders!$D458,products!$A$1:$A505,0), MATCH(orders!L$1,products!$A$1:$G$1,0))</f>
        <v>20.584999999999997</v>
      </c>
      <c r="M16" s="6">
        <f t="shared" si="0"/>
        <v>41.169999999999995</v>
      </c>
      <c r="N16" t="str">
        <f t="shared" si="1"/>
        <v>Robusta</v>
      </c>
      <c r="O16" t="str">
        <f t="shared" si="2"/>
        <v>Dark</v>
      </c>
      <c r="P16" t="str">
        <f>_xlfn.XLOOKUP(Orders[[#This Row],[Customer ID]],customers!$A$1:$A$1001,customers!$I$1:$I$1001,,0)</f>
        <v>No</v>
      </c>
      <c r="Q16">
        <f>COUNTIF(Orders[Order ID],Orders[[#This Row],[Order ID]])</f>
        <v>1</v>
      </c>
      <c r="R16" s="10">
        <f>SUMIF(Orders[Order ID], Orders[[#This Row],[Order ID]],Orders[Sales])/Orders[[#This Row],[Order Frequency]]</f>
        <v>41.169999999999995</v>
      </c>
      <c r="S16" t="str">
        <f>IF(Orders[[#This Row],[Order Frequency]]&gt;4, "More than 4", IF(AND(Orders[[#This Row],[Order Frequency]]&lt;=4,Orders[[#This Row],[Order Frequency]]&gt;=2), "Between 4 and 2", "Less than 2"))</f>
        <v>Less than 2</v>
      </c>
      <c r="T16" t="str">
        <f>IF(Orders[[#This Row],[Frequency Group]]="less than 2", "Low Value", IF(Orders[[#This Row],[Frequency Group]]="between 4 and 2", "Medium Value", "High Value"))</f>
        <v>Low Value</v>
      </c>
      <c r="U16" t="str">
        <f>IF(Orders[[#This Row],[Sales]]&lt;50, "$0-50", IF(AND(Orders[[#This Row],[Sales]]&gt;=50,Orders[[#This Row],[Sales]]&lt;=100), "$50-100", IF(AND(Orders[[#This Row],[Sales]]&gt;100,Orders[[#This Row],[Sales]]&lt;=150), "$101-150", "$150+")))</f>
        <v>$0-50</v>
      </c>
      <c r="V16" t="str">
        <f>IF(Orders[[#This Row],[Sales]]&gt;MEDIAN(M:M), "High Price", "Low Price")</f>
        <v>High Price</v>
      </c>
      <c r="W16" t="str">
        <f>IF(Orders[[#This Row],[Quantity]]&gt;MEDIAN(E:E), "High Volume", "Low Volume")</f>
        <v>Low Volume</v>
      </c>
      <c r="X16" t="str">
        <f>Orders[[#This Row],[Sales Tier]] &amp; "-" &amp; Orders[[#This Row],[Quantity Tier]]</f>
        <v>High Price-Low Volume</v>
      </c>
      <c r="Y16" t="str">
        <f>TEXT(Orders[[#This Row],[Order Date]], "mmmm")</f>
        <v>July</v>
      </c>
      <c r="Z1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16" t="str">
        <f>Orders[[#This Row],[Coffee Type Name]] &amp; "-" &amp; Orders[[#This Row],[Roast Type Name]]</f>
        <v>Robusta-Dark</v>
      </c>
      <c r="AB1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17" spans="1:28" x14ac:dyDescent="0.25">
      <c r="A17" s="2" t="s">
        <v>1100</v>
      </c>
      <c r="B17" s="4">
        <v>43811</v>
      </c>
      <c r="C17" s="2" t="s">
        <v>1101</v>
      </c>
      <c r="D17" t="s">
        <v>6169</v>
      </c>
      <c r="E17" s="2">
        <v>1</v>
      </c>
      <c r="F17" s="2" t="str">
        <f>_xlfn.XLOOKUP(C17,customers!$A$1:$A$1001,customers!$B$1:$B$1001,,0)</f>
        <v>Terry Sheryn</v>
      </c>
      <c r="G17" s="2" t="str">
        <f>IF(_xlfn.XLOOKUP(C17,customers!$A$1:$A$1001,customers!$C$1:$C$1001,,0)=0,"",_xlfn.XLOOKUP(C17,customers!$A$1:$A$1001,customers!$C$1:$C$1001,,0))</f>
        <v>tsheryn31@mtv.com</v>
      </c>
      <c r="H17" s="2" t="str">
        <f>_xlfn.XLOOKUP(C17,customers!$A$1:$A$1001,customers!$G$1:$G$1001,,0)</f>
        <v>United States</v>
      </c>
      <c r="I17" t="str">
        <f>INDEX(products!$A$1:$G$49, MATCH(orders!$D111,products!$A$1:$A158,0), MATCH(orders!I$1,products!$A$1:$G$1,0))</f>
        <v>Lib</v>
      </c>
      <c r="J17" t="str">
        <f>INDEX(products!$A$1:$G$49, MATCH(orders!$D111,products!$A$1:$A158,0), MATCH(orders!J$1,products!$A$1:$G$1,0))</f>
        <v>D</v>
      </c>
      <c r="K17" s="5">
        <f>INDEX(products!$A$1:$G$49, MATCH(orders!$D111,products!$A$1:$A158,0), MATCH(orders!K$1,products!$A$1:$G$1,0))</f>
        <v>0.5</v>
      </c>
      <c r="L17" s="6">
        <f>INDEX(products!$A$1:$G$49, MATCH(orders!$D111,products!$A$1:$A158,0), MATCH(orders!L$1,products!$A$1:$G$1,0))</f>
        <v>7.77</v>
      </c>
      <c r="M17" s="6">
        <f t="shared" si="0"/>
        <v>7.77</v>
      </c>
      <c r="N17" t="str">
        <f t="shared" si="1"/>
        <v>Liberica</v>
      </c>
      <c r="O17" t="str">
        <f t="shared" si="2"/>
        <v>Dark</v>
      </c>
      <c r="P17" t="str">
        <f>_xlfn.XLOOKUP(Orders[[#This Row],[Customer ID]],customers!$A$1:$A$1001,customers!$I$1:$I$1001,,0)</f>
        <v>Yes</v>
      </c>
      <c r="Q17">
        <f>COUNTIF(Orders[Order ID],Orders[[#This Row],[Order ID]])</f>
        <v>1</v>
      </c>
      <c r="R17" s="10">
        <f>SUMIF(Orders[Order ID], Orders[[#This Row],[Order ID]],Orders[Sales])/Orders[[#This Row],[Order Frequency]]</f>
        <v>7.77</v>
      </c>
      <c r="S17" t="str">
        <f>IF(Orders[[#This Row],[Order Frequency]]&gt;4, "More than 4", IF(AND(Orders[[#This Row],[Order Frequency]]&lt;=4,Orders[[#This Row],[Order Frequency]]&gt;=2), "Between 4 and 2", "Less than 2"))</f>
        <v>Less than 2</v>
      </c>
      <c r="T17" t="str">
        <f>IF(Orders[[#This Row],[Frequency Group]]="less than 2", "Low Value", IF(Orders[[#This Row],[Frequency Group]]="between 4 and 2", "Medium Value", "High Value"))</f>
        <v>Low Value</v>
      </c>
      <c r="U17" t="str">
        <f>IF(Orders[[#This Row],[Sales]]&lt;50, "$0-50", IF(AND(Orders[[#This Row],[Sales]]&gt;=50,Orders[[#This Row],[Sales]]&lt;=100), "$50-100", IF(AND(Orders[[#This Row],[Sales]]&gt;100,Orders[[#This Row],[Sales]]&lt;=150), "$101-150", "$150+")))</f>
        <v>$0-50</v>
      </c>
      <c r="V17" t="str">
        <f>IF(Orders[[#This Row],[Sales]]&gt;MEDIAN(M:M), "High Price", "Low Price")</f>
        <v>Low Price</v>
      </c>
      <c r="W17" t="str">
        <f>IF(Orders[[#This Row],[Quantity]]&gt;MEDIAN(E:E), "High Volume", "Low Volume")</f>
        <v>Low Volume</v>
      </c>
      <c r="X17" t="str">
        <f>Orders[[#This Row],[Sales Tier]] &amp; "-" &amp; Orders[[#This Row],[Quantity Tier]]</f>
        <v>Low Price-Low Volume</v>
      </c>
      <c r="Y17" t="str">
        <f>TEXT(Orders[[#This Row],[Order Date]], "mmmm")</f>
        <v>December</v>
      </c>
      <c r="Z1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17" t="str">
        <f>Orders[[#This Row],[Coffee Type Name]] &amp; "-" &amp; Orders[[#This Row],[Roast Type Name]]</f>
        <v>Liberica-Dark</v>
      </c>
      <c r="AB1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8" spans="1:28" x14ac:dyDescent="0.25">
      <c r="A18" s="2" t="s">
        <v>1771</v>
      </c>
      <c r="B18" s="4">
        <v>43880</v>
      </c>
      <c r="C18" s="2" t="s">
        <v>1772</v>
      </c>
      <c r="D18" t="s">
        <v>6163</v>
      </c>
      <c r="E18" s="2">
        <v>6</v>
      </c>
      <c r="F18" s="2" t="str">
        <f>_xlfn.XLOOKUP(C18,customers!$A$1:$A$1001,customers!$B$1:$B$1001,,0)</f>
        <v>Noak Wyvill</v>
      </c>
      <c r="G18" s="2" t="str">
        <f>IF(_xlfn.XLOOKUP(C18,customers!$A$1:$A$1001,customers!$C$1:$C$1001,,0)=0,"",_xlfn.XLOOKUP(C18,customers!$A$1:$A$1001,customers!$C$1:$C$1001,,0))</f>
        <v>nwyvill6b@naver.com</v>
      </c>
      <c r="H18" s="2" t="str">
        <f>_xlfn.XLOOKUP(C18,customers!$A$1:$A$1001,customers!$G$1:$G$1001,,0)</f>
        <v>United Kingdom</v>
      </c>
      <c r="I18" t="str">
        <f>INDEX(products!$A$1:$G$49, MATCH(orders!$D229,products!$A$1:$A276,0), MATCH(orders!I$1,products!$A$1:$G$1,0))</f>
        <v>Rob</v>
      </c>
      <c r="J18" t="str">
        <f>INDEX(products!$A$1:$G$49, MATCH(orders!$D229,products!$A$1:$A276,0), MATCH(orders!J$1,products!$A$1:$G$1,0))</f>
        <v>D</v>
      </c>
      <c r="K18" s="5">
        <f>INDEX(products!$A$1:$G$49, MATCH(orders!$D229,products!$A$1:$A276,0), MATCH(orders!K$1,products!$A$1:$G$1,0))</f>
        <v>0.2</v>
      </c>
      <c r="L18" s="6">
        <f>INDEX(products!$A$1:$G$49, MATCH(orders!$D229,products!$A$1:$A276,0), MATCH(orders!L$1,products!$A$1:$G$1,0))</f>
        <v>2.6849999999999996</v>
      </c>
      <c r="M18" s="6">
        <f t="shared" si="0"/>
        <v>16.11</v>
      </c>
      <c r="N18" t="str">
        <f t="shared" si="1"/>
        <v>Robusta</v>
      </c>
      <c r="O18" t="str">
        <f t="shared" si="2"/>
        <v>Dark</v>
      </c>
      <c r="P18" t="str">
        <f>_xlfn.XLOOKUP(Orders[[#This Row],[Customer ID]],customers!$A$1:$A$1001,customers!$I$1:$I$1001,,0)</f>
        <v>Yes</v>
      </c>
      <c r="Q18">
        <f>COUNTIF(Orders[Order ID],Orders[[#This Row],[Order ID]])</f>
        <v>1</v>
      </c>
      <c r="R18" s="10">
        <f>SUMIF(Orders[Order ID], Orders[[#This Row],[Order ID]],Orders[Sales])/Orders[[#This Row],[Order Frequency]]</f>
        <v>16.11</v>
      </c>
      <c r="S18" t="str">
        <f>IF(Orders[[#This Row],[Order Frequency]]&gt;4, "More than 4", IF(AND(Orders[[#This Row],[Order Frequency]]&lt;=4,Orders[[#This Row],[Order Frequency]]&gt;=2), "Between 4 and 2", "Less than 2"))</f>
        <v>Less than 2</v>
      </c>
      <c r="T18" t="str">
        <f>IF(Orders[[#This Row],[Frequency Group]]="less than 2", "Low Value", IF(Orders[[#This Row],[Frequency Group]]="between 4 and 2", "Medium Value", "High Value"))</f>
        <v>Low Value</v>
      </c>
      <c r="U18" t="str">
        <f>IF(Orders[[#This Row],[Sales]]&lt;50, "$0-50", IF(AND(Orders[[#This Row],[Sales]]&gt;=50,Orders[[#This Row],[Sales]]&lt;=100), "$50-100", IF(AND(Orders[[#This Row],[Sales]]&gt;100,Orders[[#This Row],[Sales]]&lt;=150), "$101-150", "$150+")))</f>
        <v>$0-50</v>
      </c>
      <c r="V18" t="str">
        <f>IF(Orders[[#This Row],[Sales]]&gt;MEDIAN(M:M), "High Price", "Low Price")</f>
        <v>Low Price</v>
      </c>
      <c r="W18" t="str">
        <f>IF(Orders[[#This Row],[Quantity]]&gt;MEDIAN(E:E), "High Volume", "Low Volume")</f>
        <v>High Volume</v>
      </c>
      <c r="X18" t="str">
        <f>Orders[[#This Row],[Sales Tier]] &amp; "-" &amp; Orders[[#This Row],[Quantity Tier]]</f>
        <v>Low Price-High Volume</v>
      </c>
      <c r="Y18" t="str">
        <f>TEXT(Orders[[#This Row],[Order Date]], "mmmm")</f>
        <v>February</v>
      </c>
      <c r="Z1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8" t="str">
        <f>Orders[[#This Row],[Coffee Type Name]] &amp; "-" &amp; Orders[[#This Row],[Roast Type Name]]</f>
        <v>Robusta-Dark</v>
      </c>
      <c r="AB1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9" spans="1:28" x14ac:dyDescent="0.25">
      <c r="A19" s="2" t="s">
        <v>6019</v>
      </c>
      <c r="B19" s="4">
        <v>43913</v>
      </c>
      <c r="C19" s="2" t="s">
        <v>5990</v>
      </c>
      <c r="D19" t="s">
        <v>6180</v>
      </c>
      <c r="E19" s="2">
        <v>3</v>
      </c>
      <c r="F19" s="2" t="str">
        <f>_xlfn.XLOOKUP(C19,customers!$A$1:$A$1001,customers!$B$1:$B$1001,,0)</f>
        <v>Charlean Keave</v>
      </c>
      <c r="G19" s="2" t="str">
        <f>IF(_xlfn.XLOOKUP(C19,customers!$A$1:$A$1001,customers!$C$1:$C$1001,,0)=0,"",_xlfn.XLOOKUP(C19,customers!$A$1:$A$1001,customers!$C$1:$C$1001,,0))</f>
        <v>ckeaver1@ucoz.com</v>
      </c>
      <c r="H19" s="2" t="str">
        <f>_xlfn.XLOOKUP(C19,customers!$A$1:$A$1001,customers!$G$1:$G$1001,,0)</f>
        <v>United States</v>
      </c>
      <c r="I19" t="str">
        <f>INDEX(products!$A$1:$G$49, MATCH(orders!$D980,products!$A$1:$A1027,0), MATCH(orders!I$1,products!$A$1:$G$1,0))</f>
        <v>Ara</v>
      </c>
      <c r="J19" t="str">
        <f>INDEX(products!$A$1:$G$49, MATCH(orders!$D980,products!$A$1:$A1027,0), MATCH(orders!J$1,products!$A$1:$G$1,0))</f>
        <v>L</v>
      </c>
      <c r="K19" s="5">
        <f>INDEX(products!$A$1:$G$49, MATCH(orders!$D980,products!$A$1:$A1027,0), MATCH(orders!K$1,products!$A$1:$G$1,0))</f>
        <v>0.5</v>
      </c>
      <c r="L19" s="6">
        <f>INDEX(products!$A$1:$G$49, MATCH(orders!$D980,products!$A$1:$A1027,0), MATCH(orders!L$1,products!$A$1:$G$1,0))</f>
        <v>7.77</v>
      </c>
      <c r="M19" s="6">
        <f t="shared" si="0"/>
        <v>23.31</v>
      </c>
      <c r="N19" t="str">
        <f t="shared" si="1"/>
        <v>Arabica</v>
      </c>
      <c r="O19" t="str">
        <f t="shared" si="2"/>
        <v>Light</v>
      </c>
      <c r="P19" t="str">
        <f>_xlfn.XLOOKUP(Orders[[#This Row],[Customer ID]],customers!$A$1:$A$1001,customers!$I$1:$I$1001,,0)</f>
        <v>No</v>
      </c>
      <c r="Q19">
        <f>COUNTIF(Orders[Order ID],Orders[[#This Row],[Order ID]])</f>
        <v>1</v>
      </c>
      <c r="R19" s="10">
        <f>SUMIF(Orders[Order ID], Orders[[#This Row],[Order ID]],Orders[Sales])/Orders[[#This Row],[Order Frequency]]</f>
        <v>23.31</v>
      </c>
      <c r="S19" t="str">
        <f>IF(Orders[[#This Row],[Order Frequency]]&gt;4, "More than 4", IF(AND(Orders[[#This Row],[Order Frequency]]&lt;=4,Orders[[#This Row],[Order Frequency]]&gt;=2), "Between 4 and 2", "Less than 2"))</f>
        <v>Less than 2</v>
      </c>
      <c r="T19" t="str">
        <f>IF(Orders[[#This Row],[Frequency Group]]="less than 2", "Low Value", IF(Orders[[#This Row],[Frequency Group]]="between 4 and 2", "Medium Value", "High Value"))</f>
        <v>Low Value</v>
      </c>
      <c r="U19" t="str">
        <f>IF(Orders[[#This Row],[Sales]]&lt;50, "$0-50", IF(AND(Orders[[#This Row],[Sales]]&gt;=50,Orders[[#This Row],[Sales]]&lt;=100), "$50-100", IF(AND(Orders[[#This Row],[Sales]]&gt;100,Orders[[#This Row],[Sales]]&lt;=150), "$101-150", "$150+")))</f>
        <v>$0-50</v>
      </c>
      <c r="V19" t="str">
        <f>IF(Orders[[#This Row],[Sales]]&gt;MEDIAN(M:M), "High Price", "Low Price")</f>
        <v>Low Price</v>
      </c>
      <c r="W19" t="str">
        <f>IF(Orders[[#This Row],[Quantity]]&gt;MEDIAN(E:E), "High Volume", "Low Volume")</f>
        <v>Low Volume</v>
      </c>
      <c r="X19" t="str">
        <f>Orders[[#This Row],[Sales Tier]] &amp; "-" &amp; Orders[[#This Row],[Quantity Tier]]</f>
        <v>Low Price-Low Volume</v>
      </c>
      <c r="Y19" t="str">
        <f>TEXT(Orders[[#This Row],[Order Date]], "mmmm")</f>
        <v>March</v>
      </c>
      <c r="Z1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9" t="str">
        <f>Orders[[#This Row],[Coffee Type Name]] &amp; "-" &amp; Orders[[#This Row],[Roast Type Name]]</f>
        <v>Arabica-Light</v>
      </c>
      <c r="AB1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20" spans="1:28" x14ac:dyDescent="0.25">
      <c r="A20" s="2" t="s">
        <v>4157</v>
      </c>
      <c r="B20" s="4">
        <v>44015</v>
      </c>
      <c r="C20" s="2" t="s">
        <v>4158</v>
      </c>
      <c r="D20" t="s">
        <v>6170</v>
      </c>
      <c r="E20" s="2">
        <v>6</v>
      </c>
      <c r="F20" s="2" t="str">
        <f>_xlfn.XLOOKUP(C20,customers!$A$1:$A$1001,customers!$B$1:$B$1001,,0)</f>
        <v>Charmane Denys</v>
      </c>
      <c r="G20" s="2" t="str">
        <f>IF(_xlfn.XLOOKUP(C20,customers!$A$1:$A$1001,customers!$C$1:$C$1001,,0)=0,"",_xlfn.XLOOKUP(C20,customers!$A$1:$A$1001,customers!$C$1:$C$1001,,0))</f>
        <v>cdenysi1@is.gd</v>
      </c>
      <c r="H20" s="2" t="str">
        <f>_xlfn.XLOOKUP(C20,customers!$A$1:$A$1001,customers!$G$1:$G$1001,,0)</f>
        <v>United Kingdom</v>
      </c>
      <c r="I20" t="str">
        <f>INDEX(products!$A$1:$G$49, MATCH(orders!$D651,products!$A$1:$A698,0), MATCH(orders!I$1,products!$A$1:$G$1,0))</f>
        <v>Lib</v>
      </c>
      <c r="J20" t="str">
        <f>INDEX(products!$A$1:$G$49, MATCH(orders!$D651,products!$A$1:$A698,0), MATCH(orders!J$1,products!$A$1:$G$1,0))</f>
        <v>L</v>
      </c>
      <c r="K20" s="5">
        <f>INDEX(products!$A$1:$G$49, MATCH(orders!$D651,products!$A$1:$A698,0), MATCH(orders!K$1,products!$A$1:$G$1,0))</f>
        <v>1</v>
      </c>
      <c r="L20" s="6">
        <f>INDEX(products!$A$1:$G$49, MATCH(orders!$D651,products!$A$1:$A698,0), MATCH(orders!L$1,products!$A$1:$G$1,0))</f>
        <v>15.85</v>
      </c>
      <c r="M20" s="6">
        <f t="shared" si="0"/>
        <v>95.1</v>
      </c>
      <c r="N20" t="str">
        <f t="shared" si="1"/>
        <v>Liberica</v>
      </c>
      <c r="O20" t="str">
        <f t="shared" si="2"/>
        <v>Light</v>
      </c>
      <c r="P20" t="str">
        <f>_xlfn.XLOOKUP(Orders[[#This Row],[Customer ID]],customers!$A$1:$A$1001,customers!$I$1:$I$1001,,0)</f>
        <v>No</v>
      </c>
      <c r="Q20">
        <f>COUNTIF(Orders[Order ID],Orders[[#This Row],[Order ID]])</f>
        <v>1</v>
      </c>
      <c r="R20" s="10">
        <f>SUMIF(Orders[Order ID], Orders[[#This Row],[Order ID]],Orders[Sales])/Orders[[#This Row],[Order Frequency]]</f>
        <v>95.1</v>
      </c>
      <c r="S20" t="str">
        <f>IF(Orders[[#This Row],[Order Frequency]]&gt;4, "More than 4", IF(AND(Orders[[#This Row],[Order Frequency]]&lt;=4,Orders[[#This Row],[Order Frequency]]&gt;=2), "Between 4 and 2", "Less than 2"))</f>
        <v>Less than 2</v>
      </c>
      <c r="T20" t="str">
        <f>IF(Orders[[#This Row],[Frequency Group]]="less than 2", "Low Value", IF(Orders[[#This Row],[Frequency Group]]="between 4 and 2", "Medium Value", "High Value"))</f>
        <v>Low Value</v>
      </c>
      <c r="U20" t="str">
        <f>IF(Orders[[#This Row],[Sales]]&lt;50, "$0-50", IF(AND(Orders[[#This Row],[Sales]]&gt;=50,Orders[[#This Row],[Sales]]&lt;=100), "$50-100", IF(AND(Orders[[#This Row],[Sales]]&gt;100,Orders[[#This Row],[Sales]]&lt;=150), "$101-150", "$150+")))</f>
        <v>$50-100</v>
      </c>
      <c r="V20" t="str">
        <f>IF(Orders[[#This Row],[Sales]]&gt;MEDIAN(M:M), "High Price", "Low Price")</f>
        <v>High Price</v>
      </c>
      <c r="W20" t="str">
        <f>IF(Orders[[#This Row],[Quantity]]&gt;MEDIAN(E:E), "High Volume", "Low Volume")</f>
        <v>High Volume</v>
      </c>
      <c r="X20" t="str">
        <f>Orders[[#This Row],[Sales Tier]] &amp; "-" &amp; Orders[[#This Row],[Quantity Tier]]</f>
        <v>High Price-High Volume</v>
      </c>
      <c r="Y20" t="str">
        <f>TEXT(Orders[[#This Row],[Order Date]], "mmmm")</f>
        <v>July</v>
      </c>
      <c r="Z2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20" t="str">
        <f>Orders[[#This Row],[Coffee Type Name]] &amp; "-" &amp; Orders[[#This Row],[Roast Type Name]]</f>
        <v>Liberica-Light</v>
      </c>
      <c r="AB2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21" spans="1:28" x14ac:dyDescent="0.25">
      <c r="A21" s="2" t="s">
        <v>3313</v>
      </c>
      <c r="B21" s="4">
        <v>44003</v>
      </c>
      <c r="C21" s="2" t="s">
        <v>3314</v>
      </c>
      <c r="D21" t="s">
        <v>6163</v>
      </c>
      <c r="E21" s="2">
        <v>3</v>
      </c>
      <c r="F21" s="2" t="str">
        <f>_xlfn.XLOOKUP(C21,customers!$A$1:$A$1001,customers!$B$1:$B$1001,,0)</f>
        <v>Malynda Purbrick</v>
      </c>
      <c r="G21" s="2" t="str">
        <f>IF(_xlfn.XLOOKUP(C21,customers!$A$1:$A$1001,customers!$C$1:$C$1001,,0)=0,"",_xlfn.XLOOKUP(C21,customers!$A$1:$A$1001,customers!$C$1:$C$1001,,0))</f>
        <v/>
      </c>
      <c r="H21" s="2" t="str">
        <f>_xlfn.XLOOKUP(C21,customers!$A$1:$A$1001,customers!$G$1:$G$1001,,0)</f>
        <v>Ireland</v>
      </c>
      <c r="I21" t="str">
        <f>INDEX(products!$A$1:$G$49, MATCH(orders!$D501,products!$A$1:$A548,0), MATCH(orders!I$1,products!$A$1:$G$1,0))</f>
        <v>Rob</v>
      </c>
      <c r="J21" t="str">
        <f>INDEX(products!$A$1:$G$49, MATCH(orders!$D501,products!$A$1:$A548,0), MATCH(orders!J$1,products!$A$1:$G$1,0))</f>
        <v>D</v>
      </c>
      <c r="K21" s="5">
        <f>INDEX(products!$A$1:$G$49, MATCH(orders!$D501,products!$A$1:$A548,0), MATCH(orders!K$1,products!$A$1:$G$1,0))</f>
        <v>0.2</v>
      </c>
      <c r="L21" s="6">
        <f>INDEX(products!$A$1:$G$49, MATCH(orders!$D501,products!$A$1:$A548,0), MATCH(orders!L$1,products!$A$1:$G$1,0))</f>
        <v>2.6849999999999996</v>
      </c>
      <c r="M21" s="6">
        <f t="shared" si="0"/>
        <v>8.0549999999999997</v>
      </c>
      <c r="N21" t="str">
        <f t="shared" si="1"/>
        <v>Robusta</v>
      </c>
      <c r="O21" t="str">
        <f t="shared" si="2"/>
        <v>Dark</v>
      </c>
      <c r="P21" t="str">
        <f>_xlfn.XLOOKUP(Orders[[#This Row],[Customer ID]],customers!$A$1:$A$1001,customers!$I$1:$I$1001,,0)</f>
        <v>Yes</v>
      </c>
      <c r="Q21">
        <f>COUNTIF(Orders[Order ID],Orders[[#This Row],[Order ID]])</f>
        <v>1</v>
      </c>
      <c r="R21" s="10">
        <f>SUMIF(Orders[Order ID], Orders[[#This Row],[Order ID]],Orders[Sales])/Orders[[#This Row],[Order Frequency]]</f>
        <v>8.0549999999999997</v>
      </c>
      <c r="S21" t="str">
        <f>IF(Orders[[#This Row],[Order Frequency]]&gt;4, "More than 4", IF(AND(Orders[[#This Row],[Order Frequency]]&lt;=4,Orders[[#This Row],[Order Frequency]]&gt;=2), "Between 4 and 2", "Less than 2"))</f>
        <v>Less than 2</v>
      </c>
      <c r="T21" t="str">
        <f>IF(Orders[[#This Row],[Frequency Group]]="less than 2", "Low Value", IF(Orders[[#This Row],[Frequency Group]]="between 4 and 2", "Medium Value", "High Value"))</f>
        <v>Low Value</v>
      </c>
      <c r="U21" t="str">
        <f>IF(Orders[[#This Row],[Sales]]&lt;50, "$0-50", IF(AND(Orders[[#This Row],[Sales]]&gt;=50,Orders[[#This Row],[Sales]]&lt;=100), "$50-100", IF(AND(Orders[[#This Row],[Sales]]&gt;100,Orders[[#This Row],[Sales]]&lt;=150), "$101-150", "$150+")))</f>
        <v>$0-50</v>
      </c>
      <c r="V21" t="str">
        <f>IF(Orders[[#This Row],[Sales]]&gt;MEDIAN(M:M), "High Price", "Low Price")</f>
        <v>Low Price</v>
      </c>
      <c r="W21" t="str">
        <f>IF(Orders[[#This Row],[Quantity]]&gt;MEDIAN(E:E), "High Volume", "Low Volume")</f>
        <v>Low Volume</v>
      </c>
      <c r="X21" t="str">
        <f>Orders[[#This Row],[Sales Tier]] &amp; "-" &amp; Orders[[#This Row],[Quantity Tier]]</f>
        <v>Low Price-Low Volume</v>
      </c>
      <c r="Y21" t="str">
        <f>TEXT(Orders[[#This Row],[Order Date]], "mmmm")</f>
        <v>June</v>
      </c>
      <c r="Z2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1" t="str">
        <f>Orders[[#This Row],[Coffee Type Name]] &amp; "-" &amp; Orders[[#This Row],[Roast Type Name]]</f>
        <v>Robusta-Dark</v>
      </c>
      <c r="AB2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22" spans="1:28" x14ac:dyDescent="0.25">
      <c r="A22" s="2" t="s">
        <v>2509</v>
      </c>
      <c r="B22" s="4">
        <v>43599</v>
      </c>
      <c r="C22" s="2" t="s">
        <v>2510</v>
      </c>
      <c r="D22" t="s">
        <v>6182</v>
      </c>
      <c r="E22" s="2">
        <v>1</v>
      </c>
      <c r="F22" s="2" t="str">
        <f>_xlfn.XLOOKUP(C22,customers!$A$1:$A$1001,customers!$B$1:$B$1001,,0)</f>
        <v>Tomasina Cotmore</v>
      </c>
      <c r="G22" s="2" t="str">
        <f>IF(_xlfn.XLOOKUP(C22,customers!$A$1:$A$1001,customers!$C$1:$C$1001,,0)=0,"",_xlfn.XLOOKUP(C22,customers!$A$1:$A$1001,customers!$C$1:$C$1001,,0))</f>
        <v>tcotmore9y@amazonaws.com</v>
      </c>
      <c r="H22" s="2" t="str">
        <f>_xlfn.XLOOKUP(C22,customers!$A$1:$A$1001,customers!$G$1:$G$1001,,0)</f>
        <v>United States</v>
      </c>
      <c r="I22" t="str">
        <f>INDEX(products!$A$1:$G$49, MATCH(orders!$D360,products!$A$1:$A407,0), MATCH(orders!I$1,products!$A$1:$G$1,0))</f>
        <v>Ara</v>
      </c>
      <c r="J22" t="str">
        <f>INDEX(products!$A$1:$G$49, MATCH(orders!$D360,products!$A$1:$A407,0), MATCH(orders!J$1,products!$A$1:$G$1,0))</f>
        <v>L</v>
      </c>
      <c r="K22" s="5">
        <f>INDEX(products!$A$1:$G$49, MATCH(orders!$D360,products!$A$1:$A407,0), MATCH(orders!K$1,products!$A$1:$G$1,0))</f>
        <v>2.5</v>
      </c>
      <c r="L22" s="6">
        <f>INDEX(products!$A$1:$G$49, MATCH(orders!$D360,products!$A$1:$A407,0), MATCH(orders!L$1,products!$A$1:$G$1,0))</f>
        <v>29.784999999999997</v>
      </c>
      <c r="M22" s="6">
        <f t="shared" si="0"/>
        <v>29.784999999999997</v>
      </c>
      <c r="N22" t="str">
        <f t="shared" si="1"/>
        <v>Arabica</v>
      </c>
      <c r="O22" t="str">
        <f t="shared" si="2"/>
        <v>Light</v>
      </c>
      <c r="P22" t="str">
        <f>_xlfn.XLOOKUP(Orders[[#This Row],[Customer ID]],customers!$A$1:$A$1001,customers!$I$1:$I$1001,,0)</f>
        <v>No</v>
      </c>
      <c r="Q22">
        <f>COUNTIF(Orders[Order ID],Orders[[#This Row],[Order ID]])</f>
        <v>1</v>
      </c>
      <c r="R22" s="10">
        <f>SUMIF(Orders[Order ID], Orders[[#This Row],[Order ID]],Orders[Sales])/Orders[[#This Row],[Order Frequency]]</f>
        <v>29.784999999999997</v>
      </c>
      <c r="S22" t="str">
        <f>IF(Orders[[#This Row],[Order Frequency]]&gt;4, "More than 4", IF(AND(Orders[[#This Row],[Order Frequency]]&lt;=4,Orders[[#This Row],[Order Frequency]]&gt;=2), "Between 4 and 2", "Less than 2"))</f>
        <v>Less than 2</v>
      </c>
      <c r="T22" t="str">
        <f>IF(Orders[[#This Row],[Frequency Group]]="less than 2", "Low Value", IF(Orders[[#This Row],[Frequency Group]]="between 4 and 2", "Medium Value", "High Value"))</f>
        <v>Low Value</v>
      </c>
      <c r="U22" t="str">
        <f>IF(Orders[[#This Row],[Sales]]&lt;50, "$0-50", IF(AND(Orders[[#This Row],[Sales]]&gt;=50,Orders[[#This Row],[Sales]]&lt;=100), "$50-100", IF(AND(Orders[[#This Row],[Sales]]&gt;100,Orders[[#This Row],[Sales]]&lt;=150), "$101-150", "$150+")))</f>
        <v>$0-50</v>
      </c>
      <c r="V22" t="str">
        <f>IF(Orders[[#This Row],[Sales]]&gt;MEDIAN(M:M), "High Price", "Low Price")</f>
        <v>Low Price</v>
      </c>
      <c r="W22" t="str">
        <f>IF(Orders[[#This Row],[Quantity]]&gt;MEDIAN(E:E), "High Volume", "Low Volume")</f>
        <v>Low Volume</v>
      </c>
      <c r="X22" t="str">
        <f>Orders[[#This Row],[Sales Tier]] &amp; "-" &amp; Orders[[#This Row],[Quantity Tier]]</f>
        <v>Low Price-Low Volume</v>
      </c>
      <c r="Y22" t="str">
        <f>TEXT(Orders[[#This Row],[Order Date]], "mmmm")</f>
        <v>May</v>
      </c>
      <c r="Z2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2" t="str">
        <f>Orders[[#This Row],[Coffee Type Name]] &amp; "-" &amp; Orders[[#This Row],[Roast Type Name]]</f>
        <v>Arabica-Light</v>
      </c>
      <c r="AB2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23" spans="1:28" x14ac:dyDescent="0.25">
      <c r="A23" s="2" t="s">
        <v>687</v>
      </c>
      <c r="B23" s="4">
        <v>44348</v>
      </c>
      <c r="C23" s="2" t="s">
        <v>688</v>
      </c>
      <c r="D23" t="s">
        <v>6158</v>
      </c>
      <c r="E23" s="2">
        <v>6</v>
      </c>
      <c r="F23" s="2" t="str">
        <f>_xlfn.XLOOKUP(C23,customers!$A$1:$A$1001,customers!$B$1:$B$1001,,0)</f>
        <v>Faber Eilhart</v>
      </c>
      <c r="G23" s="2" t="str">
        <f>IF(_xlfn.XLOOKUP(C23,customers!$A$1:$A$1001,customers!$C$1:$C$1001,,0)=0,"",_xlfn.XLOOKUP(C23,customers!$A$1:$A$1001,customers!$C$1:$C$1001,,0))</f>
        <v>feilhartz@who.int</v>
      </c>
      <c r="H23" s="2" t="str">
        <f>_xlfn.XLOOKUP(C23,customers!$A$1:$A$1001,customers!$G$1:$G$1001,,0)</f>
        <v>United States</v>
      </c>
      <c r="I23" t="str">
        <f>INDEX(products!$A$1:$G$49, MATCH(orders!$D37,products!$A$1:$A84,0), MATCH(orders!I$1,products!$A$1:$G$1,0))</f>
        <v>Ara</v>
      </c>
      <c r="J23" t="str">
        <f>INDEX(products!$A$1:$G$49, MATCH(orders!$D37,products!$A$1:$A84,0), MATCH(orders!J$1,products!$A$1:$G$1,0))</f>
        <v>D</v>
      </c>
      <c r="K23" s="5">
        <f>INDEX(products!$A$1:$G$49, MATCH(orders!$D37,products!$A$1:$A84,0), MATCH(orders!K$1,products!$A$1:$G$1,0))</f>
        <v>0.5</v>
      </c>
      <c r="L23" s="6">
        <f>INDEX(products!$A$1:$G$49, MATCH(orders!$D37,products!$A$1:$A84,0), MATCH(orders!L$1,products!$A$1:$G$1,0))</f>
        <v>5.97</v>
      </c>
      <c r="M23" s="6">
        <f t="shared" si="0"/>
        <v>35.82</v>
      </c>
      <c r="N23" t="str">
        <f t="shared" si="1"/>
        <v>Arabica</v>
      </c>
      <c r="O23" t="str">
        <f t="shared" si="2"/>
        <v>Dark</v>
      </c>
      <c r="P23" t="str">
        <f>_xlfn.XLOOKUP(Orders[[#This Row],[Customer ID]],customers!$A$1:$A$1001,customers!$I$1:$I$1001,,0)</f>
        <v>No</v>
      </c>
      <c r="Q23">
        <f>COUNTIF(Orders[Order ID],Orders[[#This Row],[Order ID]])</f>
        <v>1</v>
      </c>
      <c r="R23" s="10">
        <f>SUMIF(Orders[Order ID], Orders[[#This Row],[Order ID]],Orders[Sales])/Orders[[#This Row],[Order Frequency]]</f>
        <v>35.82</v>
      </c>
      <c r="S23" t="str">
        <f>IF(Orders[[#This Row],[Order Frequency]]&gt;4, "More than 4", IF(AND(Orders[[#This Row],[Order Frequency]]&lt;=4,Orders[[#This Row],[Order Frequency]]&gt;=2), "Between 4 and 2", "Less than 2"))</f>
        <v>Less than 2</v>
      </c>
      <c r="T23" t="str">
        <f>IF(Orders[[#This Row],[Frequency Group]]="less than 2", "Low Value", IF(Orders[[#This Row],[Frequency Group]]="between 4 and 2", "Medium Value", "High Value"))</f>
        <v>Low Value</v>
      </c>
      <c r="U23" t="str">
        <f>IF(Orders[[#This Row],[Sales]]&lt;50, "$0-50", IF(AND(Orders[[#This Row],[Sales]]&gt;=50,Orders[[#This Row],[Sales]]&lt;=100), "$50-100", IF(AND(Orders[[#This Row],[Sales]]&gt;100,Orders[[#This Row],[Sales]]&lt;=150), "$101-150", "$150+")))</f>
        <v>$0-50</v>
      </c>
      <c r="V23" t="str">
        <f>IF(Orders[[#This Row],[Sales]]&gt;MEDIAN(M:M), "High Price", "Low Price")</f>
        <v>High Price</v>
      </c>
      <c r="W23" t="str">
        <f>IF(Orders[[#This Row],[Quantity]]&gt;MEDIAN(E:E), "High Volume", "Low Volume")</f>
        <v>High Volume</v>
      </c>
      <c r="X23" t="str">
        <f>Orders[[#This Row],[Sales Tier]] &amp; "-" &amp; Orders[[#This Row],[Quantity Tier]]</f>
        <v>High Price-High Volume</v>
      </c>
      <c r="Y23" t="str">
        <f>TEXT(Orders[[#This Row],[Order Date]], "mmmm")</f>
        <v>June</v>
      </c>
      <c r="Z2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3" t="str">
        <f>Orders[[#This Row],[Coffee Type Name]] &amp; "-" &amp; Orders[[#This Row],[Roast Type Name]]</f>
        <v>Arabica-Dark</v>
      </c>
      <c r="AB2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24" spans="1:28" x14ac:dyDescent="0.25">
      <c r="A24" s="2" t="s">
        <v>1333</v>
      </c>
      <c r="B24" s="4">
        <v>44051</v>
      </c>
      <c r="C24" s="2" t="s">
        <v>1334</v>
      </c>
      <c r="D24" t="s">
        <v>6143</v>
      </c>
      <c r="E24" s="2">
        <v>1</v>
      </c>
      <c r="F24" s="2" t="str">
        <f>_xlfn.XLOOKUP(C24,customers!$A$1:$A$1001,customers!$B$1:$B$1001,,0)</f>
        <v>Jacinthe Balsillie</v>
      </c>
      <c r="G24" s="2" t="str">
        <f>IF(_xlfn.XLOOKUP(C24,customers!$A$1:$A$1001,customers!$C$1:$C$1001,,0)=0,"",_xlfn.XLOOKUP(C24,customers!$A$1:$A$1001,customers!$C$1:$C$1001,,0))</f>
        <v>jbalsillie46@princeton.edu</v>
      </c>
      <c r="H24" s="2" t="str">
        <f>_xlfn.XLOOKUP(C24,customers!$A$1:$A$1001,customers!$G$1:$G$1001,,0)</f>
        <v>United States</v>
      </c>
      <c r="I24" t="str">
        <f>INDEX(products!$A$1:$G$49, MATCH(orders!$D152,products!$A$1:$A199,0), MATCH(orders!I$1,products!$A$1:$G$1,0))</f>
        <v>Lib</v>
      </c>
      <c r="J24" t="str">
        <f>INDEX(products!$A$1:$G$49, MATCH(orders!$D152,products!$A$1:$A199,0), MATCH(orders!J$1,products!$A$1:$G$1,0))</f>
        <v>D</v>
      </c>
      <c r="K24" s="5">
        <f>INDEX(products!$A$1:$G$49, MATCH(orders!$D152,products!$A$1:$A199,0), MATCH(orders!K$1,products!$A$1:$G$1,0))</f>
        <v>1</v>
      </c>
      <c r="L24" s="6">
        <f>INDEX(products!$A$1:$G$49, MATCH(orders!$D152,products!$A$1:$A199,0), MATCH(orders!L$1,products!$A$1:$G$1,0))</f>
        <v>12.95</v>
      </c>
      <c r="M24" s="6">
        <f t="shared" si="0"/>
        <v>12.95</v>
      </c>
      <c r="N24" t="str">
        <f t="shared" si="1"/>
        <v>Liberica</v>
      </c>
      <c r="O24" t="str">
        <f t="shared" si="2"/>
        <v>Dark</v>
      </c>
      <c r="P24" t="str">
        <f>_xlfn.XLOOKUP(Orders[[#This Row],[Customer ID]],customers!$A$1:$A$1001,customers!$I$1:$I$1001,,0)</f>
        <v>Yes</v>
      </c>
      <c r="Q24">
        <f>COUNTIF(Orders[Order ID],Orders[[#This Row],[Order ID]])</f>
        <v>1</v>
      </c>
      <c r="R24" s="10">
        <f>SUMIF(Orders[Order ID], Orders[[#This Row],[Order ID]],Orders[Sales])/Orders[[#This Row],[Order Frequency]]</f>
        <v>12.95</v>
      </c>
      <c r="S24" t="str">
        <f>IF(Orders[[#This Row],[Order Frequency]]&gt;4, "More than 4", IF(AND(Orders[[#This Row],[Order Frequency]]&lt;=4,Orders[[#This Row],[Order Frequency]]&gt;=2), "Between 4 and 2", "Less than 2"))</f>
        <v>Less than 2</v>
      </c>
      <c r="T24" t="str">
        <f>IF(Orders[[#This Row],[Frequency Group]]="less than 2", "Low Value", IF(Orders[[#This Row],[Frequency Group]]="between 4 and 2", "Medium Value", "High Value"))</f>
        <v>Low Value</v>
      </c>
      <c r="U24" t="str">
        <f>IF(Orders[[#This Row],[Sales]]&lt;50, "$0-50", IF(AND(Orders[[#This Row],[Sales]]&gt;=50,Orders[[#This Row],[Sales]]&lt;=100), "$50-100", IF(AND(Orders[[#This Row],[Sales]]&gt;100,Orders[[#This Row],[Sales]]&lt;=150), "$101-150", "$150+")))</f>
        <v>$0-50</v>
      </c>
      <c r="V24" t="str">
        <f>IF(Orders[[#This Row],[Sales]]&gt;MEDIAN(M:M), "High Price", "Low Price")</f>
        <v>Low Price</v>
      </c>
      <c r="W24" t="str">
        <f>IF(Orders[[#This Row],[Quantity]]&gt;MEDIAN(E:E), "High Volume", "Low Volume")</f>
        <v>Low Volume</v>
      </c>
      <c r="X24" t="str">
        <f>Orders[[#This Row],[Sales Tier]] &amp; "-" &amp; Orders[[#This Row],[Quantity Tier]]</f>
        <v>Low Price-Low Volume</v>
      </c>
      <c r="Y24" t="str">
        <f>TEXT(Orders[[#This Row],[Order Date]], "mmmm")</f>
        <v>August</v>
      </c>
      <c r="Z2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24" t="str">
        <f>Orders[[#This Row],[Coffee Type Name]] &amp; "-" &amp; Orders[[#This Row],[Roast Type Name]]</f>
        <v>Liberica-Dark</v>
      </c>
      <c r="AB2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25" spans="1:28" x14ac:dyDescent="0.25">
      <c r="A25" s="2" t="s">
        <v>4074</v>
      </c>
      <c r="B25" s="4">
        <v>44578</v>
      </c>
      <c r="C25" s="2" t="s">
        <v>4075</v>
      </c>
      <c r="D25" t="s">
        <v>6176</v>
      </c>
      <c r="E25" s="2">
        <v>4</v>
      </c>
      <c r="F25" s="2" t="str">
        <f>_xlfn.XLOOKUP(C25,customers!$A$1:$A$1001,customers!$B$1:$B$1001,,0)</f>
        <v>Eal D'Ambrogio</v>
      </c>
      <c r="G25" s="2" t="str">
        <f>IF(_xlfn.XLOOKUP(C25,customers!$A$1:$A$1001,customers!$C$1:$C$1001,,0)=0,"",_xlfn.XLOOKUP(C25,customers!$A$1:$A$1001,customers!$C$1:$C$1001,,0))</f>
        <v>edambrogiohn@techcrunch.com</v>
      </c>
      <c r="H25" s="2" t="str">
        <f>_xlfn.XLOOKUP(C25,customers!$A$1:$A$1001,customers!$G$1:$G$1001,,0)</f>
        <v>United States</v>
      </c>
      <c r="I25" t="str">
        <f>INDEX(products!$A$1:$G$49, MATCH(orders!$D637,products!$A$1:$A684,0), MATCH(orders!I$1,products!$A$1:$G$1,0))</f>
        <v>Exc</v>
      </c>
      <c r="J25" t="str">
        <f>INDEX(products!$A$1:$G$49, MATCH(orders!$D637,products!$A$1:$A684,0), MATCH(orders!J$1,products!$A$1:$G$1,0))</f>
        <v>L</v>
      </c>
      <c r="K25" s="5">
        <f>INDEX(products!$A$1:$G$49, MATCH(orders!$D637,products!$A$1:$A684,0), MATCH(orders!K$1,products!$A$1:$G$1,0))</f>
        <v>0.5</v>
      </c>
      <c r="L25" s="6">
        <f>INDEX(products!$A$1:$G$49, MATCH(orders!$D637,products!$A$1:$A684,0), MATCH(orders!L$1,products!$A$1:$G$1,0))</f>
        <v>8.91</v>
      </c>
      <c r="M25" s="6">
        <f t="shared" si="0"/>
        <v>35.64</v>
      </c>
      <c r="N25" t="str">
        <f t="shared" si="1"/>
        <v>Excelsa</v>
      </c>
      <c r="O25" t="str">
        <f t="shared" si="2"/>
        <v>Light</v>
      </c>
      <c r="P25" t="str">
        <f>_xlfn.XLOOKUP(Orders[[#This Row],[Customer ID]],customers!$A$1:$A$1001,customers!$I$1:$I$1001,,0)</f>
        <v>Yes</v>
      </c>
      <c r="Q25">
        <f>COUNTIF(Orders[Order ID],Orders[[#This Row],[Order ID]])</f>
        <v>1</v>
      </c>
      <c r="R25" s="10">
        <f>SUMIF(Orders[Order ID], Orders[[#This Row],[Order ID]],Orders[Sales])/Orders[[#This Row],[Order Frequency]]</f>
        <v>35.64</v>
      </c>
      <c r="S25" t="str">
        <f>IF(Orders[[#This Row],[Order Frequency]]&gt;4, "More than 4", IF(AND(Orders[[#This Row],[Order Frequency]]&lt;=4,Orders[[#This Row],[Order Frequency]]&gt;=2), "Between 4 and 2", "Less than 2"))</f>
        <v>Less than 2</v>
      </c>
      <c r="T25" t="str">
        <f>IF(Orders[[#This Row],[Frequency Group]]="less than 2", "Low Value", IF(Orders[[#This Row],[Frequency Group]]="between 4 and 2", "Medium Value", "High Value"))</f>
        <v>Low Value</v>
      </c>
      <c r="U25" t="str">
        <f>IF(Orders[[#This Row],[Sales]]&lt;50, "$0-50", IF(AND(Orders[[#This Row],[Sales]]&gt;=50,Orders[[#This Row],[Sales]]&lt;=100), "$50-100", IF(AND(Orders[[#This Row],[Sales]]&gt;100,Orders[[#This Row],[Sales]]&lt;=150), "$101-150", "$150+")))</f>
        <v>$0-50</v>
      </c>
      <c r="V25" t="str">
        <f>IF(Orders[[#This Row],[Sales]]&gt;MEDIAN(M:M), "High Price", "Low Price")</f>
        <v>High Price</v>
      </c>
      <c r="W25" t="str">
        <f>IF(Orders[[#This Row],[Quantity]]&gt;MEDIAN(E:E), "High Volume", "Low Volume")</f>
        <v>Low Volume</v>
      </c>
      <c r="X25" t="str">
        <f>Orders[[#This Row],[Sales Tier]] &amp; "-" &amp; Orders[[#This Row],[Quantity Tier]]</f>
        <v>High Price-Low Volume</v>
      </c>
      <c r="Y25" t="str">
        <f>TEXT(Orders[[#This Row],[Order Date]], "mmmm")</f>
        <v>January</v>
      </c>
      <c r="Z2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25" t="str">
        <f>Orders[[#This Row],[Coffee Type Name]] &amp; "-" &amp; Orders[[#This Row],[Roast Type Name]]</f>
        <v>Excelsa-Light</v>
      </c>
      <c r="AB2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26" spans="1:28" x14ac:dyDescent="0.25">
      <c r="A26" s="2" t="s">
        <v>866</v>
      </c>
      <c r="B26" s="4">
        <v>44519</v>
      </c>
      <c r="C26" s="2" t="s">
        <v>867</v>
      </c>
      <c r="D26" t="s">
        <v>6145</v>
      </c>
      <c r="E26" s="2">
        <v>2</v>
      </c>
      <c r="F26" s="2" t="str">
        <f>_xlfn.XLOOKUP(C26,customers!$A$1:$A$1001,customers!$B$1:$B$1001,,0)</f>
        <v>Nat Saleway</v>
      </c>
      <c r="G26" s="2" t="str">
        <f>IF(_xlfn.XLOOKUP(C26,customers!$A$1:$A$1001,customers!$C$1:$C$1001,,0)=0,"",_xlfn.XLOOKUP(C26,customers!$A$1:$A$1001,customers!$C$1:$C$1001,,0))</f>
        <v>nsaleway1v@dedecms.com</v>
      </c>
      <c r="H26" s="2" t="str">
        <f>_xlfn.XLOOKUP(C26,customers!$A$1:$A$1001,customers!$G$1:$G$1001,,0)</f>
        <v>United States</v>
      </c>
      <c r="I26" t="str">
        <f>INDEX(products!$A$1:$G$49, MATCH(orders!$D69,products!$A$1:$A116,0), MATCH(orders!I$1,products!$A$1:$G$1,0))</f>
        <v>Lib</v>
      </c>
      <c r="J26" t="str">
        <f>INDEX(products!$A$1:$G$49, MATCH(orders!$D69,products!$A$1:$A116,0), MATCH(orders!J$1,products!$A$1:$G$1,0))</f>
        <v>L</v>
      </c>
      <c r="K26" s="5">
        <f>INDEX(products!$A$1:$G$49, MATCH(orders!$D69,products!$A$1:$A116,0), MATCH(orders!K$1,products!$A$1:$G$1,0))</f>
        <v>0.2</v>
      </c>
      <c r="L26" s="6">
        <f>INDEX(products!$A$1:$G$49, MATCH(orders!$D69,products!$A$1:$A116,0), MATCH(orders!L$1,products!$A$1:$G$1,0))</f>
        <v>4.7549999999999999</v>
      </c>
      <c r="M26" s="6">
        <f t="shared" si="0"/>
        <v>9.51</v>
      </c>
      <c r="N26" t="str">
        <f t="shared" si="1"/>
        <v>Liberica</v>
      </c>
      <c r="O26" t="str">
        <f t="shared" si="2"/>
        <v>Light</v>
      </c>
      <c r="P26" t="str">
        <f>_xlfn.XLOOKUP(Orders[[#This Row],[Customer ID]],customers!$A$1:$A$1001,customers!$I$1:$I$1001,,0)</f>
        <v>No</v>
      </c>
      <c r="Q26">
        <f>COUNTIF(Orders[Order ID],Orders[[#This Row],[Order ID]])</f>
        <v>1</v>
      </c>
      <c r="R26" s="10">
        <f>SUMIF(Orders[Order ID], Orders[[#This Row],[Order ID]],Orders[Sales])/Orders[[#This Row],[Order Frequency]]</f>
        <v>9.51</v>
      </c>
      <c r="S26" t="str">
        <f>IF(Orders[[#This Row],[Order Frequency]]&gt;4, "More than 4", IF(AND(Orders[[#This Row],[Order Frequency]]&lt;=4,Orders[[#This Row],[Order Frequency]]&gt;=2), "Between 4 and 2", "Less than 2"))</f>
        <v>Less than 2</v>
      </c>
      <c r="T26" t="str">
        <f>IF(Orders[[#This Row],[Frequency Group]]="less than 2", "Low Value", IF(Orders[[#This Row],[Frequency Group]]="between 4 and 2", "Medium Value", "High Value"))</f>
        <v>Low Value</v>
      </c>
      <c r="U26" t="str">
        <f>IF(Orders[[#This Row],[Sales]]&lt;50, "$0-50", IF(AND(Orders[[#This Row],[Sales]]&gt;=50,Orders[[#This Row],[Sales]]&lt;=100), "$50-100", IF(AND(Orders[[#This Row],[Sales]]&gt;100,Orders[[#This Row],[Sales]]&lt;=150), "$101-150", "$150+")))</f>
        <v>$0-50</v>
      </c>
      <c r="V26" t="str">
        <f>IF(Orders[[#This Row],[Sales]]&gt;MEDIAN(M:M), "High Price", "Low Price")</f>
        <v>Low Price</v>
      </c>
      <c r="W26" t="str">
        <f>IF(Orders[[#This Row],[Quantity]]&gt;MEDIAN(E:E), "High Volume", "Low Volume")</f>
        <v>Low Volume</v>
      </c>
      <c r="X26" t="str">
        <f>Orders[[#This Row],[Sales Tier]] &amp; "-" &amp; Orders[[#This Row],[Quantity Tier]]</f>
        <v>Low Price-Low Volume</v>
      </c>
      <c r="Y26" t="str">
        <f>TEXT(Orders[[#This Row],[Order Date]], "mmmm")</f>
        <v>November</v>
      </c>
      <c r="Z2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26" t="str">
        <f>Orders[[#This Row],[Coffee Type Name]] &amp; "-" &amp; Orders[[#This Row],[Roast Type Name]]</f>
        <v>Liberica-Light</v>
      </c>
      <c r="AB2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27" spans="1:28" x14ac:dyDescent="0.25">
      <c r="A27" s="2" t="s">
        <v>5123</v>
      </c>
      <c r="B27" s="4">
        <v>43510</v>
      </c>
      <c r="C27" s="2" t="s">
        <v>5124</v>
      </c>
      <c r="D27" t="s">
        <v>6141</v>
      </c>
      <c r="E27" s="2">
        <v>4</v>
      </c>
      <c r="F27" s="2" t="str">
        <f>_xlfn.XLOOKUP(C27,customers!$A$1:$A$1001,customers!$B$1:$B$1001,,0)</f>
        <v>Eustace Stenton</v>
      </c>
      <c r="G27" s="2" t="str">
        <f>IF(_xlfn.XLOOKUP(C27,customers!$A$1:$A$1001,customers!$C$1:$C$1001,,0)=0,"",_xlfn.XLOOKUP(C27,customers!$A$1:$A$1001,customers!$C$1:$C$1001,,0))</f>
        <v>estentonms@google.it</v>
      </c>
      <c r="H27" s="2" t="str">
        <f>_xlfn.XLOOKUP(C27,customers!$A$1:$A$1001,customers!$G$1:$G$1001,,0)</f>
        <v>United States</v>
      </c>
      <c r="I27" t="str">
        <f>INDEX(products!$A$1:$G$49, MATCH(orders!$D822,products!$A$1:$A869,0), MATCH(orders!I$1,products!$A$1:$G$1,0))</f>
        <v>Exc</v>
      </c>
      <c r="J27" t="str">
        <f>INDEX(products!$A$1:$G$49, MATCH(orders!$D822,products!$A$1:$A869,0), MATCH(orders!J$1,products!$A$1:$G$1,0))</f>
        <v>M</v>
      </c>
      <c r="K27" s="5">
        <f>INDEX(products!$A$1:$G$49, MATCH(orders!$D822,products!$A$1:$A869,0), MATCH(orders!K$1,products!$A$1:$G$1,0))</f>
        <v>1</v>
      </c>
      <c r="L27" s="6">
        <f>INDEX(products!$A$1:$G$49, MATCH(orders!$D822,products!$A$1:$A869,0), MATCH(orders!L$1,products!$A$1:$G$1,0))</f>
        <v>13.75</v>
      </c>
      <c r="M27" s="6">
        <f t="shared" si="0"/>
        <v>55</v>
      </c>
      <c r="N27" t="str">
        <f t="shared" si="1"/>
        <v>Excelsa</v>
      </c>
      <c r="O27" t="str">
        <f t="shared" si="2"/>
        <v>Medium</v>
      </c>
      <c r="P27" t="str">
        <f>_xlfn.XLOOKUP(Orders[[#This Row],[Customer ID]],customers!$A$1:$A$1001,customers!$I$1:$I$1001,,0)</f>
        <v>Yes</v>
      </c>
      <c r="Q27">
        <f>COUNTIF(Orders[Order ID],Orders[[#This Row],[Order ID]])</f>
        <v>1</v>
      </c>
      <c r="R27" s="10">
        <f>SUMIF(Orders[Order ID], Orders[[#This Row],[Order ID]],Orders[Sales])/Orders[[#This Row],[Order Frequency]]</f>
        <v>55</v>
      </c>
      <c r="S27" t="str">
        <f>IF(Orders[[#This Row],[Order Frequency]]&gt;4, "More than 4", IF(AND(Orders[[#This Row],[Order Frequency]]&lt;=4,Orders[[#This Row],[Order Frequency]]&gt;=2), "Between 4 and 2", "Less than 2"))</f>
        <v>Less than 2</v>
      </c>
      <c r="T27" t="str">
        <f>IF(Orders[[#This Row],[Frequency Group]]="less than 2", "Low Value", IF(Orders[[#This Row],[Frequency Group]]="between 4 and 2", "Medium Value", "High Value"))</f>
        <v>Low Value</v>
      </c>
      <c r="U27" t="str">
        <f>IF(Orders[[#This Row],[Sales]]&lt;50, "$0-50", IF(AND(Orders[[#This Row],[Sales]]&gt;=50,Orders[[#This Row],[Sales]]&lt;=100), "$50-100", IF(AND(Orders[[#This Row],[Sales]]&gt;100,Orders[[#This Row],[Sales]]&lt;=150), "$101-150", "$150+")))</f>
        <v>$50-100</v>
      </c>
      <c r="V27" t="str">
        <f>IF(Orders[[#This Row],[Sales]]&gt;MEDIAN(M:M), "High Price", "Low Price")</f>
        <v>High Price</v>
      </c>
      <c r="W27" t="str">
        <f>IF(Orders[[#This Row],[Quantity]]&gt;MEDIAN(E:E), "High Volume", "Low Volume")</f>
        <v>Low Volume</v>
      </c>
      <c r="X27" t="str">
        <f>Orders[[#This Row],[Sales Tier]] &amp; "-" &amp; Orders[[#This Row],[Quantity Tier]]</f>
        <v>High Price-Low Volume</v>
      </c>
      <c r="Y27" t="str">
        <f>TEXT(Orders[[#This Row],[Order Date]], "mmmm")</f>
        <v>February</v>
      </c>
      <c r="Z2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27" t="str">
        <f>Orders[[#This Row],[Coffee Type Name]] &amp; "-" &amp; Orders[[#This Row],[Roast Type Name]]</f>
        <v>Excelsa-Medium</v>
      </c>
      <c r="AB2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28" spans="1:28" x14ac:dyDescent="0.25">
      <c r="A28" s="2" t="s">
        <v>3408</v>
      </c>
      <c r="B28" s="4">
        <v>44723</v>
      </c>
      <c r="C28" s="2" t="s">
        <v>3409</v>
      </c>
      <c r="D28" t="s">
        <v>6149</v>
      </c>
      <c r="E28" s="2">
        <v>5</v>
      </c>
      <c r="F28" s="2" t="str">
        <f>_xlfn.XLOOKUP(C28,customers!$A$1:$A$1001,customers!$B$1:$B$1001,,0)</f>
        <v>Cindra Burling</v>
      </c>
      <c r="G28" s="2" t="str">
        <f>IF(_xlfn.XLOOKUP(C28,customers!$A$1:$A$1001,customers!$C$1:$C$1001,,0)=0,"",_xlfn.XLOOKUP(C28,customers!$A$1:$A$1001,customers!$C$1:$C$1001,,0))</f>
        <v/>
      </c>
      <c r="H28" s="2" t="str">
        <f>_xlfn.XLOOKUP(C28,customers!$A$1:$A$1001,customers!$G$1:$G$1001,,0)</f>
        <v>United States</v>
      </c>
      <c r="I28" t="str">
        <f>INDEX(products!$A$1:$G$49, MATCH(orders!$D518,products!$A$1:$A565,0), MATCH(orders!I$1,products!$A$1:$G$1,0))</f>
        <v>Rob</v>
      </c>
      <c r="J28" t="str">
        <f>INDEX(products!$A$1:$G$49, MATCH(orders!$D518,products!$A$1:$A565,0), MATCH(orders!J$1,products!$A$1:$G$1,0))</f>
        <v>D</v>
      </c>
      <c r="K28" s="5">
        <f>INDEX(products!$A$1:$G$49, MATCH(orders!$D518,products!$A$1:$A565,0), MATCH(orders!K$1,products!$A$1:$G$1,0))</f>
        <v>2.5</v>
      </c>
      <c r="L28" s="6">
        <f>INDEX(products!$A$1:$G$49, MATCH(orders!$D518,products!$A$1:$A565,0), MATCH(orders!L$1,products!$A$1:$G$1,0))</f>
        <v>20.584999999999997</v>
      </c>
      <c r="M28" s="6">
        <f t="shared" si="0"/>
        <v>102.92499999999998</v>
      </c>
      <c r="N28" t="str">
        <f t="shared" si="1"/>
        <v>Robusta</v>
      </c>
      <c r="O28" t="str">
        <f t="shared" si="2"/>
        <v>Dark</v>
      </c>
      <c r="P28" t="str">
        <f>_xlfn.XLOOKUP(Orders[[#This Row],[Customer ID]],customers!$A$1:$A$1001,customers!$I$1:$I$1001,,0)</f>
        <v>Yes</v>
      </c>
      <c r="Q28">
        <f>COUNTIF(Orders[Order ID],Orders[[#This Row],[Order ID]])</f>
        <v>1</v>
      </c>
      <c r="R28" s="10">
        <f>SUMIF(Orders[Order ID], Orders[[#This Row],[Order ID]],Orders[Sales])/Orders[[#This Row],[Order Frequency]]</f>
        <v>102.92499999999998</v>
      </c>
      <c r="S28" t="str">
        <f>IF(Orders[[#This Row],[Order Frequency]]&gt;4, "More than 4", IF(AND(Orders[[#This Row],[Order Frequency]]&lt;=4,Orders[[#This Row],[Order Frequency]]&gt;=2), "Between 4 and 2", "Less than 2"))</f>
        <v>Less than 2</v>
      </c>
      <c r="T28" t="str">
        <f>IF(Orders[[#This Row],[Frequency Group]]="less than 2", "Low Value", IF(Orders[[#This Row],[Frequency Group]]="between 4 and 2", "Medium Value", "High Value"))</f>
        <v>Low Value</v>
      </c>
      <c r="U28" t="str">
        <f>IF(Orders[[#This Row],[Sales]]&lt;50, "$0-50", IF(AND(Orders[[#This Row],[Sales]]&gt;=50,Orders[[#This Row],[Sales]]&lt;=100), "$50-100", IF(AND(Orders[[#This Row],[Sales]]&gt;100,Orders[[#This Row],[Sales]]&lt;=150), "$101-150", "$150+")))</f>
        <v>$101-150</v>
      </c>
      <c r="V28" t="str">
        <f>IF(Orders[[#This Row],[Sales]]&gt;MEDIAN(M:M), "High Price", "Low Price")</f>
        <v>High Price</v>
      </c>
      <c r="W28" t="str">
        <f>IF(Orders[[#This Row],[Quantity]]&gt;MEDIAN(E:E), "High Volume", "Low Volume")</f>
        <v>High Volume</v>
      </c>
      <c r="X28" t="str">
        <f>Orders[[#This Row],[Sales Tier]] &amp; "-" &amp; Orders[[#This Row],[Quantity Tier]]</f>
        <v>High Price-High Volume</v>
      </c>
      <c r="Y28" t="str">
        <f>TEXT(Orders[[#This Row],[Order Date]], "mmmm")</f>
        <v>June</v>
      </c>
      <c r="Z2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8" t="str">
        <f>Orders[[#This Row],[Coffee Type Name]] &amp; "-" &amp; Orders[[#This Row],[Roast Type Name]]</f>
        <v>Robusta-Dark</v>
      </c>
      <c r="AB2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29" spans="1:28" x14ac:dyDescent="0.25">
      <c r="A29" s="2" t="s">
        <v>4926</v>
      </c>
      <c r="B29" s="4">
        <v>44362</v>
      </c>
      <c r="C29" s="2" t="s">
        <v>4927</v>
      </c>
      <c r="D29" t="s">
        <v>6168</v>
      </c>
      <c r="E29" s="2">
        <v>1</v>
      </c>
      <c r="F29" s="2" t="str">
        <f>_xlfn.XLOOKUP(C29,customers!$A$1:$A$1001,customers!$B$1:$B$1001,,0)</f>
        <v>Haslett Jodrelle</v>
      </c>
      <c r="G29" s="2" t="str">
        <f>IF(_xlfn.XLOOKUP(C29,customers!$A$1:$A$1001,customers!$C$1:$C$1001,,0)=0,"",_xlfn.XLOOKUP(C29,customers!$A$1:$A$1001,customers!$C$1:$C$1001,,0))</f>
        <v>hjodrellelt@samsung.com</v>
      </c>
      <c r="H29" s="2" t="str">
        <f>_xlfn.XLOOKUP(C29,customers!$A$1:$A$1001,customers!$G$1:$G$1001,,0)</f>
        <v>United States</v>
      </c>
      <c r="I29" t="str">
        <f>INDEX(products!$A$1:$G$49, MATCH(orders!$D787,products!$A$1:$A834,0), MATCH(orders!I$1,products!$A$1:$G$1,0))</f>
        <v>Ara</v>
      </c>
      <c r="J29" t="str">
        <f>INDEX(products!$A$1:$G$49, MATCH(orders!$D787,products!$A$1:$A834,0), MATCH(orders!J$1,products!$A$1:$G$1,0))</f>
        <v>D</v>
      </c>
      <c r="K29" s="5">
        <f>INDEX(products!$A$1:$G$49, MATCH(orders!$D787,products!$A$1:$A834,0), MATCH(orders!K$1,products!$A$1:$G$1,0))</f>
        <v>2.5</v>
      </c>
      <c r="L29" s="6">
        <f>INDEX(products!$A$1:$G$49, MATCH(orders!$D787,products!$A$1:$A834,0), MATCH(orders!L$1,products!$A$1:$G$1,0))</f>
        <v>22.884999999999998</v>
      </c>
      <c r="M29" s="6">
        <f t="shared" si="0"/>
        <v>22.884999999999998</v>
      </c>
      <c r="N29" t="str">
        <f t="shared" si="1"/>
        <v>Arabica</v>
      </c>
      <c r="O29" t="str">
        <f t="shared" si="2"/>
        <v>Dark</v>
      </c>
      <c r="P29" t="str">
        <f>_xlfn.XLOOKUP(Orders[[#This Row],[Customer ID]],customers!$A$1:$A$1001,customers!$I$1:$I$1001,,0)</f>
        <v>No</v>
      </c>
      <c r="Q29">
        <f>COUNTIF(Orders[Order ID],Orders[[#This Row],[Order ID]])</f>
        <v>1</v>
      </c>
      <c r="R29" s="10">
        <f>SUMIF(Orders[Order ID], Orders[[#This Row],[Order ID]],Orders[Sales])/Orders[[#This Row],[Order Frequency]]</f>
        <v>22.884999999999998</v>
      </c>
      <c r="S29" t="str">
        <f>IF(Orders[[#This Row],[Order Frequency]]&gt;4, "More than 4", IF(AND(Orders[[#This Row],[Order Frequency]]&lt;=4,Orders[[#This Row],[Order Frequency]]&gt;=2), "Between 4 and 2", "Less than 2"))</f>
        <v>Less than 2</v>
      </c>
      <c r="T29" t="str">
        <f>IF(Orders[[#This Row],[Frequency Group]]="less than 2", "Low Value", IF(Orders[[#This Row],[Frequency Group]]="between 4 and 2", "Medium Value", "High Value"))</f>
        <v>Low Value</v>
      </c>
      <c r="U29" t="str">
        <f>IF(Orders[[#This Row],[Sales]]&lt;50, "$0-50", IF(AND(Orders[[#This Row],[Sales]]&gt;=50,Orders[[#This Row],[Sales]]&lt;=100), "$50-100", IF(AND(Orders[[#This Row],[Sales]]&gt;100,Orders[[#This Row],[Sales]]&lt;=150), "$101-150", "$150+")))</f>
        <v>$0-50</v>
      </c>
      <c r="V29" t="str">
        <f>IF(Orders[[#This Row],[Sales]]&gt;MEDIAN(M:M), "High Price", "Low Price")</f>
        <v>Low Price</v>
      </c>
      <c r="W29" t="str">
        <f>IF(Orders[[#This Row],[Quantity]]&gt;MEDIAN(E:E), "High Volume", "Low Volume")</f>
        <v>Low Volume</v>
      </c>
      <c r="X29" t="str">
        <f>Orders[[#This Row],[Sales Tier]] &amp; "-" &amp; Orders[[#This Row],[Quantity Tier]]</f>
        <v>Low Price-Low Volume</v>
      </c>
      <c r="Y29" t="str">
        <f>TEXT(Orders[[#This Row],[Order Date]], "mmmm")</f>
        <v>June</v>
      </c>
      <c r="Z2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9" t="str">
        <f>Orders[[#This Row],[Coffee Type Name]] &amp; "-" &amp; Orders[[#This Row],[Roast Type Name]]</f>
        <v>Arabica-Dark</v>
      </c>
      <c r="AB2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30" spans="1:28" x14ac:dyDescent="0.25">
      <c r="A30" s="2" t="s">
        <v>4875</v>
      </c>
      <c r="B30" s="4">
        <v>44540</v>
      </c>
      <c r="C30" s="2" t="s">
        <v>4876</v>
      </c>
      <c r="D30" t="s">
        <v>6157</v>
      </c>
      <c r="E30" s="2">
        <v>3</v>
      </c>
      <c r="F30" s="2" t="str">
        <f>_xlfn.XLOOKUP(C30,customers!$A$1:$A$1001,customers!$B$1:$B$1001,,0)</f>
        <v>Jule Deehan</v>
      </c>
      <c r="G30" s="2" t="str">
        <f>IF(_xlfn.XLOOKUP(C30,customers!$A$1:$A$1001,customers!$C$1:$C$1001,,0)=0,"",_xlfn.XLOOKUP(C30,customers!$A$1:$A$1001,customers!$C$1:$C$1001,,0))</f>
        <v>jdeehanlk@about.me</v>
      </c>
      <c r="H30" s="2" t="str">
        <f>_xlfn.XLOOKUP(C30,customers!$A$1:$A$1001,customers!$G$1:$G$1001,,0)</f>
        <v>United States</v>
      </c>
      <c r="I30" t="str">
        <f>INDEX(products!$A$1:$G$49, MATCH(orders!$D778,products!$A$1:$A825,0), MATCH(orders!I$1,products!$A$1:$G$1,0))</f>
        <v>Ara</v>
      </c>
      <c r="J30" t="str">
        <f>INDEX(products!$A$1:$G$49, MATCH(orders!$D778,products!$A$1:$A825,0), MATCH(orders!J$1,products!$A$1:$G$1,0))</f>
        <v>M</v>
      </c>
      <c r="K30" s="5">
        <f>INDEX(products!$A$1:$G$49, MATCH(orders!$D778,products!$A$1:$A825,0), MATCH(orders!K$1,products!$A$1:$G$1,0))</f>
        <v>0.5</v>
      </c>
      <c r="L30" s="6">
        <f>INDEX(products!$A$1:$G$49, MATCH(orders!$D778,products!$A$1:$A825,0), MATCH(orders!L$1,products!$A$1:$G$1,0))</f>
        <v>6.75</v>
      </c>
      <c r="M30" s="6">
        <f t="shared" si="0"/>
        <v>20.25</v>
      </c>
      <c r="N30" t="str">
        <f t="shared" si="1"/>
        <v>Arabica</v>
      </c>
      <c r="O30" t="str">
        <f t="shared" si="2"/>
        <v>Medium</v>
      </c>
      <c r="P30" t="str">
        <f>_xlfn.XLOOKUP(Orders[[#This Row],[Customer ID]],customers!$A$1:$A$1001,customers!$I$1:$I$1001,,0)</f>
        <v>No</v>
      </c>
      <c r="Q30">
        <f>COUNTIF(Orders[Order ID],Orders[[#This Row],[Order ID]])</f>
        <v>1</v>
      </c>
      <c r="R30" s="10">
        <f>SUMIF(Orders[Order ID], Orders[[#This Row],[Order ID]],Orders[Sales])/Orders[[#This Row],[Order Frequency]]</f>
        <v>20.25</v>
      </c>
      <c r="S30" t="str">
        <f>IF(Orders[[#This Row],[Order Frequency]]&gt;4, "More than 4", IF(AND(Orders[[#This Row],[Order Frequency]]&lt;=4,Orders[[#This Row],[Order Frequency]]&gt;=2), "Between 4 and 2", "Less than 2"))</f>
        <v>Less than 2</v>
      </c>
      <c r="T30" t="str">
        <f>IF(Orders[[#This Row],[Frequency Group]]="less than 2", "Low Value", IF(Orders[[#This Row],[Frequency Group]]="between 4 and 2", "Medium Value", "High Value"))</f>
        <v>Low Value</v>
      </c>
      <c r="U30" t="str">
        <f>IF(Orders[[#This Row],[Sales]]&lt;50, "$0-50", IF(AND(Orders[[#This Row],[Sales]]&gt;=50,Orders[[#This Row],[Sales]]&lt;=100), "$50-100", IF(AND(Orders[[#This Row],[Sales]]&gt;100,Orders[[#This Row],[Sales]]&lt;=150), "$101-150", "$150+")))</f>
        <v>$0-50</v>
      </c>
      <c r="V30" t="str">
        <f>IF(Orders[[#This Row],[Sales]]&gt;MEDIAN(M:M), "High Price", "Low Price")</f>
        <v>Low Price</v>
      </c>
      <c r="W30" t="str">
        <f>IF(Orders[[#This Row],[Quantity]]&gt;MEDIAN(E:E), "High Volume", "Low Volume")</f>
        <v>Low Volume</v>
      </c>
      <c r="X30" t="str">
        <f>Orders[[#This Row],[Sales Tier]] &amp; "-" &amp; Orders[[#This Row],[Quantity Tier]]</f>
        <v>Low Price-Low Volume</v>
      </c>
      <c r="Y30" t="str">
        <f>TEXT(Orders[[#This Row],[Order Date]], "mmmm")</f>
        <v>December</v>
      </c>
      <c r="Z3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30" t="str">
        <f>Orders[[#This Row],[Coffee Type Name]] &amp; "-" &amp; Orders[[#This Row],[Roast Type Name]]</f>
        <v>Arabica-Medium</v>
      </c>
      <c r="AB3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31" spans="1:28" x14ac:dyDescent="0.25">
      <c r="A31" s="2" t="s">
        <v>4471</v>
      </c>
      <c r="B31" s="4">
        <v>44114</v>
      </c>
      <c r="C31" s="2" t="s">
        <v>4472</v>
      </c>
      <c r="D31" t="s">
        <v>6176</v>
      </c>
      <c r="E31" s="2">
        <v>2</v>
      </c>
      <c r="F31" s="2" t="str">
        <f>_xlfn.XLOOKUP(C31,customers!$A$1:$A$1001,customers!$B$1:$B$1001,,0)</f>
        <v>Shelley Gehring</v>
      </c>
      <c r="G31" s="2" t="str">
        <f>IF(_xlfn.XLOOKUP(C31,customers!$A$1:$A$1001,customers!$C$1:$C$1001,,0)=0,"",_xlfn.XLOOKUP(C31,customers!$A$1:$A$1001,customers!$C$1:$C$1001,,0))</f>
        <v>sgehringjl@gnu.org</v>
      </c>
      <c r="H31" s="2" t="str">
        <f>_xlfn.XLOOKUP(C31,customers!$A$1:$A$1001,customers!$G$1:$G$1001,,0)</f>
        <v>United States</v>
      </c>
      <c r="I31" t="str">
        <f>INDEX(products!$A$1:$G$49, MATCH(orders!$D707,products!$A$1:$A754,0), MATCH(orders!I$1,products!$A$1:$G$1,0))</f>
        <v>Exc</v>
      </c>
      <c r="J31" t="str">
        <f>INDEX(products!$A$1:$G$49, MATCH(orders!$D707,products!$A$1:$A754,0), MATCH(orders!J$1,products!$A$1:$G$1,0))</f>
        <v>L</v>
      </c>
      <c r="K31" s="5">
        <f>INDEX(products!$A$1:$G$49, MATCH(orders!$D707,products!$A$1:$A754,0), MATCH(orders!K$1,products!$A$1:$G$1,0))</f>
        <v>0.5</v>
      </c>
      <c r="L31" s="6">
        <f>INDEX(products!$A$1:$G$49, MATCH(orders!$D707,products!$A$1:$A754,0), MATCH(orders!L$1,products!$A$1:$G$1,0))</f>
        <v>8.91</v>
      </c>
      <c r="M31" s="6">
        <f t="shared" si="0"/>
        <v>17.82</v>
      </c>
      <c r="N31" t="str">
        <f t="shared" si="1"/>
        <v>Excelsa</v>
      </c>
      <c r="O31" t="str">
        <f t="shared" si="2"/>
        <v>Light</v>
      </c>
      <c r="P31" t="str">
        <f>_xlfn.XLOOKUP(Orders[[#This Row],[Customer ID]],customers!$A$1:$A$1001,customers!$I$1:$I$1001,,0)</f>
        <v>No</v>
      </c>
      <c r="Q31">
        <f>COUNTIF(Orders[Order ID],Orders[[#This Row],[Order ID]])</f>
        <v>1</v>
      </c>
      <c r="R31" s="10">
        <f>SUMIF(Orders[Order ID], Orders[[#This Row],[Order ID]],Orders[Sales])/Orders[[#This Row],[Order Frequency]]</f>
        <v>17.82</v>
      </c>
      <c r="S31" t="str">
        <f>IF(Orders[[#This Row],[Order Frequency]]&gt;4, "More than 4", IF(AND(Orders[[#This Row],[Order Frequency]]&lt;=4,Orders[[#This Row],[Order Frequency]]&gt;=2), "Between 4 and 2", "Less than 2"))</f>
        <v>Less than 2</v>
      </c>
      <c r="T31" t="str">
        <f>IF(Orders[[#This Row],[Frequency Group]]="less than 2", "Low Value", IF(Orders[[#This Row],[Frequency Group]]="between 4 and 2", "Medium Value", "High Value"))</f>
        <v>Low Value</v>
      </c>
      <c r="U31" t="str">
        <f>IF(Orders[[#This Row],[Sales]]&lt;50, "$0-50", IF(AND(Orders[[#This Row],[Sales]]&gt;=50,Orders[[#This Row],[Sales]]&lt;=100), "$50-100", IF(AND(Orders[[#This Row],[Sales]]&gt;100,Orders[[#This Row],[Sales]]&lt;=150), "$101-150", "$150+")))</f>
        <v>$0-50</v>
      </c>
      <c r="V31" t="str">
        <f>IF(Orders[[#This Row],[Sales]]&gt;MEDIAN(M:M), "High Price", "Low Price")</f>
        <v>Low Price</v>
      </c>
      <c r="W31" t="str">
        <f>IF(Orders[[#This Row],[Quantity]]&gt;MEDIAN(E:E), "High Volume", "Low Volume")</f>
        <v>Low Volume</v>
      </c>
      <c r="X31" t="str">
        <f>Orders[[#This Row],[Sales Tier]] &amp; "-" &amp; Orders[[#This Row],[Quantity Tier]]</f>
        <v>Low Price-Low Volume</v>
      </c>
      <c r="Y31" t="str">
        <f>TEXT(Orders[[#This Row],[Order Date]], "mmmm")</f>
        <v>October</v>
      </c>
      <c r="Z3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31" t="str">
        <f>Orders[[#This Row],[Coffee Type Name]] &amp; "-" &amp; Orders[[#This Row],[Roast Type Name]]</f>
        <v>Excelsa-Light</v>
      </c>
      <c r="AB3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32" spans="1:28" x14ac:dyDescent="0.25">
      <c r="A32" s="2" t="s">
        <v>4585</v>
      </c>
      <c r="B32" s="4">
        <v>44043</v>
      </c>
      <c r="C32" s="2" t="s">
        <v>4586</v>
      </c>
      <c r="D32" t="s">
        <v>6167</v>
      </c>
      <c r="E32" s="2">
        <v>6</v>
      </c>
      <c r="F32" s="2" t="str">
        <f>_xlfn.XLOOKUP(C32,customers!$A$1:$A$1001,customers!$B$1:$B$1001,,0)</f>
        <v>Cristina Aleixo</v>
      </c>
      <c r="G32" s="2" t="str">
        <f>IF(_xlfn.XLOOKUP(C32,customers!$A$1:$A$1001,customers!$C$1:$C$1001,,0)=0,"",_xlfn.XLOOKUP(C32,customers!$A$1:$A$1001,customers!$C$1:$C$1001,,0))</f>
        <v>caleixok5@globo.com</v>
      </c>
      <c r="H32" s="2" t="str">
        <f>_xlfn.XLOOKUP(C32,customers!$A$1:$A$1001,customers!$G$1:$G$1001,,0)</f>
        <v>United States</v>
      </c>
      <c r="I32" t="str">
        <f>INDEX(products!$A$1:$G$49, MATCH(orders!$D727,products!$A$1:$A774,0), MATCH(orders!I$1,products!$A$1:$G$1,0))</f>
        <v>Ara</v>
      </c>
      <c r="J32" t="str">
        <f>INDEX(products!$A$1:$G$49, MATCH(orders!$D727,products!$A$1:$A774,0), MATCH(orders!J$1,products!$A$1:$G$1,0))</f>
        <v>L</v>
      </c>
      <c r="K32" s="5">
        <f>INDEX(products!$A$1:$G$49, MATCH(orders!$D727,products!$A$1:$A774,0), MATCH(orders!K$1,products!$A$1:$G$1,0))</f>
        <v>0.2</v>
      </c>
      <c r="L32" s="6">
        <f>INDEX(products!$A$1:$G$49, MATCH(orders!$D727,products!$A$1:$A774,0), MATCH(orders!L$1,products!$A$1:$G$1,0))</f>
        <v>3.8849999999999998</v>
      </c>
      <c r="M32" s="6">
        <f t="shared" si="0"/>
        <v>23.31</v>
      </c>
      <c r="N32" t="str">
        <f t="shared" si="1"/>
        <v>Arabica</v>
      </c>
      <c r="O32" t="str">
        <f t="shared" si="2"/>
        <v>Light</v>
      </c>
      <c r="P32" t="str">
        <f>_xlfn.XLOOKUP(Orders[[#This Row],[Customer ID]],customers!$A$1:$A$1001,customers!$I$1:$I$1001,,0)</f>
        <v>No</v>
      </c>
      <c r="Q32">
        <f>COUNTIF(Orders[Order ID],Orders[[#This Row],[Order ID]])</f>
        <v>1</v>
      </c>
      <c r="R32" s="10">
        <f>SUMIF(Orders[Order ID], Orders[[#This Row],[Order ID]],Orders[Sales])/Orders[[#This Row],[Order Frequency]]</f>
        <v>23.31</v>
      </c>
      <c r="S32" t="str">
        <f>IF(Orders[[#This Row],[Order Frequency]]&gt;4, "More than 4", IF(AND(Orders[[#This Row],[Order Frequency]]&lt;=4,Orders[[#This Row],[Order Frequency]]&gt;=2), "Between 4 and 2", "Less than 2"))</f>
        <v>Less than 2</v>
      </c>
      <c r="T32" t="str">
        <f>IF(Orders[[#This Row],[Frequency Group]]="less than 2", "Low Value", IF(Orders[[#This Row],[Frequency Group]]="between 4 and 2", "Medium Value", "High Value"))</f>
        <v>Low Value</v>
      </c>
      <c r="U32" t="str">
        <f>IF(Orders[[#This Row],[Sales]]&lt;50, "$0-50", IF(AND(Orders[[#This Row],[Sales]]&gt;=50,Orders[[#This Row],[Sales]]&lt;=100), "$50-100", IF(AND(Orders[[#This Row],[Sales]]&gt;100,Orders[[#This Row],[Sales]]&lt;=150), "$101-150", "$150+")))</f>
        <v>$0-50</v>
      </c>
      <c r="V32" t="str">
        <f>IF(Orders[[#This Row],[Sales]]&gt;MEDIAN(M:M), "High Price", "Low Price")</f>
        <v>Low Price</v>
      </c>
      <c r="W32" t="str">
        <f>IF(Orders[[#This Row],[Quantity]]&gt;MEDIAN(E:E), "High Volume", "Low Volume")</f>
        <v>High Volume</v>
      </c>
      <c r="X32" t="str">
        <f>Orders[[#This Row],[Sales Tier]] &amp; "-" &amp; Orders[[#This Row],[Quantity Tier]]</f>
        <v>Low Price-High Volume</v>
      </c>
      <c r="Y32" t="str">
        <f>TEXT(Orders[[#This Row],[Order Date]], "mmmm")</f>
        <v>July</v>
      </c>
      <c r="Z3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32" t="str">
        <f>Orders[[#This Row],[Coffee Type Name]] &amp; "-" &amp; Orders[[#This Row],[Roast Type Name]]</f>
        <v>Arabica-Light</v>
      </c>
      <c r="AB3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33" spans="1:28" x14ac:dyDescent="0.25">
      <c r="A33" s="2" t="s">
        <v>1665</v>
      </c>
      <c r="B33" s="4">
        <v>44105</v>
      </c>
      <c r="C33" s="2" t="s">
        <v>1666</v>
      </c>
      <c r="D33" t="s">
        <v>6157</v>
      </c>
      <c r="E33" s="2">
        <v>1</v>
      </c>
      <c r="F33" s="2" t="str">
        <f>_xlfn.XLOOKUP(C33,customers!$A$1:$A$1001,customers!$B$1:$B$1001,,0)</f>
        <v>Fransisco Malecky</v>
      </c>
      <c r="G33" s="2" t="str">
        <f>IF(_xlfn.XLOOKUP(C33,customers!$A$1:$A$1001,customers!$C$1:$C$1001,,0)=0,"",_xlfn.XLOOKUP(C33,customers!$A$1:$A$1001,customers!$C$1:$C$1001,,0))</f>
        <v>fmalecky5t@list-manage.com</v>
      </c>
      <c r="H33" s="2" t="str">
        <f>_xlfn.XLOOKUP(C33,customers!$A$1:$A$1001,customers!$G$1:$G$1001,,0)</f>
        <v>United Kingdom</v>
      </c>
      <c r="I33" t="str">
        <f>INDEX(products!$A$1:$G$49, MATCH(orders!$D211,products!$A$1:$A258,0), MATCH(orders!I$1,products!$A$1:$G$1,0))</f>
        <v>Ara</v>
      </c>
      <c r="J33" t="str">
        <f>INDEX(products!$A$1:$G$49, MATCH(orders!$D211,products!$A$1:$A258,0), MATCH(orders!J$1,products!$A$1:$G$1,0))</f>
        <v>M</v>
      </c>
      <c r="K33" s="5">
        <f>INDEX(products!$A$1:$G$49, MATCH(orders!$D211,products!$A$1:$A258,0), MATCH(orders!K$1,products!$A$1:$G$1,0))</f>
        <v>0.5</v>
      </c>
      <c r="L33" s="6">
        <f>INDEX(products!$A$1:$G$49, MATCH(orders!$D211,products!$A$1:$A258,0), MATCH(orders!L$1,products!$A$1:$G$1,0))</f>
        <v>6.75</v>
      </c>
      <c r="M33" s="6">
        <f t="shared" si="0"/>
        <v>6.75</v>
      </c>
      <c r="N33" t="str">
        <f t="shared" si="1"/>
        <v>Arabica</v>
      </c>
      <c r="O33" t="str">
        <f t="shared" si="2"/>
        <v>Medium</v>
      </c>
      <c r="P33" t="str">
        <f>_xlfn.XLOOKUP(Orders[[#This Row],[Customer ID]],customers!$A$1:$A$1001,customers!$I$1:$I$1001,,0)</f>
        <v>No</v>
      </c>
      <c r="Q33">
        <f>COUNTIF(Orders[Order ID],Orders[[#This Row],[Order ID]])</f>
        <v>1</v>
      </c>
      <c r="R33" s="10">
        <f>SUMIF(Orders[Order ID], Orders[[#This Row],[Order ID]],Orders[Sales])/Orders[[#This Row],[Order Frequency]]</f>
        <v>6.75</v>
      </c>
      <c r="S33" t="str">
        <f>IF(Orders[[#This Row],[Order Frequency]]&gt;4, "More than 4", IF(AND(Orders[[#This Row],[Order Frequency]]&lt;=4,Orders[[#This Row],[Order Frequency]]&gt;=2), "Between 4 and 2", "Less than 2"))</f>
        <v>Less than 2</v>
      </c>
      <c r="T33" t="str">
        <f>IF(Orders[[#This Row],[Frequency Group]]="less than 2", "Low Value", IF(Orders[[#This Row],[Frequency Group]]="between 4 and 2", "Medium Value", "High Value"))</f>
        <v>Low Value</v>
      </c>
      <c r="U33" t="str">
        <f>IF(Orders[[#This Row],[Sales]]&lt;50, "$0-50", IF(AND(Orders[[#This Row],[Sales]]&gt;=50,Orders[[#This Row],[Sales]]&lt;=100), "$50-100", IF(AND(Orders[[#This Row],[Sales]]&gt;100,Orders[[#This Row],[Sales]]&lt;=150), "$101-150", "$150+")))</f>
        <v>$0-50</v>
      </c>
      <c r="V33" t="str">
        <f>IF(Orders[[#This Row],[Sales]]&gt;MEDIAN(M:M), "High Price", "Low Price")</f>
        <v>Low Price</v>
      </c>
      <c r="W33" t="str">
        <f>IF(Orders[[#This Row],[Quantity]]&gt;MEDIAN(E:E), "High Volume", "Low Volume")</f>
        <v>Low Volume</v>
      </c>
      <c r="X33" t="str">
        <f>Orders[[#This Row],[Sales Tier]] &amp; "-" &amp; Orders[[#This Row],[Quantity Tier]]</f>
        <v>Low Price-Low Volume</v>
      </c>
      <c r="Y33" t="str">
        <f>TEXT(Orders[[#This Row],[Order Date]], "mmmm")</f>
        <v>October</v>
      </c>
      <c r="Z3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33" t="str">
        <f>Orders[[#This Row],[Coffee Type Name]] &amp; "-" &amp; Orders[[#This Row],[Roast Type Name]]</f>
        <v>Arabica-Medium</v>
      </c>
      <c r="AB3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34" spans="1:28" x14ac:dyDescent="0.25">
      <c r="A34" s="2" t="s">
        <v>5234</v>
      </c>
      <c r="B34" s="4">
        <v>44521</v>
      </c>
      <c r="C34" s="2" t="s">
        <v>5235</v>
      </c>
      <c r="D34" t="s">
        <v>6139</v>
      </c>
      <c r="E34" s="2">
        <v>5</v>
      </c>
      <c r="F34" s="2" t="str">
        <f>_xlfn.XLOOKUP(C34,customers!$A$1:$A$1001,customers!$B$1:$B$1001,,0)</f>
        <v>Miran Doidge</v>
      </c>
      <c r="G34" s="2" t="str">
        <f>IF(_xlfn.XLOOKUP(C34,customers!$A$1:$A$1001,customers!$C$1:$C$1001,,0)=0,"",_xlfn.XLOOKUP(C34,customers!$A$1:$A$1001,customers!$C$1:$C$1001,,0))</f>
        <v>mdoidgenb@etsy.com</v>
      </c>
      <c r="H34" s="2" t="str">
        <f>_xlfn.XLOOKUP(C34,customers!$A$1:$A$1001,customers!$G$1:$G$1001,,0)</f>
        <v>United States</v>
      </c>
      <c r="I34" t="str">
        <f>INDEX(products!$A$1:$G$49, MATCH(orders!$D841,products!$A$1:$A888,0), MATCH(orders!I$1,products!$A$1:$G$1,0))</f>
        <v>Exc</v>
      </c>
      <c r="J34" t="str">
        <f>INDEX(products!$A$1:$G$49, MATCH(orders!$D841,products!$A$1:$A888,0), MATCH(orders!J$1,products!$A$1:$G$1,0))</f>
        <v>M</v>
      </c>
      <c r="K34" s="5">
        <f>INDEX(products!$A$1:$G$49, MATCH(orders!$D841,products!$A$1:$A888,0), MATCH(orders!K$1,products!$A$1:$G$1,0))</f>
        <v>0.5</v>
      </c>
      <c r="L34" s="6">
        <f>INDEX(products!$A$1:$G$49, MATCH(orders!$D841,products!$A$1:$A888,0), MATCH(orders!L$1,products!$A$1:$G$1,0))</f>
        <v>8.25</v>
      </c>
      <c r="M34" s="6">
        <f t="shared" si="0"/>
        <v>41.25</v>
      </c>
      <c r="N34" t="str">
        <f t="shared" si="1"/>
        <v>Excelsa</v>
      </c>
      <c r="O34" t="str">
        <f t="shared" si="2"/>
        <v>Medium</v>
      </c>
      <c r="P34" t="str">
        <f>_xlfn.XLOOKUP(Orders[[#This Row],[Customer ID]],customers!$A$1:$A$1001,customers!$I$1:$I$1001,,0)</f>
        <v>No</v>
      </c>
      <c r="Q34">
        <f>COUNTIF(Orders[Order ID],Orders[[#This Row],[Order ID]])</f>
        <v>1</v>
      </c>
      <c r="R34" s="10">
        <f>SUMIF(Orders[Order ID], Orders[[#This Row],[Order ID]],Orders[Sales])/Orders[[#This Row],[Order Frequency]]</f>
        <v>41.25</v>
      </c>
      <c r="S34" t="str">
        <f>IF(Orders[[#This Row],[Order Frequency]]&gt;4, "More than 4", IF(AND(Orders[[#This Row],[Order Frequency]]&lt;=4,Orders[[#This Row],[Order Frequency]]&gt;=2), "Between 4 and 2", "Less than 2"))</f>
        <v>Less than 2</v>
      </c>
      <c r="T34" t="str">
        <f>IF(Orders[[#This Row],[Frequency Group]]="less than 2", "Low Value", IF(Orders[[#This Row],[Frequency Group]]="between 4 and 2", "Medium Value", "High Value"))</f>
        <v>Low Value</v>
      </c>
      <c r="U34" t="str">
        <f>IF(Orders[[#This Row],[Sales]]&lt;50, "$0-50", IF(AND(Orders[[#This Row],[Sales]]&gt;=50,Orders[[#This Row],[Sales]]&lt;=100), "$50-100", IF(AND(Orders[[#This Row],[Sales]]&gt;100,Orders[[#This Row],[Sales]]&lt;=150), "$101-150", "$150+")))</f>
        <v>$0-50</v>
      </c>
      <c r="V34" t="str">
        <f>IF(Orders[[#This Row],[Sales]]&gt;MEDIAN(M:M), "High Price", "Low Price")</f>
        <v>High Price</v>
      </c>
      <c r="W34" t="str">
        <f>IF(Orders[[#This Row],[Quantity]]&gt;MEDIAN(E:E), "High Volume", "Low Volume")</f>
        <v>High Volume</v>
      </c>
      <c r="X34" t="str">
        <f>Orders[[#This Row],[Sales Tier]] &amp; "-" &amp; Orders[[#This Row],[Quantity Tier]]</f>
        <v>High Price-High Volume</v>
      </c>
      <c r="Y34" t="str">
        <f>TEXT(Orders[[#This Row],[Order Date]], "mmmm")</f>
        <v>November</v>
      </c>
      <c r="Z3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34" t="str">
        <f>Orders[[#This Row],[Coffee Type Name]] &amp; "-" &amp; Orders[[#This Row],[Roast Type Name]]</f>
        <v>Excelsa-Medium</v>
      </c>
      <c r="AB3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35" spans="1:28" x14ac:dyDescent="0.25">
      <c r="A35" s="2" t="s">
        <v>5310</v>
      </c>
      <c r="B35" s="4">
        <v>44259</v>
      </c>
      <c r="C35" s="2" t="s">
        <v>5311</v>
      </c>
      <c r="D35" t="s">
        <v>6147</v>
      </c>
      <c r="E35" s="2">
        <v>2</v>
      </c>
      <c r="F35" s="2" t="str">
        <f>_xlfn.XLOOKUP(C35,customers!$A$1:$A$1001,customers!$B$1:$B$1001,,0)</f>
        <v>Lynnea Danton</v>
      </c>
      <c r="G35" s="2" t="str">
        <f>IF(_xlfn.XLOOKUP(C35,customers!$A$1:$A$1001,customers!$C$1:$C$1001,,0)=0,"",_xlfn.XLOOKUP(C35,customers!$A$1:$A$1001,customers!$C$1:$C$1001,,0))</f>
        <v>ldantonnp@miitbeian.gov.cn</v>
      </c>
      <c r="H35" s="2" t="str">
        <f>_xlfn.XLOOKUP(C35,customers!$A$1:$A$1001,customers!$G$1:$G$1001,,0)</f>
        <v>United States</v>
      </c>
      <c r="I35" t="str">
        <f>INDEX(products!$A$1:$G$49, MATCH(orders!$D855,products!$A$1:$A902,0), MATCH(orders!I$1,products!$A$1:$G$1,0))</f>
        <v>Ara</v>
      </c>
      <c r="J35" t="str">
        <f>INDEX(products!$A$1:$G$49, MATCH(orders!$D855,products!$A$1:$A902,0), MATCH(orders!J$1,products!$A$1:$G$1,0))</f>
        <v>D</v>
      </c>
      <c r="K35" s="5">
        <f>INDEX(products!$A$1:$G$49, MATCH(orders!$D855,products!$A$1:$A902,0), MATCH(orders!K$1,products!$A$1:$G$1,0))</f>
        <v>1</v>
      </c>
      <c r="L35" s="6">
        <f>INDEX(products!$A$1:$G$49, MATCH(orders!$D855,products!$A$1:$A902,0), MATCH(orders!L$1,products!$A$1:$G$1,0))</f>
        <v>9.9499999999999993</v>
      </c>
      <c r="M35" s="6">
        <f t="shared" si="0"/>
        <v>19.899999999999999</v>
      </c>
      <c r="N35" t="str">
        <f t="shared" si="1"/>
        <v>Arabica</v>
      </c>
      <c r="O35" t="str">
        <f t="shared" si="2"/>
        <v>Dark</v>
      </c>
      <c r="P35" t="str">
        <f>_xlfn.XLOOKUP(Orders[[#This Row],[Customer ID]],customers!$A$1:$A$1001,customers!$I$1:$I$1001,,0)</f>
        <v>No</v>
      </c>
      <c r="Q35">
        <f>COUNTIF(Orders[Order ID],Orders[[#This Row],[Order ID]])</f>
        <v>1</v>
      </c>
      <c r="R35" s="10">
        <f>SUMIF(Orders[Order ID], Orders[[#This Row],[Order ID]],Orders[Sales])/Orders[[#This Row],[Order Frequency]]</f>
        <v>19.899999999999999</v>
      </c>
      <c r="S35" t="str">
        <f>IF(Orders[[#This Row],[Order Frequency]]&gt;4, "More than 4", IF(AND(Orders[[#This Row],[Order Frequency]]&lt;=4,Orders[[#This Row],[Order Frequency]]&gt;=2), "Between 4 and 2", "Less than 2"))</f>
        <v>Less than 2</v>
      </c>
      <c r="T35" t="str">
        <f>IF(Orders[[#This Row],[Frequency Group]]="less than 2", "Low Value", IF(Orders[[#This Row],[Frequency Group]]="between 4 and 2", "Medium Value", "High Value"))</f>
        <v>Low Value</v>
      </c>
      <c r="U35" t="str">
        <f>IF(Orders[[#This Row],[Sales]]&lt;50, "$0-50", IF(AND(Orders[[#This Row],[Sales]]&gt;=50,Orders[[#This Row],[Sales]]&lt;=100), "$50-100", IF(AND(Orders[[#This Row],[Sales]]&gt;100,Orders[[#This Row],[Sales]]&lt;=150), "$101-150", "$150+")))</f>
        <v>$0-50</v>
      </c>
      <c r="V35" t="str">
        <f>IF(Orders[[#This Row],[Sales]]&gt;MEDIAN(M:M), "High Price", "Low Price")</f>
        <v>Low Price</v>
      </c>
      <c r="W35" t="str">
        <f>IF(Orders[[#This Row],[Quantity]]&gt;MEDIAN(E:E), "High Volume", "Low Volume")</f>
        <v>Low Volume</v>
      </c>
      <c r="X35" t="str">
        <f>Orders[[#This Row],[Sales Tier]] &amp; "-" &amp; Orders[[#This Row],[Quantity Tier]]</f>
        <v>Low Price-Low Volume</v>
      </c>
      <c r="Y35" t="str">
        <f>TEXT(Orders[[#This Row],[Order Date]], "mmmm")</f>
        <v>March</v>
      </c>
      <c r="Z3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35" t="str">
        <f>Orders[[#This Row],[Coffee Type Name]] &amp; "-" &amp; Orders[[#This Row],[Roast Type Name]]</f>
        <v>Arabica-Dark</v>
      </c>
      <c r="AB3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36" spans="1:28" x14ac:dyDescent="0.25">
      <c r="A36" s="2" t="s">
        <v>3187</v>
      </c>
      <c r="B36" s="4">
        <v>43962</v>
      </c>
      <c r="C36" s="2" t="s">
        <v>3188</v>
      </c>
      <c r="D36" t="s">
        <v>6159</v>
      </c>
      <c r="E36" s="2">
        <v>6</v>
      </c>
      <c r="F36" s="2" t="str">
        <f>_xlfn.XLOOKUP(C36,customers!$A$1:$A$1001,customers!$B$1:$B$1001,,0)</f>
        <v>Fanny Flanagan</v>
      </c>
      <c r="G36" s="2" t="str">
        <f>IF(_xlfn.XLOOKUP(C36,customers!$A$1:$A$1001,customers!$C$1:$C$1001,,0)=0,"",_xlfn.XLOOKUP(C36,customers!$A$1:$A$1001,customers!$C$1:$C$1001,,0))</f>
        <v>fflanagand9@woothemes.com</v>
      </c>
      <c r="H36" s="2" t="str">
        <f>_xlfn.XLOOKUP(C36,customers!$A$1:$A$1001,customers!$G$1:$G$1001,,0)</f>
        <v>United States</v>
      </c>
      <c r="I36" t="str">
        <f>INDEX(products!$A$1:$G$49, MATCH(orders!$D479,products!$A$1:$A526,0), MATCH(orders!I$1,products!$A$1:$G$1,0))</f>
        <v>Lib</v>
      </c>
      <c r="J36" t="str">
        <f>INDEX(products!$A$1:$G$49, MATCH(orders!$D479,products!$A$1:$A526,0), MATCH(orders!J$1,products!$A$1:$G$1,0))</f>
        <v>M</v>
      </c>
      <c r="K36" s="5">
        <f>INDEX(products!$A$1:$G$49, MATCH(orders!$D479,products!$A$1:$A526,0), MATCH(orders!K$1,products!$A$1:$G$1,0))</f>
        <v>0.2</v>
      </c>
      <c r="L36" s="6">
        <f>INDEX(products!$A$1:$G$49, MATCH(orders!$D479,products!$A$1:$A526,0), MATCH(orders!L$1,products!$A$1:$G$1,0))</f>
        <v>4.3650000000000002</v>
      </c>
      <c r="M36" s="6">
        <f t="shared" si="0"/>
        <v>26.19</v>
      </c>
      <c r="N36" t="str">
        <f t="shared" si="1"/>
        <v>Liberica</v>
      </c>
      <c r="O36" t="str">
        <f t="shared" si="2"/>
        <v>Medium</v>
      </c>
      <c r="P36" t="str">
        <f>_xlfn.XLOOKUP(Orders[[#This Row],[Customer ID]],customers!$A$1:$A$1001,customers!$I$1:$I$1001,,0)</f>
        <v>No</v>
      </c>
      <c r="Q36">
        <f>COUNTIF(Orders[Order ID],Orders[[#This Row],[Order ID]])</f>
        <v>1</v>
      </c>
      <c r="R36" s="10">
        <f>SUMIF(Orders[Order ID], Orders[[#This Row],[Order ID]],Orders[Sales])/Orders[[#This Row],[Order Frequency]]</f>
        <v>26.19</v>
      </c>
      <c r="S36" t="str">
        <f>IF(Orders[[#This Row],[Order Frequency]]&gt;4, "More than 4", IF(AND(Orders[[#This Row],[Order Frequency]]&lt;=4,Orders[[#This Row],[Order Frequency]]&gt;=2), "Between 4 and 2", "Less than 2"))</f>
        <v>Less than 2</v>
      </c>
      <c r="T36" t="str">
        <f>IF(Orders[[#This Row],[Frequency Group]]="less than 2", "Low Value", IF(Orders[[#This Row],[Frequency Group]]="between 4 and 2", "Medium Value", "High Value"))</f>
        <v>Low Value</v>
      </c>
      <c r="U36" t="str">
        <f>IF(Orders[[#This Row],[Sales]]&lt;50, "$0-50", IF(AND(Orders[[#This Row],[Sales]]&gt;=50,Orders[[#This Row],[Sales]]&lt;=100), "$50-100", IF(AND(Orders[[#This Row],[Sales]]&gt;100,Orders[[#This Row],[Sales]]&lt;=150), "$101-150", "$150+")))</f>
        <v>$0-50</v>
      </c>
      <c r="V36" t="str">
        <f>IF(Orders[[#This Row],[Sales]]&gt;MEDIAN(M:M), "High Price", "Low Price")</f>
        <v>Low Price</v>
      </c>
      <c r="W36" t="str">
        <f>IF(Orders[[#This Row],[Quantity]]&gt;MEDIAN(E:E), "High Volume", "Low Volume")</f>
        <v>High Volume</v>
      </c>
      <c r="X36" t="str">
        <f>Orders[[#This Row],[Sales Tier]] &amp; "-" &amp; Orders[[#This Row],[Quantity Tier]]</f>
        <v>Low Price-High Volume</v>
      </c>
      <c r="Y36" t="str">
        <f>TEXT(Orders[[#This Row],[Order Date]], "mmmm")</f>
        <v>May</v>
      </c>
      <c r="Z3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36" t="str">
        <f>Orders[[#This Row],[Coffee Type Name]] &amp; "-" &amp; Orders[[#This Row],[Roast Type Name]]</f>
        <v>Liberica-Medium</v>
      </c>
      <c r="AB3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37" spans="1:28" x14ac:dyDescent="0.25">
      <c r="A37" s="2" t="s">
        <v>5564</v>
      </c>
      <c r="B37" s="4">
        <v>43932</v>
      </c>
      <c r="C37" s="2" t="s">
        <v>5565</v>
      </c>
      <c r="D37" t="s">
        <v>6183</v>
      </c>
      <c r="E37" s="2">
        <v>2</v>
      </c>
      <c r="F37" s="2" t="str">
        <f>_xlfn.XLOOKUP(C37,customers!$A$1:$A$1001,customers!$B$1:$B$1001,,0)</f>
        <v>Ryann Stickler</v>
      </c>
      <c r="G37" s="2" t="str">
        <f>IF(_xlfn.XLOOKUP(C37,customers!$A$1:$A$1001,customers!$C$1:$C$1001,,0)=0,"",_xlfn.XLOOKUP(C37,customers!$A$1:$A$1001,customers!$C$1:$C$1001,,0))</f>
        <v>rsticklerox@printfriendly.com</v>
      </c>
      <c r="H37" s="2" t="str">
        <f>_xlfn.XLOOKUP(C37,customers!$A$1:$A$1001,customers!$G$1:$G$1001,,0)</f>
        <v>United Kingdom</v>
      </c>
      <c r="I37" t="str">
        <f>INDEX(products!$A$1:$G$49, MATCH(orders!$D899,products!$A$1:$A946,0), MATCH(orders!I$1,products!$A$1:$G$1,0))</f>
        <v>Exc</v>
      </c>
      <c r="J37" t="str">
        <f>INDEX(products!$A$1:$G$49, MATCH(orders!$D899,products!$A$1:$A946,0), MATCH(orders!J$1,products!$A$1:$G$1,0))</f>
        <v>D</v>
      </c>
      <c r="K37" s="5">
        <f>INDEX(products!$A$1:$G$49, MATCH(orders!$D899,products!$A$1:$A946,0), MATCH(orders!K$1,products!$A$1:$G$1,0))</f>
        <v>1</v>
      </c>
      <c r="L37" s="6">
        <f>INDEX(products!$A$1:$G$49, MATCH(orders!$D899,products!$A$1:$A946,0), MATCH(orders!L$1,products!$A$1:$G$1,0))</f>
        <v>12.15</v>
      </c>
      <c r="M37" s="6">
        <f t="shared" si="0"/>
        <v>24.3</v>
      </c>
      <c r="N37" t="str">
        <f t="shared" si="1"/>
        <v>Excelsa</v>
      </c>
      <c r="O37" t="str">
        <f t="shared" si="2"/>
        <v>Dark</v>
      </c>
      <c r="P37" t="str">
        <f>_xlfn.XLOOKUP(Orders[[#This Row],[Customer ID]],customers!$A$1:$A$1001,customers!$I$1:$I$1001,,0)</f>
        <v>No</v>
      </c>
      <c r="Q37">
        <f>COUNTIF(Orders[Order ID],Orders[[#This Row],[Order ID]])</f>
        <v>1</v>
      </c>
      <c r="R37" s="10">
        <f>SUMIF(Orders[Order ID], Orders[[#This Row],[Order ID]],Orders[Sales])/Orders[[#This Row],[Order Frequency]]</f>
        <v>24.3</v>
      </c>
      <c r="S37" t="str">
        <f>IF(Orders[[#This Row],[Order Frequency]]&gt;4, "More than 4", IF(AND(Orders[[#This Row],[Order Frequency]]&lt;=4,Orders[[#This Row],[Order Frequency]]&gt;=2), "Between 4 and 2", "Less than 2"))</f>
        <v>Less than 2</v>
      </c>
      <c r="T37" t="str">
        <f>IF(Orders[[#This Row],[Frequency Group]]="less than 2", "Low Value", IF(Orders[[#This Row],[Frequency Group]]="between 4 and 2", "Medium Value", "High Value"))</f>
        <v>Low Value</v>
      </c>
      <c r="U37" t="str">
        <f>IF(Orders[[#This Row],[Sales]]&lt;50, "$0-50", IF(AND(Orders[[#This Row],[Sales]]&gt;=50,Orders[[#This Row],[Sales]]&lt;=100), "$50-100", IF(AND(Orders[[#This Row],[Sales]]&gt;100,Orders[[#This Row],[Sales]]&lt;=150), "$101-150", "$150+")))</f>
        <v>$0-50</v>
      </c>
      <c r="V37" t="str">
        <f>IF(Orders[[#This Row],[Sales]]&gt;MEDIAN(M:M), "High Price", "Low Price")</f>
        <v>Low Price</v>
      </c>
      <c r="W37" t="str">
        <f>IF(Orders[[#This Row],[Quantity]]&gt;MEDIAN(E:E), "High Volume", "Low Volume")</f>
        <v>Low Volume</v>
      </c>
      <c r="X37" t="str">
        <f>Orders[[#This Row],[Sales Tier]] &amp; "-" &amp; Orders[[#This Row],[Quantity Tier]]</f>
        <v>Low Price-Low Volume</v>
      </c>
      <c r="Y37" t="str">
        <f>TEXT(Orders[[#This Row],[Order Date]], "mmmm")</f>
        <v>April</v>
      </c>
      <c r="Z3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37" t="str">
        <f>Orders[[#This Row],[Coffee Type Name]] &amp; "-" &amp; Orders[[#This Row],[Roast Type Name]]</f>
        <v>Excelsa-Dark</v>
      </c>
      <c r="AB3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38" spans="1:28" x14ac:dyDescent="0.25">
      <c r="A38" s="2" t="s">
        <v>919</v>
      </c>
      <c r="B38" s="4">
        <v>43855</v>
      </c>
      <c r="C38" s="2" t="s">
        <v>920</v>
      </c>
      <c r="D38" t="s">
        <v>6178</v>
      </c>
      <c r="E38" s="2">
        <v>1</v>
      </c>
      <c r="F38" s="2" t="str">
        <f>_xlfn.XLOOKUP(C38,customers!$A$1:$A$1001,customers!$B$1:$B$1001,,0)</f>
        <v>Melania Beadle</v>
      </c>
      <c r="G38" s="2" t="str">
        <f>IF(_xlfn.XLOOKUP(C38,customers!$A$1:$A$1001,customers!$C$1:$C$1001,,0)=0,"",_xlfn.XLOOKUP(C38,customers!$A$1:$A$1001,customers!$C$1:$C$1001,,0))</f>
        <v/>
      </c>
      <c r="H38" s="2" t="str">
        <f>_xlfn.XLOOKUP(C38,customers!$A$1:$A$1001,customers!$G$1:$G$1001,,0)</f>
        <v>Ireland</v>
      </c>
      <c r="I38" t="str">
        <f>INDEX(products!$A$1:$G$49, MATCH(orders!$D78,products!$A$1:$A125,0), MATCH(orders!I$1,products!$A$1:$G$1,0))</f>
        <v>Rob</v>
      </c>
      <c r="J38" t="str">
        <f>INDEX(products!$A$1:$G$49, MATCH(orders!$D78,products!$A$1:$A125,0), MATCH(orders!J$1,products!$A$1:$G$1,0))</f>
        <v>L</v>
      </c>
      <c r="K38" s="5">
        <f>INDEX(products!$A$1:$G$49, MATCH(orders!$D78,products!$A$1:$A125,0), MATCH(orders!K$1,products!$A$1:$G$1,0))</f>
        <v>0.2</v>
      </c>
      <c r="L38" s="6">
        <f>INDEX(products!$A$1:$G$49, MATCH(orders!$D78,products!$A$1:$A125,0), MATCH(orders!L$1,products!$A$1:$G$1,0))</f>
        <v>3.5849999999999995</v>
      </c>
      <c r="M38" s="6">
        <f t="shared" si="0"/>
        <v>3.5849999999999995</v>
      </c>
      <c r="N38" t="str">
        <f t="shared" si="1"/>
        <v>Robusta</v>
      </c>
      <c r="O38" t="str">
        <f t="shared" si="2"/>
        <v>Light</v>
      </c>
      <c r="P38" t="str">
        <f>_xlfn.XLOOKUP(Orders[[#This Row],[Customer ID]],customers!$A$1:$A$1001,customers!$I$1:$I$1001,,0)</f>
        <v>Yes</v>
      </c>
      <c r="Q38">
        <f>COUNTIF(Orders[Order ID],Orders[[#This Row],[Order ID]])</f>
        <v>1</v>
      </c>
      <c r="R38" s="10">
        <f>SUMIF(Orders[Order ID], Orders[[#This Row],[Order ID]],Orders[Sales])/Orders[[#This Row],[Order Frequency]]</f>
        <v>3.5849999999999995</v>
      </c>
      <c r="S38" t="str">
        <f>IF(Orders[[#This Row],[Order Frequency]]&gt;4, "More than 4", IF(AND(Orders[[#This Row],[Order Frequency]]&lt;=4,Orders[[#This Row],[Order Frequency]]&gt;=2), "Between 4 and 2", "Less than 2"))</f>
        <v>Less than 2</v>
      </c>
      <c r="T38" t="str">
        <f>IF(Orders[[#This Row],[Frequency Group]]="less than 2", "Low Value", IF(Orders[[#This Row],[Frequency Group]]="between 4 and 2", "Medium Value", "High Value"))</f>
        <v>Low Value</v>
      </c>
      <c r="U38" t="str">
        <f>IF(Orders[[#This Row],[Sales]]&lt;50, "$0-50", IF(AND(Orders[[#This Row],[Sales]]&gt;=50,Orders[[#This Row],[Sales]]&lt;=100), "$50-100", IF(AND(Orders[[#This Row],[Sales]]&gt;100,Orders[[#This Row],[Sales]]&lt;=150), "$101-150", "$150+")))</f>
        <v>$0-50</v>
      </c>
      <c r="V38" t="str">
        <f>IF(Orders[[#This Row],[Sales]]&gt;MEDIAN(M:M), "High Price", "Low Price")</f>
        <v>Low Price</v>
      </c>
      <c r="W38" t="str">
        <f>IF(Orders[[#This Row],[Quantity]]&gt;MEDIAN(E:E), "High Volume", "Low Volume")</f>
        <v>Low Volume</v>
      </c>
      <c r="X38" t="str">
        <f>Orders[[#This Row],[Sales Tier]] &amp; "-" &amp; Orders[[#This Row],[Quantity Tier]]</f>
        <v>Low Price-Low Volume</v>
      </c>
      <c r="Y38" t="str">
        <f>TEXT(Orders[[#This Row],[Order Date]], "mmmm")</f>
        <v>January</v>
      </c>
      <c r="Z3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38" t="str">
        <f>Orders[[#This Row],[Coffee Type Name]] &amp; "-" &amp; Orders[[#This Row],[Roast Type Name]]</f>
        <v>Robusta-Light</v>
      </c>
      <c r="AB3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39" spans="1:28" x14ac:dyDescent="0.25">
      <c r="A39" s="2" t="s">
        <v>3895</v>
      </c>
      <c r="B39" s="4">
        <v>43660</v>
      </c>
      <c r="C39" s="2" t="s">
        <v>3896</v>
      </c>
      <c r="D39" t="s">
        <v>6174</v>
      </c>
      <c r="E39" s="2">
        <v>3</v>
      </c>
      <c r="F39" s="2" t="str">
        <f>_xlfn.XLOOKUP(C39,customers!$A$1:$A$1001,customers!$B$1:$B$1001,,0)</f>
        <v>Donavon Fowle</v>
      </c>
      <c r="G39" s="2" t="str">
        <f>IF(_xlfn.XLOOKUP(C39,customers!$A$1:$A$1001,customers!$C$1:$C$1001,,0)=0,"",_xlfn.XLOOKUP(C39,customers!$A$1:$A$1001,customers!$C$1:$C$1001,,0))</f>
        <v>dfowlegr@epa.gov</v>
      </c>
      <c r="H39" s="2" t="str">
        <f>_xlfn.XLOOKUP(C39,customers!$A$1:$A$1001,customers!$G$1:$G$1001,,0)</f>
        <v>United States</v>
      </c>
      <c r="I39" t="str">
        <f>INDEX(products!$A$1:$G$49, MATCH(orders!$D605,products!$A$1:$A652,0), MATCH(orders!I$1,products!$A$1:$G$1,0))</f>
        <v>Rob</v>
      </c>
      <c r="J39" t="str">
        <f>INDEX(products!$A$1:$G$49, MATCH(orders!$D605,products!$A$1:$A652,0), MATCH(orders!J$1,products!$A$1:$G$1,0))</f>
        <v>M</v>
      </c>
      <c r="K39" s="5">
        <f>INDEX(products!$A$1:$G$49, MATCH(orders!$D605,products!$A$1:$A652,0), MATCH(orders!K$1,products!$A$1:$G$1,0))</f>
        <v>0.2</v>
      </c>
      <c r="L39" s="6">
        <f>INDEX(products!$A$1:$G$49, MATCH(orders!$D605,products!$A$1:$A652,0), MATCH(orders!L$1,products!$A$1:$G$1,0))</f>
        <v>2.9849999999999999</v>
      </c>
      <c r="M39" s="6">
        <f t="shared" si="0"/>
        <v>8.9550000000000001</v>
      </c>
      <c r="N39" t="str">
        <f t="shared" si="1"/>
        <v>Robusta</v>
      </c>
      <c r="O39" t="str">
        <f t="shared" si="2"/>
        <v>Medium</v>
      </c>
      <c r="P39" t="str">
        <f>_xlfn.XLOOKUP(Orders[[#This Row],[Customer ID]],customers!$A$1:$A$1001,customers!$I$1:$I$1001,,0)</f>
        <v>No</v>
      </c>
      <c r="Q39">
        <f>COUNTIF(Orders[Order ID],Orders[[#This Row],[Order ID]])</f>
        <v>1</v>
      </c>
      <c r="R39" s="10">
        <f>SUMIF(Orders[Order ID], Orders[[#This Row],[Order ID]],Orders[Sales])/Orders[[#This Row],[Order Frequency]]</f>
        <v>8.9550000000000001</v>
      </c>
      <c r="S39" t="str">
        <f>IF(Orders[[#This Row],[Order Frequency]]&gt;4, "More than 4", IF(AND(Orders[[#This Row],[Order Frequency]]&lt;=4,Orders[[#This Row],[Order Frequency]]&gt;=2), "Between 4 and 2", "Less than 2"))</f>
        <v>Less than 2</v>
      </c>
      <c r="T39" t="str">
        <f>IF(Orders[[#This Row],[Frequency Group]]="less than 2", "Low Value", IF(Orders[[#This Row],[Frequency Group]]="between 4 and 2", "Medium Value", "High Value"))</f>
        <v>Low Value</v>
      </c>
      <c r="U39" t="str">
        <f>IF(Orders[[#This Row],[Sales]]&lt;50, "$0-50", IF(AND(Orders[[#This Row],[Sales]]&gt;=50,Orders[[#This Row],[Sales]]&lt;=100), "$50-100", IF(AND(Orders[[#This Row],[Sales]]&gt;100,Orders[[#This Row],[Sales]]&lt;=150), "$101-150", "$150+")))</f>
        <v>$0-50</v>
      </c>
      <c r="V39" t="str">
        <f>IF(Orders[[#This Row],[Sales]]&gt;MEDIAN(M:M), "High Price", "Low Price")</f>
        <v>Low Price</v>
      </c>
      <c r="W39" t="str">
        <f>IF(Orders[[#This Row],[Quantity]]&gt;MEDIAN(E:E), "High Volume", "Low Volume")</f>
        <v>Low Volume</v>
      </c>
      <c r="X39" t="str">
        <f>Orders[[#This Row],[Sales Tier]] &amp; "-" &amp; Orders[[#This Row],[Quantity Tier]]</f>
        <v>Low Price-Low Volume</v>
      </c>
      <c r="Y39" t="str">
        <f>TEXT(Orders[[#This Row],[Order Date]], "mmmm")</f>
        <v>July</v>
      </c>
      <c r="Z3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39" t="str">
        <f>Orders[[#This Row],[Coffee Type Name]] &amp; "-" &amp; Orders[[#This Row],[Roast Type Name]]</f>
        <v>Robusta-Medium</v>
      </c>
      <c r="AB3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40" spans="1:28" x14ac:dyDescent="0.25">
      <c r="A40" s="2" t="s">
        <v>1992</v>
      </c>
      <c r="B40" s="4">
        <v>44283</v>
      </c>
      <c r="C40" s="2" t="s">
        <v>1993</v>
      </c>
      <c r="D40" t="s">
        <v>6183</v>
      </c>
      <c r="E40" s="2">
        <v>2</v>
      </c>
      <c r="F40" s="2" t="str">
        <f>_xlfn.XLOOKUP(C40,customers!$A$1:$A$1001,customers!$B$1:$B$1001,,0)</f>
        <v>Myles Seawright</v>
      </c>
      <c r="G40" s="2" t="str">
        <f>IF(_xlfn.XLOOKUP(C40,customers!$A$1:$A$1001,customers!$C$1:$C$1001,,0)=0,"",_xlfn.XLOOKUP(C40,customers!$A$1:$A$1001,customers!$C$1:$C$1001,,0))</f>
        <v>mseawright7e@nbcnews.com</v>
      </c>
      <c r="H40" s="2" t="str">
        <f>_xlfn.XLOOKUP(C40,customers!$A$1:$A$1001,customers!$G$1:$G$1001,,0)</f>
        <v>United Kingdom</v>
      </c>
      <c r="I40" t="str">
        <f>INDEX(products!$A$1:$G$49, MATCH(orders!$D268,products!$A$1:$A315,0), MATCH(orders!I$1,products!$A$1:$G$1,0))</f>
        <v>Exc</v>
      </c>
      <c r="J40" t="str">
        <f>INDEX(products!$A$1:$G$49, MATCH(orders!$D268,products!$A$1:$A315,0), MATCH(orders!J$1,products!$A$1:$G$1,0))</f>
        <v>D</v>
      </c>
      <c r="K40" s="5">
        <f>INDEX(products!$A$1:$G$49, MATCH(orders!$D268,products!$A$1:$A315,0), MATCH(orders!K$1,products!$A$1:$G$1,0))</f>
        <v>1</v>
      </c>
      <c r="L40" s="6">
        <f>INDEX(products!$A$1:$G$49, MATCH(orders!$D268,products!$A$1:$A315,0), MATCH(orders!L$1,products!$A$1:$G$1,0))</f>
        <v>12.15</v>
      </c>
      <c r="M40" s="6">
        <f t="shared" si="0"/>
        <v>24.3</v>
      </c>
      <c r="N40" t="str">
        <f t="shared" si="1"/>
        <v>Excelsa</v>
      </c>
      <c r="O40" t="str">
        <f t="shared" si="2"/>
        <v>Dark</v>
      </c>
      <c r="P40" t="str">
        <f>_xlfn.XLOOKUP(Orders[[#This Row],[Customer ID]],customers!$A$1:$A$1001,customers!$I$1:$I$1001,,0)</f>
        <v>No</v>
      </c>
      <c r="Q40">
        <f>COUNTIF(Orders[Order ID],Orders[[#This Row],[Order ID]])</f>
        <v>1</v>
      </c>
      <c r="R40" s="10">
        <f>SUMIF(Orders[Order ID], Orders[[#This Row],[Order ID]],Orders[Sales])/Orders[[#This Row],[Order Frequency]]</f>
        <v>24.3</v>
      </c>
      <c r="S40" t="str">
        <f>IF(Orders[[#This Row],[Order Frequency]]&gt;4, "More than 4", IF(AND(Orders[[#This Row],[Order Frequency]]&lt;=4,Orders[[#This Row],[Order Frequency]]&gt;=2), "Between 4 and 2", "Less than 2"))</f>
        <v>Less than 2</v>
      </c>
      <c r="T40" t="str">
        <f>IF(Orders[[#This Row],[Frequency Group]]="less than 2", "Low Value", IF(Orders[[#This Row],[Frequency Group]]="between 4 and 2", "Medium Value", "High Value"))</f>
        <v>Low Value</v>
      </c>
      <c r="U40" t="str">
        <f>IF(Orders[[#This Row],[Sales]]&lt;50, "$0-50", IF(AND(Orders[[#This Row],[Sales]]&gt;=50,Orders[[#This Row],[Sales]]&lt;=100), "$50-100", IF(AND(Orders[[#This Row],[Sales]]&gt;100,Orders[[#This Row],[Sales]]&lt;=150), "$101-150", "$150+")))</f>
        <v>$0-50</v>
      </c>
      <c r="V40" t="str">
        <f>IF(Orders[[#This Row],[Sales]]&gt;MEDIAN(M:M), "High Price", "Low Price")</f>
        <v>Low Price</v>
      </c>
      <c r="W40" t="str">
        <f>IF(Orders[[#This Row],[Quantity]]&gt;MEDIAN(E:E), "High Volume", "Low Volume")</f>
        <v>Low Volume</v>
      </c>
      <c r="X40" t="str">
        <f>Orders[[#This Row],[Sales Tier]] &amp; "-" &amp; Orders[[#This Row],[Quantity Tier]]</f>
        <v>Low Price-Low Volume</v>
      </c>
      <c r="Y40" t="str">
        <f>TEXT(Orders[[#This Row],[Order Date]], "mmmm")</f>
        <v>March</v>
      </c>
      <c r="Z4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40" t="str">
        <f>Orders[[#This Row],[Coffee Type Name]] &amp; "-" &amp; Orders[[#This Row],[Roast Type Name]]</f>
        <v>Excelsa-Dark</v>
      </c>
      <c r="AB4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1" spans="1:28" x14ac:dyDescent="0.25">
      <c r="A41" s="2" t="s">
        <v>4080</v>
      </c>
      <c r="B41" s="4">
        <v>43487</v>
      </c>
      <c r="C41" s="2" t="s">
        <v>4081</v>
      </c>
      <c r="D41" t="s">
        <v>6170</v>
      </c>
      <c r="E41" s="2">
        <v>6</v>
      </c>
      <c r="F41" s="2" t="str">
        <f>_xlfn.XLOOKUP(C41,customers!$A$1:$A$1001,customers!$B$1:$B$1001,,0)</f>
        <v>Carolee Winchcombe</v>
      </c>
      <c r="G41" s="2" t="str">
        <f>IF(_xlfn.XLOOKUP(C41,customers!$A$1:$A$1001,customers!$C$1:$C$1001,,0)=0,"",_xlfn.XLOOKUP(C41,customers!$A$1:$A$1001,customers!$C$1:$C$1001,,0))</f>
        <v>cwinchcombeho@jiathis.com</v>
      </c>
      <c r="H41" s="2" t="str">
        <f>_xlfn.XLOOKUP(C41,customers!$A$1:$A$1001,customers!$G$1:$G$1001,,0)</f>
        <v>United States</v>
      </c>
      <c r="I41" t="str">
        <f>INDEX(products!$A$1:$G$49, MATCH(orders!$D638,products!$A$1:$A685,0), MATCH(orders!I$1,products!$A$1:$G$1,0))</f>
        <v>Lib</v>
      </c>
      <c r="J41" t="str">
        <f>INDEX(products!$A$1:$G$49, MATCH(orders!$D638,products!$A$1:$A685,0), MATCH(orders!J$1,products!$A$1:$G$1,0))</f>
        <v>L</v>
      </c>
      <c r="K41" s="5">
        <f>INDEX(products!$A$1:$G$49, MATCH(orders!$D638,products!$A$1:$A685,0), MATCH(orders!K$1,products!$A$1:$G$1,0))</f>
        <v>1</v>
      </c>
      <c r="L41" s="6">
        <f>INDEX(products!$A$1:$G$49, MATCH(orders!$D638,products!$A$1:$A685,0), MATCH(orders!L$1,products!$A$1:$G$1,0))</f>
        <v>15.85</v>
      </c>
      <c r="M41" s="6">
        <f t="shared" si="0"/>
        <v>95.1</v>
      </c>
      <c r="N41" t="str">
        <f t="shared" si="1"/>
        <v>Liberica</v>
      </c>
      <c r="O41" t="str">
        <f t="shared" si="2"/>
        <v>Light</v>
      </c>
      <c r="P41" t="str">
        <f>_xlfn.XLOOKUP(Orders[[#This Row],[Customer ID]],customers!$A$1:$A$1001,customers!$I$1:$I$1001,,0)</f>
        <v>Yes</v>
      </c>
      <c r="Q41">
        <f>COUNTIF(Orders[Order ID],Orders[[#This Row],[Order ID]])</f>
        <v>1</v>
      </c>
      <c r="R41" s="10">
        <f>SUMIF(Orders[Order ID], Orders[[#This Row],[Order ID]],Orders[Sales])/Orders[[#This Row],[Order Frequency]]</f>
        <v>95.1</v>
      </c>
      <c r="S41" t="str">
        <f>IF(Orders[[#This Row],[Order Frequency]]&gt;4, "More than 4", IF(AND(Orders[[#This Row],[Order Frequency]]&lt;=4,Orders[[#This Row],[Order Frequency]]&gt;=2), "Between 4 and 2", "Less than 2"))</f>
        <v>Less than 2</v>
      </c>
      <c r="T41" t="str">
        <f>IF(Orders[[#This Row],[Frequency Group]]="less than 2", "Low Value", IF(Orders[[#This Row],[Frequency Group]]="between 4 and 2", "Medium Value", "High Value"))</f>
        <v>Low Value</v>
      </c>
      <c r="U41" t="str">
        <f>IF(Orders[[#This Row],[Sales]]&lt;50, "$0-50", IF(AND(Orders[[#This Row],[Sales]]&gt;=50,Orders[[#This Row],[Sales]]&lt;=100), "$50-100", IF(AND(Orders[[#This Row],[Sales]]&gt;100,Orders[[#This Row],[Sales]]&lt;=150), "$101-150", "$150+")))</f>
        <v>$50-100</v>
      </c>
      <c r="V41" t="str">
        <f>IF(Orders[[#This Row],[Sales]]&gt;MEDIAN(M:M), "High Price", "Low Price")</f>
        <v>High Price</v>
      </c>
      <c r="W41" t="str">
        <f>IF(Orders[[#This Row],[Quantity]]&gt;MEDIAN(E:E), "High Volume", "Low Volume")</f>
        <v>High Volume</v>
      </c>
      <c r="X41" t="str">
        <f>Orders[[#This Row],[Sales Tier]] &amp; "-" &amp; Orders[[#This Row],[Quantity Tier]]</f>
        <v>High Price-High Volume</v>
      </c>
      <c r="Y41" t="str">
        <f>TEXT(Orders[[#This Row],[Order Date]], "mmmm")</f>
        <v>January</v>
      </c>
      <c r="Z4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41" t="str">
        <f>Orders[[#This Row],[Coffee Type Name]] &amp; "-" &amp; Orders[[#This Row],[Roast Type Name]]</f>
        <v>Liberica-Light</v>
      </c>
      <c r="AB4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42" spans="1:28" x14ac:dyDescent="0.25">
      <c r="A42" s="2" t="s">
        <v>3548</v>
      </c>
      <c r="B42" s="4">
        <v>43750</v>
      </c>
      <c r="C42" s="2" t="s">
        <v>3549</v>
      </c>
      <c r="D42" t="s">
        <v>6168</v>
      </c>
      <c r="E42" s="2">
        <v>1</v>
      </c>
      <c r="F42" s="2" t="str">
        <f>_xlfn.XLOOKUP(C42,customers!$A$1:$A$1001,customers!$B$1:$B$1001,,0)</f>
        <v>Lora Dukes</v>
      </c>
      <c r="G42" s="2" t="str">
        <f>IF(_xlfn.XLOOKUP(C42,customers!$A$1:$A$1001,customers!$C$1:$C$1001,,0)=0,"",_xlfn.XLOOKUP(C42,customers!$A$1:$A$1001,customers!$C$1:$C$1001,,0))</f>
        <v/>
      </c>
      <c r="H42" s="2" t="str">
        <f>_xlfn.XLOOKUP(C42,customers!$A$1:$A$1001,customers!$G$1:$G$1001,,0)</f>
        <v>Ireland</v>
      </c>
      <c r="I42" t="str">
        <f>INDEX(products!$A$1:$G$49, MATCH(orders!$D543,products!$A$1:$A590,0), MATCH(orders!I$1,products!$A$1:$G$1,0))</f>
        <v>Ara</v>
      </c>
      <c r="J42" t="str">
        <f>INDEX(products!$A$1:$G$49, MATCH(orders!$D543,products!$A$1:$A590,0), MATCH(orders!J$1,products!$A$1:$G$1,0))</f>
        <v>D</v>
      </c>
      <c r="K42" s="5">
        <f>INDEX(products!$A$1:$G$49, MATCH(orders!$D543,products!$A$1:$A590,0), MATCH(orders!K$1,products!$A$1:$G$1,0))</f>
        <v>2.5</v>
      </c>
      <c r="L42" s="6">
        <f>INDEX(products!$A$1:$G$49, MATCH(orders!$D543,products!$A$1:$A590,0), MATCH(orders!L$1,products!$A$1:$G$1,0))</f>
        <v>22.884999999999998</v>
      </c>
      <c r="M42" s="6">
        <f t="shared" si="0"/>
        <v>22.884999999999998</v>
      </c>
      <c r="N42" t="str">
        <f t="shared" si="1"/>
        <v>Arabica</v>
      </c>
      <c r="O42" t="str">
        <f t="shared" si="2"/>
        <v>Dark</v>
      </c>
      <c r="P42" t="str">
        <f>_xlfn.XLOOKUP(Orders[[#This Row],[Customer ID]],customers!$A$1:$A$1001,customers!$I$1:$I$1001,,0)</f>
        <v>Yes</v>
      </c>
      <c r="Q42">
        <f>COUNTIF(Orders[Order ID],Orders[[#This Row],[Order ID]])</f>
        <v>1</v>
      </c>
      <c r="R42" s="10">
        <f>SUMIF(Orders[Order ID], Orders[[#This Row],[Order ID]],Orders[Sales])/Orders[[#This Row],[Order Frequency]]</f>
        <v>22.884999999999998</v>
      </c>
      <c r="S42" t="str">
        <f>IF(Orders[[#This Row],[Order Frequency]]&gt;4, "More than 4", IF(AND(Orders[[#This Row],[Order Frequency]]&lt;=4,Orders[[#This Row],[Order Frequency]]&gt;=2), "Between 4 and 2", "Less than 2"))</f>
        <v>Less than 2</v>
      </c>
      <c r="T42" t="str">
        <f>IF(Orders[[#This Row],[Frequency Group]]="less than 2", "Low Value", IF(Orders[[#This Row],[Frequency Group]]="between 4 and 2", "Medium Value", "High Value"))</f>
        <v>Low Value</v>
      </c>
      <c r="U42" t="str">
        <f>IF(Orders[[#This Row],[Sales]]&lt;50, "$0-50", IF(AND(Orders[[#This Row],[Sales]]&gt;=50,Orders[[#This Row],[Sales]]&lt;=100), "$50-100", IF(AND(Orders[[#This Row],[Sales]]&gt;100,Orders[[#This Row],[Sales]]&lt;=150), "$101-150", "$150+")))</f>
        <v>$0-50</v>
      </c>
      <c r="V42" t="str">
        <f>IF(Orders[[#This Row],[Sales]]&gt;MEDIAN(M:M), "High Price", "Low Price")</f>
        <v>Low Price</v>
      </c>
      <c r="W42" t="str">
        <f>IF(Orders[[#This Row],[Quantity]]&gt;MEDIAN(E:E), "High Volume", "Low Volume")</f>
        <v>Low Volume</v>
      </c>
      <c r="X42" t="str">
        <f>Orders[[#This Row],[Sales Tier]] &amp; "-" &amp; Orders[[#This Row],[Quantity Tier]]</f>
        <v>Low Price-Low Volume</v>
      </c>
      <c r="Y42" t="str">
        <f>TEXT(Orders[[#This Row],[Order Date]], "mmmm")</f>
        <v>October</v>
      </c>
      <c r="Z4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42" t="str">
        <f>Orders[[#This Row],[Coffee Type Name]] &amp; "-" &amp; Orders[[#This Row],[Roast Type Name]]</f>
        <v>Arabica-Dark</v>
      </c>
      <c r="AB4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43" spans="1:28" x14ac:dyDescent="0.25">
      <c r="A43" s="2" t="s">
        <v>1464</v>
      </c>
      <c r="B43" s="4">
        <v>44720</v>
      </c>
      <c r="C43" s="2" t="s">
        <v>1465</v>
      </c>
      <c r="D43" t="s">
        <v>6151</v>
      </c>
      <c r="E43" s="2">
        <v>4</v>
      </c>
      <c r="F43" s="2" t="str">
        <f>_xlfn.XLOOKUP(C43,customers!$A$1:$A$1001,customers!$B$1:$B$1001,,0)</f>
        <v>Oran Colbeck</v>
      </c>
      <c r="G43" s="2" t="str">
        <f>IF(_xlfn.XLOOKUP(C43,customers!$A$1:$A$1001,customers!$C$1:$C$1001,,0)=0,"",_xlfn.XLOOKUP(C43,customers!$A$1:$A$1001,customers!$C$1:$C$1001,,0))</f>
        <v>ocolbeck4t@sina.com.cn</v>
      </c>
      <c r="H43" s="2" t="str">
        <f>_xlfn.XLOOKUP(C43,customers!$A$1:$A$1001,customers!$G$1:$G$1001,,0)</f>
        <v>United States</v>
      </c>
      <c r="I43" t="str">
        <f>INDEX(products!$A$1:$G$49, MATCH(orders!$D175,products!$A$1:$A222,0), MATCH(orders!I$1,products!$A$1:$G$1,0))</f>
        <v>Rob</v>
      </c>
      <c r="J43" t="str">
        <f>INDEX(products!$A$1:$G$49, MATCH(orders!$D175,products!$A$1:$A222,0), MATCH(orders!J$1,products!$A$1:$G$1,0))</f>
        <v>M</v>
      </c>
      <c r="K43" s="5">
        <f>INDEX(products!$A$1:$G$49, MATCH(orders!$D175,products!$A$1:$A222,0), MATCH(orders!K$1,products!$A$1:$G$1,0))</f>
        <v>2.5</v>
      </c>
      <c r="L43" s="6">
        <f>INDEX(products!$A$1:$G$49, MATCH(orders!$D175,products!$A$1:$A222,0), MATCH(orders!L$1,products!$A$1:$G$1,0))</f>
        <v>22.884999999999998</v>
      </c>
      <c r="M43" s="6">
        <f t="shared" si="0"/>
        <v>91.539999999999992</v>
      </c>
      <c r="N43" t="str">
        <f t="shared" si="1"/>
        <v>Robusta</v>
      </c>
      <c r="O43" t="str">
        <f t="shared" si="2"/>
        <v>Medium</v>
      </c>
      <c r="P43" t="str">
        <f>_xlfn.XLOOKUP(Orders[[#This Row],[Customer ID]],customers!$A$1:$A$1001,customers!$I$1:$I$1001,,0)</f>
        <v>No</v>
      </c>
      <c r="Q43">
        <f>COUNTIF(Orders[Order ID],Orders[[#This Row],[Order ID]])</f>
        <v>1</v>
      </c>
      <c r="R43" s="10">
        <f>SUMIF(Orders[Order ID], Orders[[#This Row],[Order ID]],Orders[Sales])/Orders[[#This Row],[Order Frequency]]</f>
        <v>91.539999999999992</v>
      </c>
      <c r="S43" t="str">
        <f>IF(Orders[[#This Row],[Order Frequency]]&gt;4, "More than 4", IF(AND(Orders[[#This Row],[Order Frequency]]&lt;=4,Orders[[#This Row],[Order Frequency]]&gt;=2), "Between 4 and 2", "Less than 2"))</f>
        <v>Less than 2</v>
      </c>
      <c r="T43" t="str">
        <f>IF(Orders[[#This Row],[Frequency Group]]="less than 2", "Low Value", IF(Orders[[#This Row],[Frequency Group]]="between 4 and 2", "Medium Value", "High Value"))</f>
        <v>Low Value</v>
      </c>
      <c r="U43" t="str">
        <f>IF(Orders[[#This Row],[Sales]]&lt;50, "$0-50", IF(AND(Orders[[#This Row],[Sales]]&gt;=50,Orders[[#This Row],[Sales]]&lt;=100), "$50-100", IF(AND(Orders[[#This Row],[Sales]]&gt;100,Orders[[#This Row],[Sales]]&lt;=150), "$101-150", "$150+")))</f>
        <v>$50-100</v>
      </c>
      <c r="V43" t="str">
        <f>IF(Orders[[#This Row],[Sales]]&gt;MEDIAN(M:M), "High Price", "Low Price")</f>
        <v>High Price</v>
      </c>
      <c r="W43" t="str">
        <f>IF(Orders[[#This Row],[Quantity]]&gt;MEDIAN(E:E), "High Volume", "Low Volume")</f>
        <v>Low Volume</v>
      </c>
      <c r="X43" t="str">
        <f>Orders[[#This Row],[Sales Tier]] &amp; "-" &amp; Orders[[#This Row],[Quantity Tier]]</f>
        <v>High Price-Low Volume</v>
      </c>
      <c r="Y43" t="str">
        <f>TEXT(Orders[[#This Row],[Order Date]], "mmmm")</f>
        <v>June</v>
      </c>
      <c r="Z4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3" t="str">
        <f>Orders[[#This Row],[Coffee Type Name]] &amp; "-" &amp; Orders[[#This Row],[Roast Type Name]]</f>
        <v>Robusta-Medium</v>
      </c>
      <c r="AB4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44" spans="1:28" x14ac:dyDescent="0.25">
      <c r="A44" s="2" t="s">
        <v>3094</v>
      </c>
      <c r="B44" s="4">
        <v>44036</v>
      </c>
      <c r="C44" s="2" t="s">
        <v>3095</v>
      </c>
      <c r="D44" t="s">
        <v>6163</v>
      </c>
      <c r="E44" s="2">
        <v>4</v>
      </c>
      <c r="F44" s="2" t="str">
        <f>_xlfn.XLOOKUP(C44,customers!$A$1:$A$1001,customers!$B$1:$B$1001,,0)</f>
        <v>Ransell McKall</v>
      </c>
      <c r="G44" s="2" t="str">
        <f>IF(_xlfn.XLOOKUP(C44,customers!$A$1:$A$1001,customers!$C$1:$C$1001,,0)=0,"",_xlfn.XLOOKUP(C44,customers!$A$1:$A$1001,customers!$C$1:$C$1001,,0))</f>
        <v>rmckallct@sakura.ne.jp</v>
      </c>
      <c r="H44" s="2" t="str">
        <f>_xlfn.XLOOKUP(C44,customers!$A$1:$A$1001,customers!$G$1:$G$1001,,0)</f>
        <v>United Kingdom</v>
      </c>
      <c r="I44" t="str">
        <f>INDEX(products!$A$1:$G$49, MATCH(orders!$D463,products!$A$1:$A510,0), MATCH(orders!I$1,products!$A$1:$G$1,0))</f>
        <v>Rob</v>
      </c>
      <c r="J44" t="str">
        <f>INDEX(products!$A$1:$G$49, MATCH(orders!$D463,products!$A$1:$A510,0), MATCH(orders!J$1,products!$A$1:$G$1,0))</f>
        <v>D</v>
      </c>
      <c r="K44" s="5">
        <f>INDEX(products!$A$1:$G$49, MATCH(orders!$D463,products!$A$1:$A510,0), MATCH(orders!K$1,products!$A$1:$G$1,0))</f>
        <v>0.2</v>
      </c>
      <c r="L44" s="6">
        <f>INDEX(products!$A$1:$G$49, MATCH(orders!$D463,products!$A$1:$A510,0), MATCH(orders!L$1,products!$A$1:$G$1,0))</f>
        <v>2.6849999999999996</v>
      </c>
      <c r="M44" s="6">
        <f t="shared" si="0"/>
        <v>10.739999999999998</v>
      </c>
      <c r="N44" t="str">
        <f t="shared" si="1"/>
        <v>Robusta</v>
      </c>
      <c r="O44" t="str">
        <f t="shared" si="2"/>
        <v>Dark</v>
      </c>
      <c r="P44" t="str">
        <f>_xlfn.XLOOKUP(Orders[[#This Row],[Customer ID]],customers!$A$1:$A$1001,customers!$I$1:$I$1001,,0)</f>
        <v>Yes</v>
      </c>
      <c r="Q44">
        <f>COUNTIF(Orders[Order ID],Orders[[#This Row],[Order ID]])</f>
        <v>1</v>
      </c>
      <c r="R44" s="10">
        <f>SUMIF(Orders[Order ID], Orders[[#This Row],[Order ID]],Orders[Sales])/Orders[[#This Row],[Order Frequency]]</f>
        <v>10.739999999999998</v>
      </c>
      <c r="S44" t="str">
        <f>IF(Orders[[#This Row],[Order Frequency]]&gt;4, "More than 4", IF(AND(Orders[[#This Row],[Order Frequency]]&lt;=4,Orders[[#This Row],[Order Frequency]]&gt;=2), "Between 4 and 2", "Less than 2"))</f>
        <v>Less than 2</v>
      </c>
      <c r="T44" t="str">
        <f>IF(Orders[[#This Row],[Frequency Group]]="less than 2", "Low Value", IF(Orders[[#This Row],[Frequency Group]]="between 4 and 2", "Medium Value", "High Value"))</f>
        <v>Low Value</v>
      </c>
      <c r="U44" t="str">
        <f>IF(Orders[[#This Row],[Sales]]&lt;50, "$0-50", IF(AND(Orders[[#This Row],[Sales]]&gt;=50,Orders[[#This Row],[Sales]]&lt;=100), "$50-100", IF(AND(Orders[[#This Row],[Sales]]&gt;100,Orders[[#This Row],[Sales]]&lt;=150), "$101-150", "$150+")))</f>
        <v>$0-50</v>
      </c>
      <c r="V44" t="str">
        <f>IF(Orders[[#This Row],[Sales]]&gt;MEDIAN(M:M), "High Price", "Low Price")</f>
        <v>Low Price</v>
      </c>
      <c r="W44" t="str">
        <f>IF(Orders[[#This Row],[Quantity]]&gt;MEDIAN(E:E), "High Volume", "Low Volume")</f>
        <v>Low Volume</v>
      </c>
      <c r="X44" t="str">
        <f>Orders[[#This Row],[Sales Tier]] &amp; "-" &amp; Orders[[#This Row],[Quantity Tier]]</f>
        <v>Low Price-Low Volume</v>
      </c>
      <c r="Y44" t="str">
        <f>TEXT(Orders[[#This Row],[Order Date]], "mmmm")</f>
        <v>July</v>
      </c>
      <c r="Z4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44" t="str">
        <f>Orders[[#This Row],[Coffee Type Name]] &amp; "-" &amp; Orders[[#This Row],[Roast Type Name]]</f>
        <v>Robusta-Dark</v>
      </c>
      <c r="AB4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45" spans="1:28" x14ac:dyDescent="0.25">
      <c r="A45" s="2" t="s">
        <v>4985</v>
      </c>
      <c r="B45" s="4">
        <v>43540</v>
      </c>
      <c r="C45" s="2" t="s">
        <v>4986</v>
      </c>
      <c r="D45" t="s">
        <v>6173</v>
      </c>
      <c r="E45" s="2">
        <v>4</v>
      </c>
      <c r="F45" s="2" t="str">
        <f>_xlfn.XLOOKUP(C45,customers!$A$1:$A$1001,customers!$B$1:$B$1001,,0)</f>
        <v>Wright Caldero</v>
      </c>
      <c r="G45" s="2" t="str">
        <f>IF(_xlfn.XLOOKUP(C45,customers!$A$1:$A$1001,customers!$C$1:$C$1001,,0)=0,"",_xlfn.XLOOKUP(C45,customers!$A$1:$A$1001,customers!$C$1:$C$1001,,0))</f>
        <v>wcalderom3@stumbleupon.com</v>
      </c>
      <c r="H45" s="2" t="str">
        <f>_xlfn.XLOOKUP(C45,customers!$A$1:$A$1001,customers!$G$1:$G$1001,,0)</f>
        <v>United States</v>
      </c>
      <c r="I45" t="str">
        <f>INDEX(products!$A$1:$G$49, MATCH(orders!$D797,products!$A$1:$A844,0), MATCH(orders!I$1,products!$A$1:$G$1,0))</f>
        <v>Rob</v>
      </c>
      <c r="J45" t="str">
        <f>INDEX(products!$A$1:$G$49, MATCH(orders!$D797,products!$A$1:$A844,0), MATCH(orders!J$1,products!$A$1:$G$1,0))</f>
        <v>L</v>
      </c>
      <c r="K45" s="5">
        <f>INDEX(products!$A$1:$G$49, MATCH(orders!$D797,products!$A$1:$A844,0), MATCH(orders!K$1,products!$A$1:$G$1,0))</f>
        <v>0.5</v>
      </c>
      <c r="L45" s="6">
        <f>INDEX(products!$A$1:$G$49, MATCH(orders!$D797,products!$A$1:$A844,0), MATCH(orders!L$1,products!$A$1:$G$1,0))</f>
        <v>7.169999999999999</v>
      </c>
      <c r="M45" s="6">
        <f t="shared" si="0"/>
        <v>28.679999999999996</v>
      </c>
      <c r="N45" t="str">
        <f t="shared" si="1"/>
        <v>Robusta</v>
      </c>
      <c r="O45" t="str">
        <f t="shared" si="2"/>
        <v>Light</v>
      </c>
      <c r="P45" t="str">
        <f>_xlfn.XLOOKUP(Orders[[#This Row],[Customer ID]],customers!$A$1:$A$1001,customers!$I$1:$I$1001,,0)</f>
        <v>No</v>
      </c>
      <c r="Q45">
        <f>COUNTIF(Orders[Order ID],Orders[[#This Row],[Order ID]])</f>
        <v>1</v>
      </c>
      <c r="R45" s="10">
        <f>SUMIF(Orders[Order ID], Orders[[#This Row],[Order ID]],Orders[Sales])/Orders[[#This Row],[Order Frequency]]</f>
        <v>28.679999999999996</v>
      </c>
      <c r="S45" t="str">
        <f>IF(Orders[[#This Row],[Order Frequency]]&gt;4, "More than 4", IF(AND(Orders[[#This Row],[Order Frequency]]&lt;=4,Orders[[#This Row],[Order Frequency]]&gt;=2), "Between 4 and 2", "Less than 2"))</f>
        <v>Less than 2</v>
      </c>
      <c r="T45" t="str">
        <f>IF(Orders[[#This Row],[Frequency Group]]="less than 2", "Low Value", IF(Orders[[#This Row],[Frequency Group]]="between 4 and 2", "Medium Value", "High Value"))</f>
        <v>Low Value</v>
      </c>
      <c r="U45" t="str">
        <f>IF(Orders[[#This Row],[Sales]]&lt;50, "$0-50", IF(AND(Orders[[#This Row],[Sales]]&gt;=50,Orders[[#This Row],[Sales]]&lt;=100), "$50-100", IF(AND(Orders[[#This Row],[Sales]]&gt;100,Orders[[#This Row],[Sales]]&lt;=150), "$101-150", "$150+")))</f>
        <v>$0-50</v>
      </c>
      <c r="V45" t="str">
        <f>IF(Orders[[#This Row],[Sales]]&gt;MEDIAN(M:M), "High Price", "Low Price")</f>
        <v>Low Price</v>
      </c>
      <c r="W45" t="str">
        <f>IF(Orders[[#This Row],[Quantity]]&gt;MEDIAN(E:E), "High Volume", "Low Volume")</f>
        <v>Low Volume</v>
      </c>
      <c r="X45" t="str">
        <f>Orders[[#This Row],[Sales Tier]] &amp; "-" &amp; Orders[[#This Row],[Quantity Tier]]</f>
        <v>Low Price-Low Volume</v>
      </c>
      <c r="Y45" t="str">
        <f>TEXT(Orders[[#This Row],[Order Date]], "mmmm")</f>
        <v>March</v>
      </c>
      <c r="Z4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45" t="str">
        <f>Orders[[#This Row],[Coffee Type Name]] &amp; "-" &amp; Orders[[#This Row],[Roast Type Name]]</f>
        <v>Robusta-Light</v>
      </c>
      <c r="AB4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6" spans="1:28" x14ac:dyDescent="0.25">
      <c r="A46" s="2" t="s">
        <v>3493</v>
      </c>
      <c r="B46" s="4">
        <v>44591</v>
      </c>
      <c r="C46" s="2" t="s">
        <v>3494</v>
      </c>
      <c r="D46" t="s">
        <v>6177</v>
      </c>
      <c r="E46" s="2">
        <v>5</v>
      </c>
      <c r="F46" s="2" t="str">
        <f>_xlfn.XLOOKUP(C46,customers!$A$1:$A$1001,customers!$B$1:$B$1001,,0)</f>
        <v>Rana Sharer</v>
      </c>
      <c r="G46" s="2" t="str">
        <f>IF(_xlfn.XLOOKUP(C46,customers!$A$1:$A$1001,customers!$C$1:$C$1001,,0)=0,"",_xlfn.XLOOKUP(C46,customers!$A$1:$A$1001,customers!$C$1:$C$1001,,0))</f>
        <v>rsharerer@flavors.me</v>
      </c>
      <c r="H46" s="2" t="str">
        <f>_xlfn.XLOOKUP(C46,customers!$A$1:$A$1001,customers!$G$1:$G$1001,,0)</f>
        <v>United States</v>
      </c>
      <c r="I46" t="str">
        <f>INDEX(products!$A$1:$G$49, MATCH(orders!$D533,products!$A$1:$A580,0), MATCH(orders!I$1,products!$A$1:$G$1,0))</f>
        <v>Rob</v>
      </c>
      <c r="J46" t="str">
        <f>INDEX(products!$A$1:$G$49, MATCH(orders!$D533,products!$A$1:$A580,0), MATCH(orders!J$1,products!$A$1:$G$1,0))</f>
        <v>D</v>
      </c>
      <c r="K46" s="5">
        <f>INDEX(products!$A$1:$G$49, MATCH(orders!$D533,products!$A$1:$A580,0), MATCH(orders!K$1,products!$A$1:$G$1,0))</f>
        <v>1</v>
      </c>
      <c r="L46" s="6">
        <f>INDEX(products!$A$1:$G$49, MATCH(orders!$D533,products!$A$1:$A580,0), MATCH(orders!L$1,products!$A$1:$G$1,0))</f>
        <v>8.9499999999999993</v>
      </c>
      <c r="M46" s="6">
        <f t="shared" si="0"/>
        <v>44.75</v>
      </c>
      <c r="N46" t="str">
        <f t="shared" si="1"/>
        <v>Robusta</v>
      </c>
      <c r="O46" t="str">
        <f t="shared" si="2"/>
        <v>Dark</v>
      </c>
      <c r="P46" t="str">
        <f>_xlfn.XLOOKUP(Orders[[#This Row],[Customer ID]],customers!$A$1:$A$1001,customers!$I$1:$I$1001,,0)</f>
        <v>No</v>
      </c>
      <c r="Q46">
        <f>COUNTIF(Orders[Order ID],Orders[[#This Row],[Order ID]])</f>
        <v>1</v>
      </c>
      <c r="R46" s="10">
        <f>SUMIF(Orders[Order ID], Orders[[#This Row],[Order ID]],Orders[Sales])/Orders[[#This Row],[Order Frequency]]</f>
        <v>44.75</v>
      </c>
      <c r="S46" t="str">
        <f>IF(Orders[[#This Row],[Order Frequency]]&gt;4, "More than 4", IF(AND(Orders[[#This Row],[Order Frequency]]&lt;=4,Orders[[#This Row],[Order Frequency]]&gt;=2), "Between 4 and 2", "Less than 2"))</f>
        <v>Less than 2</v>
      </c>
      <c r="T46" t="str">
        <f>IF(Orders[[#This Row],[Frequency Group]]="less than 2", "Low Value", IF(Orders[[#This Row],[Frequency Group]]="between 4 and 2", "Medium Value", "High Value"))</f>
        <v>Low Value</v>
      </c>
      <c r="U46" t="str">
        <f>IF(Orders[[#This Row],[Sales]]&lt;50, "$0-50", IF(AND(Orders[[#This Row],[Sales]]&gt;=50,Orders[[#This Row],[Sales]]&lt;=100), "$50-100", IF(AND(Orders[[#This Row],[Sales]]&gt;100,Orders[[#This Row],[Sales]]&lt;=150), "$101-150", "$150+")))</f>
        <v>$0-50</v>
      </c>
      <c r="V46" t="str">
        <f>IF(Orders[[#This Row],[Sales]]&gt;MEDIAN(M:M), "High Price", "Low Price")</f>
        <v>High Price</v>
      </c>
      <c r="W46" t="str">
        <f>IF(Orders[[#This Row],[Quantity]]&gt;MEDIAN(E:E), "High Volume", "Low Volume")</f>
        <v>High Volume</v>
      </c>
      <c r="X46" t="str">
        <f>Orders[[#This Row],[Sales Tier]] &amp; "-" &amp; Orders[[#This Row],[Quantity Tier]]</f>
        <v>High Price-High Volume</v>
      </c>
      <c r="Y46" t="str">
        <f>TEXT(Orders[[#This Row],[Order Date]], "mmmm")</f>
        <v>January</v>
      </c>
      <c r="Z4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46" t="str">
        <f>Orders[[#This Row],[Coffee Type Name]] &amp; "-" &amp; Orders[[#This Row],[Roast Type Name]]</f>
        <v>Robusta-Dark</v>
      </c>
      <c r="AB4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47" spans="1:28" x14ac:dyDescent="0.25">
      <c r="A47" s="2" t="s">
        <v>5507</v>
      </c>
      <c r="B47" s="4">
        <v>44002</v>
      </c>
      <c r="C47" s="2" t="s">
        <v>5508</v>
      </c>
      <c r="D47" t="s">
        <v>6184</v>
      </c>
      <c r="E47" s="2">
        <v>3</v>
      </c>
      <c r="F47" s="2" t="str">
        <f>_xlfn.XLOOKUP(C47,customers!$A$1:$A$1001,customers!$B$1:$B$1001,,0)</f>
        <v>Kienan Ferson</v>
      </c>
      <c r="G47" s="2" t="str">
        <f>IF(_xlfn.XLOOKUP(C47,customers!$A$1:$A$1001,customers!$C$1:$C$1001,,0)=0,"",_xlfn.XLOOKUP(C47,customers!$A$1:$A$1001,customers!$C$1:$C$1001,,0))</f>
        <v>kfersonon@g.co</v>
      </c>
      <c r="H47" s="2" t="str">
        <f>_xlfn.XLOOKUP(C47,customers!$A$1:$A$1001,customers!$G$1:$G$1001,,0)</f>
        <v>United States</v>
      </c>
      <c r="I47" t="str">
        <f>INDEX(products!$A$1:$G$49, MATCH(orders!$D889,products!$A$1:$A936,0), MATCH(orders!I$1,products!$A$1:$G$1,0))</f>
        <v>Exc</v>
      </c>
      <c r="J47" t="str">
        <f>INDEX(products!$A$1:$G$49, MATCH(orders!$D889,products!$A$1:$A936,0), MATCH(orders!J$1,products!$A$1:$G$1,0))</f>
        <v>L</v>
      </c>
      <c r="K47" s="5">
        <f>INDEX(products!$A$1:$G$49, MATCH(orders!$D889,products!$A$1:$A936,0), MATCH(orders!K$1,products!$A$1:$G$1,0))</f>
        <v>0.2</v>
      </c>
      <c r="L47" s="6">
        <f>INDEX(products!$A$1:$G$49, MATCH(orders!$D889,products!$A$1:$A936,0), MATCH(orders!L$1,products!$A$1:$G$1,0))</f>
        <v>4.4550000000000001</v>
      </c>
      <c r="M47" s="6">
        <f t="shared" si="0"/>
        <v>13.365</v>
      </c>
      <c r="N47" t="str">
        <f t="shared" si="1"/>
        <v>Excelsa</v>
      </c>
      <c r="O47" t="str">
        <f t="shared" si="2"/>
        <v>Light</v>
      </c>
      <c r="P47" t="str">
        <f>_xlfn.XLOOKUP(Orders[[#This Row],[Customer ID]],customers!$A$1:$A$1001,customers!$I$1:$I$1001,,0)</f>
        <v>No</v>
      </c>
      <c r="Q47">
        <f>COUNTIF(Orders[Order ID],Orders[[#This Row],[Order ID]])</f>
        <v>1</v>
      </c>
      <c r="R47" s="10">
        <f>SUMIF(Orders[Order ID], Orders[[#This Row],[Order ID]],Orders[Sales])/Orders[[#This Row],[Order Frequency]]</f>
        <v>13.365</v>
      </c>
      <c r="S47" t="str">
        <f>IF(Orders[[#This Row],[Order Frequency]]&gt;4, "More than 4", IF(AND(Orders[[#This Row],[Order Frequency]]&lt;=4,Orders[[#This Row],[Order Frequency]]&gt;=2), "Between 4 and 2", "Less than 2"))</f>
        <v>Less than 2</v>
      </c>
      <c r="T47" t="str">
        <f>IF(Orders[[#This Row],[Frequency Group]]="less than 2", "Low Value", IF(Orders[[#This Row],[Frequency Group]]="between 4 and 2", "Medium Value", "High Value"))</f>
        <v>Low Value</v>
      </c>
      <c r="U47" t="str">
        <f>IF(Orders[[#This Row],[Sales]]&lt;50, "$0-50", IF(AND(Orders[[#This Row],[Sales]]&gt;=50,Orders[[#This Row],[Sales]]&lt;=100), "$50-100", IF(AND(Orders[[#This Row],[Sales]]&gt;100,Orders[[#This Row],[Sales]]&lt;=150), "$101-150", "$150+")))</f>
        <v>$0-50</v>
      </c>
      <c r="V47" t="str">
        <f>IF(Orders[[#This Row],[Sales]]&gt;MEDIAN(M:M), "High Price", "Low Price")</f>
        <v>Low Price</v>
      </c>
      <c r="W47" t="str">
        <f>IF(Orders[[#This Row],[Quantity]]&gt;MEDIAN(E:E), "High Volume", "Low Volume")</f>
        <v>Low Volume</v>
      </c>
      <c r="X47" t="str">
        <f>Orders[[#This Row],[Sales Tier]] &amp; "-" &amp; Orders[[#This Row],[Quantity Tier]]</f>
        <v>Low Price-Low Volume</v>
      </c>
      <c r="Y47" t="str">
        <f>TEXT(Orders[[#This Row],[Order Date]], "mmmm")</f>
        <v>June</v>
      </c>
      <c r="Z4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7" t="str">
        <f>Orders[[#This Row],[Coffee Type Name]] &amp; "-" &amp; Orders[[#This Row],[Roast Type Name]]</f>
        <v>Excelsa-Light</v>
      </c>
      <c r="AB4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48" spans="1:28" x14ac:dyDescent="0.25">
      <c r="A48" s="2" t="s">
        <v>1833</v>
      </c>
      <c r="B48" s="4">
        <v>44172</v>
      </c>
      <c r="C48" s="2" t="s">
        <v>1834</v>
      </c>
      <c r="D48" t="s">
        <v>6151</v>
      </c>
      <c r="E48" s="2">
        <v>2</v>
      </c>
      <c r="F48" s="2" t="str">
        <f>_xlfn.XLOOKUP(C48,customers!$A$1:$A$1001,customers!$B$1:$B$1001,,0)</f>
        <v>Friederike Drysdale</v>
      </c>
      <c r="G48" s="2" t="str">
        <f>IF(_xlfn.XLOOKUP(C48,customers!$A$1:$A$1001,customers!$C$1:$C$1001,,0)=0,"",_xlfn.XLOOKUP(C48,customers!$A$1:$A$1001,customers!$C$1:$C$1001,,0))</f>
        <v>fdrysdale6m@symantec.com</v>
      </c>
      <c r="H48" s="2" t="str">
        <f>_xlfn.XLOOKUP(C48,customers!$A$1:$A$1001,customers!$G$1:$G$1001,,0)</f>
        <v>United States</v>
      </c>
      <c r="I48" t="str">
        <f>INDEX(products!$A$1:$G$49, MATCH(orders!$D240,products!$A$1:$A287,0), MATCH(orders!I$1,products!$A$1:$G$1,0))</f>
        <v>Rob</v>
      </c>
      <c r="J48" t="str">
        <f>INDEX(products!$A$1:$G$49, MATCH(orders!$D240,products!$A$1:$A287,0), MATCH(orders!J$1,products!$A$1:$G$1,0))</f>
        <v>M</v>
      </c>
      <c r="K48" s="5">
        <f>INDEX(products!$A$1:$G$49, MATCH(orders!$D240,products!$A$1:$A287,0), MATCH(orders!K$1,products!$A$1:$G$1,0))</f>
        <v>2.5</v>
      </c>
      <c r="L48" s="6">
        <f>INDEX(products!$A$1:$G$49, MATCH(orders!$D240,products!$A$1:$A287,0), MATCH(orders!L$1,products!$A$1:$G$1,0))</f>
        <v>22.884999999999998</v>
      </c>
      <c r="M48" s="6">
        <f t="shared" si="0"/>
        <v>45.769999999999996</v>
      </c>
      <c r="N48" t="str">
        <f t="shared" si="1"/>
        <v>Robusta</v>
      </c>
      <c r="O48" t="str">
        <f t="shared" si="2"/>
        <v>Medium</v>
      </c>
      <c r="P48" t="str">
        <f>_xlfn.XLOOKUP(Orders[[#This Row],[Customer ID]],customers!$A$1:$A$1001,customers!$I$1:$I$1001,,0)</f>
        <v>Yes</v>
      </c>
      <c r="Q48">
        <f>COUNTIF(Orders[Order ID],Orders[[#This Row],[Order ID]])</f>
        <v>1</v>
      </c>
      <c r="R48" s="10">
        <f>SUMIF(Orders[Order ID], Orders[[#This Row],[Order ID]],Orders[Sales])/Orders[[#This Row],[Order Frequency]]</f>
        <v>45.769999999999996</v>
      </c>
      <c r="S48" t="str">
        <f>IF(Orders[[#This Row],[Order Frequency]]&gt;4, "More than 4", IF(AND(Orders[[#This Row],[Order Frequency]]&lt;=4,Orders[[#This Row],[Order Frequency]]&gt;=2), "Between 4 and 2", "Less than 2"))</f>
        <v>Less than 2</v>
      </c>
      <c r="T48" t="str">
        <f>IF(Orders[[#This Row],[Frequency Group]]="less than 2", "Low Value", IF(Orders[[#This Row],[Frequency Group]]="between 4 and 2", "Medium Value", "High Value"))</f>
        <v>Low Value</v>
      </c>
      <c r="U48" t="str">
        <f>IF(Orders[[#This Row],[Sales]]&lt;50, "$0-50", IF(AND(Orders[[#This Row],[Sales]]&gt;=50,Orders[[#This Row],[Sales]]&lt;=100), "$50-100", IF(AND(Orders[[#This Row],[Sales]]&gt;100,Orders[[#This Row],[Sales]]&lt;=150), "$101-150", "$150+")))</f>
        <v>$0-50</v>
      </c>
      <c r="V48" t="str">
        <f>IF(Orders[[#This Row],[Sales]]&gt;MEDIAN(M:M), "High Price", "Low Price")</f>
        <v>High Price</v>
      </c>
      <c r="W48" t="str">
        <f>IF(Orders[[#This Row],[Quantity]]&gt;MEDIAN(E:E), "High Volume", "Low Volume")</f>
        <v>Low Volume</v>
      </c>
      <c r="X48" t="str">
        <f>Orders[[#This Row],[Sales Tier]] &amp; "-" &amp; Orders[[#This Row],[Quantity Tier]]</f>
        <v>High Price-Low Volume</v>
      </c>
      <c r="Y48" t="str">
        <f>TEXT(Orders[[#This Row],[Order Date]], "mmmm")</f>
        <v>December</v>
      </c>
      <c r="Z4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48" t="str">
        <f>Orders[[#This Row],[Coffee Type Name]] &amp; "-" &amp; Orders[[#This Row],[Roast Type Name]]</f>
        <v>Robusta-Medium</v>
      </c>
      <c r="AB4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49" spans="1:28" x14ac:dyDescent="0.25">
      <c r="A49" s="2" t="s">
        <v>547</v>
      </c>
      <c r="B49" s="4">
        <v>44263</v>
      </c>
      <c r="C49" s="2" t="s">
        <v>548</v>
      </c>
      <c r="D49" t="s">
        <v>6147</v>
      </c>
      <c r="E49" s="2">
        <v>4</v>
      </c>
      <c r="F49" s="2" t="str">
        <f>_xlfn.XLOOKUP(C49,customers!$A$1:$A$1001,customers!$B$1:$B$1001,,0)</f>
        <v>Ferrell Ferber</v>
      </c>
      <c r="G49" s="2" t="str">
        <f>IF(_xlfn.XLOOKUP(C49,customers!$A$1:$A$1001,customers!$C$1:$C$1001,,0)=0,"",_xlfn.XLOOKUP(C49,customers!$A$1:$A$1001,customers!$C$1:$C$1001,,0))</f>
        <v>fferbera@businesswire.com</v>
      </c>
      <c r="H49" s="2" t="str">
        <f>_xlfn.XLOOKUP(C49,customers!$A$1:$A$1001,customers!$G$1:$G$1001,,0)</f>
        <v>United States</v>
      </c>
      <c r="I49" t="str">
        <f>INDEX(products!$A$1:$G$49, MATCH(orders!$D12,products!$A$1:$A59,0), MATCH(orders!I$1,products!$A$1:$G$1,0))</f>
        <v>Ara</v>
      </c>
      <c r="J49" t="str">
        <f>INDEX(products!$A$1:$G$49, MATCH(orders!$D12,products!$A$1:$A59,0), MATCH(orders!J$1,products!$A$1:$G$1,0))</f>
        <v>D</v>
      </c>
      <c r="K49" s="5">
        <f>INDEX(products!$A$1:$G$49, MATCH(orders!$D12,products!$A$1:$A59,0), MATCH(orders!K$1,products!$A$1:$G$1,0))</f>
        <v>1</v>
      </c>
      <c r="L49" s="6">
        <f>INDEX(products!$A$1:$G$49, MATCH(orders!$D12,products!$A$1:$A59,0), MATCH(orders!L$1,products!$A$1:$G$1,0))</f>
        <v>9.9499999999999993</v>
      </c>
      <c r="M49" s="6">
        <f t="shared" si="0"/>
        <v>39.799999999999997</v>
      </c>
      <c r="N49" t="str">
        <f t="shared" si="1"/>
        <v>Arabica</v>
      </c>
      <c r="O49" t="str">
        <f t="shared" si="2"/>
        <v>Dark</v>
      </c>
      <c r="P49" t="str">
        <f>_xlfn.XLOOKUP(Orders[[#This Row],[Customer ID]],customers!$A$1:$A$1001,customers!$I$1:$I$1001,,0)</f>
        <v>No</v>
      </c>
      <c r="Q49">
        <f>COUNTIF(Orders[Order ID],Orders[[#This Row],[Order ID]])</f>
        <v>1</v>
      </c>
      <c r="R49" s="10">
        <f>SUMIF(Orders[Order ID], Orders[[#This Row],[Order ID]],Orders[Sales])/Orders[[#This Row],[Order Frequency]]</f>
        <v>39.799999999999997</v>
      </c>
      <c r="S49" t="str">
        <f>IF(Orders[[#This Row],[Order Frequency]]&gt;4, "More than 4", IF(AND(Orders[[#This Row],[Order Frequency]]&lt;=4,Orders[[#This Row],[Order Frequency]]&gt;=2), "Between 4 and 2", "Less than 2"))</f>
        <v>Less than 2</v>
      </c>
      <c r="T49" t="str">
        <f>IF(Orders[[#This Row],[Frequency Group]]="less than 2", "Low Value", IF(Orders[[#This Row],[Frequency Group]]="between 4 and 2", "Medium Value", "High Value"))</f>
        <v>Low Value</v>
      </c>
      <c r="U49" t="str">
        <f>IF(Orders[[#This Row],[Sales]]&lt;50, "$0-50", IF(AND(Orders[[#This Row],[Sales]]&gt;=50,Orders[[#This Row],[Sales]]&lt;=100), "$50-100", IF(AND(Orders[[#This Row],[Sales]]&gt;100,Orders[[#This Row],[Sales]]&lt;=150), "$101-150", "$150+")))</f>
        <v>$0-50</v>
      </c>
      <c r="V49" t="str">
        <f>IF(Orders[[#This Row],[Sales]]&gt;MEDIAN(M:M), "High Price", "Low Price")</f>
        <v>High Price</v>
      </c>
      <c r="W49" t="str">
        <f>IF(Orders[[#This Row],[Quantity]]&gt;MEDIAN(E:E), "High Volume", "Low Volume")</f>
        <v>Low Volume</v>
      </c>
      <c r="X49" t="str">
        <f>Orders[[#This Row],[Sales Tier]] &amp; "-" &amp; Orders[[#This Row],[Quantity Tier]]</f>
        <v>High Price-Low Volume</v>
      </c>
      <c r="Y49" t="str">
        <f>TEXT(Orders[[#This Row],[Order Date]], "mmmm")</f>
        <v>March</v>
      </c>
      <c r="Z4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49" t="str">
        <f>Orders[[#This Row],[Coffee Type Name]] &amp; "-" &amp; Orders[[#This Row],[Roast Type Name]]</f>
        <v>Arabica-Dark</v>
      </c>
      <c r="AB4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50" spans="1:28" x14ac:dyDescent="0.25">
      <c r="A50" s="2" t="s">
        <v>1032</v>
      </c>
      <c r="B50" s="4">
        <v>44259</v>
      </c>
      <c r="C50" s="2" t="s">
        <v>1033</v>
      </c>
      <c r="D50" t="s">
        <v>6157</v>
      </c>
      <c r="E50" s="2">
        <v>2</v>
      </c>
      <c r="F50" s="2" t="str">
        <f>_xlfn.XLOOKUP(C50,customers!$A$1:$A$1001,customers!$B$1:$B$1001,,0)</f>
        <v>Ilysa Whapple</v>
      </c>
      <c r="G50" s="2" t="str">
        <f>IF(_xlfn.XLOOKUP(C50,customers!$A$1:$A$1001,customers!$C$1:$C$1001,,0)=0,"",_xlfn.XLOOKUP(C50,customers!$A$1:$A$1001,customers!$C$1:$C$1001,,0))</f>
        <v>iwhapple2p@com.com</v>
      </c>
      <c r="H50" s="2" t="str">
        <f>_xlfn.XLOOKUP(C50,customers!$A$1:$A$1001,customers!$G$1:$G$1001,,0)</f>
        <v>United States</v>
      </c>
      <c r="I50" t="str">
        <f>INDEX(products!$A$1:$G$49, MATCH(orders!$D99,products!$A$1:$A146,0), MATCH(orders!I$1,products!$A$1:$G$1,0))</f>
        <v>Ara</v>
      </c>
      <c r="J50" t="str">
        <f>INDEX(products!$A$1:$G$49, MATCH(orders!$D99,products!$A$1:$A146,0), MATCH(orders!J$1,products!$A$1:$G$1,0))</f>
        <v>M</v>
      </c>
      <c r="K50" s="5">
        <f>INDEX(products!$A$1:$G$49, MATCH(orders!$D99,products!$A$1:$A146,0), MATCH(orders!K$1,products!$A$1:$G$1,0))</f>
        <v>0.5</v>
      </c>
      <c r="L50" s="6">
        <f>INDEX(products!$A$1:$G$49, MATCH(orders!$D99,products!$A$1:$A146,0), MATCH(orders!L$1,products!$A$1:$G$1,0))</f>
        <v>6.75</v>
      </c>
      <c r="M50" s="6">
        <f t="shared" si="0"/>
        <v>13.5</v>
      </c>
      <c r="N50" t="str">
        <f t="shared" si="1"/>
        <v>Arabica</v>
      </c>
      <c r="O50" t="str">
        <f t="shared" si="2"/>
        <v>Medium</v>
      </c>
      <c r="P50" t="str">
        <f>_xlfn.XLOOKUP(Orders[[#This Row],[Customer ID]],customers!$A$1:$A$1001,customers!$I$1:$I$1001,,0)</f>
        <v>No</v>
      </c>
      <c r="Q50">
        <f>COUNTIF(Orders[Order ID],Orders[[#This Row],[Order ID]])</f>
        <v>1</v>
      </c>
      <c r="R50" s="10">
        <f>SUMIF(Orders[Order ID], Orders[[#This Row],[Order ID]],Orders[Sales])/Orders[[#This Row],[Order Frequency]]</f>
        <v>13.5</v>
      </c>
      <c r="S50" t="str">
        <f>IF(Orders[[#This Row],[Order Frequency]]&gt;4, "More than 4", IF(AND(Orders[[#This Row],[Order Frequency]]&lt;=4,Orders[[#This Row],[Order Frequency]]&gt;=2), "Between 4 and 2", "Less than 2"))</f>
        <v>Less than 2</v>
      </c>
      <c r="T50" t="str">
        <f>IF(Orders[[#This Row],[Frequency Group]]="less than 2", "Low Value", IF(Orders[[#This Row],[Frequency Group]]="between 4 and 2", "Medium Value", "High Value"))</f>
        <v>Low Value</v>
      </c>
      <c r="U50" t="str">
        <f>IF(Orders[[#This Row],[Sales]]&lt;50, "$0-50", IF(AND(Orders[[#This Row],[Sales]]&gt;=50,Orders[[#This Row],[Sales]]&lt;=100), "$50-100", IF(AND(Orders[[#This Row],[Sales]]&gt;100,Orders[[#This Row],[Sales]]&lt;=150), "$101-150", "$150+")))</f>
        <v>$0-50</v>
      </c>
      <c r="V50" t="str">
        <f>IF(Orders[[#This Row],[Sales]]&gt;MEDIAN(M:M), "High Price", "Low Price")</f>
        <v>Low Price</v>
      </c>
      <c r="W50" t="str">
        <f>IF(Orders[[#This Row],[Quantity]]&gt;MEDIAN(E:E), "High Volume", "Low Volume")</f>
        <v>Low Volume</v>
      </c>
      <c r="X50" t="str">
        <f>Orders[[#This Row],[Sales Tier]] &amp; "-" &amp; Orders[[#This Row],[Quantity Tier]]</f>
        <v>Low Price-Low Volume</v>
      </c>
      <c r="Y50" t="str">
        <f>TEXT(Orders[[#This Row],[Order Date]], "mmmm")</f>
        <v>March</v>
      </c>
      <c r="Z5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50" t="str">
        <f>Orders[[#This Row],[Coffee Type Name]] &amp; "-" &amp; Orders[[#This Row],[Roast Type Name]]</f>
        <v>Arabica-Medium</v>
      </c>
      <c r="AB5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51" spans="1:28" x14ac:dyDescent="0.25">
      <c r="A51" s="2" t="s">
        <v>4488</v>
      </c>
      <c r="B51" s="4">
        <v>43804</v>
      </c>
      <c r="C51" s="2" t="s">
        <v>4489</v>
      </c>
      <c r="D51" t="s">
        <v>6157</v>
      </c>
      <c r="E51" s="2">
        <v>2</v>
      </c>
      <c r="F51" s="2" t="str">
        <f>_xlfn.XLOOKUP(C51,customers!$A$1:$A$1001,customers!$B$1:$B$1001,,0)</f>
        <v>Shelli De Banke</v>
      </c>
      <c r="G51" s="2" t="str">
        <f>IF(_xlfn.XLOOKUP(C51,customers!$A$1:$A$1001,customers!$C$1:$C$1001,,0)=0,"",_xlfn.XLOOKUP(C51,customers!$A$1:$A$1001,customers!$C$1:$C$1001,,0))</f>
        <v>sdejo@newsvine.com</v>
      </c>
      <c r="H51" s="2" t="str">
        <f>_xlfn.XLOOKUP(C51,customers!$A$1:$A$1001,customers!$G$1:$G$1001,,0)</f>
        <v>United States</v>
      </c>
      <c r="I51" t="str">
        <f>INDEX(products!$A$1:$G$49, MATCH(orders!$D710,products!$A$1:$A757,0), MATCH(orders!I$1,products!$A$1:$G$1,0))</f>
        <v>Ara</v>
      </c>
      <c r="J51" t="str">
        <f>INDEX(products!$A$1:$G$49, MATCH(orders!$D710,products!$A$1:$A757,0), MATCH(orders!J$1,products!$A$1:$G$1,0))</f>
        <v>M</v>
      </c>
      <c r="K51" s="5">
        <f>INDEX(products!$A$1:$G$49, MATCH(orders!$D710,products!$A$1:$A757,0), MATCH(orders!K$1,products!$A$1:$G$1,0))</f>
        <v>0.5</v>
      </c>
      <c r="L51" s="6">
        <f>INDEX(products!$A$1:$G$49, MATCH(orders!$D710,products!$A$1:$A757,0), MATCH(orders!L$1,products!$A$1:$G$1,0))</f>
        <v>6.75</v>
      </c>
      <c r="M51" s="6">
        <f t="shared" si="0"/>
        <v>13.5</v>
      </c>
      <c r="N51" t="str">
        <f t="shared" si="1"/>
        <v>Arabica</v>
      </c>
      <c r="O51" t="str">
        <f t="shared" si="2"/>
        <v>Medium</v>
      </c>
      <c r="P51" t="str">
        <f>_xlfn.XLOOKUP(Orders[[#This Row],[Customer ID]],customers!$A$1:$A$1001,customers!$I$1:$I$1001,,0)</f>
        <v>Yes</v>
      </c>
      <c r="Q51">
        <f>COUNTIF(Orders[Order ID],Orders[[#This Row],[Order ID]])</f>
        <v>1</v>
      </c>
      <c r="R51" s="10">
        <f>SUMIF(Orders[Order ID], Orders[[#This Row],[Order ID]],Orders[Sales])/Orders[[#This Row],[Order Frequency]]</f>
        <v>13.5</v>
      </c>
      <c r="S51" t="str">
        <f>IF(Orders[[#This Row],[Order Frequency]]&gt;4, "More than 4", IF(AND(Orders[[#This Row],[Order Frequency]]&lt;=4,Orders[[#This Row],[Order Frequency]]&gt;=2), "Between 4 and 2", "Less than 2"))</f>
        <v>Less than 2</v>
      </c>
      <c r="T51" t="str">
        <f>IF(Orders[[#This Row],[Frequency Group]]="less than 2", "Low Value", IF(Orders[[#This Row],[Frequency Group]]="between 4 and 2", "Medium Value", "High Value"))</f>
        <v>Low Value</v>
      </c>
      <c r="U51" t="str">
        <f>IF(Orders[[#This Row],[Sales]]&lt;50, "$0-50", IF(AND(Orders[[#This Row],[Sales]]&gt;=50,Orders[[#This Row],[Sales]]&lt;=100), "$50-100", IF(AND(Orders[[#This Row],[Sales]]&gt;100,Orders[[#This Row],[Sales]]&lt;=150), "$101-150", "$150+")))</f>
        <v>$0-50</v>
      </c>
      <c r="V51" t="str">
        <f>IF(Orders[[#This Row],[Sales]]&gt;MEDIAN(M:M), "High Price", "Low Price")</f>
        <v>Low Price</v>
      </c>
      <c r="W51" t="str">
        <f>IF(Orders[[#This Row],[Quantity]]&gt;MEDIAN(E:E), "High Volume", "Low Volume")</f>
        <v>Low Volume</v>
      </c>
      <c r="X51" t="str">
        <f>Orders[[#This Row],[Sales Tier]] &amp; "-" &amp; Orders[[#This Row],[Quantity Tier]]</f>
        <v>Low Price-Low Volume</v>
      </c>
      <c r="Y51" t="str">
        <f>TEXT(Orders[[#This Row],[Order Date]], "mmmm")</f>
        <v>December</v>
      </c>
      <c r="Z5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51" t="str">
        <f>Orders[[#This Row],[Coffee Type Name]] &amp; "-" &amp; Orders[[#This Row],[Roast Type Name]]</f>
        <v>Arabica-Medium</v>
      </c>
      <c r="AB5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52" spans="1:28" x14ac:dyDescent="0.25">
      <c r="A52" s="2" t="s">
        <v>1725</v>
      </c>
      <c r="B52" s="4">
        <v>44777</v>
      </c>
      <c r="C52" s="2" t="s">
        <v>1726</v>
      </c>
      <c r="D52" t="s">
        <v>6178</v>
      </c>
      <c r="E52" s="2">
        <v>3</v>
      </c>
      <c r="F52" s="2" t="str">
        <f>_xlfn.XLOOKUP(C52,customers!$A$1:$A$1001,customers!$B$1:$B$1001,,0)</f>
        <v>Charis Crosier</v>
      </c>
      <c r="G52" s="2" t="str">
        <f>IF(_xlfn.XLOOKUP(C52,customers!$A$1:$A$1001,customers!$C$1:$C$1001,,0)=0,"",_xlfn.XLOOKUP(C52,customers!$A$1:$A$1001,customers!$C$1:$C$1001,,0))</f>
        <v>ccrosier63@xrea.com</v>
      </c>
      <c r="H52" s="2" t="str">
        <f>_xlfn.XLOOKUP(C52,customers!$A$1:$A$1001,customers!$G$1:$G$1001,,0)</f>
        <v>United States</v>
      </c>
      <c r="I52" t="str">
        <f>INDEX(products!$A$1:$G$49, MATCH(orders!$D221,products!$A$1:$A268,0), MATCH(orders!I$1,products!$A$1:$G$1,0))</f>
        <v>Rob</v>
      </c>
      <c r="J52" t="str">
        <f>INDEX(products!$A$1:$G$49, MATCH(orders!$D221,products!$A$1:$A268,0), MATCH(orders!J$1,products!$A$1:$G$1,0))</f>
        <v>L</v>
      </c>
      <c r="K52" s="5">
        <f>INDEX(products!$A$1:$G$49, MATCH(orders!$D221,products!$A$1:$A268,0), MATCH(orders!K$1,products!$A$1:$G$1,0))</f>
        <v>0.2</v>
      </c>
      <c r="L52" s="6">
        <f>INDEX(products!$A$1:$G$49, MATCH(orders!$D221,products!$A$1:$A268,0), MATCH(orders!L$1,products!$A$1:$G$1,0))</f>
        <v>3.5849999999999995</v>
      </c>
      <c r="M52" s="6">
        <f t="shared" si="0"/>
        <v>10.754999999999999</v>
      </c>
      <c r="N52" t="str">
        <f t="shared" si="1"/>
        <v>Robusta</v>
      </c>
      <c r="O52" t="str">
        <f t="shared" si="2"/>
        <v>Light</v>
      </c>
      <c r="P52" t="str">
        <f>_xlfn.XLOOKUP(Orders[[#This Row],[Customer ID]],customers!$A$1:$A$1001,customers!$I$1:$I$1001,,0)</f>
        <v>No</v>
      </c>
      <c r="Q52">
        <f>COUNTIF(Orders[Order ID],Orders[[#This Row],[Order ID]])</f>
        <v>2</v>
      </c>
      <c r="R52" s="10">
        <f>SUMIF(Orders[Order ID], Orders[[#This Row],[Order ID]],Orders[Sales])/Orders[[#This Row],[Order Frequency]]</f>
        <v>12.84</v>
      </c>
      <c r="S52" t="str">
        <f>IF(Orders[[#This Row],[Order Frequency]]&gt;4, "More than 4", IF(AND(Orders[[#This Row],[Order Frequency]]&lt;=4,Orders[[#This Row],[Order Frequency]]&gt;=2), "Between 4 and 2", "Less than 2"))</f>
        <v>Between 4 and 2</v>
      </c>
      <c r="T52" t="str">
        <f>IF(Orders[[#This Row],[Frequency Group]]="less than 2", "Low Value", IF(Orders[[#This Row],[Frequency Group]]="between 4 and 2", "Medium Value", "High Value"))</f>
        <v>Medium Value</v>
      </c>
      <c r="U52" t="str">
        <f>IF(Orders[[#This Row],[Sales]]&lt;50, "$0-50", IF(AND(Orders[[#This Row],[Sales]]&gt;=50,Orders[[#This Row],[Sales]]&lt;=100), "$50-100", IF(AND(Orders[[#This Row],[Sales]]&gt;100,Orders[[#This Row],[Sales]]&lt;=150), "$101-150", "$150+")))</f>
        <v>$0-50</v>
      </c>
      <c r="V52" t="str">
        <f>IF(Orders[[#This Row],[Sales]]&gt;MEDIAN(M:M), "High Price", "Low Price")</f>
        <v>Low Price</v>
      </c>
      <c r="W52" t="str">
        <f>IF(Orders[[#This Row],[Quantity]]&gt;MEDIAN(E:E), "High Volume", "Low Volume")</f>
        <v>Low Volume</v>
      </c>
      <c r="X52" t="str">
        <f>Orders[[#This Row],[Sales Tier]] &amp; "-" &amp; Orders[[#This Row],[Quantity Tier]]</f>
        <v>Low Price-Low Volume</v>
      </c>
      <c r="Y52" t="str">
        <f>TEXT(Orders[[#This Row],[Order Date]], "mmmm")</f>
        <v>August</v>
      </c>
      <c r="Z5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52" t="str">
        <f>Orders[[#This Row],[Coffee Type Name]] &amp; "-" &amp; Orders[[#This Row],[Roast Type Name]]</f>
        <v>Robusta-Light</v>
      </c>
      <c r="AB5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53" spans="1:28" x14ac:dyDescent="0.25">
      <c r="A53" s="2" t="s">
        <v>1725</v>
      </c>
      <c r="B53" s="4">
        <v>44777</v>
      </c>
      <c r="C53" s="2" t="s">
        <v>1726</v>
      </c>
      <c r="D53" t="s">
        <v>6174</v>
      </c>
      <c r="E53" s="2">
        <v>5</v>
      </c>
      <c r="F53" s="2" t="str">
        <f>_xlfn.XLOOKUP(C53,customers!$A$1:$A$1001,customers!$B$1:$B$1001,,0)</f>
        <v>Charis Crosier</v>
      </c>
      <c r="G53" s="2" t="str">
        <f>IF(_xlfn.XLOOKUP(C53,customers!$A$1:$A$1001,customers!$C$1:$C$1001,,0)=0,"",_xlfn.XLOOKUP(C53,customers!$A$1:$A$1001,customers!$C$1:$C$1001,,0))</f>
        <v>ccrosier63@xrea.com</v>
      </c>
      <c r="H53" s="2" t="str">
        <f>_xlfn.XLOOKUP(C53,customers!$A$1:$A$1001,customers!$G$1:$G$1001,,0)</f>
        <v>United States</v>
      </c>
      <c r="I53" t="str">
        <f>INDEX(products!$A$1:$G$49, MATCH(orders!$D222,products!$A$1:$A269,0), MATCH(orders!I$1,products!$A$1:$G$1,0))</f>
        <v>Rob</v>
      </c>
      <c r="J53" t="str">
        <f>INDEX(products!$A$1:$G$49, MATCH(orders!$D222,products!$A$1:$A269,0), MATCH(orders!J$1,products!$A$1:$G$1,0))</f>
        <v>M</v>
      </c>
      <c r="K53" s="5">
        <f>INDEX(products!$A$1:$G$49, MATCH(orders!$D222,products!$A$1:$A269,0), MATCH(orders!K$1,products!$A$1:$G$1,0))</f>
        <v>0.2</v>
      </c>
      <c r="L53" s="6">
        <f>INDEX(products!$A$1:$G$49, MATCH(orders!$D222,products!$A$1:$A269,0), MATCH(orders!L$1,products!$A$1:$G$1,0))</f>
        <v>2.9849999999999999</v>
      </c>
      <c r="M53" s="6">
        <f t="shared" si="0"/>
        <v>14.924999999999999</v>
      </c>
      <c r="N53" t="str">
        <f t="shared" si="1"/>
        <v>Robusta</v>
      </c>
      <c r="O53" t="str">
        <f t="shared" si="2"/>
        <v>Medium</v>
      </c>
      <c r="P53" t="str">
        <f>_xlfn.XLOOKUP(Orders[[#This Row],[Customer ID]],customers!$A$1:$A$1001,customers!$I$1:$I$1001,,0)</f>
        <v>No</v>
      </c>
      <c r="Q53">
        <f>COUNTIF(Orders[Order ID],Orders[[#This Row],[Order ID]])</f>
        <v>2</v>
      </c>
      <c r="R53" s="10">
        <f>SUMIF(Orders[Order ID], Orders[[#This Row],[Order ID]],Orders[Sales])/Orders[[#This Row],[Order Frequency]]</f>
        <v>12.84</v>
      </c>
      <c r="S53" t="str">
        <f>IF(Orders[[#This Row],[Order Frequency]]&gt;4, "More than 4", IF(AND(Orders[[#This Row],[Order Frequency]]&lt;=4,Orders[[#This Row],[Order Frequency]]&gt;=2), "Between 4 and 2", "Less than 2"))</f>
        <v>Between 4 and 2</v>
      </c>
      <c r="T53" t="str">
        <f>IF(Orders[[#This Row],[Frequency Group]]="less than 2", "Low Value", IF(Orders[[#This Row],[Frequency Group]]="between 4 and 2", "Medium Value", "High Value"))</f>
        <v>Medium Value</v>
      </c>
      <c r="U53" t="str">
        <f>IF(Orders[[#This Row],[Sales]]&lt;50, "$0-50", IF(AND(Orders[[#This Row],[Sales]]&gt;=50,Orders[[#This Row],[Sales]]&lt;=100), "$50-100", IF(AND(Orders[[#This Row],[Sales]]&gt;100,Orders[[#This Row],[Sales]]&lt;=150), "$101-150", "$150+")))</f>
        <v>$0-50</v>
      </c>
      <c r="V53" t="str">
        <f>IF(Orders[[#This Row],[Sales]]&gt;MEDIAN(M:M), "High Price", "Low Price")</f>
        <v>Low Price</v>
      </c>
      <c r="W53" t="str">
        <f>IF(Orders[[#This Row],[Quantity]]&gt;MEDIAN(E:E), "High Volume", "Low Volume")</f>
        <v>High Volume</v>
      </c>
      <c r="X53" t="str">
        <f>Orders[[#This Row],[Sales Tier]] &amp; "-" &amp; Orders[[#This Row],[Quantity Tier]]</f>
        <v>Low Price-High Volume</v>
      </c>
      <c r="Y53" t="str">
        <f>TEXT(Orders[[#This Row],[Order Date]], "mmmm")</f>
        <v>August</v>
      </c>
      <c r="Z5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53" t="str">
        <f>Orders[[#This Row],[Coffee Type Name]] &amp; "-" &amp; Orders[[#This Row],[Roast Type Name]]</f>
        <v>Robusta-Medium</v>
      </c>
      <c r="AB5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54" spans="1:28" x14ac:dyDescent="0.25">
      <c r="A54" s="2" t="s">
        <v>3756</v>
      </c>
      <c r="B54" s="4">
        <v>44720</v>
      </c>
      <c r="C54" s="2" t="s">
        <v>3757</v>
      </c>
      <c r="D54" t="s">
        <v>6184</v>
      </c>
      <c r="E54" s="2">
        <v>3</v>
      </c>
      <c r="F54" s="2" t="str">
        <f>_xlfn.XLOOKUP(C54,customers!$A$1:$A$1001,customers!$B$1:$B$1001,,0)</f>
        <v>Tymon Zanetti</v>
      </c>
      <c r="G54" s="2" t="str">
        <f>IF(_xlfn.XLOOKUP(C54,customers!$A$1:$A$1001,customers!$C$1:$C$1001,,0)=0,"",_xlfn.XLOOKUP(C54,customers!$A$1:$A$1001,customers!$C$1:$C$1001,,0))</f>
        <v>tzanettig2@gravatar.com</v>
      </c>
      <c r="H54" s="2" t="str">
        <f>_xlfn.XLOOKUP(C54,customers!$A$1:$A$1001,customers!$G$1:$G$1001,,0)</f>
        <v>Ireland</v>
      </c>
      <c r="I54" t="str">
        <f>INDEX(products!$A$1:$G$49, MATCH(orders!$D580,products!$A$1:$A627,0), MATCH(orders!I$1,products!$A$1:$G$1,0))</f>
        <v>Exc</v>
      </c>
      <c r="J54" t="str">
        <f>INDEX(products!$A$1:$G$49, MATCH(orders!$D580,products!$A$1:$A627,0), MATCH(orders!J$1,products!$A$1:$G$1,0))</f>
        <v>L</v>
      </c>
      <c r="K54" s="5">
        <f>INDEX(products!$A$1:$G$49, MATCH(orders!$D580,products!$A$1:$A627,0), MATCH(orders!K$1,products!$A$1:$G$1,0))</f>
        <v>0.2</v>
      </c>
      <c r="L54" s="6">
        <f>INDEX(products!$A$1:$G$49, MATCH(orders!$D580,products!$A$1:$A627,0), MATCH(orders!L$1,products!$A$1:$G$1,0))</f>
        <v>4.4550000000000001</v>
      </c>
      <c r="M54" s="6">
        <f t="shared" si="0"/>
        <v>13.365</v>
      </c>
      <c r="N54" t="str">
        <f t="shared" si="1"/>
        <v>Excelsa</v>
      </c>
      <c r="O54" t="str">
        <f t="shared" si="2"/>
        <v>Light</v>
      </c>
      <c r="P54" t="str">
        <f>_xlfn.XLOOKUP(Orders[[#This Row],[Customer ID]],customers!$A$1:$A$1001,customers!$I$1:$I$1001,,0)</f>
        <v>No</v>
      </c>
      <c r="Q54">
        <f>COUNTIF(Orders[Order ID],Orders[[#This Row],[Order ID]])</f>
        <v>2</v>
      </c>
      <c r="R54" s="10">
        <f>SUMIF(Orders[Order ID], Orders[[#This Row],[Order ID]],Orders[Sales])/Orders[[#This Row],[Order Frequency]]</f>
        <v>23.557500000000001</v>
      </c>
      <c r="S54" t="str">
        <f>IF(Orders[[#This Row],[Order Frequency]]&gt;4, "More than 4", IF(AND(Orders[[#This Row],[Order Frequency]]&lt;=4,Orders[[#This Row],[Order Frequency]]&gt;=2), "Between 4 and 2", "Less than 2"))</f>
        <v>Between 4 and 2</v>
      </c>
      <c r="T54" t="str">
        <f>IF(Orders[[#This Row],[Frequency Group]]="less than 2", "Low Value", IF(Orders[[#This Row],[Frequency Group]]="between 4 and 2", "Medium Value", "High Value"))</f>
        <v>Medium Value</v>
      </c>
      <c r="U54" t="str">
        <f>IF(Orders[[#This Row],[Sales]]&lt;50, "$0-50", IF(AND(Orders[[#This Row],[Sales]]&gt;=50,Orders[[#This Row],[Sales]]&lt;=100), "$50-100", IF(AND(Orders[[#This Row],[Sales]]&gt;100,Orders[[#This Row],[Sales]]&lt;=150), "$101-150", "$150+")))</f>
        <v>$0-50</v>
      </c>
      <c r="V54" t="str">
        <f>IF(Orders[[#This Row],[Sales]]&gt;MEDIAN(M:M), "High Price", "Low Price")</f>
        <v>Low Price</v>
      </c>
      <c r="W54" t="str">
        <f>IF(Orders[[#This Row],[Quantity]]&gt;MEDIAN(E:E), "High Volume", "Low Volume")</f>
        <v>Low Volume</v>
      </c>
      <c r="X54" t="str">
        <f>Orders[[#This Row],[Sales Tier]] &amp; "-" &amp; Orders[[#This Row],[Quantity Tier]]</f>
        <v>Low Price-Low Volume</v>
      </c>
      <c r="Y54" t="str">
        <f>TEXT(Orders[[#This Row],[Order Date]], "mmmm")</f>
        <v>June</v>
      </c>
      <c r="Z5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54" t="str">
        <f>Orders[[#This Row],[Coffee Type Name]] &amp; "-" &amp; Orders[[#This Row],[Roast Type Name]]</f>
        <v>Excelsa-Light</v>
      </c>
      <c r="AB5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55" spans="1:28" x14ac:dyDescent="0.25">
      <c r="A55" s="2" t="s">
        <v>3756</v>
      </c>
      <c r="B55" s="4">
        <v>44720</v>
      </c>
      <c r="C55" s="2" t="s">
        <v>3757</v>
      </c>
      <c r="D55" t="s">
        <v>6157</v>
      </c>
      <c r="E55" s="2">
        <v>5</v>
      </c>
      <c r="F55" s="2" t="str">
        <f>_xlfn.XLOOKUP(C55,customers!$A$1:$A$1001,customers!$B$1:$B$1001,,0)</f>
        <v>Tymon Zanetti</v>
      </c>
      <c r="G55" s="2" t="str">
        <f>IF(_xlfn.XLOOKUP(C55,customers!$A$1:$A$1001,customers!$C$1:$C$1001,,0)=0,"",_xlfn.XLOOKUP(C55,customers!$A$1:$A$1001,customers!$C$1:$C$1001,,0))</f>
        <v>tzanettig2@gravatar.com</v>
      </c>
      <c r="H55" s="2" t="str">
        <f>_xlfn.XLOOKUP(C55,customers!$A$1:$A$1001,customers!$G$1:$G$1001,,0)</f>
        <v>Ireland</v>
      </c>
      <c r="I55" t="str">
        <f>INDEX(products!$A$1:$G$49, MATCH(orders!$D581,products!$A$1:$A628,0), MATCH(orders!I$1,products!$A$1:$G$1,0))</f>
        <v>Ara</v>
      </c>
      <c r="J55" t="str">
        <f>INDEX(products!$A$1:$G$49, MATCH(orders!$D581,products!$A$1:$A628,0), MATCH(orders!J$1,products!$A$1:$G$1,0))</f>
        <v>M</v>
      </c>
      <c r="K55" s="5">
        <f>INDEX(products!$A$1:$G$49, MATCH(orders!$D581,products!$A$1:$A628,0), MATCH(orders!K$1,products!$A$1:$G$1,0))</f>
        <v>0.5</v>
      </c>
      <c r="L55" s="6">
        <f>INDEX(products!$A$1:$G$49, MATCH(orders!$D581,products!$A$1:$A628,0), MATCH(orders!L$1,products!$A$1:$G$1,0))</f>
        <v>6.75</v>
      </c>
      <c r="M55" s="6">
        <f t="shared" si="0"/>
        <v>33.75</v>
      </c>
      <c r="N55" t="str">
        <f t="shared" si="1"/>
        <v>Arabica</v>
      </c>
      <c r="O55" t="str">
        <f t="shared" si="2"/>
        <v>Medium</v>
      </c>
      <c r="P55" t="str">
        <f>_xlfn.XLOOKUP(Orders[[#This Row],[Customer ID]],customers!$A$1:$A$1001,customers!$I$1:$I$1001,,0)</f>
        <v>No</v>
      </c>
      <c r="Q55">
        <f>COUNTIF(Orders[Order ID],Orders[[#This Row],[Order ID]])</f>
        <v>2</v>
      </c>
      <c r="R55" s="10">
        <f>SUMIF(Orders[Order ID], Orders[[#This Row],[Order ID]],Orders[Sales])/Orders[[#This Row],[Order Frequency]]</f>
        <v>23.557500000000001</v>
      </c>
      <c r="S55" t="str">
        <f>IF(Orders[[#This Row],[Order Frequency]]&gt;4, "More than 4", IF(AND(Orders[[#This Row],[Order Frequency]]&lt;=4,Orders[[#This Row],[Order Frequency]]&gt;=2), "Between 4 and 2", "Less than 2"))</f>
        <v>Between 4 and 2</v>
      </c>
      <c r="T55" t="str">
        <f>IF(Orders[[#This Row],[Frequency Group]]="less than 2", "Low Value", IF(Orders[[#This Row],[Frequency Group]]="between 4 and 2", "Medium Value", "High Value"))</f>
        <v>Medium Value</v>
      </c>
      <c r="U55" t="str">
        <f>IF(Orders[[#This Row],[Sales]]&lt;50, "$0-50", IF(AND(Orders[[#This Row],[Sales]]&gt;=50,Orders[[#This Row],[Sales]]&lt;=100), "$50-100", IF(AND(Orders[[#This Row],[Sales]]&gt;100,Orders[[#This Row],[Sales]]&lt;=150), "$101-150", "$150+")))</f>
        <v>$0-50</v>
      </c>
      <c r="V55" t="str">
        <f>IF(Orders[[#This Row],[Sales]]&gt;MEDIAN(M:M), "High Price", "Low Price")</f>
        <v>High Price</v>
      </c>
      <c r="W55" t="str">
        <f>IF(Orders[[#This Row],[Quantity]]&gt;MEDIAN(E:E), "High Volume", "Low Volume")</f>
        <v>High Volume</v>
      </c>
      <c r="X55" t="str">
        <f>Orders[[#This Row],[Sales Tier]] &amp; "-" &amp; Orders[[#This Row],[Quantity Tier]]</f>
        <v>High Price-High Volume</v>
      </c>
      <c r="Y55" t="str">
        <f>TEXT(Orders[[#This Row],[Order Date]], "mmmm")</f>
        <v>June</v>
      </c>
      <c r="Z5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55" t="str">
        <f>Orders[[#This Row],[Coffee Type Name]] &amp; "-" &amp; Orders[[#This Row],[Roast Type Name]]</f>
        <v>Arabica-Medium</v>
      </c>
      <c r="AB5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56" spans="1:28" x14ac:dyDescent="0.25">
      <c r="A56" s="2" t="s">
        <v>2824</v>
      </c>
      <c r="B56" s="4">
        <v>43802</v>
      </c>
      <c r="C56" s="2" t="s">
        <v>2825</v>
      </c>
      <c r="D56" t="s">
        <v>6178</v>
      </c>
      <c r="E56" s="2">
        <v>3</v>
      </c>
      <c r="F56" s="2" t="str">
        <f>_xlfn.XLOOKUP(C56,customers!$A$1:$A$1001,customers!$B$1:$B$1001,,0)</f>
        <v>Kiri Avramow</v>
      </c>
      <c r="G56" s="2" t="str">
        <f>IF(_xlfn.XLOOKUP(C56,customers!$A$1:$A$1001,customers!$C$1:$C$1001,,0)=0,"",_xlfn.XLOOKUP(C56,customers!$A$1:$A$1001,customers!$C$1:$C$1001,,0))</f>
        <v/>
      </c>
      <c r="H56" s="2" t="str">
        <f>_xlfn.XLOOKUP(C56,customers!$A$1:$A$1001,customers!$G$1:$G$1001,,0)</f>
        <v>United States</v>
      </c>
      <c r="I56" t="str">
        <f>INDEX(products!$A$1:$G$49, MATCH(orders!$D416,products!$A$1:$A463,0), MATCH(orders!I$1,products!$A$1:$G$1,0))</f>
        <v>Rob</v>
      </c>
      <c r="J56" t="str">
        <f>INDEX(products!$A$1:$G$49, MATCH(orders!$D416,products!$A$1:$A463,0), MATCH(orders!J$1,products!$A$1:$G$1,0))</f>
        <v>L</v>
      </c>
      <c r="K56" s="5">
        <f>INDEX(products!$A$1:$G$49, MATCH(orders!$D416,products!$A$1:$A463,0), MATCH(orders!K$1,products!$A$1:$G$1,0))</f>
        <v>0.2</v>
      </c>
      <c r="L56" s="6">
        <f>INDEX(products!$A$1:$G$49, MATCH(orders!$D416,products!$A$1:$A463,0), MATCH(orders!L$1,products!$A$1:$G$1,0))</f>
        <v>3.5849999999999995</v>
      </c>
      <c r="M56" s="6">
        <f t="shared" si="0"/>
        <v>10.754999999999999</v>
      </c>
      <c r="N56" t="str">
        <f t="shared" si="1"/>
        <v>Robusta</v>
      </c>
      <c r="O56" t="str">
        <f t="shared" si="2"/>
        <v>Light</v>
      </c>
      <c r="P56" t="str">
        <f>_xlfn.XLOOKUP(Orders[[#This Row],[Customer ID]],customers!$A$1:$A$1001,customers!$I$1:$I$1001,,0)</f>
        <v>Yes</v>
      </c>
      <c r="Q56">
        <f>COUNTIF(Orders[Order ID],Orders[[#This Row],[Order ID]])</f>
        <v>1</v>
      </c>
      <c r="R56" s="10">
        <f>SUMIF(Orders[Order ID], Orders[[#This Row],[Order ID]],Orders[Sales])/Orders[[#This Row],[Order Frequency]]</f>
        <v>10.754999999999999</v>
      </c>
      <c r="S56" t="str">
        <f>IF(Orders[[#This Row],[Order Frequency]]&gt;4, "More than 4", IF(AND(Orders[[#This Row],[Order Frequency]]&lt;=4,Orders[[#This Row],[Order Frequency]]&gt;=2), "Between 4 and 2", "Less than 2"))</f>
        <v>Less than 2</v>
      </c>
      <c r="T56" t="str">
        <f>IF(Orders[[#This Row],[Frequency Group]]="less than 2", "Low Value", IF(Orders[[#This Row],[Frequency Group]]="between 4 and 2", "Medium Value", "High Value"))</f>
        <v>Low Value</v>
      </c>
      <c r="U56" t="str">
        <f>IF(Orders[[#This Row],[Sales]]&lt;50, "$0-50", IF(AND(Orders[[#This Row],[Sales]]&gt;=50,Orders[[#This Row],[Sales]]&lt;=100), "$50-100", IF(AND(Orders[[#This Row],[Sales]]&gt;100,Orders[[#This Row],[Sales]]&lt;=150), "$101-150", "$150+")))</f>
        <v>$0-50</v>
      </c>
      <c r="V56" t="str">
        <f>IF(Orders[[#This Row],[Sales]]&gt;MEDIAN(M:M), "High Price", "Low Price")</f>
        <v>Low Price</v>
      </c>
      <c r="W56" t="str">
        <f>IF(Orders[[#This Row],[Quantity]]&gt;MEDIAN(E:E), "High Volume", "Low Volume")</f>
        <v>Low Volume</v>
      </c>
      <c r="X56" t="str">
        <f>Orders[[#This Row],[Sales Tier]] &amp; "-" &amp; Orders[[#This Row],[Quantity Tier]]</f>
        <v>Low Price-Low Volume</v>
      </c>
      <c r="Y56" t="str">
        <f>TEXT(Orders[[#This Row],[Order Date]], "mmmm")</f>
        <v>December</v>
      </c>
      <c r="Z5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56" t="str">
        <f>Orders[[#This Row],[Coffee Type Name]] &amp; "-" &amp; Orders[[#This Row],[Roast Type Name]]</f>
        <v>Robusta-Light</v>
      </c>
      <c r="AB5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57" spans="1:28" x14ac:dyDescent="0.25">
      <c r="A57" s="2" t="s">
        <v>4781</v>
      </c>
      <c r="B57" s="4">
        <v>44126</v>
      </c>
      <c r="C57" s="2" t="s">
        <v>4782</v>
      </c>
      <c r="D57" t="s">
        <v>6165</v>
      </c>
      <c r="E57" s="2">
        <v>1</v>
      </c>
      <c r="F57" s="2" t="str">
        <f>_xlfn.XLOOKUP(C57,customers!$A$1:$A$1001,customers!$B$1:$B$1001,,0)</f>
        <v>Dallas Yarham</v>
      </c>
      <c r="G57" s="2" t="str">
        <f>IF(_xlfn.XLOOKUP(C57,customers!$A$1:$A$1001,customers!$C$1:$C$1001,,0)=0,"",_xlfn.XLOOKUP(C57,customers!$A$1:$A$1001,customers!$C$1:$C$1001,,0))</f>
        <v>dyarhaml3@moonfruit.com</v>
      </c>
      <c r="H57" s="2" t="str">
        <f>_xlfn.XLOOKUP(C57,customers!$A$1:$A$1001,customers!$G$1:$G$1001,,0)</f>
        <v>United States</v>
      </c>
      <c r="I57" t="str">
        <f>INDEX(products!$A$1:$G$49, MATCH(orders!$D761,products!$A$1:$A808,0), MATCH(orders!I$1,products!$A$1:$G$1,0))</f>
        <v>Lib</v>
      </c>
      <c r="J57" t="str">
        <f>INDEX(products!$A$1:$G$49, MATCH(orders!$D761,products!$A$1:$A808,0), MATCH(orders!J$1,products!$A$1:$G$1,0))</f>
        <v>D</v>
      </c>
      <c r="K57" s="5">
        <f>INDEX(products!$A$1:$G$49, MATCH(orders!$D761,products!$A$1:$A808,0), MATCH(orders!K$1,products!$A$1:$G$1,0))</f>
        <v>2.5</v>
      </c>
      <c r="L57" s="6">
        <f>INDEX(products!$A$1:$G$49, MATCH(orders!$D761,products!$A$1:$A808,0), MATCH(orders!L$1,products!$A$1:$G$1,0))</f>
        <v>29.784999999999997</v>
      </c>
      <c r="M57" s="6">
        <f t="shared" si="0"/>
        <v>29.784999999999997</v>
      </c>
      <c r="N57" t="str">
        <f t="shared" si="1"/>
        <v>Liberica</v>
      </c>
      <c r="O57" t="str">
        <f t="shared" si="2"/>
        <v>Dark</v>
      </c>
      <c r="P57" t="str">
        <f>_xlfn.XLOOKUP(Orders[[#This Row],[Customer ID]],customers!$A$1:$A$1001,customers!$I$1:$I$1001,,0)</f>
        <v>Yes</v>
      </c>
      <c r="Q57">
        <f>COUNTIF(Orders[Order ID],Orders[[#This Row],[Order ID]])</f>
        <v>1</v>
      </c>
      <c r="R57" s="10">
        <f>SUMIF(Orders[Order ID], Orders[[#This Row],[Order ID]],Orders[Sales])/Orders[[#This Row],[Order Frequency]]</f>
        <v>29.784999999999997</v>
      </c>
      <c r="S57" t="str">
        <f>IF(Orders[[#This Row],[Order Frequency]]&gt;4, "More than 4", IF(AND(Orders[[#This Row],[Order Frequency]]&lt;=4,Orders[[#This Row],[Order Frequency]]&gt;=2), "Between 4 and 2", "Less than 2"))</f>
        <v>Less than 2</v>
      </c>
      <c r="T57" t="str">
        <f>IF(Orders[[#This Row],[Frequency Group]]="less than 2", "Low Value", IF(Orders[[#This Row],[Frequency Group]]="between 4 and 2", "Medium Value", "High Value"))</f>
        <v>Low Value</v>
      </c>
      <c r="U57" t="str">
        <f>IF(Orders[[#This Row],[Sales]]&lt;50, "$0-50", IF(AND(Orders[[#This Row],[Sales]]&gt;=50,Orders[[#This Row],[Sales]]&lt;=100), "$50-100", IF(AND(Orders[[#This Row],[Sales]]&gt;100,Orders[[#This Row],[Sales]]&lt;=150), "$101-150", "$150+")))</f>
        <v>$0-50</v>
      </c>
      <c r="V57" t="str">
        <f>IF(Orders[[#This Row],[Sales]]&gt;MEDIAN(M:M), "High Price", "Low Price")</f>
        <v>Low Price</v>
      </c>
      <c r="W57" t="str">
        <f>IF(Orders[[#This Row],[Quantity]]&gt;MEDIAN(E:E), "High Volume", "Low Volume")</f>
        <v>Low Volume</v>
      </c>
      <c r="X57" t="str">
        <f>Orders[[#This Row],[Sales Tier]] &amp; "-" &amp; Orders[[#This Row],[Quantity Tier]]</f>
        <v>Low Price-Low Volume</v>
      </c>
      <c r="Y57" t="str">
        <f>TEXT(Orders[[#This Row],[Order Date]], "mmmm")</f>
        <v>October</v>
      </c>
      <c r="Z5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57" t="str">
        <f>Orders[[#This Row],[Coffee Type Name]] &amp; "-" &amp; Orders[[#This Row],[Roast Type Name]]</f>
        <v>Liberica-Dark</v>
      </c>
      <c r="AB5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58" spans="1:28" x14ac:dyDescent="0.25">
      <c r="A58" s="2" t="s">
        <v>1701</v>
      </c>
      <c r="B58" s="4">
        <v>43829</v>
      </c>
      <c r="C58" s="2" t="s">
        <v>1702</v>
      </c>
      <c r="D58" t="s">
        <v>6150</v>
      </c>
      <c r="E58" s="2">
        <v>6</v>
      </c>
      <c r="F58" s="2" t="str">
        <f>_xlfn.XLOOKUP(C58,customers!$A$1:$A$1001,customers!$B$1:$B$1001,,0)</f>
        <v>Ilka Gurnee</v>
      </c>
      <c r="G58" s="2" t="str">
        <f>IF(_xlfn.XLOOKUP(C58,customers!$A$1:$A$1001,customers!$C$1:$C$1001,,0)=0,"",_xlfn.XLOOKUP(C58,customers!$A$1:$A$1001,customers!$C$1:$C$1001,,0))</f>
        <v>igurnee5z@usnews.com</v>
      </c>
      <c r="H58" s="2" t="str">
        <f>_xlfn.XLOOKUP(C58,customers!$A$1:$A$1001,customers!$G$1:$G$1001,,0)</f>
        <v>United States</v>
      </c>
      <c r="I58" t="str">
        <f>INDEX(products!$A$1:$G$49, MATCH(orders!$D217,products!$A$1:$A264,0), MATCH(orders!I$1,products!$A$1:$G$1,0))</f>
        <v>Lib</v>
      </c>
      <c r="J58" t="str">
        <f>INDEX(products!$A$1:$G$49, MATCH(orders!$D217,products!$A$1:$A264,0), MATCH(orders!J$1,products!$A$1:$G$1,0))</f>
        <v>D</v>
      </c>
      <c r="K58" s="5">
        <f>INDEX(products!$A$1:$G$49, MATCH(orders!$D217,products!$A$1:$A264,0), MATCH(orders!K$1,products!$A$1:$G$1,0))</f>
        <v>0.2</v>
      </c>
      <c r="L58" s="6">
        <f>INDEX(products!$A$1:$G$49, MATCH(orders!$D217,products!$A$1:$A264,0), MATCH(orders!L$1,products!$A$1:$G$1,0))</f>
        <v>3.8849999999999998</v>
      </c>
      <c r="M58" s="6">
        <f t="shared" si="0"/>
        <v>23.31</v>
      </c>
      <c r="N58" t="str">
        <f t="shared" si="1"/>
        <v>Liberica</v>
      </c>
      <c r="O58" t="str">
        <f t="shared" si="2"/>
        <v>Dark</v>
      </c>
      <c r="P58" t="str">
        <f>_xlfn.XLOOKUP(Orders[[#This Row],[Customer ID]],customers!$A$1:$A$1001,customers!$I$1:$I$1001,,0)</f>
        <v>No</v>
      </c>
      <c r="Q58">
        <f>COUNTIF(Orders[Order ID],Orders[[#This Row],[Order ID]])</f>
        <v>1</v>
      </c>
      <c r="R58" s="10">
        <f>SUMIF(Orders[Order ID], Orders[[#This Row],[Order ID]],Orders[Sales])/Orders[[#This Row],[Order Frequency]]</f>
        <v>23.31</v>
      </c>
      <c r="S58" t="str">
        <f>IF(Orders[[#This Row],[Order Frequency]]&gt;4, "More than 4", IF(AND(Orders[[#This Row],[Order Frequency]]&lt;=4,Orders[[#This Row],[Order Frequency]]&gt;=2), "Between 4 and 2", "Less than 2"))</f>
        <v>Less than 2</v>
      </c>
      <c r="T58" t="str">
        <f>IF(Orders[[#This Row],[Frequency Group]]="less than 2", "Low Value", IF(Orders[[#This Row],[Frequency Group]]="between 4 and 2", "Medium Value", "High Value"))</f>
        <v>Low Value</v>
      </c>
      <c r="U58" t="str">
        <f>IF(Orders[[#This Row],[Sales]]&lt;50, "$0-50", IF(AND(Orders[[#This Row],[Sales]]&gt;=50,Orders[[#This Row],[Sales]]&lt;=100), "$50-100", IF(AND(Orders[[#This Row],[Sales]]&gt;100,Orders[[#This Row],[Sales]]&lt;=150), "$101-150", "$150+")))</f>
        <v>$0-50</v>
      </c>
      <c r="V58" t="str">
        <f>IF(Orders[[#This Row],[Sales]]&gt;MEDIAN(M:M), "High Price", "Low Price")</f>
        <v>Low Price</v>
      </c>
      <c r="W58" t="str">
        <f>IF(Orders[[#This Row],[Quantity]]&gt;MEDIAN(E:E), "High Volume", "Low Volume")</f>
        <v>High Volume</v>
      </c>
      <c r="X58" t="str">
        <f>Orders[[#This Row],[Sales Tier]] &amp; "-" &amp; Orders[[#This Row],[Quantity Tier]]</f>
        <v>Low Price-High Volume</v>
      </c>
      <c r="Y58" t="str">
        <f>TEXT(Orders[[#This Row],[Order Date]], "mmmm")</f>
        <v>December</v>
      </c>
      <c r="Z5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58" t="str">
        <f>Orders[[#This Row],[Coffee Type Name]] &amp; "-" &amp; Orders[[#This Row],[Roast Type Name]]</f>
        <v>Liberica-Dark</v>
      </c>
      <c r="AB5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59" spans="1:28" x14ac:dyDescent="0.25">
      <c r="A59" s="2" t="s">
        <v>2597</v>
      </c>
      <c r="B59" s="4">
        <v>44125</v>
      </c>
      <c r="C59" s="2" t="s">
        <v>2598</v>
      </c>
      <c r="D59" t="s">
        <v>6161</v>
      </c>
      <c r="E59" s="2">
        <v>4</v>
      </c>
      <c r="F59" s="2" t="str">
        <f>_xlfn.XLOOKUP(C59,customers!$A$1:$A$1001,customers!$B$1:$B$1001,,0)</f>
        <v>Gothart Bamfield</v>
      </c>
      <c r="G59" s="2" t="str">
        <f>IF(_xlfn.XLOOKUP(C59,customers!$A$1:$A$1001,customers!$C$1:$C$1001,,0)=0,"",_xlfn.XLOOKUP(C59,customers!$A$1:$A$1001,customers!$C$1:$C$1001,,0))</f>
        <v>gbamfieldae@yellowpages.com</v>
      </c>
      <c r="H59" s="2" t="str">
        <f>_xlfn.XLOOKUP(C59,customers!$A$1:$A$1001,customers!$G$1:$G$1001,,0)</f>
        <v>United States</v>
      </c>
      <c r="I59" t="str">
        <f>INDEX(products!$A$1:$G$49, MATCH(orders!$D376,products!$A$1:$A423,0), MATCH(orders!I$1,products!$A$1:$G$1,0))</f>
        <v>Lib</v>
      </c>
      <c r="J59" t="str">
        <f>INDEX(products!$A$1:$G$49, MATCH(orders!$D376,products!$A$1:$A423,0), MATCH(orders!J$1,products!$A$1:$G$1,0))</f>
        <v>L</v>
      </c>
      <c r="K59" s="5">
        <f>INDEX(products!$A$1:$G$49, MATCH(orders!$D376,products!$A$1:$A423,0), MATCH(orders!K$1,products!$A$1:$G$1,0))</f>
        <v>0.5</v>
      </c>
      <c r="L59" s="6">
        <f>INDEX(products!$A$1:$G$49, MATCH(orders!$D376,products!$A$1:$A423,0), MATCH(orders!L$1,products!$A$1:$G$1,0))</f>
        <v>9.51</v>
      </c>
      <c r="M59" s="6">
        <f t="shared" si="0"/>
        <v>38.04</v>
      </c>
      <c r="N59" t="str">
        <f t="shared" si="1"/>
        <v>Liberica</v>
      </c>
      <c r="O59" t="str">
        <f t="shared" si="2"/>
        <v>Light</v>
      </c>
      <c r="P59" t="str">
        <f>_xlfn.XLOOKUP(Orders[[#This Row],[Customer ID]],customers!$A$1:$A$1001,customers!$I$1:$I$1001,,0)</f>
        <v>Yes</v>
      </c>
      <c r="Q59">
        <f>COUNTIF(Orders[Order ID],Orders[[#This Row],[Order ID]])</f>
        <v>1</v>
      </c>
      <c r="R59" s="10">
        <f>SUMIF(Orders[Order ID], Orders[[#This Row],[Order ID]],Orders[Sales])/Orders[[#This Row],[Order Frequency]]</f>
        <v>38.04</v>
      </c>
      <c r="S59" t="str">
        <f>IF(Orders[[#This Row],[Order Frequency]]&gt;4, "More than 4", IF(AND(Orders[[#This Row],[Order Frequency]]&lt;=4,Orders[[#This Row],[Order Frequency]]&gt;=2), "Between 4 and 2", "Less than 2"))</f>
        <v>Less than 2</v>
      </c>
      <c r="T59" t="str">
        <f>IF(Orders[[#This Row],[Frequency Group]]="less than 2", "Low Value", IF(Orders[[#This Row],[Frequency Group]]="between 4 and 2", "Medium Value", "High Value"))</f>
        <v>Low Value</v>
      </c>
      <c r="U59" t="str">
        <f>IF(Orders[[#This Row],[Sales]]&lt;50, "$0-50", IF(AND(Orders[[#This Row],[Sales]]&gt;=50,Orders[[#This Row],[Sales]]&lt;=100), "$50-100", IF(AND(Orders[[#This Row],[Sales]]&gt;100,Orders[[#This Row],[Sales]]&lt;=150), "$101-150", "$150+")))</f>
        <v>$0-50</v>
      </c>
      <c r="V59" t="str">
        <f>IF(Orders[[#This Row],[Sales]]&gt;MEDIAN(M:M), "High Price", "Low Price")</f>
        <v>High Price</v>
      </c>
      <c r="W59" t="str">
        <f>IF(Orders[[#This Row],[Quantity]]&gt;MEDIAN(E:E), "High Volume", "Low Volume")</f>
        <v>Low Volume</v>
      </c>
      <c r="X59" t="str">
        <f>Orders[[#This Row],[Sales Tier]] &amp; "-" &amp; Orders[[#This Row],[Quantity Tier]]</f>
        <v>High Price-Low Volume</v>
      </c>
      <c r="Y59" t="str">
        <f>TEXT(Orders[[#This Row],[Order Date]], "mmmm")</f>
        <v>October</v>
      </c>
      <c r="Z5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59" t="str">
        <f>Orders[[#This Row],[Coffee Type Name]] &amp; "-" &amp; Orders[[#This Row],[Roast Type Name]]</f>
        <v>Liberica-Light</v>
      </c>
      <c r="AB5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60" spans="1:28" x14ac:dyDescent="0.25">
      <c r="A60" s="2" t="s">
        <v>1626</v>
      </c>
      <c r="B60" s="4">
        <v>44486</v>
      </c>
      <c r="C60" s="2" t="s">
        <v>1627</v>
      </c>
      <c r="D60" t="s">
        <v>6165</v>
      </c>
      <c r="E60" s="2">
        <v>6</v>
      </c>
      <c r="F60" s="2" t="str">
        <f>_xlfn.XLOOKUP(C60,customers!$A$1:$A$1001,customers!$B$1:$B$1001,,0)</f>
        <v>Tallie felip</v>
      </c>
      <c r="G60" s="2" t="str">
        <f>IF(_xlfn.XLOOKUP(C60,customers!$A$1:$A$1001,customers!$C$1:$C$1001,,0)=0,"",_xlfn.XLOOKUP(C60,customers!$A$1:$A$1001,customers!$C$1:$C$1001,,0))</f>
        <v>tfelip5m@typepad.com</v>
      </c>
      <c r="H60" s="2" t="str">
        <f>_xlfn.XLOOKUP(C60,customers!$A$1:$A$1001,customers!$G$1:$G$1001,,0)</f>
        <v>United States</v>
      </c>
      <c r="I60" t="str">
        <f>INDEX(products!$A$1:$G$49, MATCH(orders!$D204,products!$A$1:$A251,0), MATCH(orders!I$1,products!$A$1:$G$1,0))</f>
        <v>Lib</v>
      </c>
      <c r="J60" t="str">
        <f>INDEX(products!$A$1:$G$49, MATCH(orders!$D204,products!$A$1:$A251,0), MATCH(orders!J$1,products!$A$1:$G$1,0))</f>
        <v>D</v>
      </c>
      <c r="K60" s="5">
        <f>INDEX(products!$A$1:$G$49, MATCH(orders!$D204,products!$A$1:$A251,0), MATCH(orders!K$1,products!$A$1:$G$1,0))</f>
        <v>2.5</v>
      </c>
      <c r="L60" s="6">
        <f>INDEX(products!$A$1:$G$49, MATCH(orders!$D204,products!$A$1:$A251,0), MATCH(orders!L$1,products!$A$1:$G$1,0))</f>
        <v>29.784999999999997</v>
      </c>
      <c r="M60" s="6">
        <f t="shared" si="0"/>
        <v>178.70999999999998</v>
      </c>
      <c r="N60" t="str">
        <f t="shared" si="1"/>
        <v>Liberica</v>
      </c>
      <c r="O60" t="str">
        <f t="shared" si="2"/>
        <v>Dark</v>
      </c>
      <c r="P60" t="str">
        <f>_xlfn.XLOOKUP(Orders[[#This Row],[Customer ID]],customers!$A$1:$A$1001,customers!$I$1:$I$1001,,0)</f>
        <v>Yes</v>
      </c>
      <c r="Q60">
        <f>COUNTIF(Orders[Order ID],Orders[[#This Row],[Order ID]])</f>
        <v>1</v>
      </c>
      <c r="R60" s="10">
        <f>SUMIF(Orders[Order ID], Orders[[#This Row],[Order ID]],Orders[Sales])/Orders[[#This Row],[Order Frequency]]</f>
        <v>178.70999999999998</v>
      </c>
      <c r="S60" t="str">
        <f>IF(Orders[[#This Row],[Order Frequency]]&gt;4, "More than 4", IF(AND(Orders[[#This Row],[Order Frequency]]&lt;=4,Orders[[#This Row],[Order Frequency]]&gt;=2), "Between 4 and 2", "Less than 2"))</f>
        <v>Less than 2</v>
      </c>
      <c r="T60" t="str">
        <f>IF(Orders[[#This Row],[Frequency Group]]="less than 2", "Low Value", IF(Orders[[#This Row],[Frequency Group]]="between 4 and 2", "Medium Value", "High Value"))</f>
        <v>Low Value</v>
      </c>
      <c r="U60" t="str">
        <f>IF(Orders[[#This Row],[Sales]]&lt;50, "$0-50", IF(AND(Orders[[#This Row],[Sales]]&gt;=50,Orders[[#This Row],[Sales]]&lt;=100), "$50-100", IF(AND(Orders[[#This Row],[Sales]]&gt;100,Orders[[#This Row],[Sales]]&lt;=150), "$101-150", "$150+")))</f>
        <v>$150+</v>
      </c>
      <c r="V60" t="str">
        <f>IF(Orders[[#This Row],[Sales]]&gt;MEDIAN(M:M), "High Price", "Low Price")</f>
        <v>High Price</v>
      </c>
      <c r="W60" t="str">
        <f>IF(Orders[[#This Row],[Quantity]]&gt;MEDIAN(E:E), "High Volume", "Low Volume")</f>
        <v>High Volume</v>
      </c>
      <c r="X60" t="str">
        <f>Orders[[#This Row],[Sales Tier]] &amp; "-" &amp; Orders[[#This Row],[Quantity Tier]]</f>
        <v>High Price-High Volume</v>
      </c>
      <c r="Y60" t="str">
        <f>TEXT(Orders[[#This Row],[Order Date]], "mmmm")</f>
        <v>October</v>
      </c>
      <c r="Z6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60" t="str">
        <f>Orders[[#This Row],[Coffee Type Name]] &amp; "-" &amp; Orders[[#This Row],[Roast Type Name]]</f>
        <v>Liberica-Dark</v>
      </c>
      <c r="AB6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61" spans="1:28" x14ac:dyDescent="0.25">
      <c r="A61" s="2" t="s">
        <v>4062</v>
      </c>
      <c r="B61" s="4">
        <v>43820</v>
      </c>
      <c r="C61" s="2" t="s">
        <v>4063</v>
      </c>
      <c r="D61" t="s">
        <v>6179</v>
      </c>
      <c r="E61" s="2">
        <v>4</v>
      </c>
      <c r="F61" s="2" t="str">
        <f>_xlfn.XLOOKUP(C61,customers!$A$1:$A$1001,customers!$B$1:$B$1001,,0)</f>
        <v>Gaspar McGavin</v>
      </c>
      <c r="G61" s="2" t="str">
        <f>IF(_xlfn.XLOOKUP(C61,customers!$A$1:$A$1001,customers!$C$1:$C$1001,,0)=0,"",_xlfn.XLOOKUP(C61,customers!$A$1:$A$1001,customers!$C$1:$C$1001,,0))</f>
        <v>gmcgavinhl@histats.com</v>
      </c>
      <c r="H61" s="2" t="str">
        <f>_xlfn.XLOOKUP(C61,customers!$A$1:$A$1001,customers!$G$1:$G$1001,,0)</f>
        <v>United States</v>
      </c>
      <c r="I61" t="str">
        <f>INDEX(products!$A$1:$G$49, MATCH(orders!$D635,products!$A$1:$A682,0), MATCH(orders!I$1,products!$A$1:$G$1,0))</f>
        <v>Rob</v>
      </c>
      <c r="J61" t="str">
        <f>INDEX(products!$A$1:$G$49, MATCH(orders!$D635,products!$A$1:$A682,0), MATCH(orders!J$1,products!$A$1:$G$1,0))</f>
        <v>L</v>
      </c>
      <c r="K61" s="5">
        <f>INDEX(products!$A$1:$G$49, MATCH(orders!$D635,products!$A$1:$A682,0), MATCH(orders!K$1,products!$A$1:$G$1,0))</f>
        <v>1</v>
      </c>
      <c r="L61" s="6">
        <f>INDEX(products!$A$1:$G$49, MATCH(orders!$D635,products!$A$1:$A682,0), MATCH(orders!L$1,products!$A$1:$G$1,0))</f>
        <v>11.95</v>
      </c>
      <c r="M61" s="6">
        <f t="shared" si="0"/>
        <v>47.8</v>
      </c>
      <c r="N61" t="str">
        <f t="shared" si="1"/>
        <v>Robusta</v>
      </c>
      <c r="O61" t="str">
        <f t="shared" si="2"/>
        <v>Light</v>
      </c>
      <c r="P61" t="str">
        <f>_xlfn.XLOOKUP(Orders[[#This Row],[Customer ID]],customers!$A$1:$A$1001,customers!$I$1:$I$1001,,0)</f>
        <v>No</v>
      </c>
      <c r="Q61">
        <f>COUNTIF(Orders[Order ID],Orders[[#This Row],[Order ID]])</f>
        <v>1</v>
      </c>
      <c r="R61" s="10">
        <f>SUMIF(Orders[Order ID], Orders[[#This Row],[Order ID]],Orders[Sales])/Orders[[#This Row],[Order Frequency]]</f>
        <v>47.8</v>
      </c>
      <c r="S61" t="str">
        <f>IF(Orders[[#This Row],[Order Frequency]]&gt;4, "More than 4", IF(AND(Orders[[#This Row],[Order Frequency]]&lt;=4,Orders[[#This Row],[Order Frequency]]&gt;=2), "Between 4 and 2", "Less than 2"))</f>
        <v>Less than 2</v>
      </c>
      <c r="T61" t="str">
        <f>IF(Orders[[#This Row],[Frequency Group]]="less than 2", "Low Value", IF(Orders[[#This Row],[Frequency Group]]="between 4 and 2", "Medium Value", "High Value"))</f>
        <v>Low Value</v>
      </c>
      <c r="U61" t="str">
        <f>IF(Orders[[#This Row],[Sales]]&lt;50, "$0-50", IF(AND(Orders[[#This Row],[Sales]]&gt;=50,Orders[[#This Row],[Sales]]&lt;=100), "$50-100", IF(AND(Orders[[#This Row],[Sales]]&gt;100,Orders[[#This Row],[Sales]]&lt;=150), "$101-150", "$150+")))</f>
        <v>$0-50</v>
      </c>
      <c r="V61" t="str">
        <f>IF(Orders[[#This Row],[Sales]]&gt;MEDIAN(M:M), "High Price", "Low Price")</f>
        <v>High Price</v>
      </c>
      <c r="W61" t="str">
        <f>IF(Orders[[#This Row],[Quantity]]&gt;MEDIAN(E:E), "High Volume", "Low Volume")</f>
        <v>Low Volume</v>
      </c>
      <c r="X61" t="str">
        <f>Orders[[#This Row],[Sales Tier]] &amp; "-" &amp; Orders[[#This Row],[Quantity Tier]]</f>
        <v>High Price-Low Volume</v>
      </c>
      <c r="Y61" t="str">
        <f>TEXT(Orders[[#This Row],[Order Date]], "mmmm")</f>
        <v>December</v>
      </c>
      <c r="Z6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61" t="str">
        <f>Orders[[#This Row],[Coffee Type Name]] &amp; "-" &amp; Orders[[#This Row],[Roast Type Name]]</f>
        <v>Robusta-Light</v>
      </c>
      <c r="AB6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62" spans="1:28" x14ac:dyDescent="0.25">
      <c r="A62" s="2" t="s">
        <v>3469</v>
      </c>
      <c r="B62" s="4">
        <v>43517</v>
      </c>
      <c r="C62" s="2" t="s">
        <v>3470</v>
      </c>
      <c r="D62" t="s">
        <v>6139</v>
      </c>
      <c r="E62" s="2">
        <v>5</v>
      </c>
      <c r="F62" s="2" t="str">
        <f>_xlfn.XLOOKUP(C62,customers!$A$1:$A$1001,customers!$B$1:$B$1001,,0)</f>
        <v>Irvine Phillpot</v>
      </c>
      <c r="G62" s="2" t="str">
        <f>IF(_xlfn.XLOOKUP(C62,customers!$A$1:$A$1001,customers!$C$1:$C$1001,,0)=0,"",_xlfn.XLOOKUP(C62,customers!$A$1:$A$1001,customers!$C$1:$C$1001,,0))</f>
        <v>iphillpoten@buzzfeed.com</v>
      </c>
      <c r="H62" s="2" t="str">
        <f>_xlfn.XLOOKUP(C62,customers!$A$1:$A$1001,customers!$G$1:$G$1001,,0)</f>
        <v>United Kingdom</v>
      </c>
      <c r="I62" t="str">
        <f>INDEX(products!$A$1:$G$49, MATCH(orders!$D529,products!$A$1:$A576,0), MATCH(orders!I$1,products!$A$1:$G$1,0))</f>
        <v>Exc</v>
      </c>
      <c r="J62" t="str">
        <f>INDEX(products!$A$1:$G$49, MATCH(orders!$D529,products!$A$1:$A576,0), MATCH(orders!J$1,products!$A$1:$G$1,0))</f>
        <v>M</v>
      </c>
      <c r="K62" s="5">
        <f>INDEX(products!$A$1:$G$49, MATCH(orders!$D529,products!$A$1:$A576,0), MATCH(orders!K$1,products!$A$1:$G$1,0))</f>
        <v>0.5</v>
      </c>
      <c r="L62" s="6">
        <f>INDEX(products!$A$1:$G$49, MATCH(orders!$D529,products!$A$1:$A576,0), MATCH(orders!L$1,products!$A$1:$G$1,0))</f>
        <v>8.25</v>
      </c>
      <c r="M62" s="6">
        <f t="shared" si="0"/>
        <v>41.25</v>
      </c>
      <c r="N62" t="str">
        <f t="shared" si="1"/>
        <v>Excelsa</v>
      </c>
      <c r="O62" t="str">
        <f t="shared" si="2"/>
        <v>Medium</v>
      </c>
      <c r="P62" t="str">
        <f>_xlfn.XLOOKUP(Orders[[#This Row],[Customer ID]],customers!$A$1:$A$1001,customers!$I$1:$I$1001,,0)</f>
        <v>No</v>
      </c>
      <c r="Q62">
        <f>COUNTIF(Orders[Order ID],Orders[[#This Row],[Order ID]])</f>
        <v>1</v>
      </c>
      <c r="R62" s="10">
        <f>SUMIF(Orders[Order ID], Orders[[#This Row],[Order ID]],Orders[Sales])/Orders[[#This Row],[Order Frequency]]</f>
        <v>41.25</v>
      </c>
      <c r="S62" t="str">
        <f>IF(Orders[[#This Row],[Order Frequency]]&gt;4, "More than 4", IF(AND(Orders[[#This Row],[Order Frequency]]&lt;=4,Orders[[#This Row],[Order Frequency]]&gt;=2), "Between 4 and 2", "Less than 2"))</f>
        <v>Less than 2</v>
      </c>
      <c r="T62" t="str">
        <f>IF(Orders[[#This Row],[Frequency Group]]="less than 2", "Low Value", IF(Orders[[#This Row],[Frequency Group]]="between 4 and 2", "Medium Value", "High Value"))</f>
        <v>Low Value</v>
      </c>
      <c r="U62" t="str">
        <f>IF(Orders[[#This Row],[Sales]]&lt;50, "$0-50", IF(AND(Orders[[#This Row],[Sales]]&gt;=50,Orders[[#This Row],[Sales]]&lt;=100), "$50-100", IF(AND(Orders[[#This Row],[Sales]]&gt;100,Orders[[#This Row],[Sales]]&lt;=150), "$101-150", "$150+")))</f>
        <v>$0-50</v>
      </c>
      <c r="V62" t="str">
        <f>IF(Orders[[#This Row],[Sales]]&gt;MEDIAN(M:M), "High Price", "Low Price")</f>
        <v>High Price</v>
      </c>
      <c r="W62" t="str">
        <f>IF(Orders[[#This Row],[Quantity]]&gt;MEDIAN(E:E), "High Volume", "Low Volume")</f>
        <v>High Volume</v>
      </c>
      <c r="X62" t="str">
        <f>Orders[[#This Row],[Sales Tier]] &amp; "-" &amp; Orders[[#This Row],[Quantity Tier]]</f>
        <v>High Price-High Volume</v>
      </c>
      <c r="Y62" t="str">
        <f>TEXT(Orders[[#This Row],[Order Date]], "mmmm")</f>
        <v>February</v>
      </c>
      <c r="Z6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62" t="str">
        <f>Orders[[#This Row],[Coffee Type Name]] &amp; "-" &amp; Orders[[#This Row],[Roast Type Name]]</f>
        <v>Excelsa-Medium</v>
      </c>
      <c r="AB6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63" spans="1:28" x14ac:dyDescent="0.25">
      <c r="A63" s="2" t="s">
        <v>1789</v>
      </c>
      <c r="B63" s="4">
        <v>44496</v>
      </c>
      <c r="C63" s="2" t="s">
        <v>1790</v>
      </c>
      <c r="D63" t="s">
        <v>6175</v>
      </c>
      <c r="E63" s="2">
        <v>2</v>
      </c>
      <c r="F63" s="2" t="str">
        <f>_xlfn.XLOOKUP(C63,customers!$A$1:$A$1001,customers!$B$1:$B$1001,,0)</f>
        <v>Portie Cutchie</v>
      </c>
      <c r="G63" s="2" t="str">
        <f>IF(_xlfn.XLOOKUP(C63,customers!$A$1:$A$1001,customers!$C$1:$C$1001,,0)=0,"",_xlfn.XLOOKUP(C63,customers!$A$1:$A$1001,customers!$C$1:$C$1001,,0))</f>
        <v>pcutchie6e@globo.com</v>
      </c>
      <c r="H63" s="2" t="str">
        <f>_xlfn.XLOOKUP(C63,customers!$A$1:$A$1001,customers!$G$1:$G$1001,,0)</f>
        <v>United States</v>
      </c>
      <c r="I63" t="str">
        <f>INDEX(products!$A$1:$G$49, MATCH(orders!$D232,products!$A$1:$A279,0), MATCH(orders!I$1,products!$A$1:$G$1,0))</f>
        <v>Ara</v>
      </c>
      <c r="J63" t="str">
        <f>INDEX(products!$A$1:$G$49, MATCH(orders!$D232,products!$A$1:$A279,0), MATCH(orders!J$1,products!$A$1:$G$1,0))</f>
        <v>M</v>
      </c>
      <c r="K63" s="5">
        <f>INDEX(products!$A$1:$G$49, MATCH(orders!$D232,products!$A$1:$A279,0), MATCH(orders!K$1,products!$A$1:$G$1,0))</f>
        <v>2.5</v>
      </c>
      <c r="L63" s="6">
        <f>INDEX(products!$A$1:$G$49, MATCH(orders!$D232,products!$A$1:$A279,0), MATCH(orders!L$1,products!$A$1:$G$1,0))</f>
        <v>25.874999999999996</v>
      </c>
      <c r="M63" s="6">
        <f t="shared" si="0"/>
        <v>51.749999999999993</v>
      </c>
      <c r="N63" t="str">
        <f t="shared" si="1"/>
        <v>Arabica</v>
      </c>
      <c r="O63" t="str">
        <f t="shared" si="2"/>
        <v>Medium</v>
      </c>
      <c r="P63" t="str">
        <f>_xlfn.XLOOKUP(Orders[[#This Row],[Customer ID]],customers!$A$1:$A$1001,customers!$I$1:$I$1001,,0)</f>
        <v>No</v>
      </c>
      <c r="Q63">
        <f>COUNTIF(Orders[Order ID],Orders[[#This Row],[Order ID]])</f>
        <v>1</v>
      </c>
      <c r="R63" s="10">
        <f>SUMIF(Orders[Order ID], Orders[[#This Row],[Order ID]],Orders[Sales])/Orders[[#This Row],[Order Frequency]]</f>
        <v>51.749999999999993</v>
      </c>
      <c r="S63" t="str">
        <f>IF(Orders[[#This Row],[Order Frequency]]&gt;4, "More than 4", IF(AND(Orders[[#This Row],[Order Frequency]]&lt;=4,Orders[[#This Row],[Order Frequency]]&gt;=2), "Between 4 and 2", "Less than 2"))</f>
        <v>Less than 2</v>
      </c>
      <c r="T63" t="str">
        <f>IF(Orders[[#This Row],[Frequency Group]]="less than 2", "Low Value", IF(Orders[[#This Row],[Frequency Group]]="between 4 and 2", "Medium Value", "High Value"))</f>
        <v>Low Value</v>
      </c>
      <c r="U63" t="str">
        <f>IF(Orders[[#This Row],[Sales]]&lt;50, "$0-50", IF(AND(Orders[[#This Row],[Sales]]&gt;=50,Orders[[#This Row],[Sales]]&lt;=100), "$50-100", IF(AND(Orders[[#This Row],[Sales]]&gt;100,Orders[[#This Row],[Sales]]&lt;=150), "$101-150", "$150+")))</f>
        <v>$50-100</v>
      </c>
      <c r="V63" t="str">
        <f>IF(Orders[[#This Row],[Sales]]&gt;MEDIAN(M:M), "High Price", "Low Price")</f>
        <v>High Price</v>
      </c>
      <c r="W63" t="str">
        <f>IF(Orders[[#This Row],[Quantity]]&gt;MEDIAN(E:E), "High Volume", "Low Volume")</f>
        <v>Low Volume</v>
      </c>
      <c r="X63" t="str">
        <f>Orders[[#This Row],[Sales Tier]] &amp; "-" &amp; Orders[[#This Row],[Quantity Tier]]</f>
        <v>High Price-Low Volume</v>
      </c>
      <c r="Y63" t="str">
        <f>TEXT(Orders[[#This Row],[Order Date]], "mmmm")</f>
        <v>October</v>
      </c>
      <c r="Z6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63" t="str">
        <f>Orders[[#This Row],[Coffee Type Name]] &amp; "-" &amp; Orders[[#This Row],[Roast Type Name]]</f>
        <v>Arabica-Medium</v>
      </c>
      <c r="AB6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64" spans="1:28" x14ac:dyDescent="0.25">
      <c r="A64" s="2" t="s">
        <v>3834</v>
      </c>
      <c r="B64" s="4">
        <v>44437</v>
      </c>
      <c r="C64" s="2" t="s">
        <v>3835</v>
      </c>
      <c r="D64" t="s">
        <v>6175</v>
      </c>
      <c r="E64" s="2">
        <v>2</v>
      </c>
      <c r="F64" s="2" t="str">
        <f>_xlfn.XLOOKUP(C64,customers!$A$1:$A$1001,customers!$B$1:$B$1001,,0)</f>
        <v>Kylie Mowat</v>
      </c>
      <c r="G64" s="2" t="str">
        <f>IF(_xlfn.XLOOKUP(C64,customers!$A$1:$A$1001,customers!$C$1:$C$1001,,0)=0,"",_xlfn.XLOOKUP(C64,customers!$A$1:$A$1001,customers!$C$1:$C$1001,,0))</f>
        <v/>
      </c>
      <c r="H64" s="2" t="str">
        <f>_xlfn.XLOOKUP(C64,customers!$A$1:$A$1001,customers!$G$1:$G$1001,,0)</f>
        <v>United States</v>
      </c>
      <c r="I64" t="str">
        <f>INDEX(products!$A$1:$G$49, MATCH(orders!$D594,products!$A$1:$A641,0), MATCH(orders!I$1,products!$A$1:$G$1,0))</f>
        <v>Ara</v>
      </c>
      <c r="J64" t="str">
        <f>INDEX(products!$A$1:$G$49, MATCH(orders!$D594,products!$A$1:$A641,0), MATCH(orders!J$1,products!$A$1:$G$1,0))</f>
        <v>M</v>
      </c>
      <c r="K64" s="5">
        <f>INDEX(products!$A$1:$G$49, MATCH(orders!$D594,products!$A$1:$A641,0), MATCH(orders!K$1,products!$A$1:$G$1,0))</f>
        <v>2.5</v>
      </c>
      <c r="L64" s="6">
        <f>INDEX(products!$A$1:$G$49, MATCH(orders!$D594,products!$A$1:$A641,0), MATCH(orders!L$1,products!$A$1:$G$1,0))</f>
        <v>25.874999999999996</v>
      </c>
      <c r="M64" s="6">
        <f t="shared" si="0"/>
        <v>51.749999999999993</v>
      </c>
      <c r="N64" t="str">
        <f t="shared" si="1"/>
        <v>Arabica</v>
      </c>
      <c r="O64" t="str">
        <f t="shared" si="2"/>
        <v>Medium</v>
      </c>
      <c r="P64" t="str">
        <f>_xlfn.XLOOKUP(Orders[[#This Row],[Customer ID]],customers!$A$1:$A$1001,customers!$I$1:$I$1001,,0)</f>
        <v>No</v>
      </c>
      <c r="Q64">
        <f>COUNTIF(Orders[Order ID],Orders[[#This Row],[Order ID]])</f>
        <v>1</v>
      </c>
      <c r="R64" s="10">
        <f>SUMIF(Orders[Order ID], Orders[[#This Row],[Order ID]],Orders[Sales])/Orders[[#This Row],[Order Frequency]]</f>
        <v>51.749999999999993</v>
      </c>
      <c r="S64" t="str">
        <f>IF(Orders[[#This Row],[Order Frequency]]&gt;4, "More than 4", IF(AND(Orders[[#This Row],[Order Frequency]]&lt;=4,Orders[[#This Row],[Order Frequency]]&gt;=2), "Between 4 and 2", "Less than 2"))</f>
        <v>Less than 2</v>
      </c>
      <c r="T64" t="str">
        <f>IF(Orders[[#This Row],[Frequency Group]]="less than 2", "Low Value", IF(Orders[[#This Row],[Frequency Group]]="between 4 and 2", "Medium Value", "High Value"))</f>
        <v>Low Value</v>
      </c>
      <c r="U64" t="str">
        <f>IF(Orders[[#This Row],[Sales]]&lt;50, "$0-50", IF(AND(Orders[[#This Row],[Sales]]&gt;=50,Orders[[#This Row],[Sales]]&lt;=100), "$50-100", IF(AND(Orders[[#This Row],[Sales]]&gt;100,Orders[[#This Row],[Sales]]&lt;=150), "$101-150", "$150+")))</f>
        <v>$50-100</v>
      </c>
      <c r="V64" t="str">
        <f>IF(Orders[[#This Row],[Sales]]&gt;MEDIAN(M:M), "High Price", "Low Price")</f>
        <v>High Price</v>
      </c>
      <c r="W64" t="str">
        <f>IF(Orders[[#This Row],[Quantity]]&gt;MEDIAN(E:E), "High Volume", "Low Volume")</f>
        <v>Low Volume</v>
      </c>
      <c r="X64" t="str">
        <f>Orders[[#This Row],[Sales Tier]] &amp; "-" &amp; Orders[[#This Row],[Quantity Tier]]</f>
        <v>High Price-Low Volume</v>
      </c>
      <c r="Y64" t="str">
        <f>TEXT(Orders[[#This Row],[Order Date]], "mmmm")</f>
        <v>August</v>
      </c>
      <c r="Z6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64" t="str">
        <f>Orders[[#This Row],[Coffee Type Name]] &amp; "-" &amp; Orders[[#This Row],[Roast Type Name]]</f>
        <v>Arabica-Medium</v>
      </c>
      <c r="AB6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65" spans="1:28" x14ac:dyDescent="0.25">
      <c r="A65" s="2" t="s">
        <v>1906</v>
      </c>
      <c r="B65" s="4">
        <v>44360</v>
      </c>
      <c r="C65" s="2" t="s">
        <v>1907</v>
      </c>
      <c r="D65" t="s">
        <v>6141</v>
      </c>
      <c r="E65" s="2">
        <v>5</v>
      </c>
      <c r="F65" s="2" t="str">
        <f>_xlfn.XLOOKUP(C65,customers!$A$1:$A$1001,customers!$B$1:$B$1001,,0)</f>
        <v>Connor Heaviside</v>
      </c>
      <c r="G65" s="2" t="str">
        <f>IF(_xlfn.XLOOKUP(C65,customers!$A$1:$A$1001,customers!$C$1:$C$1001,,0)=0,"",_xlfn.XLOOKUP(C65,customers!$A$1:$A$1001,customers!$C$1:$C$1001,,0))</f>
        <v>cheaviside6z@rediff.com</v>
      </c>
      <c r="H65" s="2" t="str">
        <f>_xlfn.XLOOKUP(C65,customers!$A$1:$A$1001,customers!$G$1:$G$1001,,0)</f>
        <v>United States</v>
      </c>
      <c r="I65" t="str">
        <f>INDEX(products!$A$1:$G$49, MATCH(orders!$D253,products!$A$1:$A300,0), MATCH(orders!I$1,products!$A$1:$G$1,0))</f>
        <v>Exc</v>
      </c>
      <c r="J65" t="str">
        <f>INDEX(products!$A$1:$G$49, MATCH(orders!$D253,products!$A$1:$A300,0), MATCH(orders!J$1,products!$A$1:$G$1,0))</f>
        <v>M</v>
      </c>
      <c r="K65" s="5">
        <f>INDEX(products!$A$1:$G$49, MATCH(orders!$D253,products!$A$1:$A300,0), MATCH(orders!K$1,products!$A$1:$G$1,0))</f>
        <v>1</v>
      </c>
      <c r="L65" s="6">
        <f>INDEX(products!$A$1:$G$49, MATCH(orders!$D253,products!$A$1:$A300,0), MATCH(orders!L$1,products!$A$1:$G$1,0))</f>
        <v>13.75</v>
      </c>
      <c r="M65" s="6">
        <f t="shared" si="0"/>
        <v>68.75</v>
      </c>
      <c r="N65" t="str">
        <f t="shared" si="1"/>
        <v>Excelsa</v>
      </c>
      <c r="O65" t="str">
        <f t="shared" si="2"/>
        <v>Medium</v>
      </c>
      <c r="P65" t="str">
        <f>_xlfn.XLOOKUP(Orders[[#This Row],[Customer ID]],customers!$A$1:$A$1001,customers!$I$1:$I$1001,,0)</f>
        <v>Yes</v>
      </c>
      <c r="Q65">
        <f>COUNTIF(Orders[Order ID],Orders[[#This Row],[Order ID]])</f>
        <v>1</v>
      </c>
      <c r="R65" s="10">
        <f>SUMIF(Orders[Order ID], Orders[[#This Row],[Order ID]],Orders[Sales])/Orders[[#This Row],[Order Frequency]]</f>
        <v>68.75</v>
      </c>
      <c r="S65" t="str">
        <f>IF(Orders[[#This Row],[Order Frequency]]&gt;4, "More than 4", IF(AND(Orders[[#This Row],[Order Frequency]]&lt;=4,Orders[[#This Row],[Order Frequency]]&gt;=2), "Between 4 and 2", "Less than 2"))</f>
        <v>Less than 2</v>
      </c>
      <c r="T65" t="str">
        <f>IF(Orders[[#This Row],[Frequency Group]]="less than 2", "Low Value", IF(Orders[[#This Row],[Frequency Group]]="between 4 and 2", "Medium Value", "High Value"))</f>
        <v>Low Value</v>
      </c>
      <c r="U65" t="str">
        <f>IF(Orders[[#This Row],[Sales]]&lt;50, "$0-50", IF(AND(Orders[[#This Row],[Sales]]&gt;=50,Orders[[#This Row],[Sales]]&lt;=100), "$50-100", IF(AND(Orders[[#This Row],[Sales]]&gt;100,Orders[[#This Row],[Sales]]&lt;=150), "$101-150", "$150+")))</f>
        <v>$50-100</v>
      </c>
      <c r="V65" t="str">
        <f>IF(Orders[[#This Row],[Sales]]&gt;MEDIAN(M:M), "High Price", "Low Price")</f>
        <v>High Price</v>
      </c>
      <c r="W65" t="str">
        <f>IF(Orders[[#This Row],[Quantity]]&gt;MEDIAN(E:E), "High Volume", "Low Volume")</f>
        <v>High Volume</v>
      </c>
      <c r="X65" t="str">
        <f>Orders[[#This Row],[Sales Tier]] &amp; "-" &amp; Orders[[#This Row],[Quantity Tier]]</f>
        <v>High Price-High Volume</v>
      </c>
      <c r="Y65" t="str">
        <f>TEXT(Orders[[#This Row],[Order Date]], "mmmm")</f>
        <v>June</v>
      </c>
      <c r="Z6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65" t="str">
        <f>Orders[[#This Row],[Coffee Type Name]] &amp; "-" &amp; Orders[[#This Row],[Roast Type Name]]</f>
        <v>Excelsa-Medium</v>
      </c>
      <c r="AB6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66" spans="1:28" x14ac:dyDescent="0.25">
      <c r="A66" s="2" t="s">
        <v>5268</v>
      </c>
      <c r="B66" s="4">
        <v>43889</v>
      </c>
      <c r="C66" s="2" t="s">
        <v>5269</v>
      </c>
      <c r="D66" t="s">
        <v>6185</v>
      </c>
      <c r="E66" s="2">
        <v>6</v>
      </c>
      <c r="F66" s="2" t="str">
        <f>_xlfn.XLOOKUP(C66,customers!$A$1:$A$1001,customers!$B$1:$B$1001,,0)</f>
        <v>Murielle Lorinez</v>
      </c>
      <c r="G66" s="2" t="str">
        <f>IF(_xlfn.XLOOKUP(C66,customers!$A$1:$A$1001,customers!$C$1:$C$1001,,0)=0,"",_xlfn.XLOOKUP(C66,customers!$A$1:$A$1001,customers!$C$1:$C$1001,,0))</f>
        <v>mlorineznh@whitehouse.gov</v>
      </c>
      <c r="H66" s="2" t="str">
        <f>_xlfn.XLOOKUP(C66,customers!$A$1:$A$1001,customers!$G$1:$G$1001,,0)</f>
        <v>United States</v>
      </c>
      <c r="I66" t="str">
        <f>INDEX(products!$A$1:$G$49, MATCH(orders!$D847,products!$A$1:$A894,0), MATCH(orders!I$1,products!$A$1:$G$1,0))</f>
        <v>Exc</v>
      </c>
      <c r="J66" t="str">
        <f>INDEX(products!$A$1:$G$49, MATCH(orders!$D847,products!$A$1:$A894,0), MATCH(orders!J$1,products!$A$1:$G$1,0))</f>
        <v>D</v>
      </c>
      <c r="K66" s="5">
        <f>INDEX(products!$A$1:$G$49, MATCH(orders!$D847,products!$A$1:$A894,0), MATCH(orders!K$1,products!$A$1:$G$1,0))</f>
        <v>2.5</v>
      </c>
      <c r="L66" s="6">
        <f>INDEX(products!$A$1:$G$49, MATCH(orders!$D847,products!$A$1:$A894,0), MATCH(orders!L$1,products!$A$1:$G$1,0))</f>
        <v>27.945</v>
      </c>
      <c r="M66" s="6">
        <f t="shared" ref="M66:M129" si="3">L66*E66</f>
        <v>167.67000000000002</v>
      </c>
      <c r="N66" t="str">
        <f t="shared" ref="N66:N129" si="4">IF(I66="Rob", "Robusta", IF(I66="Exc", "Excelsa", IF(I66="Ara","Arabica", IF(I66="Lib", "Liberica",""))))</f>
        <v>Excelsa</v>
      </c>
      <c r="O66" t="str">
        <f t="shared" ref="O66:O129" si="5">IF(J66="M", "Medium", IF(J66="L", "Light", IF(J66="D", "Dark", "")))</f>
        <v>Dark</v>
      </c>
      <c r="P66" t="str">
        <f>_xlfn.XLOOKUP(Orders[[#This Row],[Customer ID]],customers!$A$1:$A$1001,customers!$I$1:$I$1001,,0)</f>
        <v>No</v>
      </c>
      <c r="Q66">
        <f>COUNTIF(Orders[Order ID],Orders[[#This Row],[Order ID]])</f>
        <v>1</v>
      </c>
      <c r="R66" s="10">
        <f>SUMIF(Orders[Order ID], Orders[[#This Row],[Order ID]],Orders[Sales])/Orders[[#This Row],[Order Frequency]]</f>
        <v>167.67000000000002</v>
      </c>
      <c r="S66" t="str">
        <f>IF(Orders[[#This Row],[Order Frequency]]&gt;4, "More than 4", IF(AND(Orders[[#This Row],[Order Frequency]]&lt;=4,Orders[[#This Row],[Order Frequency]]&gt;=2), "Between 4 and 2", "Less than 2"))</f>
        <v>Less than 2</v>
      </c>
      <c r="T66" t="str">
        <f>IF(Orders[[#This Row],[Frequency Group]]="less than 2", "Low Value", IF(Orders[[#This Row],[Frequency Group]]="between 4 and 2", "Medium Value", "High Value"))</f>
        <v>Low Value</v>
      </c>
      <c r="U66" t="str">
        <f>IF(Orders[[#This Row],[Sales]]&lt;50, "$0-50", IF(AND(Orders[[#This Row],[Sales]]&gt;=50,Orders[[#This Row],[Sales]]&lt;=100), "$50-100", IF(AND(Orders[[#This Row],[Sales]]&gt;100,Orders[[#This Row],[Sales]]&lt;=150), "$101-150", "$150+")))</f>
        <v>$150+</v>
      </c>
      <c r="V66" t="str">
        <f>IF(Orders[[#This Row],[Sales]]&gt;MEDIAN(M:M), "High Price", "Low Price")</f>
        <v>High Price</v>
      </c>
      <c r="W66" t="str">
        <f>IF(Orders[[#This Row],[Quantity]]&gt;MEDIAN(E:E), "High Volume", "Low Volume")</f>
        <v>High Volume</v>
      </c>
      <c r="X66" t="str">
        <f>Orders[[#This Row],[Sales Tier]] &amp; "-" &amp; Orders[[#This Row],[Quantity Tier]]</f>
        <v>High Price-High Volume</v>
      </c>
      <c r="Y66" t="str">
        <f>TEXT(Orders[[#This Row],[Order Date]], "mmmm")</f>
        <v>February</v>
      </c>
      <c r="Z6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66" t="str">
        <f>Orders[[#This Row],[Coffee Type Name]] &amp; "-" &amp; Orders[[#This Row],[Roast Type Name]]</f>
        <v>Excelsa-Dark</v>
      </c>
      <c r="AB6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67" spans="1:28" x14ac:dyDescent="0.25">
      <c r="A67" s="2" t="s">
        <v>4659</v>
      </c>
      <c r="B67" s="4">
        <v>43812</v>
      </c>
      <c r="C67" s="2" t="s">
        <v>4660</v>
      </c>
      <c r="D67" t="s">
        <v>6178</v>
      </c>
      <c r="E67" s="2">
        <v>3</v>
      </c>
      <c r="F67" s="2" t="str">
        <f>_xlfn.XLOOKUP(C67,customers!$A$1:$A$1001,customers!$B$1:$B$1001,,0)</f>
        <v>Natal Vigrass</v>
      </c>
      <c r="G67" s="2" t="str">
        <f>IF(_xlfn.XLOOKUP(C67,customers!$A$1:$A$1001,customers!$C$1:$C$1001,,0)=0,"",_xlfn.XLOOKUP(C67,customers!$A$1:$A$1001,customers!$C$1:$C$1001,,0))</f>
        <v>nvigrasski@ezinearticles.com</v>
      </c>
      <c r="H67" s="2" t="str">
        <f>_xlfn.XLOOKUP(C67,customers!$A$1:$A$1001,customers!$G$1:$G$1001,,0)</f>
        <v>United Kingdom</v>
      </c>
      <c r="I67" t="str">
        <f>INDEX(products!$A$1:$G$49, MATCH(orders!$D740,products!$A$1:$A787,0), MATCH(orders!I$1,products!$A$1:$G$1,0))</f>
        <v>Rob</v>
      </c>
      <c r="J67" t="str">
        <f>INDEX(products!$A$1:$G$49, MATCH(orders!$D740,products!$A$1:$A787,0), MATCH(orders!J$1,products!$A$1:$G$1,0))</f>
        <v>L</v>
      </c>
      <c r="K67" s="5">
        <f>INDEX(products!$A$1:$G$49, MATCH(orders!$D740,products!$A$1:$A787,0), MATCH(orders!K$1,products!$A$1:$G$1,0))</f>
        <v>0.2</v>
      </c>
      <c r="L67" s="6">
        <f>INDEX(products!$A$1:$G$49, MATCH(orders!$D740,products!$A$1:$A787,0), MATCH(orders!L$1,products!$A$1:$G$1,0))</f>
        <v>3.5849999999999995</v>
      </c>
      <c r="M67" s="6">
        <f t="shared" si="3"/>
        <v>10.754999999999999</v>
      </c>
      <c r="N67" t="str">
        <f t="shared" si="4"/>
        <v>Robusta</v>
      </c>
      <c r="O67" t="str">
        <f t="shared" si="5"/>
        <v>Light</v>
      </c>
      <c r="P67" t="str">
        <f>_xlfn.XLOOKUP(Orders[[#This Row],[Customer ID]],customers!$A$1:$A$1001,customers!$I$1:$I$1001,,0)</f>
        <v>No</v>
      </c>
      <c r="Q67">
        <f>COUNTIF(Orders[Order ID],Orders[[#This Row],[Order ID]])</f>
        <v>1</v>
      </c>
      <c r="R67" s="10">
        <f>SUMIF(Orders[Order ID], Orders[[#This Row],[Order ID]],Orders[Sales])/Orders[[#This Row],[Order Frequency]]</f>
        <v>10.754999999999999</v>
      </c>
      <c r="S67" t="str">
        <f>IF(Orders[[#This Row],[Order Frequency]]&gt;4, "More than 4", IF(AND(Orders[[#This Row],[Order Frequency]]&lt;=4,Orders[[#This Row],[Order Frequency]]&gt;=2), "Between 4 and 2", "Less than 2"))</f>
        <v>Less than 2</v>
      </c>
      <c r="T67" t="str">
        <f>IF(Orders[[#This Row],[Frequency Group]]="less than 2", "Low Value", IF(Orders[[#This Row],[Frequency Group]]="between 4 and 2", "Medium Value", "High Value"))</f>
        <v>Low Value</v>
      </c>
      <c r="U67" t="str">
        <f>IF(Orders[[#This Row],[Sales]]&lt;50, "$0-50", IF(AND(Orders[[#This Row],[Sales]]&gt;=50,Orders[[#This Row],[Sales]]&lt;=100), "$50-100", IF(AND(Orders[[#This Row],[Sales]]&gt;100,Orders[[#This Row],[Sales]]&lt;=150), "$101-150", "$150+")))</f>
        <v>$0-50</v>
      </c>
      <c r="V67" t="str">
        <f>IF(Orders[[#This Row],[Sales]]&gt;MEDIAN(M:M), "High Price", "Low Price")</f>
        <v>Low Price</v>
      </c>
      <c r="W67" t="str">
        <f>IF(Orders[[#This Row],[Quantity]]&gt;MEDIAN(E:E), "High Volume", "Low Volume")</f>
        <v>Low Volume</v>
      </c>
      <c r="X67" t="str">
        <f>Orders[[#This Row],[Sales Tier]] &amp; "-" &amp; Orders[[#This Row],[Quantity Tier]]</f>
        <v>Low Price-Low Volume</v>
      </c>
      <c r="Y67" t="str">
        <f>TEXT(Orders[[#This Row],[Order Date]], "mmmm")</f>
        <v>December</v>
      </c>
      <c r="Z6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67" t="str">
        <f>Orders[[#This Row],[Coffee Type Name]] &amp; "-" &amp; Orders[[#This Row],[Roast Type Name]]</f>
        <v>Robusta-Light</v>
      </c>
      <c r="AB6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68" spans="1:28" x14ac:dyDescent="0.25">
      <c r="A68" s="2" t="s">
        <v>1106</v>
      </c>
      <c r="B68" s="4">
        <v>44727</v>
      </c>
      <c r="C68" s="2" t="s">
        <v>1107</v>
      </c>
      <c r="D68" t="s">
        <v>6184</v>
      </c>
      <c r="E68" s="2">
        <v>3</v>
      </c>
      <c r="F68" s="2" t="str">
        <f>_xlfn.XLOOKUP(C68,customers!$A$1:$A$1001,customers!$B$1:$B$1001,,0)</f>
        <v>Marie-jeanne Redgrave</v>
      </c>
      <c r="G68" s="2" t="str">
        <f>IF(_xlfn.XLOOKUP(C68,customers!$A$1:$A$1001,customers!$C$1:$C$1001,,0)=0,"",_xlfn.XLOOKUP(C68,customers!$A$1:$A$1001,customers!$C$1:$C$1001,,0))</f>
        <v>mredgrave32@cargocollective.com</v>
      </c>
      <c r="H68" s="2" t="str">
        <f>_xlfn.XLOOKUP(C68,customers!$A$1:$A$1001,customers!$G$1:$G$1001,,0)</f>
        <v>United States</v>
      </c>
      <c r="I68" t="str">
        <f>INDEX(products!$A$1:$G$49, MATCH(orders!$D112,products!$A$1:$A159,0), MATCH(orders!I$1,products!$A$1:$G$1,0))</f>
        <v>Exc</v>
      </c>
      <c r="J68" t="str">
        <f>INDEX(products!$A$1:$G$49, MATCH(orders!$D112,products!$A$1:$A159,0), MATCH(orders!J$1,products!$A$1:$G$1,0))</f>
        <v>L</v>
      </c>
      <c r="K68" s="5">
        <f>INDEX(products!$A$1:$G$49, MATCH(orders!$D112,products!$A$1:$A159,0), MATCH(orders!K$1,products!$A$1:$G$1,0))</f>
        <v>0.2</v>
      </c>
      <c r="L68" s="6">
        <f>INDEX(products!$A$1:$G$49, MATCH(orders!$D112,products!$A$1:$A159,0), MATCH(orders!L$1,products!$A$1:$G$1,0))</f>
        <v>4.4550000000000001</v>
      </c>
      <c r="M68" s="6">
        <f t="shared" si="3"/>
        <v>13.365</v>
      </c>
      <c r="N68" t="str">
        <f t="shared" si="4"/>
        <v>Excelsa</v>
      </c>
      <c r="O68" t="str">
        <f t="shared" si="5"/>
        <v>Light</v>
      </c>
      <c r="P68" t="str">
        <f>_xlfn.XLOOKUP(Orders[[#This Row],[Customer ID]],customers!$A$1:$A$1001,customers!$I$1:$I$1001,,0)</f>
        <v>Yes</v>
      </c>
      <c r="Q68">
        <f>COUNTIF(Orders[Order ID],Orders[[#This Row],[Order ID]])</f>
        <v>1</v>
      </c>
      <c r="R68" s="10">
        <f>SUMIF(Orders[Order ID], Orders[[#This Row],[Order ID]],Orders[Sales])/Orders[[#This Row],[Order Frequency]]</f>
        <v>13.365</v>
      </c>
      <c r="S68" t="str">
        <f>IF(Orders[[#This Row],[Order Frequency]]&gt;4, "More than 4", IF(AND(Orders[[#This Row],[Order Frequency]]&lt;=4,Orders[[#This Row],[Order Frequency]]&gt;=2), "Between 4 and 2", "Less than 2"))</f>
        <v>Less than 2</v>
      </c>
      <c r="T68" t="str">
        <f>IF(Orders[[#This Row],[Frequency Group]]="less than 2", "Low Value", IF(Orders[[#This Row],[Frequency Group]]="between 4 and 2", "Medium Value", "High Value"))</f>
        <v>Low Value</v>
      </c>
      <c r="U68" t="str">
        <f>IF(Orders[[#This Row],[Sales]]&lt;50, "$0-50", IF(AND(Orders[[#This Row],[Sales]]&gt;=50,Orders[[#This Row],[Sales]]&lt;=100), "$50-100", IF(AND(Orders[[#This Row],[Sales]]&gt;100,Orders[[#This Row],[Sales]]&lt;=150), "$101-150", "$150+")))</f>
        <v>$0-50</v>
      </c>
      <c r="V68" t="str">
        <f>IF(Orders[[#This Row],[Sales]]&gt;MEDIAN(M:M), "High Price", "Low Price")</f>
        <v>Low Price</v>
      </c>
      <c r="W68" t="str">
        <f>IF(Orders[[#This Row],[Quantity]]&gt;MEDIAN(E:E), "High Volume", "Low Volume")</f>
        <v>Low Volume</v>
      </c>
      <c r="X68" t="str">
        <f>Orders[[#This Row],[Sales Tier]] &amp; "-" &amp; Orders[[#This Row],[Quantity Tier]]</f>
        <v>Low Price-Low Volume</v>
      </c>
      <c r="Y68" t="str">
        <f>TEXT(Orders[[#This Row],[Order Date]], "mmmm")</f>
        <v>June</v>
      </c>
      <c r="Z6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68" t="str">
        <f>Orders[[#This Row],[Coffee Type Name]] &amp; "-" &amp; Orders[[#This Row],[Roast Type Name]]</f>
        <v>Excelsa-Light</v>
      </c>
      <c r="AB6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69" spans="1:28" x14ac:dyDescent="0.25">
      <c r="A69" s="2" t="s">
        <v>5427</v>
      </c>
      <c r="B69" s="4">
        <v>43725</v>
      </c>
      <c r="C69" s="2" t="s">
        <v>5428</v>
      </c>
      <c r="D69" t="s">
        <v>6174</v>
      </c>
      <c r="E69" s="2">
        <v>4</v>
      </c>
      <c r="F69" s="2" t="str">
        <f>_xlfn.XLOOKUP(C69,customers!$A$1:$A$1001,customers!$B$1:$B$1001,,0)</f>
        <v>Modesty MacConnechie</v>
      </c>
      <c r="G69" s="2" t="str">
        <f>IF(_xlfn.XLOOKUP(C69,customers!$A$1:$A$1001,customers!$C$1:$C$1001,,0)=0,"",_xlfn.XLOOKUP(C69,customers!$A$1:$A$1001,customers!$C$1:$C$1001,,0))</f>
        <v>mmacconnechieo9@reuters.com</v>
      </c>
      <c r="H69" s="2" t="str">
        <f>_xlfn.XLOOKUP(C69,customers!$A$1:$A$1001,customers!$G$1:$G$1001,,0)</f>
        <v>United States</v>
      </c>
      <c r="I69" t="str">
        <f>INDEX(products!$A$1:$G$49, MATCH(orders!$D875,products!$A$1:$A922,0), MATCH(orders!I$1,products!$A$1:$G$1,0))</f>
        <v>Rob</v>
      </c>
      <c r="J69" t="str">
        <f>INDEX(products!$A$1:$G$49, MATCH(orders!$D875,products!$A$1:$A922,0), MATCH(orders!J$1,products!$A$1:$G$1,0))</f>
        <v>M</v>
      </c>
      <c r="K69" s="5">
        <f>INDEX(products!$A$1:$G$49, MATCH(orders!$D875,products!$A$1:$A922,0), MATCH(orders!K$1,products!$A$1:$G$1,0))</f>
        <v>0.2</v>
      </c>
      <c r="L69" s="6">
        <f>INDEX(products!$A$1:$G$49, MATCH(orders!$D875,products!$A$1:$A922,0), MATCH(orders!L$1,products!$A$1:$G$1,0))</f>
        <v>2.9849999999999999</v>
      </c>
      <c r="M69" s="6">
        <f t="shared" si="3"/>
        <v>11.94</v>
      </c>
      <c r="N69" t="str">
        <f t="shared" si="4"/>
        <v>Robusta</v>
      </c>
      <c r="O69" t="str">
        <f t="shared" si="5"/>
        <v>Medium</v>
      </c>
      <c r="P69" t="str">
        <f>_xlfn.XLOOKUP(Orders[[#This Row],[Customer ID]],customers!$A$1:$A$1001,customers!$I$1:$I$1001,,0)</f>
        <v>Yes</v>
      </c>
      <c r="Q69">
        <f>COUNTIF(Orders[Order ID],Orders[[#This Row],[Order ID]])</f>
        <v>1</v>
      </c>
      <c r="R69" s="10">
        <f>SUMIF(Orders[Order ID], Orders[[#This Row],[Order ID]],Orders[Sales])/Orders[[#This Row],[Order Frequency]]</f>
        <v>11.94</v>
      </c>
      <c r="S69" t="str">
        <f>IF(Orders[[#This Row],[Order Frequency]]&gt;4, "More than 4", IF(AND(Orders[[#This Row],[Order Frequency]]&lt;=4,Orders[[#This Row],[Order Frequency]]&gt;=2), "Between 4 and 2", "Less than 2"))</f>
        <v>Less than 2</v>
      </c>
      <c r="T69" t="str">
        <f>IF(Orders[[#This Row],[Frequency Group]]="less than 2", "Low Value", IF(Orders[[#This Row],[Frequency Group]]="between 4 and 2", "Medium Value", "High Value"))</f>
        <v>Low Value</v>
      </c>
      <c r="U69" t="str">
        <f>IF(Orders[[#This Row],[Sales]]&lt;50, "$0-50", IF(AND(Orders[[#This Row],[Sales]]&gt;=50,Orders[[#This Row],[Sales]]&lt;=100), "$50-100", IF(AND(Orders[[#This Row],[Sales]]&gt;100,Orders[[#This Row],[Sales]]&lt;=150), "$101-150", "$150+")))</f>
        <v>$0-50</v>
      </c>
      <c r="V69" t="str">
        <f>IF(Orders[[#This Row],[Sales]]&gt;MEDIAN(M:M), "High Price", "Low Price")</f>
        <v>Low Price</v>
      </c>
      <c r="W69" t="str">
        <f>IF(Orders[[#This Row],[Quantity]]&gt;MEDIAN(E:E), "High Volume", "Low Volume")</f>
        <v>Low Volume</v>
      </c>
      <c r="X69" t="str">
        <f>Orders[[#This Row],[Sales Tier]] &amp; "-" &amp; Orders[[#This Row],[Quantity Tier]]</f>
        <v>Low Price-Low Volume</v>
      </c>
      <c r="Y69" t="str">
        <f>TEXT(Orders[[#This Row],[Order Date]], "mmmm")</f>
        <v>September</v>
      </c>
      <c r="Z6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69" t="str">
        <f>Orders[[#This Row],[Coffee Type Name]] &amp; "-" &amp; Orders[[#This Row],[Roast Type Name]]</f>
        <v>Robusta-Medium</v>
      </c>
      <c r="AB6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70" spans="1:28" x14ac:dyDescent="0.25">
      <c r="A70" s="2" t="s">
        <v>1818</v>
      </c>
      <c r="B70" s="4">
        <v>43571</v>
      </c>
      <c r="C70" s="2" t="s">
        <v>1819</v>
      </c>
      <c r="D70" t="s">
        <v>6164</v>
      </c>
      <c r="E70" s="2">
        <v>5</v>
      </c>
      <c r="F70" s="2" t="str">
        <f>_xlfn.XLOOKUP(C70,customers!$A$1:$A$1001,customers!$B$1:$B$1001,,0)</f>
        <v>Samuele Ales0</v>
      </c>
      <c r="G70" s="2" t="str">
        <f>IF(_xlfn.XLOOKUP(C70,customers!$A$1:$A$1001,customers!$C$1:$C$1001,,0)=0,"",_xlfn.XLOOKUP(C70,customers!$A$1:$A$1001,customers!$C$1:$C$1001,,0))</f>
        <v/>
      </c>
      <c r="H70" s="2" t="str">
        <f>_xlfn.XLOOKUP(C70,customers!$A$1:$A$1001,customers!$G$1:$G$1001,,0)</f>
        <v>Ireland</v>
      </c>
      <c r="I70" t="str">
        <f>INDEX(products!$A$1:$G$49, MATCH(orders!$D237,products!$A$1:$A284,0), MATCH(orders!I$1,products!$A$1:$G$1,0))</f>
        <v>Lib</v>
      </c>
      <c r="J70" t="str">
        <f>INDEX(products!$A$1:$G$49, MATCH(orders!$D237,products!$A$1:$A284,0), MATCH(orders!J$1,products!$A$1:$G$1,0))</f>
        <v>L</v>
      </c>
      <c r="K70" s="5">
        <f>INDEX(products!$A$1:$G$49, MATCH(orders!$D237,products!$A$1:$A284,0), MATCH(orders!K$1,products!$A$1:$G$1,0))</f>
        <v>2.5</v>
      </c>
      <c r="L70" s="6">
        <f>INDEX(products!$A$1:$G$49, MATCH(orders!$D237,products!$A$1:$A284,0), MATCH(orders!L$1,products!$A$1:$G$1,0))</f>
        <v>36.454999999999998</v>
      </c>
      <c r="M70" s="6">
        <f t="shared" si="3"/>
        <v>182.27499999999998</v>
      </c>
      <c r="N70" t="str">
        <f t="shared" si="4"/>
        <v>Liberica</v>
      </c>
      <c r="O70" t="str">
        <f t="shared" si="5"/>
        <v>Light</v>
      </c>
      <c r="P70" t="str">
        <f>_xlfn.XLOOKUP(Orders[[#This Row],[Customer ID]],customers!$A$1:$A$1001,customers!$I$1:$I$1001,,0)</f>
        <v>No</v>
      </c>
      <c r="Q70">
        <f>COUNTIF(Orders[Order ID],Orders[[#This Row],[Order ID]])</f>
        <v>1</v>
      </c>
      <c r="R70" s="10">
        <f>SUMIF(Orders[Order ID], Orders[[#This Row],[Order ID]],Orders[Sales])/Orders[[#This Row],[Order Frequency]]</f>
        <v>182.27499999999998</v>
      </c>
      <c r="S70" t="str">
        <f>IF(Orders[[#This Row],[Order Frequency]]&gt;4, "More than 4", IF(AND(Orders[[#This Row],[Order Frequency]]&lt;=4,Orders[[#This Row],[Order Frequency]]&gt;=2), "Between 4 and 2", "Less than 2"))</f>
        <v>Less than 2</v>
      </c>
      <c r="T70" t="str">
        <f>IF(Orders[[#This Row],[Frequency Group]]="less than 2", "Low Value", IF(Orders[[#This Row],[Frequency Group]]="between 4 and 2", "Medium Value", "High Value"))</f>
        <v>Low Value</v>
      </c>
      <c r="U70" t="str">
        <f>IF(Orders[[#This Row],[Sales]]&lt;50, "$0-50", IF(AND(Orders[[#This Row],[Sales]]&gt;=50,Orders[[#This Row],[Sales]]&lt;=100), "$50-100", IF(AND(Orders[[#This Row],[Sales]]&gt;100,Orders[[#This Row],[Sales]]&lt;=150), "$101-150", "$150+")))</f>
        <v>$150+</v>
      </c>
      <c r="V70" t="str">
        <f>IF(Orders[[#This Row],[Sales]]&gt;MEDIAN(M:M), "High Price", "Low Price")</f>
        <v>High Price</v>
      </c>
      <c r="W70" t="str">
        <f>IF(Orders[[#This Row],[Quantity]]&gt;MEDIAN(E:E), "High Volume", "Low Volume")</f>
        <v>High Volume</v>
      </c>
      <c r="X70" t="str">
        <f>Orders[[#This Row],[Sales Tier]] &amp; "-" &amp; Orders[[#This Row],[Quantity Tier]]</f>
        <v>High Price-High Volume</v>
      </c>
      <c r="Y70" t="str">
        <f>TEXT(Orders[[#This Row],[Order Date]], "mmmm")</f>
        <v>April</v>
      </c>
      <c r="Z7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70" t="str">
        <f>Orders[[#This Row],[Coffee Type Name]] &amp; "-" &amp; Orders[[#This Row],[Roast Type Name]]</f>
        <v>Liberica-Light</v>
      </c>
      <c r="AB7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71" spans="1:28" x14ac:dyDescent="0.25">
      <c r="A71" s="2" t="s">
        <v>3100</v>
      </c>
      <c r="B71" s="4">
        <v>44124</v>
      </c>
      <c r="C71" s="2" t="s">
        <v>3101</v>
      </c>
      <c r="D71" t="s">
        <v>6147</v>
      </c>
      <c r="E71" s="2">
        <v>5</v>
      </c>
      <c r="F71" s="2" t="str">
        <f>_xlfn.XLOOKUP(C71,customers!$A$1:$A$1001,customers!$B$1:$B$1001,,0)</f>
        <v>Borg Daile</v>
      </c>
      <c r="G71" s="2" t="str">
        <f>IF(_xlfn.XLOOKUP(C71,customers!$A$1:$A$1001,customers!$C$1:$C$1001,,0)=0,"",_xlfn.XLOOKUP(C71,customers!$A$1:$A$1001,customers!$C$1:$C$1001,,0))</f>
        <v>bdailecu@vistaprint.com</v>
      </c>
      <c r="H71" s="2" t="str">
        <f>_xlfn.XLOOKUP(C71,customers!$A$1:$A$1001,customers!$G$1:$G$1001,,0)</f>
        <v>United States</v>
      </c>
      <c r="I71" t="str">
        <f>INDEX(products!$A$1:$G$49, MATCH(orders!$D464,products!$A$1:$A511,0), MATCH(orders!I$1,products!$A$1:$G$1,0))</f>
        <v>Ara</v>
      </c>
      <c r="J71" t="str">
        <f>INDEX(products!$A$1:$G$49, MATCH(orders!$D464,products!$A$1:$A511,0), MATCH(orders!J$1,products!$A$1:$G$1,0))</f>
        <v>D</v>
      </c>
      <c r="K71" s="5">
        <f>INDEX(products!$A$1:$G$49, MATCH(orders!$D464,products!$A$1:$A511,0), MATCH(orders!K$1,products!$A$1:$G$1,0))</f>
        <v>1</v>
      </c>
      <c r="L71" s="6">
        <f>INDEX(products!$A$1:$G$49, MATCH(orders!$D464,products!$A$1:$A511,0), MATCH(orders!L$1,products!$A$1:$G$1,0))</f>
        <v>9.9499999999999993</v>
      </c>
      <c r="M71" s="6">
        <f t="shared" si="3"/>
        <v>49.75</v>
      </c>
      <c r="N71" t="str">
        <f t="shared" si="4"/>
        <v>Arabica</v>
      </c>
      <c r="O71" t="str">
        <f t="shared" si="5"/>
        <v>Dark</v>
      </c>
      <c r="P71" t="str">
        <f>_xlfn.XLOOKUP(Orders[[#This Row],[Customer ID]],customers!$A$1:$A$1001,customers!$I$1:$I$1001,,0)</f>
        <v>Yes</v>
      </c>
      <c r="Q71">
        <f>COUNTIF(Orders[Order ID],Orders[[#This Row],[Order ID]])</f>
        <v>1</v>
      </c>
      <c r="R71" s="10">
        <f>SUMIF(Orders[Order ID], Orders[[#This Row],[Order ID]],Orders[Sales])/Orders[[#This Row],[Order Frequency]]</f>
        <v>49.75</v>
      </c>
      <c r="S71" t="str">
        <f>IF(Orders[[#This Row],[Order Frequency]]&gt;4, "More than 4", IF(AND(Orders[[#This Row],[Order Frequency]]&lt;=4,Orders[[#This Row],[Order Frequency]]&gt;=2), "Between 4 and 2", "Less than 2"))</f>
        <v>Less than 2</v>
      </c>
      <c r="T71" t="str">
        <f>IF(Orders[[#This Row],[Frequency Group]]="less than 2", "Low Value", IF(Orders[[#This Row],[Frequency Group]]="between 4 and 2", "Medium Value", "High Value"))</f>
        <v>Low Value</v>
      </c>
      <c r="U71" t="str">
        <f>IF(Orders[[#This Row],[Sales]]&lt;50, "$0-50", IF(AND(Orders[[#This Row],[Sales]]&gt;=50,Orders[[#This Row],[Sales]]&lt;=100), "$50-100", IF(AND(Orders[[#This Row],[Sales]]&gt;100,Orders[[#This Row],[Sales]]&lt;=150), "$101-150", "$150+")))</f>
        <v>$0-50</v>
      </c>
      <c r="V71" t="str">
        <f>IF(Orders[[#This Row],[Sales]]&gt;MEDIAN(M:M), "High Price", "Low Price")</f>
        <v>High Price</v>
      </c>
      <c r="W71" t="str">
        <f>IF(Orders[[#This Row],[Quantity]]&gt;MEDIAN(E:E), "High Volume", "Low Volume")</f>
        <v>High Volume</v>
      </c>
      <c r="X71" t="str">
        <f>Orders[[#This Row],[Sales Tier]] &amp; "-" &amp; Orders[[#This Row],[Quantity Tier]]</f>
        <v>High Price-High Volume</v>
      </c>
      <c r="Y71" t="str">
        <f>TEXT(Orders[[#This Row],[Order Date]], "mmmm")</f>
        <v>October</v>
      </c>
      <c r="Z7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71" t="str">
        <f>Orders[[#This Row],[Coffee Type Name]] &amp; "-" &amp; Orders[[#This Row],[Roast Type Name]]</f>
        <v>Arabica-Dark</v>
      </c>
      <c r="AB7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72" spans="1:28" x14ac:dyDescent="0.25">
      <c r="A72" s="2" t="s">
        <v>2727</v>
      </c>
      <c r="B72" s="4">
        <v>43720</v>
      </c>
      <c r="C72" s="2" t="s">
        <v>2728</v>
      </c>
      <c r="D72" t="s">
        <v>6169</v>
      </c>
      <c r="E72" s="2">
        <v>4</v>
      </c>
      <c r="F72" s="2" t="str">
        <f>_xlfn.XLOOKUP(C72,customers!$A$1:$A$1001,customers!$B$1:$B$1001,,0)</f>
        <v>Fleur Parres</v>
      </c>
      <c r="G72" s="2" t="str">
        <f>IF(_xlfn.XLOOKUP(C72,customers!$A$1:$A$1001,customers!$C$1:$C$1001,,0)=0,"",_xlfn.XLOOKUP(C72,customers!$A$1:$A$1001,customers!$C$1:$C$1001,,0))</f>
        <v>fparresb1@imageshack.us</v>
      </c>
      <c r="H72" s="2" t="str">
        <f>_xlfn.XLOOKUP(C72,customers!$A$1:$A$1001,customers!$G$1:$G$1001,,0)</f>
        <v>United States</v>
      </c>
      <c r="I72" t="str">
        <f>INDEX(products!$A$1:$G$49, MATCH(orders!$D399,products!$A$1:$A446,0), MATCH(orders!I$1,products!$A$1:$G$1,0))</f>
        <v>Lib</v>
      </c>
      <c r="J72" t="str">
        <f>INDEX(products!$A$1:$G$49, MATCH(orders!$D399,products!$A$1:$A446,0), MATCH(orders!J$1,products!$A$1:$G$1,0))</f>
        <v>D</v>
      </c>
      <c r="K72" s="5">
        <f>INDEX(products!$A$1:$G$49, MATCH(orders!$D399,products!$A$1:$A446,0), MATCH(orders!K$1,products!$A$1:$G$1,0))</f>
        <v>0.5</v>
      </c>
      <c r="L72" s="6">
        <f>INDEX(products!$A$1:$G$49, MATCH(orders!$D399,products!$A$1:$A446,0), MATCH(orders!L$1,products!$A$1:$G$1,0))</f>
        <v>7.77</v>
      </c>
      <c r="M72" s="6">
        <f t="shared" si="3"/>
        <v>31.08</v>
      </c>
      <c r="N72" t="str">
        <f t="shared" si="4"/>
        <v>Liberica</v>
      </c>
      <c r="O72" t="str">
        <f t="shared" si="5"/>
        <v>Dark</v>
      </c>
      <c r="P72" t="str">
        <f>_xlfn.XLOOKUP(Orders[[#This Row],[Customer ID]],customers!$A$1:$A$1001,customers!$I$1:$I$1001,,0)</f>
        <v>Yes</v>
      </c>
      <c r="Q72">
        <f>COUNTIF(Orders[Order ID],Orders[[#This Row],[Order ID]])</f>
        <v>1</v>
      </c>
      <c r="R72" s="10">
        <f>SUMIF(Orders[Order ID], Orders[[#This Row],[Order ID]],Orders[Sales])/Orders[[#This Row],[Order Frequency]]</f>
        <v>31.08</v>
      </c>
      <c r="S72" t="str">
        <f>IF(Orders[[#This Row],[Order Frequency]]&gt;4, "More than 4", IF(AND(Orders[[#This Row],[Order Frequency]]&lt;=4,Orders[[#This Row],[Order Frequency]]&gt;=2), "Between 4 and 2", "Less than 2"))</f>
        <v>Less than 2</v>
      </c>
      <c r="T72" t="str">
        <f>IF(Orders[[#This Row],[Frequency Group]]="less than 2", "Low Value", IF(Orders[[#This Row],[Frequency Group]]="between 4 and 2", "Medium Value", "High Value"))</f>
        <v>Low Value</v>
      </c>
      <c r="U72" t="str">
        <f>IF(Orders[[#This Row],[Sales]]&lt;50, "$0-50", IF(AND(Orders[[#This Row],[Sales]]&gt;=50,Orders[[#This Row],[Sales]]&lt;=100), "$50-100", IF(AND(Orders[[#This Row],[Sales]]&gt;100,Orders[[#This Row],[Sales]]&lt;=150), "$101-150", "$150+")))</f>
        <v>$0-50</v>
      </c>
      <c r="V72" t="str">
        <f>IF(Orders[[#This Row],[Sales]]&gt;MEDIAN(M:M), "High Price", "Low Price")</f>
        <v>High Price</v>
      </c>
      <c r="W72" t="str">
        <f>IF(Orders[[#This Row],[Quantity]]&gt;MEDIAN(E:E), "High Volume", "Low Volume")</f>
        <v>Low Volume</v>
      </c>
      <c r="X72" t="str">
        <f>Orders[[#This Row],[Sales Tier]] &amp; "-" &amp; Orders[[#This Row],[Quantity Tier]]</f>
        <v>High Price-Low Volume</v>
      </c>
      <c r="Y72" t="str">
        <f>TEXT(Orders[[#This Row],[Order Date]], "mmmm")</f>
        <v>September</v>
      </c>
      <c r="Z7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72" t="str">
        <f>Orders[[#This Row],[Coffee Type Name]] &amp; "-" &amp; Orders[[#This Row],[Roast Type Name]]</f>
        <v>Liberica-Dark</v>
      </c>
      <c r="AB7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73" spans="1:28" x14ac:dyDescent="0.25">
      <c r="A73" s="2" t="s">
        <v>1555</v>
      </c>
      <c r="B73" s="4">
        <v>43813</v>
      </c>
      <c r="C73" s="2" t="s">
        <v>1556</v>
      </c>
      <c r="D73" t="s">
        <v>6162</v>
      </c>
      <c r="E73" s="2">
        <v>3</v>
      </c>
      <c r="F73" s="2" t="str">
        <f>_xlfn.XLOOKUP(C73,customers!$A$1:$A$1001,customers!$B$1:$B$1001,,0)</f>
        <v>Burnard Bartholin</v>
      </c>
      <c r="G73" s="2" t="str">
        <f>IF(_xlfn.XLOOKUP(C73,customers!$A$1:$A$1001,customers!$C$1:$C$1001,,0)=0,"",_xlfn.XLOOKUP(C73,customers!$A$1:$A$1001,customers!$C$1:$C$1001,,0))</f>
        <v>bbartholin59@xinhuanet.com</v>
      </c>
      <c r="H73" s="2" t="str">
        <f>_xlfn.XLOOKUP(C73,customers!$A$1:$A$1001,customers!$G$1:$G$1001,,0)</f>
        <v>United States</v>
      </c>
      <c r="I73" t="str">
        <f>INDEX(products!$A$1:$G$49, MATCH(orders!$D191,products!$A$1:$A238,0), MATCH(orders!I$1,products!$A$1:$G$1,0))</f>
        <v>Lib</v>
      </c>
      <c r="J73" t="str">
        <f>INDEX(products!$A$1:$G$49, MATCH(orders!$D191,products!$A$1:$A238,0), MATCH(orders!J$1,products!$A$1:$G$1,0))</f>
        <v>M</v>
      </c>
      <c r="K73" s="5">
        <f>INDEX(products!$A$1:$G$49, MATCH(orders!$D191,products!$A$1:$A238,0), MATCH(orders!K$1,products!$A$1:$G$1,0))</f>
        <v>1</v>
      </c>
      <c r="L73" s="6">
        <f>INDEX(products!$A$1:$G$49, MATCH(orders!$D191,products!$A$1:$A238,0), MATCH(orders!L$1,products!$A$1:$G$1,0))</f>
        <v>14.55</v>
      </c>
      <c r="M73" s="6">
        <f t="shared" si="3"/>
        <v>43.650000000000006</v>
      </c>
      <c r="N73" t="str">
        <f t="shared" si="4"/>
        <v>Liberica</v>
      </c>
      <c r="O73" t="str">
        <f t="shared" si="5"/>
        <v>Medium</v>
      </c>
      <c r="P73" t="str">
        <f>_xlfn.XLOOKUP(Orders[[#This Row],[Customer ID]],customers!$A$1:$A$1001,customers!$I$1:$I$1001,,0)</f>
        <v>Yes</v>
      </c>
      <c r="Q73">
        <f>COUNTIF(Orders[Order ID],Orders[[#This Row],[Order ID]])</f>
        <v>1</v>
      </c>
      <c r="R73" s="10">
        <f>SUMIF(Orders[Order ID], Orders[[#This Row],[Order ID]],Orders[Sales])/Orders[[#This Row],[Order Frequency]]</f>
        <v>43.650000000000006</v>
      </c>
      <c r="S73" t="str">
        <f>IF(Orders[[#This Row],[Order Frequency]]&gt;4, "More than 4", IF(AND(Orders[[#This Row],[Order Frequency]]&lt;=4,Orders[[#This Row],[Order Frequency]]&gt;=2), "Between 4 and 2", "Less than 2"))</f>
        <v>Less than 2</v>
      </c>
      <c r="T73" t="str">
        <f>IF(Orders[[#This Row],[Frequency Group]]="less than 2", "Low Value", IF(Orders[[#This Row],[Frequency Group]]="between 4 and 2", "Medium Value", "High Value"))</f>
        <v>Low Value</v>
      </c>
      <c r="U73" t="str">
        <f>IF(Orders[[#This Row],[Sales]]&lt;50, "$0-50", IF(AND(Orders[[#This Row],[Sales]]&gt;=50,Orders[[#This Row],[Sales]]&lt;=100), "$50-100", IF(AND(Orders[[#This Row],[Sales]]&gt;100,Orders[[#This Row],[Sales]]&lt;=150), "$101-150", "$150+")))</f>
        <v>$0-50</v>
      </c>
      <c r="V73" t="str">
        <f>IF(Orders[[#This Row],[Sales]]&gt;MEDIAN(M:M), "High Price", "Low Price")</f>
        <v>High Price</v>
      </c>
      <c r="W73" t="str">
        <f>IF(Orders[[#This Row],[Quantity]]&gt;MEDIAN(E:E), "High Volume", "Low Volume")</f>
        <v>Low Volume</v>
      </c>
      <c r="X73" t="str">
        <f>Orders[[#This Row],[Sales Tier]] &amp; "-" &amp; Orders[[#This Row],[Quantity Tier]]</f>
        <v>High Price-Low Volume</v>
      </c>
      <c r="Y73" t="str">
        <f>TEXT(Orders[[#This Row],[Order Date]], "mmmm")</f>
        <v>December</v>
      </c>
      <c r="Z7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73" t="str">
        <f>Orders[[#This Row],[Coffee Type Name]] &amp; "-" &amp; Orders[[#This Row],[Roast Type Name]]</f>
        <v>Liberica-Medium</v>
      </c>
      <c r="AB7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74" spans="1:28" x14ac:dyDescent="0.25">
      <c r="A74" s="2" t="s">
        <v>4109</v>
      </c>
      <c r="B74" s="4">
        <v>44448</v>
      </c>
      <c r="C74" s="2" t="s">
        <v>4110</v>
      </c>
      <c r="D74" t="s">
        <v>6179</v>
      </c>
      <c r="E74" s="2">
        <v>3</v>
      </c>
      <c r="F74" s="2" t="str">
        <f>_xlfn.XLOOKUP(C74,customers!$A$1:$A$1001,customers!$B$1:$B$1001,,0)</f>
        <v>Yardley Basill</v>
      </c>
      <c r="G74" s="2" t="str">
        <f>IF(_xlfn.XLOOKUP(C74,customers!$A$1:$A$1001,customers!$C$1:$C$1001,,0)=0,"",_xlfn.XLOOKUP(C74,customers!$A$1:$A$1001,customers!$C$1:$C$1001,,0))</f>
        <v>ybasillht@theguardian.com</v>
      </c>
      <c r="H74" s="2" t="str">
        <f>_xlfn.XLOOKUP(C74,customers!$A$1:$A$1001,customers!$G$1:$G$1001,,0)</f>
        <v>United States</v>
      </c>
      <c r="I74" t="str">
        <f>INDEX(products!$A$1:$G$49, MATCH(orders!$D643,products!$A$1:$A690,0), MATCH(orders!I$1,products!$A$1:$G$1,0))</f>
        <v>Rob</v>
      </c>
      <c r="J74" t="str">
        <f>INDEX(products!$A$1:$G$49, MATCH(orders!$D643,products!$A$1:$A690,0), MATCH(orders!J$1,products!$A$1:$G$1,0))</f>
        <v>L</v>
      </c>
      <c r="K74" s="5">
        <f>INDEX(products!$A$1:$G$49, MATCH(orders!$D643,products!$A$1:$A690,0), MATCH(orders!K$1,products!$A$1:$G$1,0))</f>
        <v>1</v>
      </c>
      <c r="L74" s="6">
        <f>INDEX(products!$A$1:$G$49, MATCH(orders!$D643,products!$A$1:$A690,0), MATCH(orders!L$1,products!$A$1:$G$1,0))</f>
        <v>11.95</v>
      </c>
      <c r="M74" s="6">
        <f t="shared" si="3"/>
        <v>35.849999999999994</v>
      </c>
      <c r="N74" t="str">
        <f t="shared" si="4"/>
        <v>Robusta</v>
      </c>
      <c r="O74" t="str">
        <f t="shared" si="5"/>
        <v>Light</v>
      </c>
      <c r="P74" t="str">
        <f>_xlfn.XLOOKUP(Orders[[#This Row],[Customer ID]],customers!$A$1:$A$1001,customers!$I$1:$I$1001,,0)</f>
        <v>Yes</v>
      </c>
      <c r="Q74">
        <f>COUNTIF(Orders[Order ID],Orders[[#This Row],[Order ID]])</f>
        <v>1</v>
      </c>
      <c r="R74" s="10">
        <f>SUMIF(Orders[Order ID], Orders[[#This Row],[Order ID]],Orders[Sales])/Orders[[#This Row],[Order Frequency]]</f>
        <v>35.849999999999994</v>
      </c>
      <c r="S74" t="str">
        <f>IF(Orders[[#This Row],[Order Frequency]]&gt;4, "More than 4", IF(AND(Orders[[#This Row],[Order Frequency]]&lt;=4,Orders[[#This Row],[Order Frequency]]&gt;=2), "Between 4 and 2", "Less than 2"))</f>
        <v>Less than 2</v>
      </c>
      <c r="T74" t="str">
        <f>IF(Orders[[#This Row],[Frequency Group]]="less than 2", "Low Value", IF(Orders[[#This Row],[Frequency Group]]="between 4 and 2", "Medium Value", "High Value"))</f>
        <v>Low Value</v>
      </c>
      <c r="U74" t="str">
        <f>IF(Orders[[#This Row],[Sales]]&lt;50, "$0-50", IF(AND(Orders[[#This Row],[Sales]]&gt;=50,Orders[[#This Row],[Sales]]&lt;=100), "$50-100", IF(AND(Orders[[#This Row],[Sales]]&gt;100,Orders[[#This Row],[Sales]]&lt;=150), "$101-150", "$150+")))</f>
        <v>$0-50</v>
      </c>
      <c r="V74" t="str">
        <f>IF(Orders[[#This Row],[Sales]]&gt;MEDIAN(M:M), "High Price", "Low Price")</f>
        <v>High Price</v>
      </c>
      <c r="W74" t="str">
        <f>IF(Orders[[#This Row],[Quantity]]&gt;MEDIAN(E:E), "High Volume", "Low Volume")</f>
        <v>Low Volume</v>
      </c>
      <c r="X74" t="str">
        <f>Orders[[#This Row],[Sales Tier]] &amp; "-" &amp; Orders[[#This Row],[Quantity Tier]]</f>
        <v>High Price-Low Volume</v>
      </c>
      <c r="Y74" t="str">
        <f>TEXT(Orders[[#This Row],[Order Date]], "mmmm")</f>
        <v>September</v>
      </c>
      <c r="Z7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74" t="str">
        <f>Orders[[#This Row],[Coffee Type Name]] &amp; "-" &amp; Orders[[#This Row],[Roast Type Name]]</f>
        <v>Robusta-Light</v>
      </c>
      <c r="AB7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75" spans="1:28" x14ac:dyDescent="0.25">
      <c r="A75" s="2" t="s">
        <v>5643</v>
      </c>
      <c r="B75" s="4">
        <v>44511</v>
      </c>
      <c r="C75" s="2" t="s">
        <v>5644</v>
      </c>
      <c r="D75" t="s">
        <v>6155</v>
      </c>
      <c r="E75" s="2">
        <v>4</v>
      </c>
      <c r="F75" s="2" t="str">
        <f>_xlfn.XLOOKUP(C75,customers!$A$1:$A$1001,customers!$B$1:$B$1001,,0)</f>
        <v>Mindy Bogey</v>
      </c>
      <c r="G75" s="2" t="str">
        <f>IF(_xlfn.XLOOKUP(C75,customers!$A$1:$A$1001,customers!$C$1:$C$1001,,0)=0,"",_xlfn.XLOOKUP(C75,customers!$A$1:$A$1001,customers!$C$1:$C$1001,,0))</f>
        <v>mbogeypb@thetimes.co.uk</v>
      </c>
      <c r="H75" s="2" t="str">
        <f>_xlfn.XLOOKUP(C75,customers!$A$1:$A$1001,customers!$G$1:$G$1001,,0)</f>
        <v>United States</v>
      </c>
      <c r="I75" t="str">
        <f>INDEX(products!$A$1:$G$49, MATCH(orders!$D913,products!$A$1:$A960,0), MATCH(orders!I$1,products!$A$1:$G$1,0))</f>
        <v>Ara</v>
      </c>
      <c r="J75" t="str">
        <f>INDEX(products!$A$1:$G$49, MATCH(orders!$D913,products!$A$1:$A960,0), MATCH(orders!J$1,products!$A$1:$G$1,0))</f>
        <v>M</v>
      </c>
      <c r="K75" s="5">
        <f>INDEX(products!$A$1:$G$49, MATCH(orders!$D913,products!$A$1:$A960,0), MATCH(orders!K$1,products!$A$1:$G$1,0))</f>
        <v>1</v>
      </c>
      <c r="L75" s="6">
        <f>INDEX(products!$A$1:$G$49, MATCH(orders!$D913,products!$A$1:$A960,0), MATCH(orders!L$1,products!$A$1:$G$1,0))</f>
        <v>11.25</v>
      </c>
      <c r="M75" s="6">
        <f t="shared" si="3"/>
        <v>45</v>
      </c>
      <c r="N75" t="str">
        <f t="shared" si="4"/>
        <v>Arabica</v>
      </c>
      <c r="O75" t="str">
        <f t="shared" si="5"/>
        <v>Medium</v>
      </c>
      <c r="P75" t="str">
        <f>_xlfn.XLOOKUP(Orders[[#This Row],[Customer ID]],customers!$A$1:$A$1001,customers!$I$1:$I$1001,,0)</f>
        <v>Yes</v>
      </c>
      <c r="Q75">
        <f>COUNTIF(Orders[Order ID],Orders[[#This Row],[Order ID]])</f>
        <v>1</v>
      </c>
      <c r="R75" s="10">
        <f>SUMIF(Orders[Order ID], Orders[[#This Row],[Order ID]],Orders[Sales])/Orders[[#This Row],[Order Frequency]]</f>
        <v>45</v>
      </c>
      <c r="S75" t="str">
        <f>IF(Orders[[#This Row],[Order Frequency]]&gt;4, "More than 4", IF(AND(Orders[[#This Row],[Order Frequency]]&lt;=4,Orders[[#This Row],[Order Frequency]]&gt;=2), "Between 4 and 2", "Less than 2"))</f>
        <v>Less than 2</v>
      </c>
      <c r="T75" t="str">
        <f>IF(Orders[[#This Row],[Frequency Group]]="less than 2", "Low Value", IF(Orders[[#This Row],[Frequency Group]]="between 4 and 2", "Medium Value", "High Value"))</f>
        <v>Low Value</v>
      </c>
      <c r="U75" t="str">
        <f>IF(Orders[[#This Row],[Sales]]&lt;50, "$0-50", IF(AND(Orders[[#This Row],[Sales]]&gt;=50,Orders[[#This Row],[Sales]]&lt;=100), "$50-100", IF(AND(Orders[[#This Row],[Sales]]&gt;100,Orders[[#This Row],[Sales]]&lt;=150), "$101-150", "$150+")))</f>
        <v>$0-50</v>
      </c>
      <c r="V75" t="str">
        <f>IF(Orders[[#This Row],[Sales]]&gt;MEDIAN(M:M), "High Price", "Low Price")</f>
        <v>High Price</v>
      </c>
      <c r="W75" t="str">
        <f>IF(Orders[[#This Row],[Quantity]]&gt;MEDIAN(E:E), "High Volume", "Low Volume")</f>
        <v>Low Volume</v>
      </c>
      <c r="X75" t="str">
        <f>Orders[[#This Row],[Sales Tier]] &amp; "-" &amp; Orders[[#This Row],[Quantity Tier]]</f>
        <v>High Price-Low Volume</v>
      </c>
      <c r="Y75" t="str">
        <f>TEXT(Orders[[#This Row],[Order Date]], "mmmm")</f>
        <v>November</v>
      </c>
      <c r="Z7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75" t="str">
        <f>Orders[[#This Row],[Coffee Type Name]] &amp; "-" &amp; Orders[[#This Row],[Roast Type Name]]</f>
        <v>Arabica-Medium</v>
      </c>
      <c r="AB7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76" spans="1:28" x14ac:dyDescent="0.25">
      <c r="A76" s="2" t="s">
        <v>3349</v>
      </c>
      <c r="B76" s="4">
        <v>44184</v>
      </c>
      <c r="C76" s="2" t="s">
        <v>3350</v>
      </c>
      <c r="D76" t="s">
        <v>6140</v>
      </c>
      <c r="E76" s="2">
        <v>2</v>
      </c>
      <c r="F76" s="2" t="str">
        <f>_xlfn.XLOOKUP(C76,customers!$A$1:$A$1001,customers!$B$1:$B$1001,,0)</f>
        <v>Diane-marie Wincer</v>
      </c>
      <c r="G76" s="2" t="str">
        <f>IF(_xlfn.XLOOKUP(C76,customers!$A$1:$A$1001,customers!$C$1:$C$1001,,0)=0,"",_xlfn.XLOOKUP(C76,customers!$A$1:$A$1001,customers!$C$1:$C$1001,,0))</f>
        <v>dwincere2@marriott.com</v>
      </c>
      <c r="H76" s="2" t="str">
        <f>_xlfn.XLOOKUP(C76,customers!$A$1:$A$1001,customers!$G$1:$G$1001,,0)</f>
        <v>United States</v>
      </c>
      <c r="I76" t="str">
        <f>INDEX(products!$A$1:$G$49, MATCH(orders!$D508,products!$A$1:$A555,0), MATCH(orders!I$1,products!$A$1:$G$1,0))</f>
        <v>Ara</v>
      </c>
      <c r="J76" t="str">
        <f>INDEX(products!$A$1:$G$49, MATCH(orders!$D508,products!$A$1:$A555,0), MATCH(orders!J$1,products!$A$1:$G$1,0))</f>
        <v>L</v>
      </c>
      <c r="K76" s="5">
        <f>INDEX(products!$A$1:$G$49, MATCH(orders!$D508,products!$A$1:$A555,0), MATCH(orders!K$1,products!$A$1:$G$1,0))</f>
        <v>1</v>
      </c>
      <c r="L76" s="6">
        <f>INDEX(products!$A$1:$G$49, MATCH(orders!$D508,products!$A$1:$A555,0), MATCH(orders!L$1,products!$A$1:$G$1,0))</f>
        <v>12.95</v>
      </c>
      <c r="M76" s="6">
        <f t="shared" si="3"/>
        <v>25.9</v>
      </c>
      <c r="N76" t="str">
        <f t="shared" si="4"/>
        <v>Arabica</v>
      </c>
      <c r="O76" t="str">
        <f t="shared" si="5"/>
        <v>Light</v>
      </c>
      <c r="P76" t="str">
        <f>_xlfn.XLOOKUP(Orders[[#This Row],[Customer ID]],customers!$A$1:$A$1001,customers!$I$1:$I$1001,,0)</f>
        <v>Yes</v>
      </c>
      <c r="Q76">
        <f>COUNTIF(Orders[Order ID],Orders[[#This Row],[Order ID]])</f>
        <v>1</v>
      </c>
      <c r="R76" s="10">
        <f>SUMIF(Orders[Order ID], Orders[[#This Row],[Order ID]],Orders[Sales])/Orders[[#This Row],[Order Frequency]]</f>
        <v>25.9</v>
      </c>
      <c r="S76" t="str">
        <f>IF(Orders[[#This Row],[Order Frequency]]&gt;4, "More than 4", IF(AND(Orders[[#This Row],[Order Frequency]]&lt;=4,Orders[[#This Row],[Order Frequency]]&gt;=2), "Between 4 and 2", "Less than 2"))</f>
        <v>Less than 2</v>
      </c>
      <c r="T76" t="str">
        <f>IF(Orders[[#This Row],[Frequency Group]]="less than 2", "Low Value", IF(Orders[[#This Row],[Frequency Group]]="between 4 and 2", "Medium Value", "High Value"))</f>
        <v>Low Value</v>
      </c>
      <c r="U76" t="str">
        <f>IF(Orders[[#This Row],[Sales]]&lt;50, "$0-50", IF(AND(Orders[[#This Row],[Sales]]&gt;=50,Orders[[#This Row],[Sales]]&lt;=100), "$50-100", IF(AND(Orders[[#This Row],[Sales]]&gt;100,Orders[[#This Row],[Sales]]&lt;=150), "$101-150", "$150+")))</f>
        <v>$0-50</v>
      </c>
      <c r="V76" t="str">
        <f>IF(Orders[[#This Row],[Sales]]&gt;MEDIAN(M:M), "High Price", "Low Price")</f>
        <v>Low Price</v>
      </c>
      <c r="W76" t="str">
        <f>IF(Orders[[#This Row],[Quantity]]&gt;MEDIAN(E:E), "High Volume", "Low Volume")</f>
        <v>Low Volume</v>
      </c>
      <c r="X76" t="str">
        <f>Orders[[#This Row],[Sales Tier]] &amp; "-" &amp; Orders[[#This Row],[Quantity Tier]]</f>
        <v>Low Price-Low Volume</v>
      </c>
      <c r="Y76" t="str">
        <f>TEXT(Orders[[#This Row],[Order Date]], "mmmm")</f>
        <v>December</v>
      </c>
      <c r="Z7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76" t="str">
        <f>Orders[[#This Row],[Coffee Type Name]] &amp; "-" &amp; Orders[[#This Row],[Roast Type Name]]</f>
        <v>Arabica-Light</v>
      </c>
      <c r="AB7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77" spans="1:28" x14ac:dyDescent="0.25">
      <c r="A77" s="2" t="s">
        <v>5768</v>
      </c>
      <c r="B77" s="4">
        <v>44409</v>
      </c>
      <c r="C77" s="2" t="s">
        <v>5769</v>
      </c>
      <c r="D77" t="s">
        <v>6151</v>
      </c>
      <c r="E77" s="2">
        <v>5</v>
      </c>
      <c r="F77" s="2" t="str">
        <f>_xlfn.XLOOKUP(C77,customers!$A$1:$A$1001,customers!$B$1:$B$1001,,0)</f>
        <v>Read Cutts</v>
      </c>
      <c r="G77" s="2" t="str">
        <f>IF(_xlfn.XLOOKUP(C77,customers!$A$1:$A$1001,customers!$C$1:$C$1001,,0)=0,"",_xlfn.XLOOKUP(C77,customers!$A$1:$A$1001,customers!$C$1:$C$1001,,0))</f>
        <v>rcuttspy@techcrunch.com</v>
      </c>
      <c r="H77" s="2" t="str">
        <f>_xlfn.XLOOKUP(C77,customers!$A$1:$A$1001,customers!$G$1:$G$1001,,0)</f>
        <v>United States</v>
      </c>
      <c r="I77" t="str">
        <f>INDEX(products!$A$1:$G$49, MATCH(orders!$D936,products!$A$1:$A983,0), MATCH(orders!I$1,products!$A$1:$G$1,0))</f>
        <v>Rob</v>
      </c>
      <c r="J77" t="str">
        <f>INDEX(products!$A$1:$G$49, MATCH(orders!$D936,products!$A$1:$A983,0), MATCH(orders!J$1,products!$A$1:$G$1,0))</f>
        <v>M</v>
      </c>
      <c r="K77" s="5">
        <f>INDEX(products!$A$1:$G$49, MATCH(orders!$D936,products!$A$1:$A983,0), MATCH(orders!K$1,products!$A$1:$G$1,0))</f>
        <v>2.5</v>
      </c>
      <c r="L77" s="6">
        <f>INDEX(products!$A$1:$G$49, MATCH(orders!$D936,products!$A$1:$A983,0), MATCH(orders!L$1,products!$A$1:$G$1,0))</f>
        <v>22.884999999999998</v>
      </c>
      <c r="M77" s="6">
        <f t="shared" si="3"/>
        <v>114.42499999999998</v>
      </c>
      <c r="N77" t="str">
        <f t="shared" si="4"/>
        <v>Robusta</v>
      </c>
      <c r="O77" t="str">
        <f t="shared" si="5"/>
        <v>Medium</v>
      </c>
      <c r="P77" t="str">
        <f>_xlfn.XLOOKUP(Orders[[#This Row],[Customer ID]],customers!$A$1:$A$1001,customers!$I$1:$I$1001,,0)</f>
        <v>No</v>
      </c>
      <c r="Q77">
        <f>COUNTIF(Orders[Order ID],Orders[[#This Row],[Order ID]])</f>
        <v>1</v>
      </c>
      <c r="R77" s="10">
        <f>SUMIF(Orders[Order ID], Orders[[#This Row],[Order ID]],Orders[Sales])/Orders[[#This Row],[Order Frequency]]</f>
        <v>114.42499999999998</v>
      </c>
      <c r="S77" t="str">
        <f>IF(Orders[[#This Row],[Order Frequency]]&gt;4, "More than 4", IF(AND(Orders[[#This Row],[Order Frequency]]&lt;=4,Orders[[#This Row],[Order Frequency]]&gt;=2), "Between 4 and 2", "Less than 2"))</f>
        <v>Less than 2</v>
      </c>
      <c r="T77" t="str">
        <f>IF(Orders[[#This Row],[Frequency Group]]="less than 2", "Low Value", IF(Orders[[#This Row],[Frequency Group]]="between 4 and 2", "Medium Value", "High Value"))</f>
        <v>Low Value</v>
      </c>
      <c r="U77" t="str">
        <f>IF(Orders[[#This Row],[Sales]]&lt;50, "$0-50", IF(AND(Orders[[#This Row],[Sales]]&gt;=50,Orders[[#This Row],[Sales]]&lt;=100), "$50-100", IF(AND(Orders[[#This Row],[Sales]]&gt;100,Orders[[#This Row],[Sales]]&lt;=150), "$101-150", "$150+")))</f>
        <v>$101-150</v>
      </c>
      <c r="V77" t="str">
        <f>IF(Orders[[#This Row],[Sales]]&gt;MEDIAN(M:M), "High Price", "Low Price")</f>
        <v>High Price</v>
      </c>
      <c r="W77" t="str">
        <f>IF(Orders[[#This Row],[Quantity]]&gt;MEDIAN(E:E), "High Volume", "Low Volume")</f>
        <v>High Volume</v>
      </c>
      <c r="X77" t="str">
        <f>Orders[[#This Row],[Sales Tier]] &amp; "-" &amp; Orders[[#This Row],[Quantity Tier]]</f>
        <v>High Price-High Volume</v>
      </c>
      <c r="Y77" t="str">
        <f>TEXT(Orders[[#This Row],[Order Date]], "mmmm")</f>
        <v>August</v>
      </c>
      <c r="Z7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77" t="str">
        <f>Orders[[#This Row],[Coffee Type Name]] &amp; "-" &amp; Orders[[#This Row],[Roast Type Name]]</f>
        <v>Robusta-Medium</v>
      </c>
      <c r="AB7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78" spans="1:28" x14ac:dyDescent="0.25">
      <c r="A78" s="2" t="s">
        <v>1413</v>
      </c>
      <c r="B78" s="4">
        <v>44182</v>
      </c>
      <c r="C78" s="2" t="s">
        <v>1414</v>
      </c>
      <c r="D78" t="s">
        <v>6144</v>
      </c>
      <c r="E78" s="2">
        <v>4</v>
      </c>
      <c r="F78" s="2" t="str">
        <f>_xlfn.XLOOKUP(C78,customers!$A$1:$A$1001,customers!$B$1:$B$1001,,0)</f>
        <v>Claiborne Feye</v>
      </c>
      <c r="G78" s="2" t="str">
        <f>IF(_xlfn.XLOOKUP(C78,customers!$A$1:$A$1001,customers!$C$1:$C$1001,,0)=0,"",_xlfn.XLOOKUP(C78,customers!$A$1:$A$1001,customers!$C$1:$C$1001,,0))</f>
        <v>cfeye4k@google.co.jp</v>
      </c>
      <c r="H78" s="2" t="str">
        <f>_xlfn.XLOOKUP(C78,customers!$A$1:$A$1001,customers!$G$1:$G$1001,,0)</f>
        <v>Ireland</v>
      </c>
      <c r="I78" t="str">
        <f>INDEX(products!$A$1:$G$49, MATCH(orders!$D166,products!$A$1:$A213,0), MATCH(orders!I$1,products!$A$1:$G$1,0))</f>
        <v>Exc</v>
      </c>
      <c r="J78" t="str">
        <f>INDEX(products!$A$1:$G$49, MATCH(orders!$D166,products!$A$1:$A213,0), MATCH(orders!J$1,products!$A$1:$G$1,0))</f>
        <v>D</v>
      </c>
      <c r="K78" s="5">
        <f>INDEX(products!$A$1:$G$49, MATCH(orders!$D166,products!$A$1:$A213,0), MATCH(orders!K$1,products!$A$1:$G$1,0))</f>
        <v>0.5</v>
      </c>
      <c r="L78" s="6">
        <f>INDEX(products!$A$1:$G$49, MATCH(orders!$D166,products!$A$1:$A213,0), MATCH(orders!L$1,products!$A$1:$G$1,0))</f>
        <v>7.29</v>
      </c>
      <c r="M78" s="6">
        <f t="shared" si="3"/>
        <v>29.16</v>
      </c>
      <c r="N78" t="str">
        <f t="shared" si="4"/>
        <v>Excelsa</v>
      </c>
      <c r="O78" t="str">
        <f t="shared" si="5"/>
        <v>Dark</v>
      </c>
      <c r="P78" t="str">
        <f>_xlfn.XLOOKUP(Orders[[#This Row],[Customer ID]],customers!$A$1:$A$1001,customers!$I$1:$I$1001,,0)</f>
        <v>No</v>
      </c>
      <c r="Q78">
        <f>COUNTIF(Orders[Order ID],Orders[[#This Row],[Order ID]])</f>
        <v>1</v>
      </c>
      <c r="R78" s="10">
        <f>SUMIF(Orders[Order ID], Orders[[#This Row],[Order ID]],Orders[Sales])/Orders[[#This Row],[Order Frequency]]</f>
        <v>29.16</v>
      </c>
      <c r="S78" t="str">
        <f>IF(Orders[[#This Row],[Order Frequency]]&gt;4, "More than 4", IF(AND(Orders[[#This Row],[Order Frequency]]&lt;=4,Orders[[#This Row],[Order Frequency]]&gt;=2), "Between 4 and 2", "Less than 2"))</f>
        <v>Less than 2</v>
      </c>
      <c r="T78" t="str">
        <f>IF(Orders[[#This Row],[Frequency Group]]="less than 2", "Low Value", IF(Orders[[#This Row],[Frequency Group]]="between 4 and 2", "Medium Value", "High Value"))</f>
        <v>Low Value</v>
      </c>
      <c r="U78" t="str">
        <f>IF(Orders[[#This Row],[Sales]]&lt;50, "$0-50", IF(AND(Orders[[#This Row],[Sales]]&gt;=50,Orders[[#This Row],[Sales]]&lt;=100), "$50-100", IF(AND(Orders[[#This Row],[Sales]]&gt;100,Orders[[#This Row],[Sales]]&lt;=150), "$101-150", "$150+")))</f>
        <v>$0-50</v>
      </c>
      <c r="V78" t="str">
        <f>IF(Orders[[#This Row],[Sales]]&gt;MEDIAN(M:M), "High Price", "Low Price")</f>
        <v>Low Price</v>
      </c>
      <c r="W78" t="str">
        <f>IF(Orders[[#This Row],[Quantity]]&gt;MEDIAN(E:E), "High Volume", "Low Volume")</f>
        <v>Low Volume</v>
      </c>
      <c r="X78" t="str">
        <f>Orders[[#This Row],[Sales Tier]] &amp; "-" &amp; Orders[[#This Row],[Quantity Tier]]</f>
        <v>Low Price-Low Volume</v>
      </c>
      <c r="Y78" t="str">
        <f>TEXT(Orders[[#This Row],[Order Date]], "mmmm")</f>
        <v>December</v>
      </c>
      <c r="Z7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78" t="str">
        <f>Orders[[#This Row],[Coffee Type Name]] &amp; "-" &amp; Orders[[#This Row],[Roast Type Name]]</f>
        <v>Excelsa-Dark</v>
      </c>
      <c r="AB7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79" spans="1:28" x14ac:dyDescent="0.25">
      <c r="A79" s="2" t="s">
        <v>2102</v>
      </c>
      <c r="B79" s="4">
        <v>44030</v>
      </c>
      <c r="C79" s="2" t="s">
        <v>2103</v>
      </c>
      <c r="D79" t="s">
        <v>6164</v>
      </c>
      <c r="E79" s="2">
        <v>1</v>
      </c>
      <c r="F79" s="2" t="str">
        <f>_xlfn.XLOOKUP(C79,customers!$A$1:$A$1001,customers!$B$1:$B$1001,,0)</f>
        <v>Lyndsey Megany</v>
      </c>
      <c r="G79" s="2" t="str">
        <f>IF(_xlfn.XLOOKUP(C79,customers!$A$1:$A$1001,customers!$C$1:$C$1001,,0)=0,"",_xlfn.XLOOKUP(C79,customers!$A$1:$A$1001,customers!$C$1:$C$1001,,0))</f>
        <v/>
      </c>
      <c r="H79" s="2" t="str">
        <f>_xlfn.XLOOKUP(C79,customers!$A$1:$A$1001,customers!$G$1:$G$1001,,0)</f>
        <v>United States</v>
      </c>
      <c r="I79" t="str">
        <f>INDEX(products!$A$1:$G$49, MATCH(orders!$D287,products!$A$1:$A334,0), MATCH(orders!I$1,products!$A$1:$G$1,0))</f>
        <v>Lib</v>
      </c>
      <c r="J79" t="str">
        <f>INDEX(products!$A$1:$G$49, MATCH(orders!$D287,products!$A$1:$A334,0), MATCH(orders!J$1,products!$A$1:$G$1,0))</f>
        <v>L</v>
      </c>
      <c r="K79" s="5">
        <f>INDEX(products!$A$1:$G$49, MATCH(orders!$D287,products!$A$1:$A334,0), MATCH(orders!K$1,products!$A$1:$G$1,0))</f>
        <v>2.5</v>
      </c>
      <c r="L79" s="6">
        <f>INDEX(products!$A$1:$G$49, MATCH(orders!$D287,products!$A$1:$A334,0), MATCH(orders!L$1,products!$A$1:$G$1,0))</f>
        <v>36.454999999999998</v>
      </c>
      <c r="M79" s="6">
        <f t="shared" si="3"/>
        <v>36.454999999999998</v>
      </c>
      <c r="N79" t="str">
        <f t="shared" si="4"/>
        <v>Liberica</v>
      </c>
      <c r="O79" t="str">
        <f t="shared" si="5"/>
        <v>Light</v>
      </c>
      <c r="P79" t="str">
        <f>_xlfn.XLOOKUP(Orders[[#This Row],[Customer ID]],customers!$A$1:$A$1001,customers!$I$1:$I$1001,,0)</f>
        <v>No</v>
      </c>
      <c r="Q79">
        <f>COUNTIF(Orders[Order ID],Orders[[#This Row],[Order ID]])</f>
        <v>1</v>
      </c>
      <c r="R79" s="10">
        <f>SUMIF(Orders[Order ID], Orders[[#This Row],[Order ID]],Orders[Sales])/Orders[[#This Row],[Order Frequency]]</f>
        <v>36.454999999999998</v>
      </c>
      <c r="S79" t="str">
        <f>IF(Orders[[#This Row],[Order Frequency]]&gt;4, "More than 4", IF(AND(Orders[[#This Row],[Order Frequency]]&lt;=4,Orders[[#This Row],[Order Frequency]]&gt;=2), "Between 4 and 2", "Less than 2"))</f>
        <v>Less than 2</v>
      </c>
      <c r="T79" t="str">
        <f>IF(Orders[[#This Row],[Frequency Group]]="less than 2", "Low Value", IF(Orders[[#This Row],[Frequency Group]]="between 4 and 2", "Medium Value", "High Value"))</f>
        <v>Low Value</v>
      </c>
      <c r="U79" t="str">
        <f>IF(Orders[[#This Row],[Sales]]&lt;50, "$0-50", IF(AND(Orders[[#This Row],[Sales]]&gt;=50,Orders[[#This Row],[Sales]]&lt;=100), "$50-100", IF(AND(Orders[[#This Row],[Sales]]&gt;100,Orders[[#This Row],[Sales]]&lt;=150), "$101-150", "$150+")))</f>
        <v>$0-50</v>
      </c>
      <c r="V79" t="str">
        <f>IF(Orders[[#This Row],[Sales]]&gt;MEDIAN(M:M), "High Price", "Low Price")</f>
        <v>High Price</v>
      </c>
      <c r="W79" t="str">
        <f>IF(Orders[[#This Row],[Quantity]]&gt;MEDIAN(E:E), "High Volume", "Low Volume")</f>
        <v>Low Volume</v>
      </c>
      <c r="X79" t="str">
        <f>Orders[[#This Row],[Sales Tier]] &amp; "-" &amp; Orders[[#This Row],[Quantity Tier]]</f>
        <v>High Price-Low Volume</v>
      </c>
      <c r="Y79" t="str">
        <f>TEXT(Orders[[#This Row],[Order Date]], "mmmm")</f>
        <v>July</v>
      </c>
      <c r="Z7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79" t="str">
        <f>Orders[[#This Row],[Coffee Type Name]] &amp; "-" &amp; Orders[[#This Row],[Roast Type Name]]</f>
        <v>Liberica-Light</v>
      </c>
      <c r="AB7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80" spans="1:28" x14ac:dyDescent="0.25">
      <c r="A80" s="2" t="s">
        <v>4858</v>
      </c>
      <c r="B80" s="4">
        <v>44488</v>
      </c>
      <c r="C80" s="2" t="s">
        <v>4859</v>
      </c>
      <c r="D80" t="s">
        <v>6159</v>
      </c>
      <c r="E80" s="2">
        <v>2</v>
      </c>
      <c r="F80" s="2" t="str">
        <f>_xlfn.XLOOKUP(C80,customers!$A$1:$A$1001,customers!$B$1:$B$1001,,0)</f>
        <v>Alva Filipczak</v>
      </c>
      <c r="G80" s="2" t="str">
        <f>IF(_xlfn.XLOOKUP(C80,customers!$A$1:$A$1001,customers!$C$1:$C$1001,,0)=0,"",_xlfn.XLOOKUP(C80,customers!$A$1:$A$1001,customers!$C$1:$C$1001,,0))</f>
        <v>afilipczaklh@ning.com</v>
      </c>
      <c r="H80" s="2" t="str">
        <f>_xlfn.XLOOKUP(C80,customers!$A$1:$A$1001,customers!$G$1:$G$1001,,0)</f>
        <v>Ireland</v>
      </c>
      <c r="I80" t="str">
        <f>INDEX(products!$A$1:$G$49, MATCH(orders!$D775,products!$A$1:$A822,0), MATCH(orders!I$1,products!$A$1:$G$1,0))</f>
        <v>Lib</v>
      </c>
      <c r="J80" t="str">
        <f>INDEX(products!$A$1:$G$49, MATCH(orders!$D775,products!$A$1:$A822,0), MATCH(orders!J$1,products!$A$1:$G$1,0))</f>
        <v>M</v>
      </c>
      <c r="K80" s="5">
        <f>INDEX(products!$A$1:$G$49, MATCH(orders!$D775,products!$A$1:$A822,0), MATCH(orders!K$1,products!$A$1:$G$1,0))</f>
        <v>0.2</v>
      </c>
      <c r="L80" s="6">
        <f>INDEX(products!$A$1:$G$49, MATCH(orders!$D775,products!$A$1:$A822,0), MATCH(orders!L$1,products!$A$1:$G$1,0))</f>
        <v>4.3650000000000002</v>
      </c>
      <c r="M80" s="6">
        <f t="shared" si="3"/>
        <v>8.73</v>
      </c>
      <c r="N80" t="str">
        <f t="shared" si="4"/>
        <v>Liberica</v>
      </c>
      <c r="O80" t="str">
        <f t="shared" si="5"/>
        <v>Medium</v>
      </c>
      <c r="P80" t="str">
        <f>_xlfn.XLOOKUP(Orders[[#This Row],[Customer ID]],customers!$A$1:$A$1001,customers!$I$1:$I$1001,,0)</f>
        <v>No</v>
      </c>
      <c r="Q80">
        <f>COUNTIF(Orders[Order ID],Orders[[#This Row],[Order ID]])</f>
        <v>1</v>
      </c>
      <c r="R80" s="10">
        <f>SUMIF(Orders[Order ID], Orders[[#This Row],[Order ID]],Orders[Sales])/Orders[[#This Row],[Order Frequency]]</f>
        <v>8.73</v>
      </c>
      <c r="S80" t="str">
        <f>IF(Orders[[#This Row],[Order Frequency]]&gt;4, "More than 4", IF(AND(Orders[[#This Row],[Order Frequency]]&lt;=4,Orders[[#This Row],[Order Frequency]]&gt;=2), "Between 4 and 2", "Less than 2"))</f>
        <v>Less than 2</v>
      </c>
      <c r="T80" t="str">
        <f>IF(Orders[[#This Row],[Frequency Group]]="less than 2", "Low Value", IF(Orders[[#This Row],[Frequency Group]]="between 4 and 2", "Medium Value", "High Value"))</f>
        <v>Low Value</v>
      </c>
      <c r="U80" t="str">
        <f>IF(Orders[[#This Row],[Sales]]&lt;50, "$0-50", IF(AND(Orders[[#This Row],[Sales]]&gt;=50,Orders[[#This Row],[Sales]]&lt;=100), "$50-100", IF(AND(Orders[[#This Row],[Sales]]&gt;100,Orders[[#This Row],[Sales]]&lt;=150), "$101-150", "$150+")))</f>
        <v>$0-50</v>
      </c>
      <c r="V80" t="str">
        <f>IF(Orders[[#This Row],[Sales]]&gt;MEDIAN(M:M), "High Price", "Low Price")</f>
        <v>Low Price</v>
      </c>
      <c r="W80" t="str">
        <f>IF(Orders[[#This Row],[Quantity]]&gt;MEDIAN(E:E), "High Volume", "Low Volume")</f>
        <v>Low Volume</v>
      </c>
      <c r="X80" t="str">
        <f>Orders[[#This Row],[Sales Tier]] &amp; "-" &amp; Orders[[#This Row],[Quantity Tier]]</f>
        <v>Low Price-Low Volume</v>
      </c>
      <c r="Y80" t="str">
        <f>TEXT(Orders[[#This Row],[Order Date]], "mmmm")</f>
        <v>October</v>
      </c>
      <c r="Z8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80" t="str">
        <f>Orders[[#This Row],[Coffee Type Name]] &amp; "-" &amp; Orders[[#This Row],[Roast Type Name]]</f>
        <v>Liberica-Medium</v>
      </c>
      <c r="AB8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1" spans="1:28" x14ac:dyDescent="0.25">
      <c r="A81" s="2" t="s">
        <v>5483</v>
      </c>
      <c r="B81" s="4">
        <v>43956</v>
      </c>
      <c r="C81" s="2" t="s">
        <v>5484</v>
      </c>
      <c r="D81" t="s">
        <v>6175</v>
      </c>
      <c r="E81" s="2">
        <v>3</v>
      </c>
      <c r="F81" s="2" t="str">
        <f>_xlfn.XLOOKUP(C81,customers!$A$1:$A$1001,customers!$B$1:$B$1001,,0)</f>
        <v>Lindon Agnolo</v>
      </c>
      <c r="G81" s="2" t="str">
        <f>IF(_xlfn.XLOOKUP(C81,customers!$A$1:$A$1001,customers!$C$1:$C$1001,,0)=0,"",_xlfn.XLOOKUP(C81,customers!$A$1:$A$1001,customers!$C$1:$C$1001,,0))</f>
        <v>lagnolooj@pinterest.com</v>
      </c>
      <c r="H81" s="2" t="str">
        <f>_xlfn.XLOOKUP(C81,customers!$A$1:$A$1001,customers!$G$1:$G$1001,,0)</f>
        <v>United States</v>
      </c>
      <c r="I81" t="str">
        <f>INDEX(products!$A$1:$G$49, MATCH(orders!$D885,products!$A$1:$A932,0), MATCH(orders!I$1,products!$A$1:$G$1,0))</f>
        <v>Ara</v>
      </c>
      <c r="J81" t="str">
        <f>INDEX(products!$A$1:$G$49, MATCH(orders!$D885,products!$A$1:$A932,0), MATCH(orders!J$1,products!$A$1:$G$1,0))</f>
        <v>M</v>
      </c>
      <c r="K81" s="5">
        <f>INDEX(products!$A$1:$G$49, MATCH(orders!$D885,products!$A$1:$A932,0), MATCH(orders!K$1,products!$A$1:$G$1,0))</f>
        <v>2.5</v>
      </c>
      <c r="L81" s="6">
        <f>INDEX(products!$A$1:$G$49, MATCH(orders!$D885,products!$A$1:$A932,0), MATCH(orders!L$1,products!$A$1:$G$1,0))</f>
        <v>25.874999999999996</v>
      </c>
      <c r="M81" s="6">
        <f t="shared" si="3"/>
        <v>77.624999999999986</v>
      </c>
      <c r="N81" t="str">
        <f t="shared" si="4"/>
        <v>Arabica</v>
      </c>
      <c r="O81" t="str">
        <f t="shared" si="5"/>
        <v>Medium</v>
      </c>
      <c r="P81" t="str">
        <f>_xlfn.XLOOKUP(Orders[[#This Row],[Customer ID]],customers!$A$1:$A$1001,customers!$I$1:$I$1001,,0)</f>
        <v>Yes</v>
      </c>
      <c r="Q81">
        <f>COUNTIF(Orders[Order ID],Orders[[#This Row],[Order ID]])</f>
        <v>1</v>
      </c>
      <c r="R81" s="10">
        <f>SUMIF(Orders[Order ID], Orders[[#This Row],[Order ID]],Orders[Sales])/Orders[[#This Row],[Order Frequency]]</f>
        <v>77.624999999999986</v>
      </c>
      <c r="S81" t="str">
        <f>IF(Orders[[#This Row],[Order Frequency]]&gt;4, "More than 4", IF(AND(Orders[[#This Row],[Order Frequency]]&lt;=4,Orders[[#This Row],[Order Frequency]]&gt;=2), "Between 4 and 2", "Less than 2"))</f>
        <v>Less than 2</v>
      </c>
      <c r="T81" t="str">
        <f>IF(Orders[[#This Row],[Frequency Group]]="less than 2", "Low Value", IF(Orders[[#This Row],[Frequency Group]]="between 4 and 2", "Medium Value", "High Value"))</f>
        <v>Low Value</v>
      </c>
      <c r="U81" t="str">
        <f>IF(Orders[[#This Row],[Sales]]&lt;50, "$0-50", IF(AND(Orders[[#This Row],[Sales]]&gt;=50,Orders[[#This Row],[Sales]]&lt;=100), "$50-100", IF(AND(Orders[[#This Row],[Sales]]&gt;100,Orders[[#This Row],[Sales]]&lt;=150), "$101-150", "$150+")))</f>
        <v>$50-100</v>
      </c>
      <c r="V81" t="str">
        <f>IF(Orders[[#This Row],[Sales]]&gt;MEDIAN(M:M), "High Price", "Low Price")</f>
        <v>High Price</v>
      </c>
      <c r="W81" t="str">
        <f>IF(Orders[[#This Row],[Quantity]]&gt;MEDIAN(E:E), "High Volume", "Low Volume")</f>
        <v>Low Volume</v>
      </c>
      <c r="X81" t="str">
        <f>Orders[[#This Row],[Sales Tier]] &amp; "-" &amp; Orders[[#This Row],[Quantity Tier]]</f>
        <v>High Price-Low Volume</v>
      </c>
      <c r="Y81" t="str">
        <f>TEXT(Orders[[#This Row],[Order Date]], "mmmm")</f>
        <v>May</v>
      </c>
      <c r="Z8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81" t="str">
        <f>Orders[[#This Row],[Coffee Type Name]] &amp; "-" &amp; Orders[[#This Row],[Roast Type Name]]</f>
        <v>Arabica-Medium</v>
      </c>
      <c r="AB8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82" spans="1:28" x14ac:dyDescent="0.25">
      <c r="A82" s="2" t="s">
        <v>3004</v>
      </c>
      <c r="B82" s="4">
        <v>43816</v>
      </c>
      <c r="C82" s="2" t="s">
        <v>3005</v>
      </c>
      <c r="D82" t="s">
        <v>6160</v>
      </c>
      <c r="E82" s="2">
        <v>1</v>
      </c>
      <c r="F82" s="2" t="str">
        <f>_xlfn.XLOOKUP(C82,customers!$A$1:$A$1001,customers!$B$1:$B$1001,,0)</f>
        <v>Wain Cholomin</v>
      </c>
      <c r="G82" s="2" t="str">
        <f>IF(_xlfn.XLOOKUP(C82,customers!$A$1:$A$1001,customers!$C$1:$C$1001,,0)=0,"",_xlfn.XLOOKUP(C82,customers!$A$1:$A$1001,customers!$C$1:$C$1001,,0))</f>
        <v>wcholomince@about.com</v>
      </c>
      <c r="H82" s="2" t="str">
        <f>_xlfn.XLOOKUP(C82,customers!$A$1:$A$1001,customers!$G$1:$G$1001,,0)</f>
        <v>United Kingdom</v>
      </c>
      <c r="I82" t="str">
        <f>INDEX(products!$A$1:$G$49, MATCH(orders!$D448,products!$A$1:$A495,0), MATCH(orders!I$1,products!$A$1:$G$1,0))</f>
        <v>Lib</v>
      </c>
      <c r="J82" t="str">
        <f>INDEX(products!$A$1:$G$49, MATCH(orders!$D448,products!$A$1:$A495,0), MATCH(orders!J$1,products!$A$1:$G$1,0))</f>
        <v>M</v>
      </c>
      <c r="K82" s="5">
        <f>INDEX(products!$A$1:$G$49, MATCH(orders!$D448,products!$A$1:$A495,0), MATCH(orders!K$1,products!$A$1:$G$1,0))</f>
        <v>0.5</v>
      </c>
      <c r="L82" s="6">
        <f>INDEX(products!$A$1:$G$49, MATCH(orders!$D448,products!$A$1:$A495,0), MATCH(orders!L$1,products!$A$1:$G$1,0))</f>
        <v>8.73</v>
      </c>
      <c r="M82" s="6">
        <f t="shared" si="3"/>
        <v>8.73</v>
      </c>
      <c r="N82" t="str">
        <f t="shared" si="4"/>
        <v>Liberica</v>
      </c>
      <c r="O82" t="str">
        <f t="shared" si="5"/>
        <v>Medium</v>
      </c>
      <c r="P82" t="str">
        <f>_xlfn.XLOOKUP(Orders[[#This Row],[Customer ID]],customers!$A$1:$A$1001,customers!$I$1:$I$1001,,0)</f>
        <v>Yes</v>
      </c>
      <c r="Q82">
        <f>COUNTIF(Orders[Order ID],Orders[[#This Row],[Order ID]])</f>
        <v>1</v>
      </c>
      <c r="R82" s="10">
        <f>SUMIF(Orders[Order ID], Orders[[#This Row],[Order ID]],Orders[Sales])/Orders[[#This Row],[Order Frequency]]</f>
        <v>8.73</v>
      </c>
      <c r="S82" t="str">
        <f>IF(Orders[[#This Row],[Order Frequency]]&gt;4, "More than 4", IF(AND(Orders[[#This Row],[Order Frequency]]&lt;=4,Orders[[#This Row],[Order Frequency]]&gt;=2), "Between 4 and 2", "Less than 2"))</f>
        <v>Less than 2</v>
      </c>
      <c r="T82" t="str">
        <f>IF(Orders[[#This Row],[Frequency Group]]="less than 2", "Low Value", IF(Orders[[#This Row],[Frequency Group]]="between 4 and 2", "Medium Value", "High Value"))</f>
        <v>Low Value</v>
      </c>
      <c r="U82" t="str">
        <f>IF(Orders[[#This Row],[Sales]]&lt;50, "$0-50", IF(AND(Orders[[#This Row],[Sales]]&gt;=50,Orders[[#This Row],[Sales]]&lt;=100), "$50-100", IF(AND(Orders[[#This Row],[Sales]]&gt;100,Orders[[#This Row],[Sales]]&lt;=150), "$101-150", "$150+")))</f>
        <v>$0-50</v>
      </c>
      <c r="V82" t="str">
        <f>IF(Orders[[#This Row],[Sales]]&gt;MEDIAN(M:M), "High Price", "Low Price")</f>
        <v>Low Price</v>
      </c>
      <c r="W82" t="str">
        <f>IF(Orders[[#This Row],[Quantity]]&gt;MEDIAN(E:E), "High Volume", "Low Volume")</f>
        <v>Low Volume</v>
      </c>
      <c r="X82" t="str">
        <f>Orders[[#This Row],[Sales Tier]] &amp; "-" &amp; Orders[[#This Row],[Quantity Tier]]</f>
        <v>Low Price-Low Volume</v>
      </c>
      <c r="Y82" t="str">
        <f>TEXT(Orders[[#This Row],[Order Date]], "mmmm")</f>
        <v>December</v>
      </c>
      <c r="Z8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82" t="str">
        <f>Orders[[#This Row],[Coffee Type Name]] &amp; "-" &amp; Orders[[#This Row],[Roast Type Name]]</f>
        <v>Liberica-Medium</v>
      </c>
      <c r="AB8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83" spans="1:28" x14ac:dyDescent="0.25">
      <c r="A83" s="2" t="s">
        <v>1401</v>
      </c>
      <c r="B83" s="4">
        <v>44515</v>
      </c>
      <c r="C83" s="2" t="s">
        <v>1402</v>
      </c>
      <c r="D83" t="s">
        <v>6144</v>
      </c>
      <c r="E83" s="2">
        <v>3</v>
      </c>
      <c r="F83" s="2" t="str">
        <f>_xlfn.XLOOKUP(C83,customers!$A$1:$A$1001,customers!$B$1:$B$1001,,0)</f>
        <v>Dottie Tift</v>
      </c>
      <c r="G83" s="2" t="str">
        <f>IF(_xlfn.XLOOKUP(C83,customers!$A$1:$A$1001,customers!$C$1:$C$1001,,0)=0,"",_xlfn.XLOOKUP(C83,customers!$A$1:$A$1001,customers!$C$1:$C$1001,,0))</f>
        <v>dtift4i@netvibes.com</v>
      </c>
      <c r="H83" s="2" t="str">
        <f>_xlfn.XLOOKUP(C83,customers!$A$1:$A$1001,customers!$G$1:$G$1001,,0)</f>
        <v>United States</v>
      </c>
      <c r="I83" t="str">
        <f>INDEX(products!$A$1:$G$49, MATCH(orders!$D164,products!$A$1:$A211,0), MATCH(orders!I$1,products!$A$1:$G$1,0))</f>
        <v>Exc</v>
      </c>
      <c r="J83" t="str">
        <f>INDEX(products!$A$1:$G$49, MATCH(orders!$D164,products!$A$1:$A211,0), MATCH(orders!J$1,products!$A$1:$G$1,0))</f>
        <v>D</v>
      </c>
      <c r="K83" s="5">
        <f>INDEX(products!$A$1:$G$49, MATCH(orders!$D164,products!$A$1:$A211,0), MATCH(orders!K$1,products!$A$1:$G$1,0))</f>
        <v>0.5</v>
      </c>
      <c r="L83" s="6">
        <f>INDEX(products!$A$1:$G$49, MATCH(orders!$D164,products!$A$1:$A211,0), MATCH(orders!L$1,products!$A$1:$G$1,0))</f>
        <v>7.29</v>
      </c>
      <c r="M83" s="6">
        <f t="shared" si="3"/>
        <v>21.87</v>
      </c>
      <c r="N83" t="str">
        <f t="shared" si="4"/>
        <v>Excelsa</v>
      </c>
      <c r="O83" t="str">
        <f t="shared" si="5"/>
        <v>Dark</v>
      </c>
      <c r="P83" t="str">
        <f>_xlfn.XLOOKUP(Orders[[#This Row],[Customer ID]],customers!$A$1:$A$1001,customers!$I$1:$I$1001,,0)</f>
        <v>Yes</v>
      </c>
      <c r="Q83">
        <f>COUNTIF(Orders[Order ID],Orders[[#This Row],[Order ID]])</f>
        <v>1</v>
      </c>
      <c r="R83" s="10">
        <f>SUMIF(Orders[Order ID], Orders[[#This Row],[Order ID]],Orders[Sales])/Orders[[#This Row],[Order Frequency]]</f>
        <v>21.87</v>
      </c>
      <c r="S83" t="str">
        <f>IF(Orders[[#This Row],[Order Frequency]]&gt;4, "More than 4", IF(AND(Orders[[#This Row],[Order Frequency]]&lt;=4,Orders[[#This Row],[Order Frequency]]&gt;=2), "Between 4 and 2", "Less than 2"))</f>
        <v>Less than 2</v>
      </c>
      <c r="T83" t="str">
        <f>IF(Orders[[#This Row],[Frequency Group]]="less than 2", "Low Value", IF(Orders[[#This Row],[Frequency Group]]="between 4 and 2", "Medium Value", "High Value"))</f>
        <v>Low Value</v>
      </c>
      <c r="U83" t="str">
        <f>IF(Orders[[#This Row],[Sales]]&lt;50, "$0-50", IF(AND(Orders[[#This Row],[Sales]]&gt;=50,Orders[[#This Row],[Sales]]&lt;=100), "$50-100", IF(AND(Orders[[#This Row],[Sales]]&gt;100,Orders[[#This Row],[Sales]]&lt;=150), "$101-150", "$150+")))</f>
        <v>$0-50</v>
      </c>
      <c r="V83" t="str">
        <f>IF(Orders[[#This Row],[Sales]]&gt;MEDIAN(M:M), "High Price", "Low Price")</f>
        <v>Low Price</v>
      </c>
      <c r="W83" t="str">
        <f>IF(Orders[[#This Row],[Quantity]]&gt;MEDIAN(E:E), "High Volume", "Low Volume")</f>
        <v>Low Volume</v>
      </c>
      <c r="X83" t="str">
        <f>Orders[[#This Row],[Sales Tier]] &amp; "-" &amp; Orders[[#This Row],[Quantity Tier]]</f>
        <v>Low Price-Low Volume</v>
      </c>
      <c r="Y83" t="str">
        <f>TEXT(Orders[[#This Row],[Order Date]], "mmmm")</f>
        <v>November</v>
      </c>
      <c r="Z8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83" t="str">
        <f>Orders[[#This Row],[Coffee Type Name]] &amp; "-" &amp; Orders[[#This Row],[Roast Type Name]]</f>
        <v>Excelsa-Dark</v>
      </c>
      <c r="AB8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4" spans="1:28" x14ac:dyDescent="0.25">
      <c r="A84" s="2" t="s">
        <v>1783</v>
      </c>
      <c r="B84" s="4">
        <v>44282</v>
      </c>
      <c r="C84" s="2" t="s">
        <v>1784</v>
      </c>
      <c r="D84" t="s">
        <v>6159</v>
      </c>
      <c r="E84" s="2">
        <v>2</v>
      </c>
      <c r="F84" s="2" t="str">
        <f>_xlfn.XLOOKUP(C84,customers!$A$1:$A$1001,customers!$B$1:$B$1001,,0)</f>
        <v>Kristos Streight</v>
      </c>
      <c r="G84" s="2" t="str">
        <f>IF(_xlfn.XLOOKUP(C84,customers!$A$1:$A$1001,customers!$C$1:$C$1001,,0)=0,"",_xlfn.XLOOKUP(C84,customers!$A$1:$A$1001,customers!$C$1:$C$1001,,0))</f>
        <v>kstreight6d@about.com</v>
      </c>
      <c r="H84" s="2" t="str">
        <f>_xlfn.XLOOKUP(C84,customers!$A$1:$A$1001,customers!$G$1:$G$1001,,0)</f>
        <v>United States</v>
      </c>
      <c r="I84" t="str">
        <f>INDEX(products!$A$1:$G$49, MATCH(orders!$D231,products!$A$1:$A278,0), MATCH(orders!I$1,products!$A$1:$G$1,0))</f>
        <v>Lib</v>
      </c>
      <c r="J84" t="str">
        <f>INDEX(products!$A$1:$G$49, MATCH(orders!$D231,products!$A$1:$A278,0), MATCH(orders!J$1,products!$A$1:$G$1,0))</f>
        <v>M</v>
      </c>
      <c r="K84" s="5">
        <f>INDEX(products!$A$1:$G$49, MATCH(orders!$D231,products!$A$1:$A278,0), MATCH(orders!K$1,products!$A$1:$G$1,0))</f>
        <v>0.2</v>
      </c>
      <c r="L84" s="6">
        <f>INDEX(products!$A$1:$G$49, MATCH(orders!$D231,products!$A$1:$A278,0), MATCH(orders!L$1,products!$A$1:$G$1,0))</f>
        <v>4.3650000000000002</v>
      </c>
      <c r="M84" s="6">
        <f t="shared" si="3"/>
        <v>8.73</v>
      </c>
      <c r="N84" t="str">
        <f t="shared" si="4"/>
        <v>Liberica</v>
      </c>
      <c r="O84" t="str">
        <f t="shared" si="5"/>
        <v>Medium</v>
      </c>
      <c r="P84" t="str">
        <f>_xlfn.XLOOKUP(Orders[[#This Row],[Customer ID]],customers!$A$1:$A$1001,customers!$I$1:$I$1001,,0)</f>
        <v>No</v>
      </c>
      <c r="Q84">
        <f>COUNTIF(Orders[Order ID],Orders[[#This Row],[Order ID]])</f>
        <v>1</v>
      </c>
      <c r="R84" s="10">
        <f>SUMIF(Orders[Order ID], Orders[[#This Row],[Order ID]],Orders[Sales])/Orders[[#This Row],[Order Frequency]]</f>
        <v>8.73</v>
      </c>
      <c r="S84" t="str">
        <f>IF(Orders[[#This Row],[Order Frequency]]&gt;4, "More than 4", IF(AND(Orders[[#This Row],[Order Frequency]]&lt;=4,Orders[[#This Row],[Order Frequency]]&gt;=2), "Between 4 and 2", "Less than 2"))</f>
        <v>Less than 2</v>
      </c>
      <c r="T84" t="str">
        <f>IF(Orders[[#This Row],[Frequency Group]]="less than 2", "Low Value", IF(Orders[[#This Row],[Frequency Group]]="between 4 and 2", "Medium Value", "High Value"))</f>
        <v>Low Value</v>
      </c>
      <c r="U84" t="str">
        <f>IF(Orders[[#This Row],[Sales]]&lt;50, "$0-50", IF(AND(Orders[[#This Row],[Sales]]&gt;=50,Orders[[#This Row],[Sales]]&lt;=100), "$50-100", IF(AND(Orders[[#This Row],[Sales]]&gt;100,Orders[[#This Row],[Sales]]&lt;=150), "$101-150", "$150+")))</f>
        <v>$0-50</v>
      </c>
      <c r="V84" t="str">
        <f>IF(Orders[[#This Row],[Sales]]&gt;MEDIAN(M:M), "High Price", "Low Price")</f>
        <v>Low Price</v>
      </c>
      <c r="W84" t="str">
        <f>IF(Orders[[#This Row],[Quantity]]&gt;MEDIAN(E:E), "High Volume", "Low Volume")</f>
        <v>Low Volume</v>
      </c>
      <c r="X84" t="str">
        <f>Orders[[#This Row],[Sales Tier]] &amp; "-" &amp; Orders[[#This Row],[Quantity Tier]]</f>
        <v>Low Price-Low Volume</v>
      </c>
      <c r="Y84" t="str">
        <f>TEXT(Orders[[#This Row],[Order Date]], "mmmm")</f>
        <v>March</v>
      </c>
      <c r="Z8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4" t="str">
        <f>Orders[[#This Row],[Coffee Type Name]] &amp; "-" &amp; Orders[[#This Row],[Roast Type Name]]</f>
        <v>Liberica-Medium</v>
      </c>
      <c r="AB8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85" spans="1:28" x14ac:dyDescent="0.25">
      <c r="A85" s="2" t="s">
        <v>4608</v>
      </c>
      <c r="B85" s="4">
        <v>44634</v>
      </c>
      <c r="C85" s="2" t="s">
        <v>4609</v>
      </c>
      <c r="D85" t="s">
        <v>6159</v>
      </c>
      <c r="E85" s="2">
        <v>1</v>
      </c>
      <c r="F85" s="2" t="str">
        <f>_xlfn.XLOOKUP(C85,customers!$A$1:$A$1001,customers!$B$1:$B$1001,,0)</f>
        <v>Selle Scurrer</v>
      </c>
      <c r="G85" s="2" t="str">
        <f>IF(_xlfn.XLOOKUP(C85,customers!$A$1:$A$1001,customers!$C$1:$C$1001,,0)=0,"",_xlfn.XLOOKUP(C85,customers!$A$1:$A$1001,customers!$C$1:$C$1001,,0))</f>
        <v>sscurrerk9@flavors.me</v>
      </c>
      <c r="H85" s="2" t="str">
        <f>_xlfn.XLOOKUP(C85,customers!$A$1:$A$1001,customers!$G$1:$G$1001,,0)</f>
        <v>United Kingdom</v>
      </c>
      <c r="I85" t="str">
        <f>INDEX(products!$A$1:$G$49, MATCH(orders!$D731,products!$A$1:$A778,0), MATCH(orders!I$1,products!$A$1:$G$1,0))</f>
        <v>Lib</v>
      </c>
      <c r="J85" t="str">
        <f>INDEX(products!$A$1:$G$49, MATCH(orders!$D731,products!$A$1:$A778,0), MATCH(orders!J$1,products!$A$1:$G$1,0))</f>
        <v>M</v>
      </c>
      <c r="K85" s="5">
        <f>INDEX(products!$A$1:$G$49, MATCH(orders!$D731,products!$A$1:$A778,0), MATCH(orders!K$1,products!$A$1:$G$1,0))</f>
        <v>0.2</v>
      </c>
      <c r="L85" s="6">
        <f>INDEX(products!$A$1:$G$49, MATCH(orders!$D731,products!$A$1:$A778,0), MATCH(orders!L$1,products!$A$1:$G$1,0))</f>
        <v>4.3650000000000002</v>
      </c>
      <c r="M85" s="6">
        <f t="shared" si="3"/>
        <v>4.3650000000000002</v>
      </c>
      <c r="N85" t="str">
        <f t="shared" si="4"/>
        <v>Liberica</v>
      </c>
      <c r="O85" t="str">
        <f t="shared" si="5"/>
        <v>Medium</v>
      </c>
      <c r="P85" t="str">
        <f>_xlfn.XLOOKUP(Orders[[#This Row],[Customer ID]],customers!$A$1:$A$1001,customers!$I$1:$I$1001,,0)</f>
        <v>No</v>
      </c>
      <c r="Q85">
        <f>COUNTIF(Orders[Order ID],Orders[[#This Row],[Order ID]])</f>
        <v>1</v>
      </c>
      <c r="R85" s="10">
        <f>SUMIF(Orders[Order ID], Orders[[#This Row],[Order ID]],Orders[Sales])/Orders[[#This Row],[Order Frequency]]</f>
        <v>4.3650000000000002</v>
      </c>
      <c r="S85" t="str">
        <f>IF(Orders[[#This Row],[Order Frequency]]&gt;4, "More than 4", IF(AND(Orders[[#This Row],[Order Frequency]]&lt;=4,Orders[[#This Row],[Order Frequency]]&gt;=2), "Between 4 and 2", "Less than 2"))</f>
        <v>Less than 2</v>
      </c>
      <c r="T85" t="str">
        <f>IF(Orders[[#This Row],[Frequency Group]]="less than 2", "Low Value", IF(Orders[[#This Row],[Frequency Group]]="between 4 and 2", "Medium Value", "High Value"))</f>
        <v>Low Value</v>
      </c>
      <c r="U85" t="str">
        <f>IF(Orders[[#This Row],[Sales]]&lt;50, "$0-50", IF(AND(Orders[[#This Row],[Sales]]&gt;=50,Orders[[#This Row],[Sales]]&lt;=100), "$50-100", IF(AND(Orders[[#This Row],[Sales]]&gt;100,Orders[[#This Row],[Sales]]&lt;=150), "$101-150", "$150+")))</f>
        <v>$0-50</v>
      </c>
      <c r="V85" t="str">
        <f>IF(Orders[[#This Row],[Sales]]&gt;MEDIAN(M:M), "High Price", "Low Price")</f>
        <v>Low Price</v>
      </c>
      <c r="W85" t="str">
        <f>IF(Orders[[#This Row],[Quantity]]&gt;MEDIAN(E:E), "High Volume", "Low Volume")</f>
        <v>Low Volume</v>
      </c>
      <c r="X85" t="str">
        <f>Orders[[#This Row],[Sales Tier]] &amp; "-" &amp; Orders[[#This Row],[Quantity Tier]]</f>
        <v>Low Price-Low Volume</v>
      </c>
      <c r="Y85" t="str">
        <f>TEXT(Orders[[#This Row],[Order Date]], "mmmm")</f>
        <v>March</v>
      </c>
      <c r="Z8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5" t="str">
        <f>Orders[[#This Row],[Coffee Type Name]] &amp; "-" &amp; Orders[[#This Row],[Roast Type Name]]</f>
        <v>Liberica-Medium</v>
      </c>
      <c r="AB8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86" spans="1:28" x14ac:dyDescent="0.25">
      <c r="A86" s="2" t="s">
        <v>2408</v>
      </c>
      <c r="B86" s="4">
        <v>43528</v>
      </c>
      <c r="C86" s="2" t="s">
        <v>2409</v>
      </c>
      <c r="D86" t="s">
        <v>6144</v>
      </c>
      <c r="E86" s="2">
        <v>1</v>
      </c>
      <c r="F86" s="2" t="str">
        <f>_xlfn.XLOOKUP(C86,customers!$A$1:$A$1001,customers!$B$1:$B$1001,,0)</f>
        <v>Wesley Giorgioni</v>
      </c>
      <c r="G86" s="2" t="str">
        <f>IF(_xlfn.XLOOKUP(C86,customers!$A$1:$A$1001,customers!$C$1:$C$1001,,0)=0,"",_xlfn.XLOOKUP(C86,customers!$A$1:$A$1001,customers!$C$1:$C$1001,,0))</f>
        <v>wgiorgioni9g@wikipedia.org</v>
      </c>
      <c r="H86" s="2" t="str">
        <f>_xlfn.XLOOKUP(C86,customers!$A$1:$A$1001,customers!$G$1:$G$1001,,0)</f>
        <v>United States</v>
      </c>
      <c r="I86" t="str">
        <f>INDEX(products!$A$1:$G$49, MATCH(orders!$D342,products!$A$1:$A389,0), MATCH(orders!I$1,products!$A$1:$G$1,0))</f>
        <v>Exc</v>
      </c>
      <c r="J86" t="str">
        <f>INDEX(products!$A$1:$G$49, MATCH(orders!$D342,products!$A$1:$A389,0), MATCH(orders!J$1,products!$A$1:$G$1,0))</f>
        <v>D</v>
      </c>
      <c r="K86" s="5">
        <f>INDEX(products!$A$1:$G$49, MATCH(orders!$D342,products!$A$1:$A389,0), MATCH(orders!K$1,products!$A$1:$G$1,0))</f>
        <v>0.5</v>
      </c>
      <c r="L86" s="6">
        <f>INDEX(products!$A$1:$G$49, MATCH(orders!$D342,products!$A$1:$A389,0), MATCH(orders!L$1,products!$A$1:$G$1,0))</f>
        <v>7.29</v>
      </c>
      <c r="M86" s="6">
        <f t="shared" si="3"/>
        <v>7.29</v>
      </c>
      <c r="N86" t="str">
        <f t="shared" si="4"/>
        <v>Excelsa</v>
      </c>
      <c r="O86" t="str">
        <f t="shared" si="5"/>
        <v>Dark</v>
      </c>
      <c r="P86" t="str">
        <f>_xlfn.XLOOKUP(Orders[[#This Row],[Customer ID]],customers!$A$1:$A$1001,customers!$I$1:$I$1001,,0)</f>
        <v>Yes</v>
      </c>
      <c r="Q86">
        <f>COUNTIF(Orders[Order ID],Orders[[#This Row],[Order ID]])</f>
        <v>1</v>
      </c>
      <c r="R86" s="10">
        <f>SUMIF(Orders[Order ID], Orders[[#This Row],[Order ID]],Orders[Sales])/Orders[[#This Row],[Order Frequency]]</f>
        <v>7.29</v>
      </c>
      <c r="S86" t="str">
        <f>IF(Orders[[#This Row],[Order Frequency]]&gt;4, "More than 4", IF(AND(Orders[[#This Row],[Order Frequency]]&lt;=4,Orders[[#This Row],[Order Frequency]]&gt;=2), "Between 4 and 2", "Less than 2"))</f>
        <v>Less than 2</v>
      </c>
      <c r="T86" t="str">
        <f>IF(Orders[[#This Row],[Frequency Group]]="less than 2", "Low Value", IF(Orders[[#This Row],[Frequency Group]]="between 4 and 2", "Medium Value", "High Value"))</f>
        <v>Low Value</v>
      </c>
      <c r="U86" t="str">
        <f>IF(Orders[[#This Row],[Sales]]&lt;50, "$0-50", IF(AND(Orders[[#This Row],[Sales]]&gt;=50,Orders[[#This Row],[Sales]]&lt;=100), "$50-100", IF(AND(Orders[[#This Row],[Sales]]&gt;100,Orders[[#This Row],[Sales]]&lt;=150), "$101-150", "$150+")))</f>
        <v>$0-50</v>
      </c>
      <c r="V86" t="str">
        <f>IF(Orders[[#This Row],[Sales]]&gt;MEDIAN(M:M), "High Price", "Low Price")</f>
        <v>Low Price</v>
      </c>
      <c r="W86" t="str">
        <f>IF(Orders[[#This Row],[Quantity]]&gt;MEDIAN(E:E), "High Volume", "Low Volume")</f>
        <v>Low Volume</v>
      </c>
      <c r="X86" t="str">
        <f>Orders[[#This Row],[Sales Tier]] &amp; "-" &amp; Orders[[#This Row],[Quantity Tier]]</f>
        <v>Low Price-Low Volume</v>
      </c>
      <c r="Y86" t="str">
        <f>TEXT(Orders[[#This Row],[Order Date]], "mmmm")</f>
        <v>March</v>
      </c>
      <c r="Z8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6" t="str">
        <f>Orders[[#This Row],[Coffee Type Name]] &amp; "-" &amp; Orders[[#This Row],[Roast Type Name]]</f>
        <v>Excelsa-Dark</v>
      </c>
      <c r="AB8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87" spans="1:28" x14ac:dyDescent="0.25">
      <c r="A87" s="2" t="s">
        <v>649</v>
      </c>
      <c r="B87" s="4">
        <v>44775</v>
      </c>
      <c r="C87" s="2" t="s">
        <v>650</v>
      </c>
      <c r="D87" t="s">
        <v>6158</v>
      </c>
      <c r="E87" s="2">
        <v>3</v>
      </c>
      <c r="F87" s="2" t="str">
        <f>_xlfn.XLOOKUP(C87,customers!$A$1:$A$1001,customers!$B$1:$B$1001,,0)</f>
        <v>Theresita Newbury</v>
      </c>
      <c r="G87" s="2" t="str">
        <f>IF(_xlfn.XLOOKUP(C87,customers!$A$1:$A$1001,customers!$C$1:$C$1001,,0)=0,"",_xlfn.XLOOKUP(C87,customers!$A$1:$A$1001,customers!$C$1:$C$1001,,0))</f>
        <v>tnewburys@usda.gov</v>
      </c>
      <c r="H87" s="2" t="str">
        <f>_xlfn.XLOOKUP(C87,customers!$A$1:$A$1001,customers!$G$1:$G$1001,,0)</f>
        <v>Ireland</v>
      </c>
      <c r="I87" t="str">
        <f>INDEX(products!$A$1:$G$49, MATCH(orders!$D30,products!$A$1:$A77,0), MATCH(orders!I$1,products!$A$1:$G$1,0))</f>
        <v>Ara</v>
      </c>
      <c r="J87" t="str">
        <f>INDEX(products!$A$1:$G$49, MATCH(orders!$D30,products!$A$1:$A77,0), MATCH(orders!J$1,products!$A$1:$G$1,0))</f>
        <v>D</v>
      </c>
      <c r="K87" s="5">
        <f>INDEX(products!$A$1:$G$49, MATCH(orders!$D30,products!$A$1:$A77,0), MATCH(orders!K$1,products!$A$1:$G$1,0))</f>
        <v>0.5</v>
      </c>
      <c r="L87" s="6">
        <f>INDEX(products!$A$1:$G$49, MATCH(orders!$D30,products!$A$1:$A77,0), MATCH(orders!L$1,products!$A$1:$G$1,0))</f>
        <v>5.97</v>
      </c>
      <c r="M87" s="6">
        <f t="shared" si="3"/>
        <v>17.91</v>
      </c>
      <c r="N87" t="str">
        <f t="shared" si="4"/>
        <v>Arabica</v>
      </c>
      <c r="O87" t="str">
        <f t="shared" si="5"/>
        <v>Dark</v>
      </c>
      <c r="P87" t="str">
        <f>_xlfn.XLOOKUP(Orders[[#This Row],[Customer ID]],customers!$A$1:$A$1001,customers!$I$1:$I$1001,,0)</f>
        <v>No</v>
      </c>
      <c r="Q87">
        <f>COUNTIF(Orders[Order ID],Orders[[#This Row],[Order ID]])</f>
        <v>1</v>
      </c>
      <c r="R87" s="10">
        <f>SUMIF(Orders[Order ID], Orders[[#This Row],[Order ID]],Orders[Sales])/Orders[[#This Row],[Order Frequency]]</f>
        <v>17.91</v>
      </c>
      <c r="S87" t="str">
        <f>IF(Orders[[#This Row],[Order Frequency]]&gt;4, "More than 4", IF(AND(Orders[[#This Row],[Order Frequency]]&lt;=4,Orders[[#This Row],[Order Frequency]]&gt;=2), "Between 4 and 2", "Less than 2"))</f>
        <v>Less than 2</v>
      </c>
      <c r="T87" t="str">
        <f>IF(Orders[[#This Row],[Frequency Group]]="less than 2", "Low Value", IF(Orders[[#This Row],[Frequency Group]]="between 4 and 2", "Medium Value", "High Value"))</f>
        <v>Low Value</v>
      </c>
      <c r="U87" t="str">
        <f>IF(Orders[[#This Row],[Sales]]&lt;50, "$0-50", IF(AND(Orders[[#This Row],[Sales]]&gt;=50,Orders[[#This Row],[Sales]]&lt;=100), "$50-100", IF(AND(Orders[[#This Row],[Sales]]&gt;100,Orders[[#This Row],[Sales]]&lt;=150), "$101-150", "$150+")))</f>
        <v>$0-50</v>
      </c>
      <c r="V87" t="str">
        <f>IF(Orders[[#This Row],[Sales]]&gt;MEDIAN(M:M), "High Price", "Low Price")</f>
        <v>Low Price</v>
      </c>
      <c r="W87" t="str">
        <f>IF(Orders[[#This Row],[Quantity]]&gt;MEDIAN(E:E), "High Volume", "Low Volume")</f>
        <v>Low Volume</v>
      </c>
      <c r="X87" t="str">
        <f>Orders[[#This Row],[Sales Tier]] &amp; "-" &amp; Orders[[#This Row],[Quantity Tier]]</f>
        <v>Low Price-Low Volume</v>
      </c>
      <c r="Y87" t="str">
        <f>TEXT(Orders[[#This Row],[Order Date]], "mmmm")</f>
        <v>August</v>
      </c>
      <c r="Z8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87" t="str">
        <f>Orders[[#This Row],[Coffee Type Name]] &amp; "-" &amp; Orders[[#This Row],[Roast Type Name]]</f>
        <v>Arabica-Dark</v>
      </c>
      <c r="AB8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88" spans="1:28" x14ac:dyDescent="0.25">
      <c r="A88" s="2" t="s">
        <v>5362</v>
      </c>
      <c r="B88" s="4">
        <v>43725</v>
      </c>
      <c r="C88" s="2" t="s">
        <v>5363</v>
      </c>
      <c r="D88" t="s">
        <v>6138</v>
      </c>
      <c r="E88" s="2">
        <v>1</v>
      </c>
      <c r="F88" s="2" t="str">
        <f>_xlfn.XLOOKUP(C88,customers!$A$1:$A$1001,customers!$B$1:$B$1001,,0)</f>
        <v>Grazia Oats</v>
      </c>
      <c r="G88" s="2" t="str">
        <f>IF(_xlfn.XLOOKUP(C88,customers!$A$1:$A$1001,customers!$C$1:$C$1001,,0)=0,"",_xlfn.XLOOKUP(C88,customers!$A$1:$A$1001,customers!$C$1:$C$1001,,0))</f>
        <v>goatsny@live.com</v>
      </c>
      <c r="H88" s="2" t="str">
        <f>_xlfn.XLOOKUP(C88,customers!$A$1:$A$1001,customers!$G$1:$G$1001,,0)</f>
        <v>United States</v>
      </c>
      <c r="I88" t="str">
        <f>INDEX(products!$A$1:$G$49, MATCH(orders!$D864,products!$A$1:$A911,0), MATCH(orders!I$1,products!$A$1:$G$1,0))</f>
        <v>Rob</v>
      </c>
      <c r="J88" t="str">
        <f>INDEX(products!$A$1:$G$49, MATCH(orders!$D864,products!$A$1:$A911,0), MATCH(orders!J$1,products!$A$1:$G$1,0))</f>
        <v>M</v>
      </c>
      <c r="K88" s="5">
        <f>INDEX(products!$A$1:$G$49, MATCH(orders!$D864,products!$A$1:$A911,0), MATCH(orders!K$1,products!$A$1:$G$1,0))</f>
        <v>1</v>
      </c>
      <c r="L88" s="6">
        <f>INDEX(products!$A$1:$G$49, MATCH(orders!$D864,products!$A$1:$A911,0), MATCH(orders!L$1,products!$A$1:$G$1,0))</f>
        <v>9.9499999999999993</v>
      </c>
      <c r="M88" s="6">
        <f t="shared" si="3"/>
        <v>9.9499999999999993</v>
      </c>
      <c r="N88" t="str">
        <f t="shared" si="4"/>
        <v>Robusta</v>
      </c>
      <c r="O88" t="str">
        <f t="shared" si="5"/>
        <v>Medium</v>
      </c>
      <c r="P88" t="str">
        <f>_xlfn.XLOOKUP(Orders[[#This Row],[Customer ID]],customers!$A$1:$A$1001,customers!$I$1:$I$1001,,0)</f>
        <v>Yes</v>
      </c>
      <c r="Q88">
        <f>COUNTIF(Orders[Order ID],Orders[[#This Row],[Order ID]])</f>
        <v>1</v>
      </c>
      <c r="R88" s="10">
        <f>SUMIF(Orders[Order ID], Orders[[#This Row],[Order ID]],Orders[Sales])/Orders[[#This Row],[Order Frequency]]</f>
        <v>9.9499999999999993</v>
      </c>
      <c r="S88" t="str">
        <f>IF(Orders[[#This Row],[Order Frequency]]&gt;4, "More than 4", IF(AND(Orders[[#This Row],[Order Frequency]]&lt;=4,Orders[[#This Row],[Order Frequency]]&gt;=2), "Between 4 and 2", "Less than 2"))</f>
        <v>Less than 2</v>
      </c>
      <c r="T88" t="str">
        <f>IF(Orders[[#This Row],[Frequency Group]]="less than 2", "Low Value", IF(Orders[[#This Row],[Frequency Group]]="between 4 and 2", "Medium Value", "High Value"))</f>
        <v>Low Value</v>
      </c>
      <c r="U88" t="str">
        <f>IF(Orders[[#This Row],[Sales]]&lt;50, "$0-50", IF(AND(Orders[[#This Row],[Sales]]&gt;=50,Orders[[#This Row],[Sales]]&lt;=100), "$50-100", IF(AND(Orders[[#This Row],[Sales]]&gt;100,Orders[[#This Row],[Sales]]&lt;=150), "$101-150", "$150+")))</f>
        <v>$0-50</v>
      </c>
      <c r="V88" t="str">
        <f>IF(Orders[[#This Row],[Sales]]&gt;MEDIAN(M:M), "High Price", "Low Price")</f>
        <v>Low Price</v>
      </c>
      <c r="W88" t="str">
        <f>IF(Orders[[#This Row],[Quantity]]&gt;MEDIAN(E:E), "High Volume", "Low Volume")</f>
        <v>Low Volume</v>
      </c>
      <c r="X88" t="str">
        <f>Orders[[#This Row],[Sales Tier]] &amp; "-" &amp; Orders[[#This Row],[Quantity Tier]]</f>
        <v>Low Price-Low Volume</v>
      </c>
      <c r="Y88" t="str">
        <f>TEXT(Orders[[#This Row],[Order Date]], "mmmm")</f>
        <v>September</v>
      </c>
      <c r="Z8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88" t="str">
        <f>Orders[[#This Row],[Coffee Type Name]] &amp; "-" &amp; Orders[[#This Row],[Roast Type Name]]</f>
        <v>Robusta-Medium</v>
      </c>
      <c r="AB8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9" spans="1:28" x14ac:dyDescent="0.25">
      <c r="A89" s="2" t="s">
        <v>1481</v>
      </c>
      <c r="B89" s="4">
        <v>43900</v>
      </c>
      <c r="C89" s="2" t="s">
        <v>1482</v>
      </c>
      <c r="D89" t="s">
        <v>6148</v>
      </c>
      <c r="E89" s="2">
        <v>1</v>
      </c>
      <c r="F89" s="2" t="str">
        <f>_xlfn.XLOOKUP(C89,customers!$A$1:$A$1001,customers!$B$1:$B$1001,,0)</f>
        <v>Odille Thynne</v>
      </c>
      <c r="G89" s="2" t="str">
        <f>IF(_xlfn.XLOOKUP(C89,customers!$A$1:$A$1001,customers!$C$1:$C$1001,,0)=0,"",_xlfn.XLOOKUP(C89,customers!$A$1:$A$1001,customers!$C$1:$C$1001,,0))</f>
        <v>othynne4w@auda.org.au</v>
      </c>
      <c r="H89" s="2" t="str">
        <f>_xlfn.XLOOKUP(C89,customers!$A$1:$A$1001,customers!$G$1:$G$1001,,0)</f>
        <v>United States</v>
      </c>
      <c r="I89" t="str">
        <f>INDEX(products!$A$1:$G$49, MATCH(orders!$D178,products!$A$1:$A225,0), MATCH(orders!I$1,products!$A$1:$G$1,0))</f>
        <v>Exc</v>
      </c>
      <c r="J89" t="str">
        <f>INDEX(products!$A$1:$G$49, MATCH(orders!$D178,products!$A$1:$A225,0), MATCH(orders!J$1,products!$A$1:$G$1,0))</f>
        <v>L</v>
      </c>
      <c r="K89" s="5">
        <f>INDEX(products!$A$1:$G$49, MATCH(orders!$D178,products!$A$1:$A225,0), MATCH(orders!K$1,products!$A$1:$G$1,0))</f>
        <v>2.5</v>
      </c>
      <c r="L89" s="6">
        <f>INDEX(products!$A$1:$G$49, MATCH(orders!$D178,products!$A$1:$A225,0), MATCH(orders!L$1,products!$A$1:$G$1,0))</f>
        <v>34.154999999999994</v>
      </c>
      <c r="M89" s="6">
        <f t="shared" si="3"/>
        <v>34.154999999999994</v>
      </c>
      <c r="N89" t="str">
        <f t="shared" si="4"/>
        <v>Excelsa</v>
      </c>
      <c r="O89" t="str">
        <f t="shared" si="5"/>
        <v>Light</v>
      </c>
      <c r="P89" t="str">
        <f>_xlfn.XLOOKUP(Orders[[#This Row],[Customer ID]],customers!$A$1:$A$1001,customers!$I$1:$I$1001,,0)</f>
        <v>Yes</v>
      </c>
      <c r="Q89">
        <f>COUNTIF(Orders[Order ID],Orders[[#This Row],[Order ID]])</f>
        <v>1</v>
      </c>
      <c r="R89" s="10">
        <f>SUMIF(Orders[Order ID], Orders[[#This Row],[Order ID]],Orders[Sales])/Orders[[#This Row],[Order Frequency]]</f>
        <v>34.154999999999994</v>
      </c>
      <c r="S89" t="str">
        <f>IF(Orders[[#This Row],[Order Frequency]]&gt;4, "More than 4", IF(AND(Orders[[#This Row],[Order Frequency]]&lt;=4,Orders[[#This Row],[Order Frequency]]&gt;=2), "Between 4 and 2", "Less than 2"))</f>
        <v>Less than 2</v>
      </c>
      <c r="T89" t="str">
        <f>IF(Orders[[#This Row],[Frequency Group]]="less than 2", "Low Value", IF(Orders[[#This Row],[Frequency Group]]="between 4 and 2", "Medium Value", "High Value"))</f>
        <v>Low Value</v>
      </c>
      <c r="U89" t="str">
        <f>IF(Orders[[#This Row],[Sales]]&lt;50, "$0-50", IF(AND(Orders[[#This Row],[Sales]]&gt;=50,Orders[[#This Row],[Sales]]&lt;=100), "$50-100", IF(AND(Orders[[#This Row],[Sales]]&gt;100,Orders[[#This Row],[Sales]]&lt;=150), "$101-150", "$150+")))</f>
        <v>$0-50</v>
      </c>
      <c r="V89" t="str">
        <f>IF(Orders[[#This Row],[Sales]]&gt;MEDIAN(M:M), "High Price", "Low Price")</f>
        <v>High Price</v>
      </c>
      <c r="W89" t="str">
        <f>IF(Orders[[#This Row],[Quantity]]&gt;MEDIAN(E:E), "High Volume", "Low Volume")</f>
        <v>Low Volume</v>
      </c>
      <c r="X89" t="str">
        <f>Orders[[#This Row],[Sales Tier]] &amp; "-" &amp; Orders[[#This Row],[Quantity Tier]]</f>
        <v>High Price-Low Volume</v>
      </c>
      <c r="Y89" t="str">
        <f>TEXT(Orders[[#This Row],[Order Date]], "mmmm")</f>
        <v>March</v>
      </c>
      <c r="Z8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9" t="str">
        <f>Orders[[#This Row],[Coffee Type Name]] &amp; "-" &amp; Orders[[#This Row],[Roast Type Name]]</f>
        <v>Excelsa-Light</v>
      </c>
      <c r="AB8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90" spans="1:28" x14ac:dyDescent="0.25">
      <c r="A90" s="2" t="s">
        <v>4145</v>
      </c>
      <c r="B90" s="4">
        <v>44502</v>
      </c>
      <c r="C90" s="2" t="s">
        <v>4146</v>
      </c>
      <c r="D90" t="s">
        <v>6161</v>
      </c>
      <c r="E90" s="2">
        <v>3</v>
      </c>
      <c r="F90" s="2" t="str">
        <f>_xlfn.XLOOKUP(C90,customers!$A$1:$A$1001,customers!$B$1:$B$1001,,0)</f>
        <v>Ardith Chill</v>
      </c>
      <c r="G90" s="2" t="str">
        <f>IF(_xlfn.XLOOKUP(C90,customers!$A$1:$A$1001,customers!$C$1:$C$1001,,0)=0,"",_xlfn.XLOOKUP(C90,customers!$A$1:$A$1001,customers!$C$1:$C$1001,,0))</f>
        <v>achillhz@epa.gov</v>
      </c>
      <c r="H90" s="2" t="str">
        <f>_xlfn.XLOOKUP(C90,customers!$A$1:$A$1001,customers!$G$1:$G$1001,,0)</f>
        <v>United Kingdom</v>
      </c>
      <c r="I90" t="str">
        <f>INDEX(products!$A$1:$G$49, MATCH(orders!$D649,products!$A$1:$A696,0), MATCH(orders!I$1,products!$A$1:$G$1,0))</f>
        <v>Lib</v>
      </c>
      <c r="J90" t="str">
        <f>INDEX(products!$A$1:$G$49, MATCH(orders!$D649,products!$A$1:$A696,0), MATCH(orders!J$1,products!$A$1:$G$1,0))</f>
        <v>L</v>
      </c>
      <c r="K90" s="5">
        <f>INDEX(products!$A$1:$G$49, MATCH(orders!$D649,products!$A$1:$A696,0), MATCH(orders!K$1,products!$A$1:$G$1,0))</f>
        <v>0.5</v>
      </c>
      <c r="L90" s="6">
        <f>INDEX(products!$A$1:$G$49, MATCH(orders!$D649,products!$A$1:$A696,0), MATCH(orders!L$1,products!$A$1:$G$1,0))</f>
        <v>9.51</v>
      </c>
      <c r="M90" s="6">
        <f t="shared" si="3"/>
        <v>28.53</v>
      </c>
      <c r="N90" t="str">
        <f t="shared" si="4"/>
        <v>Liberica</v>
      </c>
      <c r="O90" t="str">
        <f t="shared" si="5"/>
        <v>Light</v>
      </c>
      <c r="P90" t="str">
        <f>_xlfn.XLOOKUP(Orders[[#This Row],[Customer ID]],customers!$A$1:$A$1001,customers!$I$1:$I$1001,,0)</f>
        <v>Yes</v>
      </c>
      <c r="Q90">
        <f>COUNTIF(Orders[Order ID],Orders[[#This Row],[Order ID]])</f>
        <v>1</v>
      </c>
      <c r="R90" s="10">
        <f>SUMIF(Orders[Order ID], Orders[[#This Row],[Order ID]],Orders[Sales])/Orders[[#This Row],[Order Frequency]]</f>
        <v>28.53</v>
      </c>
      <c r="S90" t="str">
        <f>IF(Orders[[#This Row],[Order Frequency]]&gt;4, "More than 4", IF(AND(Orders[[#This Row],[Order Frequency]]&lt;=4,Orders[[#This Row],[Order Frequency]]&gt;=2), "Between 4 and 2", "Less than 2"))</f>
        <v>Less than 2</v>
      </c>
      <c r="T90" t="str">
        <f>IF(Orders[[#This Row],[Frequency Group]]="less than 2", "Low Value", IF(Orders[[#This Row],[Frequency Group]]="between 4 and 2", "Medium Value", "High Value"))</f>
        <v>Low Value</v>
      </c>
      <c r="U90" t="str">
        <f>IF(Orders[[#This Row],[Sales]]&lt;50, "$0-50", IF(AND(Orders[[#This Row],[Sales]]&gt;=50,Orders[[#This Row],[Sales]]&lt;=100), "$50-100", IF(AND(Orders[[#This Row],[Sales]]&gt;100,Orders[[#This Row],[Sales]]&lt;=150), "$101-150", "$150+")))</f>
        <v>$0-50</v>
      </c>
      <c r="V90" t="str">
        <f>IF(Orders[[#This Row],[Sales]]&gt;MEDIAN(M:M), "High Price", "Low Price")</f>
        <v>Low Price</v>
      </c>
      <c r="W90" t="str">
        <f>IF(Orders[[#This Row],[Quantity]]&gt;MEDIAN(E:E), "High Volume", "Low Volume")</f>
        <v>Low Volume</v>
      </c>
      <c r="X90" t="str">
        <f>Orders[[#This Row],[Sales Tier]] &amp; "-" &amp; Orders[[#This Row],[Quantity Tier]]</f>
        <v>Low Price-Low Volume</v>
      </c>
      <c r="Y90" t="str">
        <f>TEXT(Orders[[#This Row],[Order Date]], "mmmm")</f>
        <v>November</v>
      </c>
      <c r="Z9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90" t="str">
        <f>Orders[[#This Row],[Coffee Type Name]] &amp; "-" &amp; Orders[[#This Row],[Roast Type Name]]</f>
        <v>Liberica-Light</v>
      </c>
      <c r="AB9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91" spans="1:28" x14ac:dyDescent="0.25">
      <c r="A91" s="2" t="s">
        <v>5035</v>
      </c>
      <c r="B91" s="4">
        <v>44289</v>
      </c>
      <c r="C91" s="2" t="s">
        <v>5036</v>
      </c>
      <c r="D91" t="s">
        <v>6179</v>
      </c>
      <c r="E91" s="2">
        <v>2</v>
      </c>
      <c r="F91" s="2" t="str">
        <f>_xlfn.XLOOKUP(C91,customers!$A$1:$A$1001,customers!$B$1:$B$1001,,0)</f>
        <v>Jammie Cloke</v>
      </c>
      <c r="G91" s="2" t="str">
        <f>IF(_xlfn.XLOOKUP(C91,customers!$A$1:$A$1001,customers!$C$1:$C$1001,,0)=0,"",_xlfn.XLOOKUP(C91,customers!$A$1:$A$1001,customers!$C$1:$C$1001,,0))</f>
        <v/>
      </c>
      <c r="H91" s="2" t="str">
        <f>_xlfn.XLOOKUP(C91,customers!$A$1:$A$1001,customers!$G$1:$G$1001,,0)</f>
        <v>United Kingdom</v>
      </c>
      <c r="I91" t="str">
        <f>INDEX(products!$A$1:$G$49, MATCH(orders!$D806,products!$A$1:$A853,0), MATCH(orders!I$1,products!$A$1:$G$1,0))</f>
        <v>Rob</v>
      </c>
      <c r="J91" t="str">
        <f>INDEX(products!$A$1:$G$49, MATCH(orders!$D806,products!$A$1:$A853,0), MATCH(orders!J$1,products!$A$1:$G$1,0))</f>
        <v>L</v>
      </c>
      <c r="K91" s="5">
        <f>INDEX(products!$A$1:$G$49, MATCH(orders!$D806,products!$A$1:$A853,0), MATCH(orders!K$1,products!$A$1:$G$1,0))</f>
        <v>1</v>
      </c>
      <c r="L91" s="6">
        <f>INDEX(products!$A$1:$G$49, MATCH(orders!$D806,products!$A$1:$A853,0), MATCH(orders!L$1,products!$A$1:$G$1,0))</f>
        <v>11.95</v>
      </c>
      <c r="M91" s="6">
        <f t="shared" si="3"/>
        <v>23.9</v>
      </c>
      <c r="N91" t="str">
        <f t="shared" si="4"/>
        <v>Robusta</v>
      </c>
      <c r="O91" t="str">
        <f t="shared" si="5"/>
        <v>Light</v>
      </c>
      <c r="P91" t="str">
        <f>_xlfn.XLOOKUP(Orders[[#This Row],[Customer ID]],customers!$A$1:$A$1001,customers!$I$1:$I$1001,,0)</f>
        <v>No</v>
      </c>
      <c r="Q91">
        <f>COUNTIF(Orders[Order ID],Orders[[#This Row],[Order ID]])</f>
        <v>1</v>
      </c>
      <c r="R91" s="10">
        <f>SUMIF(Orders[Order ID], Orders[[#This Row],[Order ID]],Orders[Sales])/Orders[[#This Row],[Order Frequency]]</f>
        <v>23.9</v>
      </c>
      <c r="S91" t="str">
        <f>IF(Orders[[#This Row],[Order Frequency]]&gt;4, "More than 4", IF(AND(Orders[[#This Row],[Order Frequency]]&lt;=4,Orders[[#This Row],[Order Frequency]]&gt;=2), "Between 4 and 2", "Less than 2"))</f>
        <v>Less than 2</v>
      </c>
      <c r="T91" t="str">
        <f>IF(Orders[[#This Row],[Frequency Group]]="less than 2", "Low Value", IF(Orders[[#This Row],[Frequency Group]]="between 4 and 2", "Medium Value", "High Value"))</f>
        <v>Low Value</v>
      </c>
      <c r="U91" t="str">
        <f>IF(Orders[[#This Row],[Sales]]&lt;50, "$0-50", IF(AND(Orders[[#This Row],[Sales]]&gt;=50,Orders[[#This Row],[Sales]]&lt;=100), "$50-100", IF(AND(Orders[[#This Row],[Sales]]&gt;100,Orders[[#This Row],[Sales]]&lt;=150), "$101-150", "$150+")))</f>
        <v>$0-50</v>
      </c>
      <c r="V91" t="str">
        <f>IF(Orders[[#This Row],[Sales]]&gt;MEDIAN(M:M), "High Price", "Low Price")</f>
        <v>Low Price</v>
      </c>
      <c r="W91" t="str">
        <f>IF(Orders[[#This Row],[Quantity]]&gt;MEDIAN(E:E), "High Volume", "Low Volume")</f>
        <v>Low Volume</v>
      </c>
      <c r="X91" t="str">
        <f>Orders[[#This Row],[Sales Tier]] &amp; "-" &amp; Orders[[#This Row],[Quantity Tier]]</f>
        <v>Low Price-Low Volume</v>
      </c>
      <c r="Y91" t="str">
        <f>TEXT(Orders[[#This Row],[Order Date]], "mmmm")</f>
        <v>April</v>
      </c>
      <c r="Z9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91" t="str">
        <f>Orders[[#This Row],[Coffee Type Name]] &amp; "-" &amp; Orders[[#This Row],[Roast Type Name]]</f>
        <v>Robusta-Light</v>
      </c>
      <c r="AB9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92" spans="1:28" x14ac:dyDescent="0.25">
      <c r="A92" s="2" t="s">
        <v>5067</v>
      </c>
      <c r="B92" s="4">
        <v>44054</v>
      </c>
      <c r="C92" s="2" t="s">
        <v>5068</v>
      </c>
      <c r="D92" t="s">
        <v>6161</v>
      </c>
      <c r="E92" s="2">
        <v>3</v>
      </c>
      <c r="F92" s="2" t="str">
        <f>_xlfn.XLOOKUP(C92,customers!$A$1:$A$1001,customers!$B$1:$B$1001,,0)</f>
        <v>Alberta Balsdone</v>
      </c>
      <c r="G92" s="2" t="str">
        <f>IF(_xlfn.XLOOKUP(C92,customers!$A$1:$A$1001,customers!$C$1:$C$1001,,0)=0,"",_xlfn.XLOOKUP(C92,customers!$A$1:$A$1001,customers!$C$1:$C$1001,,0))</f>
        <v>abalsdonemi@toplist.cz</v>
      </c>
      <c r="H92" s="2" t="str">
        <f>_xlfn.XLOOKUP(C92,customers!$A$1:$A$1001,customers!$G$1:$G$1001,,0)</f>
        <v>United States</v>
      </c>
      <c r="I92" t="str">
        <f>INDEX(products!$A$1:$G$49, MATCH(orders!$D812,products!$A$1:$A859,0), MATCH(orders!I$1,products!$A$1:$G$1,0))</f>
        <v>Lib</v>
      </c>
      <c r="J92" t="str">
        <f>INDEX(products!$A$1:$G$49, MATCH(orders!$D812,products!$A$1:$A859,0), MATCH(orders!J$1,products!$A$1:$G$1,0))</f>
        <v>L</v>
      </c>
      <c r="K92" s="5">
        <f>INDEX(products!$A$1:$G$49, MATCH(orders!$D812,products!$A$1:$A859,0), MATCH(orders!K$1,products!$A$1:$G$1,0))</f>
        <v>0.5</v>
      </c>
      <c r="L92" s="6">
        <f>INDEX(products!$A$1:$G$49, MATCH(orders!$D812,products!$A$1:$A859,0), MATCH(orders!L$1,products!$A$1:$G$1,0))</f>
        <v>9.51</v>
      </c>
      <c r="M92" s="6">
        <f t="shared" si="3"/>
        <v>28.53</v>
      </c>
      <c r="N92" t="str">
        <f t="shared" si="4"/>
        <v>Liberica</v>
      </c>
      <c r="O92" t="str">
        <f t="shared" si="5"/>
        <v>Light</v>
      </c>
      <c r="P92" t="str">
        <f>_xlfn.XLOOKUP(Orders[[#This Row],[Customer ID]],customers!$A$1:$A$1001,customers!$I$1:$I$1001,,0)</f>
        <v>No</v>
      </c>
      <c r="Q92">
        <f>COUNTIF(Orders[Order ID],Orders[[#This Row],[Order ID]])</f>
        <v>1</v>
      </c>
      <c r="R92" s="10">
        <f>SUMIF(Orders[Order ID], Orders[[#This Row],[Order ID]],Orders[Sales])/Orders[[#This Row],[Order Frequency]]</f>
        <v>28.53</v>
      </c>
      <c r="S92" t="str">
        <f>IF(Orders[[#This Row],[Order Frequency]]&gt;4, "More than 4", IF(AND(Orders[[#This Row],[Order Frequency]]&lt;=4,Orders[[#This Row],[Order Frequency]]&gt;=2), "Between 4 and 2", "Less than 2"))</f>
        <v>Less than 2</v>
      </c>
      <c r="T92" t="str">
        <f>IF(Orders[[#This Row],[Frequency Group]]="less than 2", "Low Value", IF(Orders[[#This Row],[Frequency Group]]="between 4 and 2", "Medium Value", "High Value"))</f>
        <v>Low Value</v>
      </c>
      <c r="U92" t="str">
        <f>IF(Orders[[#This Row],[Sales]]&lt;50, "$0-50", IF(AND(Orders[[#This Row],[Sales]]&gt;=50,Orders[[#This Row],[Sales]]&lt;=100), "$50-100", IF(AND(Orders[[#This Row],[Sales]]&gt;100,Orders[[#This Row],[Sales]]&lt;=150), "$101-150", "$150+")))</f>
        <v>$0-50</v>
      </c>
      <c r="V92" t="str">
        <f>IF(Orders[[#This Row],[Sales]]&gt;MEDIAN(M:M), "High Price", "Low Price")</f>
        <v>Low Price</v>
      </c>
      <c r="W92" t="str">
        <f>IF(Orders[[#This Row],[Quantity]]&gt;MEDIAN(E:E), "High Volume", "Low Volume")</f>
        <v>Low Volume</v>
      </c>
      <c r="X92" t="str">
        <f>Orders[[#This Row],[Sales Tier]] &amp; "-" &amp; Orders[[#This Row],[Quantity Tier]]</f>
        <v>Low Price-Low Volume</v>
      </c>
      <c r="Y92" t="str">
        <f>TEXT(Orders[[#This Row],[Order Date]], "mmmm")</f>
        <v>August</v>
      </c>
      <c r="Z9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92" t="str">
        <f>Orders[[#This Row],[Coffee Type Name]] &amp; "-" &amp; Orders[[#This Row],[Roast Type Name]]</f>
        <v>Liberica-Light</v>
      </c>
      <c r="AB9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93" spans="1:28" x14ac:dyDescent="0.25">
      <c r="A93" s="2" t="s">
        <v>2313</v>
      </c>
      <c r="B93" s="4">
        <v>44373</v>
      </c>
      <c r="C93" s="2" t="s">
        <v>2314</v>
      </c>
      <c r="D93" t="s">
        <v>6153</v>
      </c>
      <c r="E93" s="2">
        <v>5</v>
      </c>
      <c r="F93" s="2" t="str">
        <f>_xlfn.XLOOKUP(C93,customers!$A$1:$A$1001,customers!$B$1:$B$1001,,0)</f>
        <v>Donica Bonhome</v>
      </c>
      <c r="G93" s="2" t="str">
        <f>IF(_xlfn.XLOOKUP(C93,customers!$A$1:$A$1001,customers!$C$1:$C$1001,,0)=0,"",_xlfn.XLOOKUP(C93,customers!$A$1:$A$1001,customers!$C$1:$C$1001,,0))</f>
        <v>dbonhome8z@shinystat.com</v>
      </c>
      <c r="H93" s="2" t="str">
        <f>_xlfn.XLOOKUP(C93,customers!$A$1:$A$1001,customers!$G$1:$G$1001,,0)</f>
        <v>United States</v>
      </c>
      <c r="I93" t="str">
        <f>INDEX(products!$A$1:$G$49, MATCH(orders!$D325,products!$A$1:$A372,0), MATCH(orders!I$1,products!$A$1:$G$1,0))</f>
        <v>Exc</v>
      </c>
      <c r="J93" t="str">
        <f>INDEX(products!$A$1:$G$49, MATCH(orders!$D325,products!$A$1:$A372,0), MATCH(orders!J$1,products!$A$1:$G$1,0))</f>
        <v>D</v>
      </c>
      <c r="K93" s="5">
        <f>INDEX(products!$A$1:$G$49, MATCH(orders!$D325,products!$A$1:$A372,0), MATCH(orders!K$1,products!$A$1:$G$1,0))</f>
        <v>0.2</v>
      </c>
      <c r="L93" s="6">
        <f>INDEX(products!$A$1:$G$49, MATCH(orders!$D325,products!$A$1:$A372,0), MATCH(orders!L$1,products!$A$1:$G$1,0))</f>
        <v>3.645</v>
      </c>
      <c r="M93" s="6">
        <f t="shared" si="3"/>
        <v>18.225000000000001</v>
      </c>
      <c r="N93" t="str">
        <f t="shared" si="4"/>
        <v>Excelsa</v>
      </c>
      <c r="O93" t="str">
        <f t="shared" si="5"/>
        <v>Dark</v>
      </c>
      <c r="P93" t="str">
        <f>_xlfn.XLOOKUP(Orders[[#This Row],[Customer ID]],customers!$A$1:$A$1001,customers!$I$1:$I$1001,,0)</f>
        <v>Yes</v>
      </c>
      <c r="Q93">
        <f>COUNTIF(Orders[Order ID],Orders[[#This Row],[Order ID]])</f>
        <v>1</v>
      </c>
      <c r="R93" s="10">
        <f>SUMIF(Orders[Order ID], Orders[[#This Row],[Order ID]],Orders[Sales])/Orders[[#This Row],[Order Frequency]]</f>
        <v>18.225000000000001</v>
      </c>
      <c r="S93" t="str">
        <f>IF(Orders[[#This Row],[Order Frequency]]&gt;4, "More than 4", IF(AND(Orders[[#This Row],[Order Frequency]]&lt;=4,Orders[[#This Row],[Order Frequency]]&gt;=2), "Between 4 and 2", "Less than 2"))</f>
        <v>Less than 2</v>
      </c>
      <c r="T93" t="str">
        <f>IF(Orders[[#This Row],[Frequency Group]]="less than 2", "Low Value", IF(Orders[[#This Row],[Frequency Group]]="between 4 and 2", "Medium Value", "High Value"))</f>
        <v>Low Value</v>
      </c>
      <c r="U93" t="str">
        <f>IF(Orders[[#This Row],[Sales]]&lt;50, "$0-50", IF(AND(Orders[[#This Row],[Sales]]&gt;=50,Orders[[#This Row],[Sales]]&lt;=100), "$50-100", IF(AND(Orders[[#This Row],[Sales]]&gt;100,Orders[[#This Row],[Sales]]&lt;=150), "$101-150", "$150+")))</f>
        <v>$0-50</v>
      </c>
      <c r="V93" t="str">
        <f>IF(Orders[[#This Row],[Sales]]&gt;MEDIAN(M:M), "High Price", "Low Price")</f>
        <v>Low Price</v>
      </c>
      <c r="W93" t="str">
        <f>IF(Orders[[#This Row],[Quantity]]&gt;MEDIAN(E:E), "High Volume", "Low Volume")</f>
        <v>High Volume</v>
      </c>
      <c r="X93" t="str">
        <f>Orders[[#This Row],[Sales Tier]] &amp; "-" &amp; Orders[[#This Row],[Quantity Tier]]</f>
        <v>Low Price-High Volume</v>
      </c>
      <c r="Y93" t="str">
        <f>TEXT(Orders[[#This Row],[Order Date]], "mmmm")</f>
        <v>June</v>
      </c>
      <c r="Z9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93" t="str">
        <f>Orders[[#This Row],[Coffee Type Name]] &amp; "-" &amp; Orders[[#This Row],[Roast Type Name]]</f>
        <v>Excelsa-Dark</v>
      </c>
      <c r="AB9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94" spans="1:28" x14ac:dyDescent="0.25">
      <c r="A94" s="2" t="s">
        <v>1713</v>
      </c>
      <c r="B94" s="4">
        <v>44174</v>
      </c>
      <c r="C94" s="2" t="s">
        <v>1714</v>
      </c>
      <c r="D94" t="s">
        <v>6176</v>
      </c>
      <c r="E94" s="2">
        <v>4</v>
      </c>
      <c r="F94" s="2" t="str">
        <f>_xlfn.XLOOKUP(C94,customers!$A$1:$A$1001,customers!$B$1:$B$1001,,0)</f>
        <v>Godfry Poinsett</v>
      </c>
      <c r="G94" s="2" t="str">
        <f>IF(_xlfn.XLOOKUP(C94,customers!$A$1:$A$1001,customers!$C$1:$C$1001,,0)=0,"",_xlfn.XLOOKUP(C94,customers!$A$1:$A$1001,customers!$C$1:$C$1001,,0))</f>
        <v>gpoinsett61@berkeley.edu</v>
      </c>
      <c r="H94" s="2" t="str">
        <f>_xlfn.XLOOKUP(C94,customers!$A$1:$A$1001,customers!$G$1:$G$1001,,0)</f>
        <v>United States</v>
      </c>
      <c r="I94" t="str">
        <f>INDEX(products!$A$1:$G$49, MATCH(orders!$D219,products!$A$1:$A266,0), MATCH(orders!I$1,products!$A$1:$G$1,0))</f>
        <v>Exc</v>
      </c>
      <c r="J94" t="str">
        <f>INDEX(products!$A$1:$G$49, MATCH(orders!$D219,products!$A$1:$A266,0), MATCH(orders!J$1,products!$A$1:$G$1,0))</f>
        <v>L</v>
      </c>
      <c r="K94" s="5">
        <f>INDEX(products!$A$1:$G$49, MATCH(orders!$D219,products!$A$1:$A266,0), MATCH(orders!K$1,products!$A$1:$G$1,0))</f>
        <v>0.5</v>
      </c>
      <c r="L94" s="6">
        <f>INDEX(products!$A$1:$G$49, MATCH(orders!$D219,products!$A$1:$A266,0), MATCH(orders!L$1,products!$A$1:$G$1,0))</f>
        <v>8.91</v>
      </c>
      <c r="M94" s="6">
        <f t="shared" si="3"/>
        <v>35.64</v>
      </c>
      <c r="N94" t="str">
        <f t="shared" si="4"/>
        <v>Excelsa</v>
      </c>
      <c r="O94" t="str">
        <f t="shared" si="5"/>
        <v>Light</v>
      </c>
      <c r="P94" t="str">
        <f>_xlfn.XLOOKUP(Orders[[#This Row],[Customer ID]],customers!$A$1:$A$1001,customers!$I$1:$I$1001,,0)</f>
        <v>No</v>
      </c>
      <c r="Q94">
        <f>COUNTIF(Orders[Order ID],Orders[[#This Row],[Order ID]])</f>
        <v>1</v>
      </c>
      <c r="R94" s="10">
        <f>SUMIF(Orders[Order ID], Orders[[#This Row],[Order ID]],Orders[Sales])/Orders[[#This Row],[Order Frequency]]</f>
        <v>35.64</v>
      </c>
      <c r="S94" t="str">
        <f>IF(Orders[[#This Row],[Order Frequency]]&gt;4, "More than 4", IF(AND(Orders[[#This Row],[Order Frequency]]&lt;=4,Orders[[#This Row],[Order Frequency]]&gt;=2), "Between 4 and 2", "Less than 2"))</f>
        <v>Less than 2</v>
      </c>
      <c r="T94" t="str">
        <f>IF(Orders[[#This Row],[Frequency Group]]="less than 2", "Low Value", IF(Orders[[#This Row],[Frequency Group]]="between 4 and 2", "Medium Value", "High Value"))</f>
        <v>Low Value</v>
      </c>
      <c r="U94" t="str">
        <f>IF(Orders[[#This Row],[Sales]]&lt;50, "$0-50", IF(AND(Orders[[#This Row],[Sales]]&gt;=50,Orders[[#This Row],[Sales]]&lt;=100), "$50-100", IF(AND(Orders[[#This Row],[Sales]]&gt;100,Orders[[#This Row],[Sales]]&lt;=150), "$101-150", "$150+")))</f>
        <v>$0-50</v>
      </c>
      <c r="V94" t="str">
        <f>IF(Orders[[#This Row],[Sales]]&gt;MEDIAN(M:M), "High Price", "Low Price")</f>
        <v>High Price</v>
      </c>
      <c r="W94" t="str">
        <f>IF(Orders[[#This Row],[Quantity]]&gt;MEDIAN(E:E), "High Volume", "Low Volume")</f>
        <v>Low Volume</v>
      </c>
      <c r="X94" t="str">
        <f>Orders[[#This Row],[Sales Tier]] &amp; "-" &amp; Orders[[#This Row],[Quantity Tier]]</f>
        <v>High Price-Low Volume</v>
      </c>
      <c r="Y94" t="str">
        <f>TEXT(Orders[[#This Row],[Order Date]], "mmmm")</f>
        <v>December</v>
      </c>
      <c r="Z9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94" t="str">
        <f>Orders[[#This Row],[Coffee Type Name]] &amp; "-" &amp; Orders[[#This Row],[Roast Type Name]]</f>
        <v>Excelsa-Light</v>
      </c>
      <c r="AB9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95" spans="1:28" x14ac:dyDescent="0.25">
      <c r="A95" s="2" t="s">
        <v>3739</v>
      </c>
      <c r="B95" s="4">
        <v>44239</v>
      </c>
      <c r="C95" s="2" t="s">
        <v>3740</v>
      </c>
      <c r="D95" t="s">
        <v>6181</v>
      </c>
      <c r="E95" s="2">
        <v>2</v>
      </c>
      <c r="F95" s="2" t="str">
        <f>_xlfn.XLOOKUP(C95,customers!$A$1:$A$1001,customers!$B$1:$B$1001,,0)</f>
        <v>Reggie Thickpenny</v>
      </c>
      <c r="G95" s="2" t="str">
        <f>IF(_xlfn.XLOOKUP(C95,customers!$A$1:$A$1001,customers!$C$1:$C$1001,,0)=0,"",_xlfn.XLOOKUP(C95,customers!$A$1:$A$1001,customers!$C$1:$C$1001,,0))</f>
        <v>rthickpennyfz@cafepress.com</v>
      </c>
      <c r="H95" s="2" t="str">
        <f>_xlfn.XLOOKUP(C95,customers!$A$1:$A$1001,customers!$G$1:$G$1001,,0)</f>
        <v>United States</v>
      </c>
      <c r="I95" t="str">
        <f>INDEX(products!$A$1:$G$49, MATCH(orders!$D577,products!$A$1:$A624,0), MATCH(orders!I$1,products!$A$1:$G$1,0))</f>
        <v>Lib</v>
      </c>
      <c r="J95" t="str">
        <f>INDEX(products!$A$1:$G$49, MATCH(orders!$D577,products!$A$1:$A624,0), MATCH(orders!J$1,products!$A$1:$G$1,0))</f>
        <v>M</v>
      </c>
      <c r="K95" s="5">
        <f>INDEX(products!$A$1:$G$49, MATCH(orders!$D577,products!$A$1:$A624,0), MATCH(orders!K$1,products!$A$1:$G$1,0))</f>
        <v>2.5</v>
      </c>
      <c r="L95" s="6">
        <f>INDEX(products!$A$1:$G$49, MATCH(orders!$D577,products!$A$1:$A624,0), MATCH(orders!L$1,products!$A$1:$G$1,0))</f>
        <v>33.464999999999996</v>
      </c>
      <c r="M95" s="6">
        <f t="shared" si="3"/>
        <v>66.929999999999993</v>
      </c>
      <c r="N95" t="str">
        <f t="shared" si="4"/>
        <v>Liberica</v>
      </c>
      <c r="O95" t="str">
        <f t="shared" si="5"/>
        <v>Medium</v>
      </c>
      <c r="P95" t="str">
        <f>_xlfn.XLOOKUP(Orders[[#This Row],[Customer ID]],customers!$A$1:$A$1001,customers!$I$1:$I$1001,,0)</f>
        <v>No</v>
      </c>
      <c r="Q95">
        <f>COUNTIF(Orders[Order ID],Orders[[#This Row],[Order ID]])</f>
        <v>1</v>
      </c>
      <c r="R95" s="10">
        <f>SUMIF(Orders[Order ID], Orders[[#This Row],[Order ID]],Orders[Sales])/Orders[[#This Row],[Order Frequency]]</f>
        <v>66.929999999999993</v>
      </c>
      <c r="S95" t="str">
        <f>IF(Orders[[#This Row],[Order Frequency]]&gt;4, "More than 4", IF(AND(Orders[[#This Row],[Order Frequency]]&lt;=4,Orders[[#This Row],[Order Frequency]]&gt;=2), "Between 4 and 2", "Less than 2"))</f>
        <v>Less than 2</v>
      </c>
      <c r="T95" t="str">
        <f>IF(Orders[[#This Row],[Frequency Group]]="less than 2", "Low Value", IF(Orders[[#This Row],[Frequency Group]]="between 4 and 2", "Medium Value", "High Value"))</f>
        <v>Low Value</v>
      </c>
      <c r="U95" t="str">
        <f>IF(Orders[[#This Row],[Sales]]&lt;50, "$0-50", IF(AND(Orders[[#This Row],[Sales]]&gt;=50,Orders[[#This Row],[Sales]]&lt;=100), "$50-100", IF(AND(Orders[[#This Row],[Sales]]&gt;100,Orders[[#This Row],[Sales]]&lt;=150), "$101-150", "$150+")))</f>
        <v>$50-100</v>
      </c>
      <c r="V95" t="str">
        <f>IF(Orders[[#This Row],[Sales]]&gt;MEDIAN(M:M), "High Price", "Low Price")</f>
        <v>High Price</v>
      </c>
      <c r="W95" t="str">
        <f>IF(Orders[[#This Row],[Quantity]]&gt;MEDIAN(E:E), "High Volume", "Low Volume")</f>
        <v>Low Volume</v>
      </c>
      <c r="X95" t="str">
        <f>Orders[[#This Row],[Sales Tier]] &amp; "-" &amp; Orders[[#This Row],[Quantity Tier]]</f>
        <v>High Price-Low Volume</v>
      </c>
      <c r="Y95" t="str">
        <f>TEXT(Orders[[#This Row],[Order Date]], "mmmm")</f>
        <v>February</v>
      </c>
      <c r="Z9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95" t="str">
        <f>Orders[[#This Row],[Coffee Type Name]] &amp; "-" &amp; Orders[[#This Row],[Roast Type Name]]</f>
        <v>Liberica-Medium</v>
      </c>
      <c r="AB9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96" spans="1:28" x14ac:dyDescent="0.25">
      <c r="A96" s="2" t="s">
        <v>3521</v>
      </c>
      <c r="B96" s="4">
        <v>43544</v>
      </c>
      <c r="C96" s="2" t="s">
        <v>3368</v>
      </c>
      <c r="D96" t="s">
        <v>6163</v>
      </c>
      <c r="E96" s="2">
        <v>3</v>
      </c>
      <c r="F96" s="2" t="str">
        <f>_xlfn.XLOOKUP(C96,customers!$A$1:$A$1001,customers!$B$1:$B$1001,,0)</f>
        <v>Marja Urion</v>
      </c>
      <c r="G96" s="2" t="str">
        <f>IF(_xlfn.XLOOKUP(C96,customers!$A$1:$A$1001,customers!$C$1:$C$1001,,0)=0,"",_xlfn.XLOOKUP(C96,customers!$A$1:$A$1001,customers!$C$1:$C$1001,,0))</f>
        <v>murione5@alexa.com</v>
      </c>
      <c r="H96" s="2" t="str">
        <f>_xlfn.XLOOKUP(C96,customers!$A$1:$A$1001,customers!$G$1:$G$1001,,0)</f>
        <v>Ireland</v>
      </c>
      <c r="I96" t="str">
        <f>INDEX(products!$A$1:$G$49, MATCH(orders!$D538,products!$A$1:$A585,0), MATCH(orders!I$1,products!$A$1:$G$1,0))</f>
        <v>Rob</v>
      </c>
      <c r="J96" t="str">
        <f>INDEX(products!$A$1:$G$49, MATCH(orders!$D538,products!$A$1:$A585,0), MATCH(orders!J$1,products!$A$1:$G$1,0))</f>
        <v>D</v>
      </c>
      <c r="K96" s="5">
        <f>INDEX(products!$A$1:$G$49, MATCH(orders!$D538,products!$A$1:$A585,0), MATCH(orders!K$1,products!$A$1:$G$1,0))</f>
        <v>0.2</v>
      </c>
      <c r="L96" s="6">
        <f>INDEX(products!$A$1:$G$49, MATCH(orders!$D538,products!$A$1:$A585,0), MATCH(orders!L$1,products!$A$1:$G$1,0))</f>
        <v>2.6849999999999996</v>
      </c>
      <c r="M96" s="6">
        <f t="shared" si="3"/>
        <v>8.0549999999999997</v>
      </c>
      <c r="N96" t="str">
        <f t="shared" si="4"/>
        <v>Robusta</v>
      </c>
      <c r="O96" t="str">
        <f t="shared" si="5"/>
        <v>Dark</v>
      </c>
      <c r="P96" t="str">
        <f>_xlfn.XLOOKUP(Orders[[#This Row],[Customer ID]],customers!$A$1:$A$1001,customers!$I$1:$I$1001,,0)</f>
        <v>Yes</v>
      </c>
      <c r="Q96">
        <f>COUNTIF(Orders[Order ID],Orders[[#This Row],[Order ID]])</f>
        <v>1</v>
      </c>
      <c r="R96" s="10">
        <f>SUMIF(Orders[Order ID], Orders[[#This Row],[Order ID]],Orders[Sales])/Orders[[#This Row],[Order Frequency]]</f>
        <v>8.0549999999999997</v>
      </c>
      <c r="S96" t="str">
        <f>IF(Orders[[#This Row],[Order Frequency]]&gt;4, "More than 4", IF(AND(Orders[[#This Row],[Order Frequency]]&lt;=4,Orders[[#This Row],[Order Frequency]]&gt;=2), "Between 4 and 2", "Less than 2"))</f>
        <v>Less than 2</v>
      </c>
      <c r="T96" t="str">
        <f>IF(Orders[[#This Row],[Frequency Group]]="less than 2", "Low Value", IF(Orders[[#This Row],[Frequency Group]]="between 4 and 2", "Medium Value", "High Value"))</f>
        <v>Low Value</v>
      </c>
      <c r="U96" t="str">
        <f>IF(Orders[[#This Row],[Sales]]&lt;50, "$0-50", IF(AND(Orders[[#This Row],[Sales]]&gt;=50,Orders[[#This Row],[Sales]]&lt;=100), "$50-100", IF(AND(Orders[[#This Row],[Sales]]&gt;100,Orders[[#This Row],[Sales]]&lt;=150), "$101-150", "$150+")))</f>
        <v>$0-50</v>
      </c>
      <c r="V96" t="str">
        <f>IF(Orders[[#This Row],[Sales]]&gt;MEDIAN(M:M), "High Price", "Low Price")</f>
        <v>Low Price</v>
      </c>
      <c r="W96" t="str">
        <f>IF(Orders[[#This Row],[Quantity]]&gt;MEDIAN(E:E), "High Volume", "Low Volume")</f>
        <v>Low Volume</v>
      </c>
      <c r="X96" t="str">
        <f>Orders[[#This Row],[Sales Tier]] &amp; "-" &amp; Orders[[#This Row],[Quantity Tier]]</f>
        <v>Low Price-Low Volume</v>
      </c>
      <c r="Y96" t="str">
        <f>TEXT(Orders[[#This Row],[Order Date]], "mmmm")</f>
        <v>March</v>
      </c>
      <c r="Z9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96" t="str">
        <f>Orders[[#This Row],[Coffee Type Name]] &amp; "-" &amp; Orders[[#This Row],[Roast Type Name]]</f>
        <v>Robusta-Dark</v>
      </c>
      <c r="AB9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97" spans="1:28" x14ac:dyDescent="0.25">
      <c r="A97" s="2" t="s">
        <v>4319</v>
      </c>
      <c r="B97" s="4">
        <v>44281</v>
      </c>
      <c r="C97" s="2" t="s">
        <v>4320</v>
      </c>
      <c r="D97" t="s">
        <v>6182</v>
      </c>
      <c r="E97" s="2">
        <v>6</v>
      </c>
      <c r="F97" s="2" t="str">
        <f>_xlfn.XLOOKUP(C97,customers!$A$1:$A$1001,customers!$B$1:$B$1001,,0)</f>
        <v>Milty Middis</v>
      </c>
      <c r="G97" s="2" t="str">
        <f>IF(_xlfn.XLOOKUP(C97,customers!$A$1:$A$1001,customers!$C$1:$C$1001,,0)=0,"",_xlfn.XLOOKUP(C97,customers!$A$1:$A$1001,customers!$C$1:$C$1001,,0))</f>
        <v>mmiddisiu@dmoz.org</v>
      </c>
      <c r="H97" s="2" t="str">
        <f>_xlfn.XLOOKUP(C97,customers!$A$1:$A$1001,customers!$G$1:$G$1001,,0)</f>
        <v>United States</v>
      </c>
      <c r="I97" t="str">
        <f>INDEX(products!$A$1:$G$49, MATCH(orders!$D680,products!$A$1:$A727,0), MATCH(orders!I$1,products!$A$1:$G$1,0))</f>
        <v>Ara</v>
      </c>
      <c r="J97" t="str">
        <f>INDEX(products!$A$1:$G$49, MATCH(orders!$D680,products!$A$1:$A727,0), MATCH(orders!J$1,products!$A$1:$G$1,0))</f>
        <v>L</v>
      </c>
      <c r="K97" s="5">
        <f>INDEX(products!$A$1:$G$49, MATCH(orders!$D680,products!$A$1:$A727,0), MATCH(orders!K$1,products!$A$1:$G$1,0))</f>
        <v>2.5</v>
      </c>
      <c r="L97" s="6">
        <f>INDEX(products!$A$1:$G$49, MATCH(orders!$D680,products!$A$1:$A727,0), MATCH(orders!L$1,products!$A$1:$G$1,0))</f>
        <v>29.784999999999997</v>
      </c>
      <c r="M97" s="6">
        <f t="shared" si="3"/>
        <v>178.70999999999998</v>
      </c>
      <c r="N97" t="str">
        <f t="shared" si="4"/>
        <v>Arabica</v>
      </c>
      <c r="O97" t="str">
        <f t="shared" si="5"/>
        <v>Light</v>
      </c>
      <c r="P97" t="str">
        <f>_xlfn.XLOOKUP(Orders[[#This Row],[Customer ID]],customers!$A$1:$A$1001,customers!$I$1:$I$1001,,0)</f>
        <v>Yes</v>
      </c>
      <c r="Q97">
        <f>COUNTIF(Orders[Order ID],Orders[[#This Row],[Order ID]])</f>
        <v>1</v>
      </c>
      <c r="R97" s="10">
        <f>SUMIF(Orders[Order ID], Orders[[#This Row],[Order ID]],Orders[Sales])/Orders[[#This Row],[Order Frequency]]</f>
        <v>178.70999999999998</v>
      </c>
      <c r="S97" t="str">
        <f>IF(Orders[[#This Row],[Order Frequency]]&gt;4, "More than 4", IF(AND(Orders[[#This Row],[Order Frequency]]&lt;=4,Orders[[#This Row],[Order Frequency]]&gt;=2), "Between 4 and 2", "Less than 2"))</f>
        <v>Less than 2</v>
      </c>
      <c r="T97" t="str">
        <f>IF(Orders[[#This Row],[Frequency Group]]="less than 2", "Low Value", IF(Orders[[#This Row],[Frequency Group]]="between 4 and 2", "Medium Value", "High Value"))</f>
        <v>Low Value</v>
      </c>
      <c r="U97" t="str">
        <f>IF(Orders[[#This Row],[Sales]]&lt;50, "$0-50", IF(AND(Orders[[#This Row],[Sales]]&gt;=50,Orders[[#This Row],[Sales]]&lt;=100), "$50-100", IF(AND(Orders[[#This Row],[Sales]]&gt;100,Orders[[#This Row],[Sales]]&lt;=150), "$101-150", "$150+")))</f>
        <v>$150+</v>
      </c>
      <c r="V97" t="str">
        <f>IF(Orders[[#This Row],[Sales]]&gt;MEDIAN(M:M), "High Price", "Low Price")</f>
        <v>High Price</v>
      </c>
      <c r="W97" t="str">
        <f>IF(Orders[[#This Row],[Quantity]]&gt;MEDIAN(E:E), "High Volume", "Low Volume")</f>
        <v>High Volume</v>
      </c>
      <c r="X97" t="str">
        <f>Orders[[#This Row],[Sales Tier]] &amp; "-" &amp; Orders[[#This Row],[Quantity Tier]]</f>
        <v>High Price-High Volume</v>
      </c>
      <c r="Y97" t="str">
        <f>TEXT(Orders[[#This Row],[Order Date]], "mmmm")</f>
        <v>March</v>
      </c>
      <c r="Z9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97" t="str">
        <f>Orders[[#This Row],[Coffee Type Name]] &amp; "-" &amp; Orders[[#This Row],[Roast Type Name]]</f>
        <v>Arabica-Light</v>
      </c>
      <c r="AB9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98" spans="1:28" x14ac:dyDescent="0.25">
      <c r="A98" s="2" t="s">
        <v>3236</v>
      </c>
      <c r="B98" s="4">
        <v>44043</v>
      </c>
      <c r="C98" s="2" t="s">
        <v>3237</v>
      </c>
      <c r="D98" t="s">
        <v>6160</v>
      </c>
      <c r="E98" s="2">
        <v>6</v>
      </c>
      <c r="F98" s="2" t="str">
        <f>_xlfn.XLOOKUP(C98,customers!$A$1:$A$1001,customers!$B$1:$B$1001,,0)</f>
        <v>Franny Kienlein</v>
      </c>
      <c r="G98" s="2" t="str">
        <f>IF(_xlfn.XLOOKUP(C98,customers!$A$1:$A$1001,customers!$C$1:$C$1001,,0)=0,"",_xlfn.XLOOKUP(C98,customers!$A$1:$A$1001,customers!$C$1:$C$1001,,0))</f>
        <v>fkienleindi@trellian.com</v>
      </c>
      <c r="H98" s="2" t="str">
        <f>_xlfn.XLOOKUP(C98,customers!$A$1:$A$1001,customers!$G$1:$G$1001,,0)</f>
        <v>Ireland</v>
      </c>
      <c r="I98" t="str">
        <f>INDEX(products!$A$1:$G$49, MATCH(orders!$D488,products!$A$1:$A535,0), MATCH(orders!I$1,products!$A$1:$G$1,0))</f>
        <v>Lib</v>
      </c>
      <c r="J98" t="str">
        <f>INDEX(products!$A$1:$G$49, MATCH(orders!$D488,products!$A$1:$A535,0), MATCH(orders!J$1,products!$A$1:$G$1,0))</f>
        <v>M</v>
      </c>
      <c r="K98" s="5">
        <f>INDEX(products!$A$1:$G$49, MATCH(orders!$D488,products!$A$1:$A535,0), MATCH(orders!K$1,products!$A$1:$G$1,0))</f>
        <v>0.5</v>
      </c>
      <c r="L98" s="6">
        <f>INDEX(products!$A$1:$G$49, MATCH(orders!$D488,products!$A$1:$A535,0), MATCH(orders!L$1,products!$A$1:$G$1,0))</f>
        <v>8.73</v>
      </c>
      <c r="M98" s="6">
        <f t="shared" si="3"/>
        <v>52.38</v>
      </c>
      <c r="N98" t="str">
        <f t="shared" si="4"/>
        <v>Liberica</v>
      </c>
      <c r="O98" t="str">
        <f t="shared" si="5"/>
        <v>Medium</v>
      </c>
      <c r="P98" t="str">
        <f>_xlfn.XLOOKUP(Orders[[#This Row],[Customer ID]],customers!$A$1:$A$1001,customers!$I$1:$I$1001,,0)</f>
        <v>Yes</v>
      </c>
      <c r="Q98">
        <f>COUNTIF(Orders[Order ID],Orders[[#This Row],[Order ID]])</f>
        <v>1</v>
      </c>
      <c r="R98" s="10">
        <f>SUMIF(Orders[Order ID], Orders[[#This Row],[Order ID]],Orders[Sales])/Orders[[#This Row],[Order Frequency]]</f>
        <v>52.38</v>
      </c>
      <c r="S98" t="str">
        <f>IF(Orders[[#This Row],[Order Frequency]]&gt;4, "More than 4", IF(AND(Orders[[#This Row],[Order Frequency]]&lt;=4,Orders[[#This Row],[Order Frequency]]&gt;=2), "Between 4 and 2", "Less than 2"))</f>
        <v>Less than 2</v>
      </c>
      <c r="T98" t="str">
        <f>IF(Orders[[#This Row],[Frequency Group]]="less than 2", "Low Value", IF(Orders[[#This Row],[Frequency Group]]="between 4 and 2", "Medium Value", "High Value"))</f>
        <v>Low Value</v>
      </c>
      <c r="U98" t="str">
        <f>IF(Orders[[#This Row],[Sales]]&lt;50, "$0-50", IF(AND(Orders[[#This Row],[Sales]]&gt;=50,Orders[[#This Row],[Sales]]&lt;=100), "$50-100", IF(AND(Orders[[#This Row],[Sales]]&gt;100,Orders[[#This Row],[Sales]]&lt;=150), "$101-150", "$150+")))</f>
        <v>$50-100</v>
      </c>
      <c r="V98" t="str">
        <f>IF(Orders[[#This Row],[Sales]]&gt;MEDIAN(M:M), "High Price", "Low Price")</f>
        <v>High Price</v>
      </c>
      <c r="W98" t="str">
        <f>IF(Orders[[#This Row],[Quantity]]&gt;MEDIAN(E:E), "High Volume", "Low Volume")</f>
        <v>High Volume</v>
      </c>
      <c r="X98" t="str">
        <f>Orders[[#This Row],[Sales Tier]] &amp; "-" &amp; Orders[[#This Row],[Quantity Tier]]</f>
        <v>High Price-High Volume</v>
      </c>
      <c r="Y98" t="str">
        <f>TEXT(Orders[[#This Row],[Order Date]], "mmmm")</f>
        <v>July</v>
      </c>
      <c r="Z9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98" t="str">
        <f>Orders[[#This Row],[Coffee Type Name]] &amp; "-" &amp; Orders[[#This Row],[Roast Type Name]]</f>
        <v>Liberica-Medium</v>
      </c>
      <c r="AB9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99" spans="1:28" x14ac:dyDescent="0.25">
      <c r="A99" s="2" t="s">
        <v>2025</v>
      </c>
      <c r="B99" s="4">
        <v>44435</v>
      </c>
      <c r="C99" s="2" t="s">
        <v>2026</v>
      </c>
      <c r="D99" t="s">
        <v>6179</v>
      </c>
      <c r="E99" s="2">
        <v>6</v>
      </c>
      <c r="F99" s="2" t="str">
        <f>_xlfn.XLOOKUP(C99,customers!$A$1:$A$1001,customers!$B$1:$B$1001,,0)</f>
        <v>Zachariah Carlson</v>
      </c>
      <c r="G99" s="2" t="str">
        <f>IF(_xlfn.XLOOKUP(C99,customers!$A$1:$A$1001,customers!$C$1:$C$1001,,0)=0,"",_xlfn.XLOOKUP(C99,customers!$A$1:$A$1001,customers!$C$1:$C$1001,,0))</f>
        <v>zcarlson7k@bigcartel.com</v>
      </c>
      <c r="H99" s="2" t="str">
        <f>_xlfn.XLOOKUP(C99,customers!$A$1:$A$1001,customers!$G$1:$G$1001,,0)</f>
        <v>Ireland</v>
      </c>
      <c r="I99" t="str">
        <f>INDEX(products!$A$1:$G$49, MATCH(orders!$D274,products!$A$1:$A321,0), MATCH(orders!I$1,products!$A$1:$G$1,0))</f>
        <v>Rob</v>
      </c>
      <c r="J99" t="str">
        <f>INDEX(products!$A$1:$G$49, MATCH(orders!$D274,products!$A$1:$A321,0), MATCH(orders!J$1,products!$A$1:$G$1,0))</f>
        <v>L</v>
      </c>
      <c r="K99" s="5">
        <f>INDEX(products!$A$1:$G$49, MATCH(orders!$D274,products!$A$1:$A321,0), MATCH(orders!K$1,products!$A$1:$G$1,0))</f>
        <v>1</v>
      </c>
      <c r="L99" s="6">
        <f>INDEX(products!$A$1:$G$49, MATCH(orders!$D274,products!$A$1:$A321,0), MATCH(orders!L$1,products!$A$1:$G$1,0))</f>
        <v>11.95</v>
      </c>
      <c r="M99" s="6">
        <f t="shared" si="3"/>
        <v>71.699999999999989</v>
      </c>
      <c r="N99" t="str">
        <f t="shared" si="4"/>
        <v>Robusta</v>
      </c>
      <c r="O99" t="str">
        <f t="shared" si="5"/>
        <v>Light</v>
      </c>
      <c r="P99" t="str">
        <f>_xlfn.XLOOKUP(Orders[[#This Row],[Customer ID]],customers!$A$1:$A$1001,customers!$I$1:$I$1001,,0)</f>
        <v>Yes</v>
      </c>
      <c r="Q99">
        <f>COUNTIF(Orders[Order ID],Orders[[#This Row],[Order ID]])</f>
        <v>1</v>
      </c>
      <c r="R99" s="10">
        <f>SUMIF(Orders[Order ID], Orders[[#This Row],[Order ID]],Orders[Sales])/Orders[[#This Row],[Order Frequency]]</f>
        <v>71.699999999999989</v>
      </c>
      <c r="S99" t="str">
        <f>IF(Orders[[#This Row],[Order Frequency]]&gt;4, "More than 4", IF(AND(Orders[[#This Row],[Order Frequency]]&lt;=4,Orders[[#This Row],[Order Frequency]]&gt;=2), "Between 4 and 2", "Less than 2"))</f>
        <v>Less than 2</v>
      </c>
      <c r="T99" t="str">
        <f>IF(Orders[[#This Row],[Frequency Group]]="less than 2", "Low Value", IF(Orders[[#This Row],[Frequency Group]]="between 4 and 2", "Medium Value", "High Value"))</f>
        <v>Low Value</v>
      </c>
      <c r="U99" t="str">
        <f>IF(Orders[[#This Row],[Sales]]&lt;50, "$0-50", IF(AND(Orders[[#This Row],[Sales]]&gt;=50,Orders[[#This Row],[Sales]]&lt;=100), "$50-100", IF(AND(Orders[[#This Row],[Sales]]&gt;100,Orders[[#This Row],[Sales]]&lt;=150), "$101-150", "$150+")))</f>
        <v>$50-100</v>
      </c>
      <c r="V99" t="str">
        <f>IF(Orders[[#This Row],[Sales]]&gt;MEDIAN(M:M), "High Price", "Low Price")</f>
        <v>High Price</v>
      </c>
      <c r="W99" t="str">
        <f>IF(Orders[[#This Row],[Quantity]]&gt;MEDIAN(E:E), "High Volume", "Low Volume")</f>
        <v>High Volume</v>
      </c>
      <c r="X99" t="str">
        <f>Orders[[#This Row],[Sales Tier]] &amp; "-" &amp; Orders[[#This Row],[Quantity Tier]]</f>
        <v>High Price-High Volume</v>
      </c>
      <c r="Y99" t="str">
        <f>TEXT(Orders[[#This Row],[Order Date]], "mmmm")</f>
        <v>August</v>
      </c>
      <c r="Z9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99" t="str">
        <f>Orders[[#This Row],[Coffee Type Name]] &amp; "-" &amp; Orders[[#This Row],[Roast Type Name]]</f>
        <v>Robusta-Light</v>
      </c>
      <c r="AB9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100" spans="1:28" x14ac:dyDescent="0.25">
      <c r="A100" s="2" t="s">
        <v>948</v>
      </c>
      <c r="B100" s="4">
        <v>43763</v>
      </c>
      <c r="C100" s="2" t="s">
        <v>949</v>
      </c>
      <c r="D100" t="s">
        <v>6164</v>
      </c>
      <c r="E100" s="2">
        <v>3</v>
      </c>
      <c r="F100" s="2" t="str">
        <f>_xlfn.XLOOKUP(C100,customers!$A$1:$A$1001,customers!$B$1:$B$1001,,0)</f>
        <v>Sheppard Yann</v>
      </c>
      <c r="G100" s="2" t="str">
        <f>IF(_xlfn.XLOOKUP(C100,customers!$A$1:$A$1001,customers!$C$1:$C$1001,,0)=0,"",_xlfn.XLOOKUP(C100,customers!$A$1:$A$1001,customers!$C$1:$C$1001,,0))</f>
        <v>syann29@senate.gov</v>
      </c>
      <c r="H100" s="2" t="str">
        <f>_xlfn.XLOOKUP(C100,customers!$A$1:$A$1001,customers!$G$1:$G$1001,,0)</f>
        <v>United States</v>
      </c>
      <c r="I100" t="str">
        <f>INDEX(products!$A$1:$G$49, MATCH(orders!$D83,products!$A$1:$A130,0), MATCH(orders!I$1,products!$A$1:$G$1,0))</f>
        <v>Lib</v>
      </c>
      <c r="J100" t="str">
        <f>INDEX(products!$A$1:$G$49, MATCH(orders!$D83,products!$A$1:$A130,0), MATCH(orders!J$1,products!$A$1:$G$1,0))</f>
        <v>L</v>
      </c>
      <c r="K100" s="5">
        <f>INDEX(products!$A$1:$G$49, MATCH(orders!$D83,products!$A$1:$A130,0), MATCH(orders!K$1,products!$A$1:$G$1,0))</f>
        <v>2.5</v>
      </c>
      <c r="L100" s="6">
        <f>INDEX(products!$A$1:$G$49, MATCH(orders!$D83,products!$A$1:$A130,0), MATCH(orders!L$1,products!$A$1:$G$1,0))</f>
        <v>36.454999999999998</v>
      </c>
      <c r="M100" s="6">
        <f t="shared" si="3"/>
        <v>109.36499999999999</v>
      </c>
      <c r="N100" t="str">
        <f t="shared" si="4"/>
        <v>Liberica</v>
      </c>
      <c r="O100" t="str">
        <f t="shared" si="5"/>
        <v>Light</v>
      </c>
      <c r="P100" t="str">
        <f>_xlfn.XLOOKUP(Orders[[#This Row],[Customer ID]],customers!$A$1:$A$1001,customers!$I$1:$I$1001,,0)</f>
        <v>Yes</v>
      </c>
      <c r="Q100">
        <f>COUNTIF(Orders[Order ID],Orders[[#This Row],[Order ID]])</f>
        <v>1</v>
      </c>
      <c r="R100" s="10">
        <f>SUMIF(Orders[Order ID], Orders[[#This Row],[Order ID]],Orders[Sales])/Orders[[#This Row],[Order Frequency]]</f>
        <v>109.36499999999999</v>
      </c>
      <c r="S100" t="str">
        <f>IF(Orders[[#This Row],[Order Frequency]]&gt;4, "More than 4", IF(AND(Orders[[#This Row],[Order Frequency]]&lt;=4,Orders[[#This Row],[Order Frequency]]&gt;=2), "Between 4 and 2", "Less than 2"))</f>
        <v>Less than 2</v>
      </c>
      <c r="T100" t="str">
        <f>IF(Orders[[#This Row],[Frequency Group]]="less than 2", "Low Value", IF(Orders[[#This Row],[Frequency Group]]="between 4 and 2", "Medium Value", "High Value"))</f>
        <v>Low Value</v>
      </c>
      <c r="U100" t="str">
        <f>IF(Orders[[#This Row],[Sales]]&lt;50, "$0-50", IF(AND(Orders[[#This Row],[Sales]]&gt;=50,Orders[[#This Row],[Sales]]&lt;=100), "$50-100", IF(AND(Orders[[#This Row],[Sales]]&gt;100,Orders[[#This Row],[Sales]]&lt;=150), "$101-150", "$150+")))</f>
        <v>$101-150</v>
      </c>
      <c r="V100" t="str">
        <f>IF(Orders[[#This Row],[Sales]]&gt;MEDIAN(M:M), "High Price", "Low Price")</f>
        <v>High Price</v>
      </c>
      <c r="W100" t="str">
        <f>IF(Orders[[#This Row],[Quantity]]&gt;MEDIAN(E:E), "High Volume", "Low Volume")</f>
        <v>Low Volume</v>
      </c>
      <c r="X100" t="str">
        <f>Orders[[#This Row],[Sales Tier]] &amp; "-" &amp; Orders[[#This Row],[Quantity Tier]]</f>
        <v>High Price-Low Volume</v>
      </c>
      <c r="Y100" t="str">
        <f>TEXT(Orders[[#This Row],[Order Date]], "mmmm")</f>
        <v>October</v>
      </c>
      <c r="Z10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100" t="str">
        <f>Orders[[#This Row],[Coffee Type Name]] &amp; "-" &amp; Orders[[#This Row],[Roast Type Name]]</f>
        <v>Liberica-Light</v>
      </c>
      <c r="AB10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101" spans="1:28" x14ac:dyDescent="0.25">
      <c r="A101" s="2" t="s">
        <v>4539</v>
      </c>
      <c r="B101" s="4">
        <v>43649</v>
      </c>
      <c r="C101" s="2" t="s">
        <v>4540</v>
      </c>
      <c r="D101" t="s">
        <v>6168</v>
      </c>
      <c r="E101" s="2">
        <v>3</v>
      </c>
      <c r="F101" s="2" t="str">
        <f>_xlfn.XLOOKUP(C101,customers!$A$1:$A$1001,customers!$B$1:$B$1001,,0)</f>
        <v>Willabella Harvison</v>
      </c>
      <c r="G101" s="2" t="str">
        <f>IF(_xlfn.XLOOKUP(C101,customers!$A$1:$A$1001,customers!$C$1:$C$1001,,0)=0,"",_xlfn.XLOOKUP(C101,customers!$A$1:$A$1001,customers!$C$1:$C$1001,,0))</f>
        <v>wharvisonjx@gizmodo.com</v>
      </c>
      <c r="H101" s="2" t="str">
        <f>_xlfn.XLOOKUP(C101,customers!$A$1:$A$1001,customers!$G$1:$G$1001,,0)</f>
        <v>United States</v>
      </c>
      <c r="I101" t="str">
        <f>INDEX(products!$A$1:$G$49, MATCH(orders!$D719,products!$A$1:$A766,0), MATCH(orders!I$1,products!$A$1:$G$1,0))</f>
        <v>Ara</v>
      </c>
      <c r="J101" t="str">
        <f>INDEX(products!$A$1:$G$49, MATCH(orders!$D719,products!$A$1:$A766,0), MATCH(orders!J$1,products!$A$1:$G$1,0))</f>
        <v>D</v>
      </c>
      <c r="K101" s="5">
        <f>INDEX(products!$A$1:$G$49, MATCH(orders!$D719,products!$A$1:$A766,0), MATCH(orders!K$1,products!$A$1:$G$1,0))</f>
        <v>2.5</v>
      </c>
      <c r="L101" s="6">
        <f>INDEX(products!$A$1:$G$49, MATCH(orders!$D719,products!$A$1:$A766,0), MATCH(orders!L$1,products!$A$1:$G$1,0))</f>
        <v>22.884999999999998</v>
      </c>
      <c r="M101" s="6">
        <f t="shared" si="3"/>
        <v>68.655000000000001</v>
      </c>
      <c r="N101" t="str">
        <f t="shared" si="4"/>
        <v>Arabica</v>
      </c>
      <c r="O101" t="str">
        <f t="shared" si="5"/>
        <v>Dark</v>
      </c>
      <c r="P101" t="str">
        <f>_xlfn.XLOOKUP(Orders[[#This Row],[Customer ID]],customers!$A$1:$A$1001,customers!$I$1:$I$1001,,0)</f>
        <v>No</v>
      </c>
      <c r="Q101">
        <f>COUNTIF(Orders[Order ID],Orders[[#This Row],[Order ID]])</f>
        <v>1</v>
      </c>
      <c r="R101" s="10">
        <f>SUMIF(Orders[Order ID], Orders[[#This Row],[Order ID]],Orders[Sales])/Orders[[#This Row],[Order Frequency]]</f>
        <v>68.655000000000001</v>
      </c>
      <c r="S101" t="str">
        <f>IF(Orders[[#This Row],[Order Frequency]]&gt;4, "More than 4", IF(AND(Orders[[#This Row],[Order Frequency]]&lt;=4,Orders[[#This Row],[Order Frequency]]&gt;=2), "Between 4 and 2", "Less than 2"))</f>
        <v>Less than 2</v>
      </c>
      <c r="T101" t="str">
        <f>IF(Orders[[#This Row],[Frequency Group]]="less than 2", "Low Value", IF(Orders[[#This Row],[Frequency Group]]="between 4 and 2", "Medium Value", "High Value"))</f>
        <v>Low Value</v>
      </c>
      <c r="U101" t="str">
        <f>IF(Orders[[#This Row],[Sales]]&lt;50, "$0-50", IF(AND(Orders[[#This Row],[Sales]]&gt;=50,Orders[[#This Row],[Sales]]&lt;=100), "$50-100", IF(AND(Orders[[#This Row],[Sales]]&gt;100,Orders[[#This Row],[Sales]]&lt;=150), "$101-150", "$150+")))</f>
        <v>$50-100</v>
      </c>
      <c r="V101" t="str">
        <f>IF(Orders[[#This Row],[Sales]]&gt;MEDIAN(M:M), "High Price", "Low Price")</f>
        <v>High Price</v>
      </c>
      <c r="W101" t="str">
        <f>IF(Orders[[#This Row],[Quantity]]&gt;MEDIAN(E:E), "High Volume", "Low Volume")</f>
        <v>Low Volume</v>
      </c>
      <c r="X101" t="str">
        <f>Orders[[#This Row],[Sales Tier]] &amp; "-" &amp; Orders[[#This Row],[Quantity Tier]]</f>
        <v>High Price-Low Volume</v>
      </c>
      <c r="Y101" t="str">
        <f>TEXT(Orders[[#This Row],[Order Date]], "mmmm")</f>
        <v>July</v>
      </c>
      <c r="Z10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101" t="str">
        <f>Orders[[#This Row],[Coffee Type Name]] &amp; "-" &amp; Orders[[#This Row],[Roast Type Name]]</f>
        <v>Arabica-Dark</v>
      </c>
      <c r="AB10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102" spans="1:28" x14ac:dyDescent="0.25">
      <c r="A102" s="2" t="s">
        <v>2221</v>
      </c>
      <c r="B102" s="4">
        <v>44227</v>
      </c>
      <c r="C102" s="2" t="s">
        <v>2222</v>
      </c>
      <c r="D102" t="s">
        <v>6155</v>
      </c>
      <c r="E102" s="2">
        <v>3</v>
      </c>
      <c r="F102" s="2" t="str">
        <f>_xlfn.XLOOKUP(C102,customers!$A$1:$A$1001,customers!$B$1:$B$1001,,0)</f>
        <v>Ermin Beeble</v>
      </c>
      <c r="G102" s="2" t="str">
        <f>IF(_xlfn.XLOOKUP(C102,customers!$A$1:$A$1001,customers!$C$1:$C$1001,,0)=0,"",_xlfn.XLOOKUP(C102,customers!$A$1:$A$1001,customers!$C$1:$C$1001,,0))</f>
        <v>ebeeble8j@soundcloud.com</v>
      </c>
      <c r="H102" s="2" t="str">
        <f>_xlfn.XLOOKUP(C102,customers!$A$1:$A$1001,customers!$G$1:$G$1001,,0)</f>
        <v>United States</v>
      </c>
      <c r="I102" t="str">
        <f>INDEX(products!$A$1:$G$49, MATCH(orders!$D309,products!$A$1:$A356,0), MATCH(orders!I$1,products!$A$1:$G$1,0))</f>
        <v>Ara</v>
      </c>
      <c r="J102" t="str">
        <f>INDEX(products!$A$1:$G$49, MATCH(orders!$D309,products!$A$1:$A356,0), MATCH(orders!J$1,products!$A$1:$G$1,0))</f>
        <v>M</v>
      </c>
      <c r="K102" s="5">
        <f>INDEX(products!$A$1:$G$49, MATCH(orders!$D309,products!$A$1:$A356,0), MATCH(orders!K$1,products!$A$1:$G$1,0))</f>
        <v>1</v>
      </c>
      <c r="L102" s="6">
        <f>INDEX(products!$A$1:$G$49, MATCH(orders!$D309,products!$A$1:$A356,0), MATCH(orders!L$1,products!$A$1:$G$1,0))</f>
        <v>11.25</v>
      </c>
      <c r="M102" s="6">
        <f t="shared" si="3"/>
        <v>33.75</v>
      </c>
      <c r="N102" t="str">
        <f t="shared" si="4"/>
        <v>Arabica</v>
      </c>
      <c r="O102" t="str">
        <f t="shared" si="5"/>
        <v>Medium</v>
      </c>
      <c r="P102" t="str">
        <f>_xlfn.XLOOKUP(Orders[[#This Row],[Customer ID]],customers!$A$1:$A$1001,customers!$I$1:$I$1001,,0)</f>
        <v>Yes</v>
      </c>
      <c r="Q102">
        <f>COUNTIF(Orders[Order ID],Orders[[#This Row],[Order ID]])</f>
        <v>1</v>
      </c>
      <c r="R102" s="10">
        <f>SUMIF(Orders[Order ID], Orders[[#This Row],[Order ID]],Orders[Sales])/Orders[[#This Row],[Order Frequency]]</f>
        <v>33.75</v>
      </c>
      <c r="S102" t="str">
        <f>IF(Orders[[#This Row],[Order Frequency]]&gt;4, "More than 4", IF(AND(Orders[[#This Row],[Order Frequency]]&lt;=4,Orders[[#This Row],[Order Frequency]]&gt;=2), "Between 4 and 2", "Less than 2"))</f>
        <v>Less than 2</v>
      </c>
      <c r="T102" t="str">
        <f>IF(Orders[[#This Row],[Frequency Group]]="less than 2", "Low Value", IF(Orders[[#This Row],[Frequency Group]]="between 4 and 2", "Medium Value", "High Value"))</f>
        <v>Low Value</v>
      </c>
      <c r="U102" t="str">
        <f>IF(Orders[[#This Row],[Sales]]&lt;50, "$0-50", IF(AND(Orders[[#This Row],[Sales]]&gt;=50,Orders[[#This Row],[Sales]]&lt;=100), "$50-100", IF(AND(Orders[[#This Row],[Sales]]&gt;100,Orders[[#This Row],[Sales]]&lt;=150), "$101-150", "$150+")))</f>
        <v>$0-50</v>
      </c>
      <c r="V102" t="str">
        <f>IF(Orders[[#This Row],[Sales]]&gt;MEDIAN(M:M), "High Price", "Low Price")</f>
        <v>High Price</v>
      </c>
      <c r="W102" t="str">
        <f>IF(Orders[[#This Row],[Quantity]]&gt;MEDIAN(E:E), "High Volume", "Low Volume")</f>
        <v>Low Volume</v>
      </c>
      <c r="X102" t="str">
        <f>Orders[[#This Row],[Sales Tier]] &amp; "-" &amp; Orders[[#This Row],[Quantity Tier]]</f>
        <v>High Price-Low Volume</v>
      </c>
      <c r="Y102" t="str">
        <f>TEXT(Orders[[#This Row],[Order Date]], "mmmm")</f>
        <v>January</v>
      </c>
      <c r="Z10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02" t="str">
        <f>Orders[[#This Row],[Coffee Type Name]] &amp; "-" &amp; Orders[[#This Row],[Roast Type Name]]</f>
        <v>Arabica-Medium</v>
      </c>
      <c r="AB10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03" spans="1:28" x14ac:dyDescent="0.25">
      <c r="A103" s="2" t="s">
        <v>4086</v>
      </c>
      <c r="B103" s="4">
        <v>43889</v>
      </c>
      <c r="C103" s="2" t="s">
        <v>4087</v>
      </c>
      <c r="D103" t="s">
        <v>6166</v>
      </c>
      <c r="E103" s="2">
        <v>1</v>
      </c>
      <c r="F103" s="2" t="str">
        <f>_xlfn.XLOOKUP(C103,customers!$A$1:$A$1001,customers!$B$1:$B$1001,,0)</f>
        <v>Benedikta Paumier</v>
      </c>
      <c r="G103" s="2" t="str">
        <f>IF(_xlfn.XLOOKUP(C103,customers!$A$1:$A$1001,customers!$C$1:$C$1001,,0)=0,"",_xlfn.XLOOKUP(C103,customers!$A$1:$A$1001,customers!$C$1:$C$1001,,0))</f>
        <v>bpaumierhp@umn.edu</v>
      </c>
      <c r="H103" s="2" t="str">
        <f>_xlfn.XLOOKUP(C103,customers!$A$1:$A$1001,customers!$G$1:$G$1001,,0)</f>
        <v>Ireland</v>
      </c>
      <c r="I103" t="str">
        <f>INDEX(products!$A$1:$G$49, MATCH(orders!$D639,products!$A$1:$A686,0), MATCH(orders!I$1,products!$A$1:$G$1,0))</f>
        <v>Exc</v>
      </c>
      <c r="J103" t="str">
        <f>INDEX(products!$A$1:$G$49, MATCH(orders!$D639,products!$A$1:$A686,0), MATCH(orders!J$1,products!$A$1:$G$1,0))</f>
        <v>M</v>
      </c>
      <c r="K103" s="5">
        <f>INDEX(products!$A$1:$G$49, MATCH(orders!$D639,products!$A$1:$A686,0), MATCH(orders!K$1,products!$A$1:$G$1,0))</f>
        <v>2.5</v>
      </c>
      <c r="L103" s="6">
        <f>INDEX(products!$A$1:$G$49, MATCH(orders!$D639,products!$A$1:$A686,0), MATCH(orders!L$1,products!$A$1:$G$1,0))</f>
        <v>31.624999999999996</v>
      </c>
      <c r="M103" s="6">
        <f t="shared" si="3"/>
        <v>31.624999999999996</v>
      </c>
      <c r="N103" t="str">
        <f t="shared" si="4"/>
        <v>Excelsa</v>
      </c>
      <c r="O103" t="str">
        <f t="shared" si="5"/>
        <v>Medium</v>
      </c>
      <c r="P103" t="str">
        <f>_xlfn.XLOOKUP(Orders[[#This Row],[Customer ID]],customers!$A$1:$A$1001,customers!$I$1:$I$1001,,0)</f>
        <v>Yes</v>
      </c>
      <c r="Q103">
        <f>COUNTIF(Orders[Order ID],Orders[[#This Row],[Order ID]])</f>
        <v>1</v>
      </c>
      <c r="R103" s="10">
        <f>SUMIF(Orders[Order ID], Orders[[#This Row],[Order ID]],Orders[Sales])/Orders[[#This Row],[Order Frequency]]</f>
        <v>31.624999999999996</v>
      </c>
      <c r="S103" t="str">
        <f>IF(Orders[[#This Row],[Order Frequency]]&gt;4, "More than 4", IF(AND(Orders[[#This Row],[Order Frequency]]&lt;=4,Orders[[#This Row],[Order Frequency]]&gt;=2), "Between 4 and 2", "Less than 2"))</f>
        <v>Less than 2</v>
      </c>
      <c r="T103" t="str">
        <f>IF(Orders[[#This Row],[Frequency Group]]="less than 2", "Low Value", IF(Orders[[#This Row],[Frequency Group]]="between 4 and 2", "Medium Value", "High Value"))</f>
        <v>Low Value</v>
      </c>
      <c r="U103" t="str">
        <f>IF(Orders[[#This Row],[Sales]]&lt;50, "$0-50", IF(AND(Orders[[#This Row],[Sales]]&gt;=50,Orders[[#This Row],[Sales]]&lt;=100), "$50-100", IF(AND(Orders[[#This Row],[Sales]]&gt;100,Orders[[#This Row],[Sales]]&lt;=150), "$101-150", "$150+")))</f>
        <v>$0-50</v>
      </c>
      <c r="V103" t="str">
        <f>IF(Orders[[#This Row],[Sales]]&gt;MEDIAN(M:M), "High Price", "Low Price")</f>
        <v>High Price</v>
      </c>
      <c r="W103" t="str">
        <f>IF(Orders[[#This Row],[Quantity]]&gt;MEDIAN(E:E), "High Volume", "Low Volume")</f>
        <v>Low Volume</v>
      </c>
      <c r="X103" t="str">
        <f>Orders[[#This Row],[Sales Tier]] &amp; "-" &amp; Orders[[#This Row],[Quantity Tier]]</f>
        <v>High Price-Low Volume</v>
      </c>
      <c r="Y103" t="str">
        <f>TEXT(Orders[[#This Row],[Order Date]], "mmmm")</f>
        <v>February</v>
      </c>
      <c r="Z10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03" t="str">
        <f>Orders[[#This Row],[Coffee Type Name]] &amp; "-" &amp; Orders[[#This Row],[Roast Type Name]]</f>
        <v>Excelsa-Medium</v>
      </c>
      <c r="AB10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04" spans="1:28" x14ac:dyDescent="0.25">
      <c r="A104" s="2" t="s">
        <v>3323</v>
      </c>
      <c r="B104" s="4">
        <v>43467</v>
      </c>
      <c r="C104" s="2" t="s">
        <v>3324</v>
      </c>
      <c r="D104" t="s">
        <v>6174</v>
      </c>
      <c r="E104" s="2">
        <v>4</v>
      </c>
      <c r="F104" s="2" t="str">
        <f>_xlfn.XLOOKUP(C104,customers!$A$1:$A$1001,customers!$B$1:$B$1001,,0)</f>
        <v>Gladi Ducker</v>
      </c>
      <c r="G104" s="2" t="str">
        <f>IF(_xlfn.XLOOKUP(C104,customers!$A$1:$A$1001,customers!$C$1:$C$1001,,0)=0,"",_xlfn.XLOOKUP(C104,customers!$A$1:$A$1001,customers!$C$1:$C$1001,,0))</f>
        <v>gduckerdx@patch.com</v>
      </c>
      <c r="H104" s="2" t="str">
        <f>_xlfn.XLOOKUP(C104,customers!$A$1:$A$1001,customers!$G$1:$G$1001,,0)</f>
        <v>United Kingdom</v>
      </c>
      <c r="I104" t="str">
        <f>INDEX(products!$A$1:$G$49, MATCH(orders!$D503,products!$A$1:$A550,0), MATCH(orders!I$1,products!$A$1:$G$1,0))</f>
        <v>Rob</v>
      </c>
      <c r="J104" t="str">
        <f>INDEX(products!$A$1:$G$49, MATCH(orders!$D503,products!$A$1:$A550,0), MATCH(orders!J$1,products!$A$1:$G$1,0))</f>
        <v>M</v>
      </c>
      <c r="K104" s="5">
        <f>INDEX(products!$A$1:$G$49, MATCH(orders!$D503,products!$A$1:$A550,0), MATCH(orders!K$1,products!$A$1:$G$1,0))</f>
        <v>0.2</v>
      </c>
      <c r="L104" s="6">
        <f>INDEX(products!$A$1:$G$49, MATCH(orders!$D503,products!$A$1:$A550,0), MATCH(orders!L$1,products!$A$1:$G$1,0))</f>
        <v>2.9849999999999999</v>
      </c>
      <c r="M104" s="6">
        <f t="shared" si="3"/>
        <v>11.94</v>
      </c>
      <c r="N104" t="str">
        <f t="shared" si="4"/>
        <v>Robusta</v>
      </c>
      <c r="O104" t="str">
        <f t="shared" si="5"/>
        <v>Medium</v>
      </c>
      <c r="P104" t="str">
        <f>_xlfn.XLOOKUP(Orders[[#This Row],[Customer ID]],customers!$A$1:$A$1001,customers!$I$1:$I$1001,,0)</f>
        <v>No</v>
      </c>
      <c r="Q104">
        <f>COUNTIF(Orders[Order ID],Orders[[#This Row],[Order ID]])</f>
        <v>4</v>
      </c>
      <c r="R104" s="10">
        <f>SUMIF(Orders[Order ID], Orders[[#This Row],[Order ID]],Orders[Sales])/Orders[[#This Row],[Order Frequency]]</f>
        <v>23.626249999999999</v>
      </c>
      <c r="S104" t="str">
        <f>IF(Orders[[#This Row],[Order Frequency]]&gt;4, "More than 4", IF(AND(Orders[[#This Row],[Order Frequency]]&lt;=4,Orders[[#This Row],[Order Frequency]]&gt;=2), "Between 4 and 2", "Less than 2"))</f>
        <v>Between 4 and 2</v>
      </c>
      <c r="T104" t="str">
        <f>IF(Orders[[#This Row],[Frequency Group]]="less than 2", "Low Value", IF(Orders[[#This Row],[Frequency Group]]="between 4 and 2", "Medium Value", "High Value"))</f>
        <v>Medium Value</v>
      </c>
      <c r="U104" t="str">
        <f>IF(Orders[[#This Row],[Sales]]&lt;50, "$0-50", IF(AND(Orders[[#This Row],[Sales]]&gt;=50,Orders[[#This Row],[Sales]]&lt;=100), "$50-100", IF(AND(Orders[[#This Row],[Sales]]&gt;100,Orders[[#This Row],[Sales]]&lt;=150), "$101-150", "$150+")))</f>
        <v>$0-50</v>
      </c>
      <c r="V104" t="str">
        <f>IF(Orders[[#This Row],[Sales]]&gt;MEDIAN(M:M), "High Price", "Low Price")</f>
        <v>Low Price</v>
      </c>
      <c r="W104" t="str">
        <f>IF(Orders[[#This Row],[Quantity]]&gt;MEDIAN(E:E), "High Volume", "Low Volume")</f>
        <v>Low Volume</v>
      </c>
      <c r="X104" t="str">
        <f>Orders[[#This Row],[Sales Tier]] &amp; "-" &amp; Orders[[#This Row],[Quantity Tier]]</f>
        <v>Low Price-Low Volume</v>
      </c>
      <c r="Y104" t="str">
        <f>TEXT(Orders[[#This Row],[Order Date]], "mmmm")</f>
        <v>January</v>
      </c>
      <c r="Z10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04" t="str">
        <f>Orders[[#This Row],[Coffee Type Name]] &amp; "-" &amp; Orders[[#This Row],[Roast Type Name]]</f>
        <v>Robusta-Medium</v>
      </c>
      <c r="AB10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05" spans="1:28" x14ac:dyDescent="0.25">
      <c r="A105" s="2" t="s">
        <v>3323</v>
      </c>
      <c r="B105" s="4">
        <v>43467</v>
      </c>
      <c r="C105" s="2" t="s">
        <v>3324</v>
      </c>
      <c r="D105" t="s">
        <v>6145</v>
      </c>
      <c r="E105" s="2">
        <v>3</v>
      </c>
      <c r="F105" s="2" t="str">
        <f>_xlfn.XLOOKUP(C105,customers!$A$1:$A$1001,customers!$B$1:$B$1001,,0)</f>
        <v>Gladi Ducker</v>
      </c>
      <c r="G105" s="2" t="str">
        <f>IF(_xlfn.XLOOKUP(C105,customers!$A$1:$A$1001,customers!$C$1:$C$1001,,0)=0,"",_xlfn.XLOOKUP(C105,customers!$A$1:$A$1001,customers!$C$1:$C$1001,,0))</f>
        <v>gduckerdx@patch.com</v>
      </c>
      <c r="H105" s="2" t="str">
        <f>_xlfn.XLOOKUP(C105,customers!$A$1:$A$1001,customers!$G$1:$G$1001,,0)</f>
        <v>United Kingdom</v>
      </c>
      <c r="I105" t="str">
        <f>INDEX(products!$A$1:$G$49, MATCH(orders!$D506,products!$A$1:$A553,0), MATCH(orders!I$1,products!$A$1:$G$1,0))</f>
        <v>Lib</v>
      </c>
      <c r="J105" t="str">
        <f>INDEX(products!$A$1:$G$49, MATCH(orders!$D506,products!$A$1:$A553,0), MATCH(orders!J$1,products!$A$1:$G$1,0))</f>
        <v>L</v>
      </c>
      <c r="K105" s="5">
        <f>INDEX(products!$A$1:$G$49, MATCH(orders!$D506,products!$A$1:$A553,0), MATCH(orders!K$1,products!$A$1:$G$1,0))</f>
        <v>0.2</v>
      </c>
      <c r="L105" s="6">
        <f>INDEX(products!$A$1:$G$49, MATCH(orders!$D506,products!$A$1:$A553,0), MATCH(orders!L$1,products!$A$1:$G$1,0))</f>
        <v>4.7549999999999999</v>
      </c>
      <c r="M105" s="6">
        <f t="shared" si="3"/>
        <v>14.265000000000001</v>
      </c>
      <c r="N105" t="str">
        <f t="shared" si="4"/>
        <v>Liberica</v>
      </c>
      <c r="O105" t="str">
        <f t="shared" si="5"/>
        <v>Light</v>
      </c>
      <c r="P105" t="str">
        <f>_xlfn.XLOOKUP(Orders[[#This Row],[Customer ID]],customers!$A$1:$A$1001,customers!$I$1:$I$1001,,0)</f>
        <v>No</v>
      </c>
      <c r="Q105">
        <f>COUNTIF(Orders[Order ID],Orders[[#This Row],[Order ID]])</f>
        <v>4</v>
      </c>
      <c r="R105" s="10">
        <f>SUMIF(Orders[Order ID], Orders[[#This Row],[Order ID]],Orders[Sales])/Orders[[#This Row],[Order Frequency]]</f>
        <v>23.626249999999999</v>
      </c>
      <c r="S105" t="str">
        <f>IF(Orders[[#This Row],[Order Frequency]]&gt;4, "More than 4", IF(AND(Orders[[#This Row],[Order Frequency]]&lt;=4,Orders[[#This Row],[Order Frequency]]&gt;=2), "Between 4 and 2", "Less than 2"))</f>
        <v>Between 4 and 2</v>
      </c>
      <c r="T105" t="str">
        <f>IF(Orders[[#This Row],[Frequency Group]]="less than 2", "Low Value", IF(Orders[[#This Row],[Frequency Group]]="between 4 and 2", "Medium Value", "High Value"))</f>
        <v>Medium Value</v>
      </c>
      <c r="U105" t="str">
        <f>IF(Orders[[#This Row],[Sales]]&lt;50, "$0-50", IF(AND(Orders[[#This Row],[Sales]]&gt;=50,Orders[[#This Row],[Sales]]&lt;=100), "$50-100", IF(AND(Orders[[#This Row],[Sales]]&gt;100,Orders[[#This Row],[Sales]]&lt;=150), "$101-150", "$150+")))</f>
        <v>$0-50</v>
      </c>
      <c r="V105" t="str">
        <f>IF(Orders[[#This Row],[Sales]]&gt;MEDIAN(M:M), "High Price", "Low Price")</f>
        <v>Low Price</v>
      </c>
      <c r="W105" t="str">
        <f>IF(Orders[[#This Row],[Quantity]]&gt;MEDIAN(E:E), "High Volume", "Low Volume")</f>
        <v>Low Volume</v>
      </c>
      <c r="X105" t="str">
        <f>Orders[[#This Row],[Sales Tier]] &amp; "-" &amp; Orders[[#This Row],[Quantity Tier]]</f>
        <v>Low Price-Low Volume</v>
      </c>
      <c r="Y105" t="str">
        <f>TEXT(Orders[[#This Row],[Order Date]], "mmmm")</f>
        <v>January</v>
      </c>
      <c r="Z10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05" t="str">
        <f>Orders[[#This Row],[Coffee Type Name]] &amp; "-" &amp; Orders[[#This Row],[Roast Type Name]]</f>
        <v>Liberica-Light</v>
      </c>
      <c r="AB10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06" spans="1:28" x14ac:dyDescent="0.25">
      <c r="A106" s="2" t="s">
        <v>3323</v>
      </c>
      <c r="B106" s="4">
        <v>43467</v>
      </c>
      <c r="C106" s="2" t="s">
        <v>3324</v>
      </c>
      <c r="D106" t="s">
        <v>6156</v>
      </c>
      <c r="E106" s="2">
        <v>4</v>
      </c>
      <c r="F106" s="2" t="str">
        <f>_xlfn.XLOOKUP(C106,customers!$A$1:$A$1001,customers!$B$1:$B$1001,,0)</f>
        <v>Gladi Ducker</v>
      </c>
      <c r="G106" s="2" t="str">
        <f>IF(_xlfn.XLOOKUP(C106,customers!$A$1:$A$1001,customers!$C$1:$C$1001,,0)=0,"",_xlfn.XLOOKUP(C106,customers!$A$1:$A$1001,customers!$C$1:$C$1001,,0))</f>
        <v>gduckerdx@patch.com</v>
      </c>
      <c r="H106" s="2" t="str">
        <f>_xlfn.XLOOKUP(C106,customers!$A$1:$A$1001,customers!$G$1:$G$1001,,0)</f>
        <v>United Kingdom</v>
      </c>
      <c r="I106" t="str">
        <f>INDEX(products!$A$1:$G$49, MATCH(orders!$D504,products!$A$1:$A551,0), MATCH(orders!I$1,products!$A$1:$G$1,0))</f>
        <v>Exc</v>
      </c>
      <c r="J106" t="str">
        <f>INDEX(products!$A$1:$G$49, MATCH(orders!$D504,products!$A$1:$A551,0), MATCH(orders!J$1,products!$A$1:$G$1,0))</f>
        <v>M</v>
      </c>
      <c r="K106" s="5">
        <f>INDEX(products!$A$1:$G$49, MATCH(orders!$D504,products!$A$1:$A551,0), MATCH(orders!K$1,products!$A$1:$G$1,0))</f>
        <v>0.2</v>
      </c>
      <c r="L106" s="6">
        <f>INDEX(products!$A$1:$G$49, MATCH(orders!$D504,products!$A$1:$A551,0), MATCH(orders!L$1,products!$A$1:$G$1,0))</f>
        <v>4.125</v>
      </c>
      <c r="M106" s="6">
        <f t="shared" si="3"/>
        <v>16.5</v>
      </c>
      <c r="N106" t="str">
        <f t="shared" si="4"/>
        <v>Excelsa</v>
      </c>
      <c r="O106" t="str">
        <f t="shared" si="5"/>
        <v>Medium</v>
      </c>
      <c r="P106" t="str">
        <f>_xlfn.XLOOKUP(Orders[[#This Row],[Customer ID]],customers!$A$1:$A$1001,customers!$I$1:$I$1001,,0)</f>
        <v>No</v>
      </c>
      <c r="Q106">
        <f>COUNTIF(Orders[Order ID],Orders[[#This Row],[Order ID]])</f>
        <v>4</v>
      </c>
      <c r="R106" s="10">
        <f>SUMIF(Orders[Order ID], Orders[[#This Row],[Order ID]],Orders[Sales])/Orders[[#This Row],[Order Frequency]]</f>
        <v>23.626249999999999</v>
      </c>
      <c r="S106" t="str">
        <f>IF(Orders[[#This Row],[Order Frequency]]&gt;4, "More than 4", IF(AND(Orders[[#This Row],[Order Frequency]]&lt;=4,Orders[[#This Row],[Order Frequency]]&gt;=2), "Between 4 and 2", "Less than 2"))</f>
        <v>Between 4 and 2</v>
      </c>
      <c r="T106" t="str">
        <f>IF(Orders[[#This Row],[Frequency Group]]="less than 2", "Low Value", IF(Orders[[#This Row],[Frequency Group]]="between 4 and 2", "Medium Value", "High Value"))</f>
        <v>Medium Value</v>
      </c>
      <c r="U106" t="str">
        <f>IF(Orders[[#This Row],[Sales]]&lt;50, "$0-50", IF(AND(Orders[[#This Row],[Sales]]&gt;=50,Orders[[#This Row],[Sales]]&lt;=100), "$50-100", IF(AND(Orders[[#This Row],[Sales]]&gt;100,Orders[[#This Row],[Sales]]&lt;=150), "$101-150", "$150+")))</f>
        <v>$0-50</v>
      </c>
      <c r="V106" t="str">
        <f>IF(Orders[[#This Row],[Sales]]&gt;MEDIAN(M:M), "High Price", "Low Price")</f>
        <v>Low Price</v>
      </c>
      <c r="W106" t="str">
        <f>IF(Orders[[#This Row],[Quantity]]&gt;MEDIAN(E:E), "High Volume", "Low Volume")</f>
        <v>Low Volume</v>
      </c>
      <c r="X106" t="str">
        <f>Orders[[#This Row],[Sales Tier]] &amp; "-" &amp; Orders[[#This Row],[Quantity Tier]]</f>
        <v>Low Price-Low Volume</v>
      </c>
      <c r="Y106" t="str">
        <f>TEXT(Orders[[#This Row],[Order Date]], "mmmm")</f>
        <v>January</v>
      </c>
      <c r="Z10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06" t="str">
        <f>Orders[[#This Row],[Coffee Type Name]] &amp; "-" &amp; Orders[[#This Row],[Roast Type Name]]</f>
        <v>Excelsa-Medium</v>
      </c>
      <c r="AB10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07" spans="1:28" x14ac:dyDescent="0.25">
      <c r="A107" s="2" t="s">
        <v>3323</v>
      </c>
      <c r="B107" s="4">
        <v>43467</v>
      </c>
      <c r="C107" s="2" t="s">
        <v>3324</v>
      </c>
      <c r="D107" t="s">
        <v>6143</v>
      </c>
      <c r="E107" s="2">
        <v>4</v>
      </c>
      <c r="F107" s="2" t="str">
        <f>_xlfn.XLOOKUP(C107,customers!$A$1:$A$1001,customers!$B$1:$B$1001,,0)</f>
        <v>Gladi Ducker</v>
      </c>
      <c r="G107" s="2" t="str">
        <f>IF(_xlfn.XLOOKUP(C107,customers!$A$1:$A$1001,customers!$C$1:$C$1001,,0)=0,"",_xlfn.XLOOKUP(C107,customers!$A$1:$A$1001,customers!$C$1:$C$1001,,0))</f>
        <v>gduckerdx@patch.com</v>
      </c>
      <c r="H107" s="2" t="str">
        <f>_xlfn.XLOOKUP(C107,customers!$A$1:$A$1001,customers!$G$1:$G$1001,,0)</f>
        <v>United Kingdom</v>
      </c>
      <c r="I107" t="str">
        <f>INDEX(products!$A$1:$G$49, MATCH(orders!$D505,products!$A$1:$A552,0), MATCH(orders!I$1,products!$A$1:$G$1,0))</f>
        <v>Lib</v>
      </c>
      <c r="J107" t="str">
        <f>INDEX(products!$A$1:$G$49, MATCH(orders!$D505,products!$A$1:$A552,0), MATCH(orders!J$1,products!$A$1:$G$1,0))</f>
        <v>D</v>
      </c>
      <c r="K107" s="5">
        <f>INDEX(products!$A$1:$G$49, MATCH(orders!$D505,products!$A$1:$A552,0), MATCH(orders!K$1,products!$A$1:$G$1,0))</f>
        <v>1</v>
      </c>
      <c r="L107" s="6">
        <f>INDEX(products!$A$1:$G$49, MATCH(orders!$D505,products!$A$1:$A552,0), MATCH(orders!L$1,products!$A$1:$G$1,0))</f>
        <v>12.95</v>
      </c>
      <c r="M107" s="6">
        <f t="shared" si="3"/>
        <v>51.8</v>
      </c>
      <c r="N107" t="str">
        <f t="shared" si="4"/>
        <v>Liberica</v>
      </c>
      <c r="O107" t="str">
        <f t="shared" si="5"/>
        <v>Dark</v>
      </c>
      <c r="P107" t="str">
        <f>_xlfn.XLOOKUP(Orders[[#This Row],[Customer ID]],customers!$A$1:$A$1001,customers!$I$1:$I$1001,,0)</f>
        <v>No</v>
      </c>
      <c r="Q107">
        <f>COUNTIF(Orders[Order ID],Orders[[#This Row],[Order ID]])</f>
        <v>4</v>
      </c>
      <c r="R107" s="10">
        <f>SUMIF(Orders[Order ID], Orders[[#This Row],[Order ID]],Orders[Sales])/Orders[[#This Row],[Order Frequency]]</f>
        <v>23.626249999999999</v>
      </c>
      <c r="S107" t="str">
        <f>IF(Orders[[#This Row],[Order Frequency]]&gt;4, "More than 4", IF(AND(Orders[[#This Row],[Order Frequency]]&lt;=4,Orders[[#This Row],[Order Frequency]]&gt;=2), "Between 4 and 2", "Less than 2"))</f>
        <v>Between 4 and 2</v>
      </c>
      <c r="T107" t="str">
        <f>IF(Orders[[#This Row],[Frequency Group]]="less than 2", "Low Value", IF(Orders[[#This Row],[Frequency Group]]="between 4 and 2", "Medium Value", "High Value"))</f>
        <v>Medium Value</v>
      </c>
      <c r="U107" t="str">
        <f>IF(Orders[[#This Row],[Sales]]&lt;50, "$0-50", IF(AND(Orders[[#This Row],[Sales]]&gt;=50,Orders[[#This Row],[Sales]]&lt;=100), "$50-100", IF(AND(Orders[[#This Row],[Sales]]&gt;100,Orders[[#This Row],[Sales]]&lt;=150), "$101-150", "$150+")))</f>
        <v>$50-100</v>
      </c>
      <c r="V107" t="str">
        <f>IF(Orders[[#This Row],[Sales]]&gt;MEDIAN(M:M), "High Price", "Low Price")</f>
        <v>High Price</v>
      </c>
      <c r="W107" t="str">
        <f>IF(Orders[[#This Row],[Quantity]]&gt;MEDIAN(E:E), "High Volume", "Low Volume")</f>
        <v>Low Volume</v>
      </c>
      <c r="X107" t="str">
        <f>Orders[[#This Row],[Sales Tier]] &amp; "-" &amp; Orders[[#This Row],[Quantity Tier]]</f>
        <v>High Price-Low Volume</v>
      </c>
      <c r="Y107" t="str">
        <f>TEXT(Orders[[#This Row],[Order Date]], "mmmm")</f>
        <v>January</v>
      </c>
      <c r="Z10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07" t="str">
        <f>Orders[[#This Row],[Coffee Type Name]] &amp; "-" &amp; Orders[[#This Row],[Roast Type Name]]</f>
        <v>Liberica-Dark</v>
      </c>
      <c r="AB10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08" spans="1:28" x14ac:dyDescent="0.25">
      <c r="A108" s="2" t="s">
        <v>3643</v>
      </c>
      <c r="B108" s="4">
        <v>44225</v>
      </c>
      <c r="C108" s="2" t="s">
        <v>3644</v>
      </c>
      <c r="D108" t="s">
        <v>6150</v>
      </c>
      <c r="E108" s="2">
        <v>4</v>
      </c>
      <c r="F108" s="2" t="str">
        <f>_xlfn.XLOOKUP(C108,customers!$A$1:$A$1001,customers!$B$1:$B$1001,,0)</f>
        <v>Kenton Wetherick</v>
      </c>
      <c r="G108" s="2" t="str">
        <f>IF(_xlfn.XLOOKUP(C108,customers!$A$1:$A$1001,customers!$C$1:$C$1001,,0)=0,"",_xlfn.XLOOKUP(C108,customers!$A$1:$A$1001,customers!$C$1:$C$1001,,0))</f>
        <v/>
      </c>
      <c r="H108" s="2" t="str">
        <f>_xlfn.XLOOKUP(C108,customers!$A$1:$A$1001,customers!$G$1:$G$1001,,0)</f>
        <v>United States</v>
      </c>
      <c r="I108" t="str">
        <f>INDEX(products!$A$1:$G$49, MATCH(orders!$D560,products!$A$1:$A607,0), MATCH(orders!I$1,products!$A$1:$G$1,0))</f>
        <v>Lib</v>
      </c>
      <c r="J108" t="str">
        <f>INDEX(products!$A$1:$G$49, MATCH(orders!$D560,products!$A$1:$A607,0), MATCH(orders!J$1,products!$A$1:$G$1,0))</f>
        <v>D</v>
      </c>
      <c r="K108" s="5">
        <f>INDEX(products!$A$1:$G$49, MATCH(orders!$D560,products!$A$1:$A607,0), MATCH(orders!K$1,products!$A$1:$G$1,0))</f>
        <v>0.2</v>
      </c>
      <c r="L108" s="6">
        <f>INDEX(products!$A$1:$G$49, MATCH(orders!$D560,products!$A$1:$A607,0), MATCH(orders!L$1,products!$A$1:$G$1,0))</f>
        <v>3.8849999999999998</v>
      </c>
      <c r="M108" s="6">
        <f t="shared" si="3"/>
        <v>15.54</v>
      </c>
      <c r="N108" t="str">
        <f t="shared" si="4"/>
        <v>Liberica</v>
      </c>
      <c r="O108" t="str">
        <f t="shared" si="5"/>
        <v>Dark</v>
      </c>
      <c r="P108" t="str">
        <f>_xlfn.XLOOKUP(Orders[[#This Row],[Customer ID]],customers!$A$1:$A$1001,customers!$I$1:$I$1001,,0)</f>
        <v>Yes</v>
      </c>
      <c r="Q108">
        <f>COUNTIF(Orders[Order ID],Orders[[#This Row],[Order ID]])</f>
        <v>1</v>
      </c>
      <c r="R108" s="10">
        <f>SUMIF(Orders[Order ID], Orders[[#This Row],[Order ID]],Orders[Sales])/Orders[[#This Row],[Order Frequency]]</f>
        <v>15.54</v>
      </c>
      <c r="S108" t="str">
        <f>IF(Orders[[#This Row],[Order Frequency]]&gt;4, "More than 4", IF(AND(Orders[[#This Row],[Order Frequency]]&lt;=4,Orders[[#This Row],[Order Frequency]]&gt;=2), "Between 4 and 2", "Less than 2"))</f>
        <v>Less than 2</v>
      </c>
      <c r="T108" t="str">
        <f>IF(Orders[[#This Row],[Frequency Group]]="less than 2", "Low Value", IF(Orders[[#This Row],[Frequency Group]]="between 4 and 2", "Medium Value", "High Value"))</f>
        <v>Low Value</v>
      </c>
      <c r="U108" t="str">
        <f>IF(Orders[[#This Row],[Sales]]&lt;50, "$0-50", IF(AND(Orders[[#This Row],[Sales]]&gt;=50,Orders[[#This Row],[Sales]]&lt;=100), "$50-100", IF(AND(Orders[[#This Row],[Sales]]&gt;100,Orders[[#This Row],[Sales]]&lt;=150), "$101-150", "$150+")))</f>
        <v>$0-50</v>
      </c>
      <c r="V108" t="str">
        <f>IF(Orders[[#This Row],[Sales]]&gt;MEDIAN(M:M), "High Price", "Low Price")</f>
        <v>Low Price</v>
      </c>
      <c r="W108" t="str">
        <f>IF(Orders[[#This Row],[Quantity]]&gt;MEDIAN(E:E), "High Volume", "Low Volume")</f>
        <v>Low Volume</v>
      </c>
      <c r="X108" t="str">
        <f>Orders[[#This Row],[Sales Tier]] &amp; "-" &amp; Orders[[#This Row],[Quantity Tier]]</f>
        <v>Low Price-Low Volume</v>
      </c>
      <c r="Y108" t="str">
        <f>TEXT(Orders[[#This Row],[Order Date]], "mmmm")</f>
        <v>January</v>
      </c>
      <c r="Z10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08" t="str">
        <f>Orders[[#This Row],[Coffee Type Name]] &amp; "-" &amp; Orders[[#This Row],[Roast Type Name]]</f>
        <v>Liberica-Dark</v>
      </c>
      <c r="AB10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09" spans="1:28" x14ac:dyDescent="0.25">
      <c r="A109" s="2" t="s">
        <v>3136</v>
      </c>
      <c r="B109" s="4">
        <v>44023</v>
      </c>
      <c r="C109" s="2" t="s">
        <v>3137</v>
      </c>
      <c r="D109" t="s">
        <v>6141</v>
      </c>
      <c r="E109" s="2">
        <v>3</v>
      </c>
      <c r="F109" s="2" t="str">
        <f>_xlfn.XLOOKUP(C109,customers!$A$1:$A$1001,customers!$B$1:$B$1001,,0)</f>
        <v>Julius Mccaull</v>
      </c>
      <c r="G109" s="2" t="str">
        <f>IF(_xlfn.XLOOKUP(C109,customers!$A$1:$A$1001,customers!$C$1:$C$1001,,0)=0,"",_xlfn.XLOOKUP(C109,customers!$A$1:$A$1001,customers!$C$1:$C$1001,,0))</f>
        <v>jmccaulld0@parallels.com</v>
      </c>
      <c r="H109" s="2" t="str">
        <f>_xlfn.XLOOKUP(C109,customers!$A$1:$A$1001,customers!$G$1:$G$1001,,0)</f>
        <v>United States</v>
      </c>
      <c r="I109" t="str">
        <f>INDEX(products!$A$1:$G$49, MATCH(orders!$D470,products!$A$1:$A517,0), MATCH(orders!I$1,products!$A$1:$G$1,0))</f>
        <v>Exc</v>
      </c>
      <c r="J109" t="str">
        <f>INDEX(products!$A$1:$G$49, MATCH(orders!$D470,products!$A$1:$A517,0), MATCH(orders!J$1,products!$A$1:$G$1,0))</f>
        <v>M</v>
      </c>
      <c r="K109" s="5">
        <f>INDEX(products!$A$1:$G$49, MATCH(orders!$D470,products!$A$1:$A517,0), MATCH(orders!K$1,products!$A$1:$G$1,0))</f>
        <v>1</v>
      </c>
      <c r="L109" s="6">
        <f>INDEX(products!$A$1:$G$49, MATCH(orders!$D470,products!$A$1:$A517,0), MATCH(orders!L$1,products!$A$1:$G$1,0))</f>
        <v>13.75</v>
      </c>
      <c r="M109" s="6">
        <f t="shared" si="3"/>
        <v>41.25</v>
      </c>
      <c r="N109" t="str">
        <f t="shared" si="4"/>
        <v>Excelsa</v>
      </c>
      <c r="O109" t="str">
        <f t="shared" si="5"/>
        <v>Medium</v>
      </c>
      <c r="P109" t="str">
        <f>_xlfn.XLOOKUP(Orders[[#This Row],[Customer ID]],customers!$A$1:$A$1001,customers!$I$1:$I$1001,,0)</f>
        <v>Yes</v>
      </c>
      <c r="Q109">
        <f>COUNTIF(Orders[Order ID],Orders[[#This Row],[Order ID]])</f>
        <v>1</v>
      </c>
      <c r="R109" s="10">
        <f>SUMIF(Orders[Order ID], Orders[[#This Row],[Order ID]],Orders[Sales])/Orders[[#This Row],[Order Frequency]]</f>
        <v>41.25</v>
      </c>
      <c r="S109" t="str">
        <f>IF(Orders[[#This Row],[Order Frequency]]&gt;4, "More than 4", IF(AND(Orders[[#This Row],[Order Frequency]]&lt;=4,Orders[[#This Row],[Order Frequency]]&gt;=2), "Between 4 and 2", "Less than 2"))</f>
        <v>Less than 2</v>
      </c>
      <c r="T109" t="str">
        <f>IF(Orders[[#This Row],[Frequency Group]]="less than 2", "Low Value", IF(Orders[[#This Row],[Frequency Group]]="between 4 and 2", "Medium Value", "High Value"))</f>
        <v>Low Value</v>
      </c>
      <c r="U109" t="str">
        <f>IF(Orders[[#This Row],[Sales]]&lt;50, "$0-50", IF(AND(Orders[[#This Row],[Sales]]&gt;=50,Orders[[#This Row],[Sales]]&lt;=100), "$50-100", IF(AND(Orders[[#This Row],[Sales]]&gt;100,Orders[[#This Row],[Sales]]&lt;=150), "$101-150", "$150+")))</f>
        <v>$0-50</v>
      </c>
      <c r="V109" t="str">
        <f>IF(Orders[[#This Row],[Sales]]&gt;MEDIAN(M:M), "High Price", "Low Price")</f>
        <v>High Price</v>
      </c>
      <c r="W109" t="str">
        <f>IF(Orders[[#This Row],[Quantity]]&gt;MEDIAN(E:E), "High Volume", "Low Volume")</f>
        <v>Low Volume</v>
      </c>
      <c r="X109" t="str">
        <f>Orders[[#This Row],[Sales Tier]] &amp; "-" &amp; Orders[[#This Row],[Quantity Tier]]</f>
        <v>High Price-Low Volume</v>
      </c>
      <c r="Y109" t="str">
        <f>TEXT(Orders[[#This Row],[Order Date]], "mmmm")</f>
        <v>July</v>
      </c>
      <c r="Z10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109" t="str">
        <f>Orders[[#This Row],[Coffee Type Name]] &amp; "-" &amp; Orders[[#This Row],[Roast Type Name]]</f>
        <v>Excelsa-Medium</v>
      </c>
      <c r="AB10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110" spans="1:28" x14ac:dyDescent="0.25">
      <c r="A110" s="2" t="s">
        <v>3996</v>
      </c>
      <c r="B110" s="4">
        <v>44006</v>
      </c>
      <c r="C110" s="2" t="s">
        <v>3997</v>
      </c>
      <c r="D110" t="s">
        <v>6140</v>
      </c>
      <c r="E110" s="2">
        <v>6</v>
      </c>
      <c r="F110" s="2" t="str">
        <f>_xlfn.XLOOKUP(C110,customers!$A$1:$A$1001,customers!$B$1:$B$1001,,0)</f>
        <v>Cordy Odgaard</v>
      </c>
      <c r="G110" s="2" t="str">
        <f>IF(_xlfn.XLOOKUP(C110,customers!$A$1:$A$1001,customers!$C$1:$C$1001,,0)=0,"",_xlfn.XLOOKUP(C110,customers!$A$1:$A$1001,customers!$C$1:$C$1001,,0))</f>
        <v>codgaardh9@nsw.gov.au</v>
      </c>
      <c r="H110" s="2" t="str">
        <f>_xlfn.XLOOKUP(C110,customers!$A$1:$A$1001,customers!$G$1:$G$1001,,0)</f>
        <v>United States</v>
      </c>
      <c r="I110" t="str">
        <f>INDEX(products!$A$1:$G$49, MATCH(orders!$D623,products!$A$1:$A670,0), MATCH(orders!I$1,products!$A$1:$G$1,0))</f>
        <v>Ara</v>
      </c>
      <c r="J110" t="str">
        <f>INDEX(products!$A$1:$G$49, MATCH(orders!$D623,products!$A$1:$A670,0), MATCH(orders!J$1,products!$A$1:$G$1,0))</f>
        <v>L</v>
      </c>
      <c r="K110" s="5">
        <f>INDEX(products!$A$1:$G$49, MATCH(orders!$D623,products!$A$1:$A670,0), MATCH(orders!K$1,products!$A$1:$G$1,0))</f>
        <v>1</v>
      </c>
      <c r="L110" s="6">
        <f>INDEX(products!$A$1:$G$49, MATCH(orders!$D623,products!$A$1:$A670,0), MATCH(orders!L$1,products!$A$1:$G$1,0))</f>
        <v>12.95</v>
      </c>
      <c r="M110" s="6">
        <f t="shared" si="3"/>
        <v>77.699999999999989</v>
      </c>
      <c r="N110" t="str">
        <f t="shared" si="4"/>
        <v>Arabica</v>
      </c>
      <c r="O110" t="str">
        <f t="shared" si="5"/>
        <v>Light</v>
      </c>
      <c r="P110" t="str">
        <f>_xlfn.XLOOKUP(Orders[[#This Row],[Customer ID]],customers!$A$1:$A$1001,customers!$I$1:$I$1001,,0)</f>
        <v>No</v>
      </c>
      <c r="Q110">
        <f>COUNTIF(Orders[Order ID],Orders[[#This Row],[Order ID]])</f>
        <v>1</v>
      </c>
      <c r="R110" s="10">
        <f>SUMIF(Orders[Order ID], Orders[[#This Row],[Order ID]],Orders[Sales])/Orders[[#This Row],[Order Frequency]]</f>
        <v>77.699999999999989</v>
      </c>
      <c r="S110" t="str">
        <f>IF(Orders[[#This Row],[Order Frequency]]&gt;4, "More than 4", IF(AND(Orders[[#This Row],[Order Frequency]]&lt;=4,Orders[[#This Row],[Order Frequency]]&gt;=2), "Between 4 and 2", "Less than 2"))</f>
        <v>Less than 2</v>
      </c>
      <c r="T110" t="str">
        <f>IF(Orders[[#This Row],[Frequency Group]]="less than 2", "Low Value", IF(Orders[[#This Row],[Frequency Group]]="between 4 and 2", "Medium Value", "High Value"))</f>
        <v>Low Value</v>
      </c>
      <c r="U110" t="str">
        <f>IF(Orders[[#This Row],[Sales]]&lt;50, "$0-50", IF(AND(Orders[[#This Row],[Sales]]&gt;=50,Orders[[#This Row],[Sales]]&lt;=100), "$50-100", IF(AND(Orders[[#This Row],[Sales]]&gt;100,Orders[[#This Row],[Sales]]&lt;=150), "$101-150", "$150+")))</f>
        <v>$50-100</v>
      </c>
      <c r="V110" t="str">
        <f>IF(Orders[[#This Row],[Sales]]&gt;MEDIAN(M:M), "High Price", "Low Price")</f>
        <v>High Price</v>
      </c>
      <c r="W110" t="str">
        <f>IF(Orders[[#This Row],[Quantity]]&gt;MEDIAN(E:E), "High Volume", "Low Volume")</f>
        <v>High Volume</v>
      </c>
      <c r="X110" t="str">
        <f>Orders[[#This Row],[Sales Tier]] &amp; "-" &amp; Orders[[#This Row],[Quantity Tier]]</f>
        <v>High Price-High Volume</v>
      </c>
      <c r="Y110" t="str">
        <f>TEXT(Orders[[#This Row],[Order Date]], "mmmm")</f>
        <v>June</v>
      </c>
      <c r="Z11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110" t="str">
        <f>Orders[[#This Row],[Coffee Type Name]] &amp; "-" &amp; Orders[[#This Row],[Roast Type Name]]</f>
        <v>Arabica-Light</v>
      </c>
      <c r="AB11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111" spans="1:28" x14ac:dyDescent="0.25">
      <c r="A111" s="2" t="s">
        <v>4831</v>
      </c>
      <c r="B111" s="4">
        <v>44562</v>
      </c>
      <c r="C111" s="2" t="s">
        <v>4759</v>
      </c>
      <c r="D111" t="s">
        <v>6179</v>
      </c>
      <c r="E111" s="2">
        <v>2</v>
      </c>
      <c r="F111" s="2" t="str">
        <f>_xlfn.XLOOKUP(C111,customers!$A$1:$A$1001,customers!$B$1:$B$1001,,0)</f>
        <v>Foster Constance</v>
      </c>
      <c r="G111" s="2" t="str">
        <f>IF(_xlfn.XLOOKUP(C111,customers!$A$1:$A$1001,customers!$C$1:$C$1001,,0)=0,"",_xlfn.XLOOKUP(C111,customers!$A$1:$A$1001,customers!$C$1:$C$1001,,0))</f>
        <v>fconstancekz@ifeng.com</v>
      </c>
      <c r="H111" s="2" t="str">
        <f>_xlfn.XLOOKUP(C111,customers!$A$1:$A$1001,customers!$G$1:$G$1001,,0)</f>
        <v>United States</v>
      </c>
      <c r="I111" t="str">
        <f>INDEX(products!$A$1:$G$49, MATCH(orders!$D770,products!$A$1:$A817,0), MATCH(orders!I$1,products!$A$1:$G$1,0))</f>
        <v>Rob</v>
      </c>
      <c r="J111" t="str">
        <f>INDEX(products!$A$1:$G$49, MATCH(orders!$D770,products!$A$1:$A817,0), MATCH(orders!J$1,products!$A$1:$G$1,0))</f>
        <v>L</v>
      </c>
      <c r="K111" s="5">
        <f>INDEX(products!$A$1:$G$49, MATCH(orders!$D770,products!$A$1:$A817,0), MATCH(orders!K$1,products!$A$1:$G$1,0))</f>
        <v>1</v>
      </c>
      <c r="L111" s="6">
        <f>INDEX(products!$A$1:$G$49, MATCH(orders!$D770,products!$A$1:$A817,0), MATCH(orders!L$1,products!$A$1:$G$1,0))</f>
        <v>11.95</v>
      </c>
      <c r="M111" s="6">
        <f t="shared" si="3"/>
        <v>23.9</v>
      </c>
      <c r="N111" t="str">
        <f t="shared" si="4"/>
        <v>Robusta</v>
      </c>
      <c r="O111" t="str">
        <f t="shared" si="5"/>
        <v>Light</v>
      </c>
      <c r="P111" t="str">
        <f>_xlfn.XLOOKUP(Orders[[#This Row],[Customer ID]],customers!$A$1:$A$1001,customers!$I$1:$I$1001,,0)</f>
        <v>No</v>
      </c>
      <c r="Q111">
        <f>COUNTIF(Orders[Order ID],Orders[[#This Row],[Order ID]])</f>
        <v>1</v>
      </c>
      <c r="R111" s="10">
        <f>SUMIF(Orders[Order ID], Orders[[#This Row],[Order ID]],Orders[Sales])/Orders[[#This Row],[Order Frequency]]</f>
        <v>23.9</v>
      </c>
      <c r="S111" t="str">
        <f>IF(Orders[[#This Row],[Order Frequency]]&gt;4, "More than 4", IF(AND(Orders[[#This Row],[Order Frequency]]&lt;=4,Orders[[#This Row],[Order Frequency]]&gt;=2), "Between 4 and 2", "Less than 2"))</f>
        <v>Less than 2</v>
      </c>
      <c r="T111" t="str">
        <f>IF(Orders[[#This Row],[Frequency Group]]="less than 2", "Low Value", IF(Orders[[#This Row],[Frequency Group]]="between 4 and 2", "Medium Value", "High Value"))</f>
        <v>Low Value</v>
      </c>
      <c r="U111" t="str">
        <f>IF(Orders[[#This Row],[Sales]]&lt;50, "$0-50", IF(AND(Orders[[#This Row],[Sales]]&gt;=50,Orders[[#This Row],[Sales]]&lt;=100), "$50-100", IF(AND(Orders[[#This Row],[Sales]]&gt;100,Orders[[#This Row],[Sales]]&lt;=150), "$101-150", "$150+")))</f>
        <v>$0-50</v>
      </c>
      <c r="V111" t="str">
        <f>IF(Orders[[#This Row],[Sales]]&gt;MEDIAN(M:M), "High Price", "Low Price")</f>
        <v>Low Price</v>
      </c>
      <c r="W111" t="str">
        <f>IF(Orders[[#This Row],[Quantity]]&gt;MEDIAN(E:E), "High Volume", "Low Volume")</f>
        <v>Low Volume</v>
      </c>
      <c r="X111" t="str">
        <f>Orders[[#This Row],[Sales Tier]] &amp; "-" &amp; Orders[[#This Row],[Quantity Tier]]</f>
        <v>Low Price-Low Volume</v>
      </c>
      <c r="Y111" t="str">
        <f>TEXT(Orders[[#This Row],[Order Date]], "mmmm")</f>
        <v>January</v>
      </c>
      <c r="Z11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11" t="str">
        <f>Orders[[#This Row],[Coffee Type Name]] &amp; "-" &amp; Orders[[#This Row],[Roast Type Name]]</f>
        <v>Robusta-Light</v>
      </c>
      <c r="AB11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12" spans="1:28" x14ac:dyDescent="0.25">
      <c r="A112" s="2" t="s">
        <v>519</v>
      </c>
      <c r="B112" s="4">
        <v>44412</v>
      </c>
      <c r="C112" s="2" t="s">
        <v>520</v>
      </c>
      <c r="D112" t="s">
        <v>6143</v>
      </c>
      <c r="E112" s="2">
        <v>3</v>
      </c>
      <c r="F112" s="2" t="str">
        <f>_xlfn.XLOOKUP(C112,customers!$A$1:$A$1001,customers!$B$1:$B$1001,,0)</f>
        <v>Beryle Cottier</v>
      </c>
      <c r="G112" s="2" t="str">
        <f>IF(_xlfn.XLOOKUP(C112,customers!$A$1:$A$1001,customers!$C$1:$C$1001,,0)=0,"",_xlfn.XLOOKUP(C112,customers!$A$1:$A$1001,customers!$C$1:$C$1001,,0))</f>
        <v/>
      </c>
      <c r="H112" s="2" t="str">
        <f>_xlfn.XLOOKUP(C112,customers!$A$1:$A$1001,customers!$G$1:$G$1001,,0)</f>
        <v>United States</v>
      </c>
      <c r="I112" t="str">
        <f>INDEX(products!$A$1:$G$49, MATCH(orders!$D7,products!$A$1:$A54,0), MATCH(orders!I$1,products!$A$1:$G$1,0))</f>
        <v>Lib</v>
      </c>
      <c r="J112" t="str">
        <f>INDEX(products!$A$1:$G$49, MATCH(orders!$D7,products!$A$1:$A54,0), MATCH(orders!J$1,products!$A$1:$G$1,0))</f>
        <v>D</v>
      </c>
      <c r="K112" s="5">
        <f>INDEX(products!$A$1:$G$49, MATCH(orders!$D7,products!$A$1:$A54,0), MATCH(orders!K$1,products!$A$1:$G$1,0))</f>
        <v>1</v>
      </c>
      <c r="L112" s="6">
        <f>INDEX(products!$A$1:$G$49, MATCH(orders!$D7,products!$A$1:$A54,0), MATCH(orders!L$1,products!$A$1:$G$1,0))</f>
        <v>12.95</v>
      </c>
      <c r="M112" s="6">
        <f t="shared" si="3"/>
        <v>38.849999999999994</v>
      </c>
      <c r="N112" t="str">
        <f t="shared" si="4"/>
        <v>Liberica</v>
      </c>
      <c r="O112" t="str">
        <f t="shared" si="5"/>
        <v>Dark</v>
      </c>
      <c r="P112" t="str">
        <f>_xlfn.XLOOKUP(Orders[[#This Row],[Customer ID]],customers!$A$1:$A$1001,customers!$I$1:$I$1001,,0)</f>
        <v>No</v>
      </c>
      <c r="Q112">
        <f>COUNTIF(Orders[Order ID],Orders[[#This Row],[Order ID]])</f>
        <v>1</v>
      </c>
      <c r="R112" s="10">
        <f>SUMIF(Orders[Order ID], Orders[[#This Row],[Order ID]],Orders[Sales])/Orders[[#This Row],[Order Frequency]]</f>
        <v>38.849999999999994</v>
      </c>
      <c r="S112" t="str">
        <f>IF(Orders[[#This Row],[Order Frequency]]&gt;4, "More than 4", IF(AND(Orders[[#This Row],[Order Frequency]]&lt;=4,Orders[[#This Row],[Order Frequency]]&gt;=2), "Between 4 and 2", "Less than 2"))</f>
        <v>Less than 2</v>
      </c>
      <c r="T112" t="str">
        <f>IF(Orders[[#This Row],[Frequency Group]]="less than 2", "Low Value", IF(Orders[[#This Row],[Frequency Group]]="between 4 and 2", "Medium Value", "High Value"))</f>
        <v>Low Value</v>
      </c>
      <c r="U112" t="str">
        <f>IF(Orders[[#This Row],[Sales]]&lt;50, "$0-50", IF(AND(Orders[[#This Row],[Sales]]&gt;=50,Orders[[#This Row],[Sales]]&lt;=100), "$50-100", IF(AND(Orders[[#This Row],[Sales]]&gt;100,Orders[[#This Row],[Sales]]&lt;=150), "$101-150", "$150+")))</f>
        <v>$0-50</v>
      </c>
      <c r="V112" t="str">
        <f>IF(Orders[[#This Row],[Sales]]&gt;MEDIAN(M:M), "High Price", "Low Price")</f>
        <v>High Price</v>
      </c>
      <c r="W112" t="str">
        <f>IF(Orders[[#This Row],[Quantity]]&gt;MEDIAN(E:E), "High Volume", "Low Volume")</f>
        <v>Low Volume</v>
      </c>
      <c r="X112" t="str">
        <f>Orders[[#This Row],[Sales Tier]] &amp; "-" &amp; Orders[[#This Row],[Quantity Tier]]</f>
        <v>High Price-Low Volume</v>
      </c>
      <c r="Y112" t="str">
        <f>TEXT(Orders[[#This Row],[Order Date]], "mmmm")</f>
        <v>August</v>
      </c>
      <c r="Z11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112" t="str">
        <f>Orders[[#This Row],[Coffee Type Name]] &amp; "-" &amp; Orders[[#This Row],[Roast Type Name]]</f>
        <v>Liberica-Dark</v>
      </c>
      <c r="AB11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113" spans="1:28" x14ac:dyDescent="0.25">
      <c r="A113" s="2" t="s">
        <v>805</v>
      </c>
      <c r="B113" s="4">
        <v>43857</v>
      </c>
      <c r="C113" s="2" t="s">
        <v>806</v>
      </c>
      <c r="D113" t="s">
        <v>6153</v>
      </c>
      <c r="E113" s="2">
        <v>3</v>
      </c>
      <c r="F113" s="2" t="str">
        <f>_xlfn.XLOOKUP(C113,customers!$A$1:$A$1001,customers!$B$1:$B$1001,,0)</f>
        <v>Theda Grizard</v>
      </c>
      <c r="G113" s="2" t="str">
        <f>IF(_xlfn.XLOOKUP(C113,customers!$A$1:$A$1001,customers!$C$1:$C$1001,,0)=0,"",_xlfn.XLOOKUP(C113,customers!$A$1:$A$1001,customers!$C$1:$C$1001,,0))</f>
        <v>tgrizard1k@odnoklassniki.ru</v>
      </c>
      <c r="H113" s="2" t="str">
        <f>_xlfn.XLOOKUP(C113,customers!$A$1:$A$1001,customers!$G$1:$G$1001,,0)</f>
        <v>United States</v>
      </c>
      <c r="I113" t="str">
        <f>INDEX(products!$A$1:$G$49, MATCH(orders!$D58,products!$A$1:$A105,0), MATCH(orders!I$1,products!$A$1:$G$1,0))</f>
        <v>Exc</v>
      </c>
      <c r="J113" t="str">
        <f>INDEX(products!$A$1:$G$49, MATCH(orders!$D58,products!$A$1:$A105,0), MATCH(orders!J$1,products!$A$1:$G$1,0))</f>
        <v>D</v>
      </c>
      <c r="K113" s="5">
        <f>INDEX(products!$A$1:$G$49, MATCH(orders!$D58,products!$A$1:$A105,0), MATCH(orders!K$1,products!$A$1:$G$1,0))</f>
        <v>0.2</v>
      </c>
      <c r="L113" s="6">
        <f>INDEX(products!$A$1:$G$49, MATCH(orders!$D58,products!$A$1:$A105,0), MATCH(orders!L$1,products!$A$1:$G$1,0))</f>
        <v>3.645</v>
      </c>
      <c r="M113" s="6">
        <f t="shared" si="3"/>
        <v>10.935</v>
      </c>
      <c r="N113" t="str">
        <f t="shared" si="4"/>
        <v>Excelsa</v>
      </c>
      <c r="O113" t="str">
        <f t="shared" si="5"/>
        <v>Dark</v>
      </c>
      <c r="P113" t="str">
        <f>_xlfn.XLOOKUP(Orders[[#This Row],[Customer ID]],customers!$A$1:$A$1001,customers!$I$1:$I$1001,,0)</f>
        <v>Yes</v>
      </c>
      <c r="Q113">
        <f>COUNTIF(Orders[Order ID],Orders[[#This Row],[Order ID]])</f>
        <v>1</v>
      </c>
      <c r="R113" s="10">
        <f>SUMIF(Orders[Order ID], Orders[[#This Row],[Order ID]],Orders[Sales])/Orders[[#This Row],[Order Frequency]]</f>
        <v>10.935</v>
      </c>
      <c r="S113" t="str">
        <f>IF(Orders[[#This Row],[Order Frequency]]&gt;4, "More than 4", IF(AND(Orders[[#This Row],[Order Frequency]]&lt;=4,Orders[[#This Row],[Order Frequency]]&gt;=2), "Between 4 and 2", "Less than 2"))</f>
        <v>Less than 2</v>
      </c>
      <c r="T113" t="str">
        <f>IF(Orders[[#This Row],[Frequency Group]]="less than 2", "Low Value", IF(Orders[[#This Row],[Frequency Group]]="between 4 and 2", "Medium Value", "High Value"))</f>
        <v>Low Value</v>
      </c>
      <c r="U113" t="str">
        <f>IF(Orders[[#This Row],[Sales]]&lt;50, "$0-50", IF(AND(Orders[[#This Row],[Sales]]&gt;=50,Orders[[#This Row],[Sales]]&lt;=100), "$50-100", IF(AND(Orders[[#This Row],[Sales]]&gt;100,Orders[[#This Row],[Sales]]&lt;=150), "$101-150", "$150+")))</f>
        <v>$0-50</v>
      </c>
      <c r="V113" t="str">
        <f>IF(Orders[[#This Row],[Sales]]&gt;MEDIAN(M:M), "High Price", "Low Price")</f>
        <v>Low Price</v>
      </c>
      <c r="W113" t="str">
        <f>IF(Orders[[#This Row],[Quantity]]&gt;MEDIAN(E:E), "High Volume", "Low Volume")</f>
        <v>Low Volume</v>
      </c>
      <c r="X113" t="str">
        <f>Orders[[#This Row],[Sales Tier]] &amp; "-" &amp; Orders[[#This Row],[Quantity Tier]]</f>
        <v>Low Price-Low Volume</v>
      </c>
      <c r="Y113" t="str">
        <f>TEXT(Orders[[#This Row],[Order Date]], "mmmm")</f>
        <v>January</v>
      </c>
      <c r="Z11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13" t="str">
        <f>Orders[[#This Row],[Coffee Type Name]] &amp; "-" &amp; Orders[[#This Row],[Roast Type Name]]</f>
        <v>Excelsa-Dark</v>
      </c>
      <c r="AB11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14" spans="1:28" x14ac:dyDescent="0.25">
      <c r="A114" s="2" t="s">
        <v>4466</v>
      </c>
      <c r="B114" s="4">
        <v>44716</v>
      </c>
      <c r="C114" s="2" t="s">
        <v>4467</v>
      </c>
      <c r="D114" t="s">
        <v>6153</v>
      </c>
      <c r="E114" s="2">
        <v>6</v>
      </c>
      <c r="F114" s="2" t="str">
        <f>_xlfn.XLOOKUP(C114,customers!$A$1:$A$1001,customers!$B$1:$B$1001,,0)</f>
        <v>Josefina Ferens</v>
      </c>
      <c r="G114" s="2" t="str">
        <f>IF(_xlfn.XLOOKUP(C114,customers!$A$1:$A$1001,customers!$C$1:$C$1001,,0)=0,"",_xlfn.XLOOKUP(C114,customers!$A$1:$A$1001,customers!$C$1:$C$1001,,0))</f>
        <v/>
      </c>
      <c r="H114" s="2" t="str">
        <f>_xlfn.XLOOKUP(C114,customers!$A$1:$A$1001,customers!$G$1:$G$1001,,0)</f>
        <v>United States</v>
      </c>
      <c r="I114" t="str">
        <f>INDEX(products!$A$1:$G$49, MATCH(orders!$D706,products!$A$1:$A753,0), MATCH(orders!I$1,products!$A$1:$G$1,0))</f>
        <v>Exc</v>
      </c>
      <c r="J114" t="str">
        <f>INDEX(products!$A$1:$G$49, MATCH(orders!$D706,products!$A$1:$A753,0), MATCH(orders!J$1,products!$A$1:$G$1,0))</f>
        <v>D</v>
      </c>
      <c r="K114" s="5">
        <f>INDEX(products!$A$1:$G$49, MATCH(orders!$D706,products!$A$1:$A753,0), MATCH(orders!K$1,products!$A$1:$G$1,0))</f>
        <v>0.2</v>
      </c>
      <c r="L114" s="6">
        <f>INDEX(products!$A$1:$G$49, MATCH(orders!$D706,products!$A$1:$A753,0), MATCH(orders!L$1,products!$A$1:$G$1,0))</f>
        <v>3.645</v>
      </c>
      <c r="M114" s="6">
        <f t="shared" si="3"/>
        <v>21.87</v>
      </c>
      <c r="N114" t="str">
        <f t="shared" si="4"/>
        <v>Excelsa</v>
      </c>
      <c r="O114" t="str">
        <f t="shared" si="5"/>
        <v>Dark</v>
      </c>
      <c r="P114" t="str">
        <f>_xlfn.XLOOKUP(Orders[[#This Row],[Customer ID]],customers!$A$1:$A$1001,customers!$I$1:$I$1001,,0)</f>
        <v>Yes</v>
      </c>
      <c r="Q114">
        <f>COUNTIF(Orders[Order ID],Orders[[#This Row],[Order ID]])</f>
        <v>1</v>
      </c>
      <c r="R114" s="10">
        <f>SUMIF(Orders[Order ID], Orders[[#This Row],[Order ID]],Orders[Sales])/Orders[[#This Row],[Order Frequency]]</f>
        <v>21.87</v>
      </c>
      <c r="S114" t="str">
        <f>IF(Orders[[#This Row],[Order Frequency]]&gt;4, "More than 4", IF(AND(Orders[[#This Row],[Order Frequency]]&lt;=4,Orders[[#This Row],[Order Frequency]]&gt;=2), "Between 4 and 2", "Less than 2"))</f>
        <v>Less than 2</v>
      </c>
      <c r="T114" t="str">
        <f>IF(Orders[[#This Row],[Frequency Group]]="less than 2", "Low Value", IF(Orders[[#This Row],[Frequency Group]]="between 4 and 2", "Medium Value", "High Value"))</f>
        <v>Low Value</v>
      </c>
      <c r="U114" t="str">
        <f>IF(Orders[[#This Row],[Sales]]&lt;50, "$0-50", IF(AND(Orders[[#This Row],[Sales]]&gt;=50,Orders[[#This Row],[Sales]]&lt;=100), "$50-100", IF(AND(Orders[[#This Row],[Sales]]&gt;100,Orders[[#This Row],[Sales]]&lt;=150), "$101-150", "$150+")))</f>
        <v>$0-50</v>
      </c>
      <c r="V114" t="str">
        <f>IF(Orders[[#This Row],[Sales]]&gt;MEDIAN(M:M), "High Price", "Low Price")</f>
        <v>Low Price</v>
      </c>
      <c r="W114" t="str">
        <f>IF(Orders[[#This Row],[Quantity]]&gt;MEDIAN(E:E), "High Volume", "Low Volume")</f>
        <v>High Volume</v>
      </c>
      <c r="X114" t="str">
        <f>Orders[[#This Row],[Sales Tier]] &amp; "-" &amp; Orders[[#This Row],[Quantity Tier]]</f>
        <v>Low Price-High Volume</v>
      </c>
      <c r="Y114" t="str">
        <f>TEXT(Orders[[#This Row],[Order Date]], "mmmm")</f>
        <v>June</v>
      </c>
      <c r="Z11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114" t="str">
        <f>Orders[[#This Row],[Coffee Type Name]] &amp; "-" &amp; Orders[[#This Row],[Roast Type Name]]</f>
        <v>Excelsa-Dark</v>
      </c>
      <c r="AB11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115" spans="1:28" x14ac:dyDescent="0.25">
      <c r="A115" s="2" t="s">
        <v>2962</v>
      </c>
      <c r="B115" s="4">
        <v>43562</v>
      </c>
      <c r="C115" s="2" t="s">
        <v>2963</v>
      </c>
      <c r="D115" t="s">
        <v>6176</v>
      </c>
      <c r="E115" s="2">
        <v>4</v>
      </c>
      <c r="F115" s="2" t="str">
        <f>_xlfn.XLOOKUP(C115,customers!$A$1:$A$1001,customers!$B$1:$B$1001,,0)</f>
        <v>Chickie Ragless</v>
      </c>
      <c r="G115" s="2" t="str">
        <f>IF(_xlfn.XLOOKUP(C115,customers!$A$1:$A$1001,customers!$C$1:$C$1001,,0)=0,"",_xlfn.XLOOKUP(C115,customers!$A$1:$A$1001,customers!$C$1:$C$1001,,0))</f>
        <v>craglessc7@webmd.com</v>
      </c>
      <c r="H115" s="2" t="str">
        <f>_xlfn.XLOOKUP(C115,customers!$A$1:$A$1001,customers!$G$1:$G$1001,,0)</f>
        <v>Ireland</v>
      </c>
      <c r="I115" t="str">
        <f>INDEX(products!$A$1:$G$49, MATCH(orders!$D441,products!$A$1:$A488,0), MATCH(orders!I$1,products!$A$1:$G$1,0))</f>
        <v>Exc</v>
      </c>
      <c r="J115" t="str">
        <f>INDEX(products!$A$1:$G$49, MATCH(orders!$D441,products!$A$1:$A488,0), MATCH(orders!J$1,products!$A$1:$G$1,0))</f>
        <v>L</v>
      </c>
      <c r="K115" s="5">
        <f>INDEX(products!$A$1:$G$49, MATCH(orders!$D441,products!$A$1:$A488,0), MATCH(orders!K$1,products!$A$1:$G$1,0))</f>
        <v>0.5</v>
      </c>
      <c r="L115" s="6">
        <f>INDEX(products!$A$1:$G$49, MATCH(orders!$D441,products!$A$1:$A488,0), MATCH(orders!L$1,products!$A$1:$G$1,0))</f>
        <v>8.91</v>
      </c>
      <c r="M115" s="6">
        <f t="shared" si="3"/>
        <v>35.64</v>
      </c>
      <c r="N115" t="str">
        <f t="shared" si="4"/>
        <v>Excelsa</v>
      </c>
      <c r="O115" t="str">
        <f t="shared" si="5"/>
        <v>Light</v>
      </c>
      <c r="P115" t="str">
        <f>_xlfn.XLOOKUP(Orders[[#This Row],[Customer ID]],customers!$A$1:$A$1001,customers!$I$1:$I$1001,,0)</f>
        <v>No</v>
      </c>
      <c r="Q115">
        <f>COUNTIF(Orders[Order ID],Orders[[#This Row],[Order ID]])</f>
        <v>1</v>
      </c>
      <c r="R115" s="10">
        <f>SUMIF(Orders[Order ID], Orders[[#This Row],[Order ID]],Orders[Sales])/Orders[[#This Row],[Order Frequency]]</f>
        <v>35.64</v>
      </c>
      <c r="S115" t="str">
        <f>IF(Orders[[#This Row],[Order Frequency]]&gt;4, "More than 4", IF(AND(Orders[[#This Row],[Order Frequency]]&lt;=4,Orders[[#This Row],[Order Frequency]]&gt;=2), "Between 4 and 2", "Less than 2"))</f>
        <v>Less than 2</v>
      </c>
      <c r="T115" t="str">
        <f>IF(Orders[[#This Row],[Frequency Group]]="less than 2", "Low Value", IF(Orders[[#This Row],[Frequency Group]]="between 4 and 2", "Medium Value", "High Value"))</f>
        <v>Low Value</v>
      </c>
      <c r="U115" t="str">
        <f>IF(Orders[[#This Row],[Sales]]&lt;50, "$0-50", IF(AND(Orders[[#This Row],[Sales]]&gt;=50,Orders[[#This Row],[Sales]]&lt;=100), "$50-100", IF(AND(Orders[[#This Row],[Sales]]&gt;100,Orders[[#This Row],[Sales]]&lt;=150), "$101-150", "$150+")))</f>
        <v>$0-50</v>
      </c>
      <c r="V115" t="str">
        <f>IF(Orders[[#This Row],[Sales]]&gt;MEDIAN(M:M), "High Price", "Low Price")</f>
        <v>High Price</v>
      </c>
      <c r="W115" t="str">
        <f>IF(Orders[[#This Row],[Quantity]]&gt;MEDIAN(E:E), "High Volume", "Low Volume")</f>
        <v>Low Volume</v>
      </c>
      <c r="X115" t="str">
        <f>Orders[[#This Row],[Sales Tier]] &amp; "-" &amp; Orders[[#This Row],[Quantity Tier]]</f>
        <v>High Price-Low Volume</v>
      </c>
      <c r="Y115" t="str">
        <f>TEXT(Orders[[#This Row],[Order Date]], "mmmm")</f>
        <v>April</v>
      </c>
      <c r="Z11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115" t="str">
        <f>Orders[[#This Row],[Coffee Type Name]] &amp; "-" &amp; Orders[[#This Row],[Roast Type Name]]</f>
        <v>Excelsa-Light</v>
      </c>
      <c r="AB11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116" spans="1:28" x14ac:dyDescent="0.25">
      <c r="A116" s="2" t="s">
        <v>2175</v>
      </c>
      <c r="B116" s="4">
        <v>43582</v>
      </c>
      <c r="C116" s="2" t="s">
        <v>2176</v>
      </c>
      <c r="D116" t="s">
        <v>6148</v>
      </c>
      <c r="E116" s="2">
        <v>6</v>
      </c>
      <c r="F116" s="2" t="str">
        <f>_xlfn.XLOOKUP(C116,customers!$A$1:$A$1001,customers!$B$1:$B$1001,,0)</f>
        <v>Lacee Tanti</v>
      </c>
      <c r="G116" s="2" t="str">
        <f>IF(_xlfn.XLOOKUP(C116,customers!$A$1:$A$1001,customers!$C$1:$C$1001,,0)=0,"",_xlfn.XLOOKUP(C116,customers!$A$1:$A$1001,customers!$C$1:$C$1001,,0))</f>
        <v>ltanti8b@techcrunch.com</v>
      </c>
      <c r="H116" s="2" t="str">
        <f>_xlfn.XLOOKUP(C116,customers!$A$1:$A$1001,customers!$G$1:$G$1001,,0)</f>
        <v>United States</v>
      </c>
      <c r="I116" t="str">
        <f>INDEX(products!$A$1:$G$49, MATCH(orders!$D301,products!$A$1:$A348,0), MATCH(orders!I$1,products!$A$1:$G$1,0))</f>
        <v>Exc</v>
      </c>
      <c r="J116" t="str">
        <f>INDEX(products!$A$1:$G$49, MATCH(orders!$D301,products!$A$1:$A348,0), MATCH(orders!J$1,products!$A$1:$G$1,0))</f>
        <v>L</v>
      </c>
      <c r="K116" s="5">
        <f>INDEX(products!$A$1:$G$49, MATCH(orders!$D301,products!$A$1:$A348,0), MATCH(orders!K$1,products!$A$1:$G$1,0))</f>
        <v>2.5</v>
      </c>
      <c r="L116" s="6">
        <f>INDEX(products!$A$1:$G$49, MATCH(orders!$D301,products!$A$1:$A348,0), MATCH(orders!L$1,products!$A$1:$G$1,0))</f>
        <v>34.154999999999994</v>
      </c>
      <c r="M116" s="6">
        <f t="shared" si="3"/>
        <v>204.92999999999995</v>
      </c>
      <c r="N116" t="str">
        <f t="shared" si="4"/>
        <v>Excelsa</v>
      </c>
      <c r="O116" t="str">
        <f t="shared" si="5"/>
        <v>Light</v>
      </c>
      <c r="P116" t="str">
        <f>_xlfn.XLOOKUP(Orders[[#This Row],[Customer ID]],customers!$A$1:$A$1001,customers!$I$1:$I$1001,,0)</f>
        <v>Yes</v>
      </c>
      <c r="Q116">
        <f>COUNTIF(Orders[Order ID],Orders[[#This Row],[Order ID]])</f>
        <v>1</v>
      </c>
      <c r="R116" s="10">
        <f>SUMIF(Orders[Order ID], Orders[[#This Row],[Order ID]],Orders[Sales])/Orders[[#This Row],[Order Frequency]]</f>
        <v>204.92999999999995</v>
      </c>
      <c r="S116" t="str">
        <f>IF(Orders[[#This Row],[Order Frequency]]&gt;4, "More than 4", IF(AND(Orders[[#This Row],[Order Frequency]]&lt;=4,Orders[[#This Row],[Order Frequency]]&gt;=2), "Between 4 and 2", "Less than 2"))</f>
        <v>Less than 2</v>
      </c>
      <c r="T116" t="str">
        <f>IF(Orders[[#This Row],[Frequency Group]]="less than 2", "Low Value", IF(Orders[[#This Row],[Frequency Group]]="between 4 and 2", "Medium Value", "High Value"))</f>
        <v>Low Value</v>
      </c>
      <c r="U116" t="str">
        <f>IF(Orders[[#This Row],[Sales]]&lt;50, "$0-50", IF(AND(Orders[[#This Row],[Sales]]&gt;=50,Orders[[#This Row],[Sales]]&lt;=100), "$50-100", IF(AND(Orders[[#This Row],[Sales]]&gt;100,Orders[[#This Row],[Sales]]&lt;=150), "$101-150", "$150+")))</f>
        <v>$150+</v>
      </c>
      <c r="V116" t="str">
        <f>IF(Orders[[#This Row],[Sales]]&gt;MEDIAN(M:M), "High Price", "Low Price")</f>
        <v>High Price</v>
      </c>
      <c r="W116" t="str">
        <f>IF(Orders[[#This Row],[Quantity]]&gt;MEDIAN(E:E), "High Volume", "Low Volume")</f>
        <v>High Volume</v>
      </c>
      <c r="X116" t="str">
        <f>Orders[[#This Row],[Sales Tier]] &amp; "-" &amp; Orders[[#This Row],[Quantity Tier]]</f>
        <v>High Price-High Volume</v>
      </c>
      <c r="Y116" t="str">
        <f>TEXT(Orders[[#This Row],[Order Date]], "mmmm")</f>
        <v>April</v>
      </c>
      <c r="Z11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116" t="str">
        <f>Orders[[#This Row],[Coffee Type Name]] &amp; "-" &amp; Orders[[#This Row],[Roast Type Name]]</f>
        <v>Excelsa-Light</v>
      </c>
      <c r="AB11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117" spans="1:28" x14ac:dyDescent="0.25">
      <c r="A117" s="2" t="s">
        <v>2871</v>
      </c>
      <c r="B117" s="4">
        <v>44183</v>
      </c>
      <c r="C117" s="2" t="s">
        <v>2872</v>
      </c>
      <c r="D117" t="s">
        <v>6146</v>
      </c>
      <c r="E117" s="2">
        <v>3</v>
      </c>
      <c r="F117" s="2" t="str">
        <f>_xlfn.XLOOKUP(C117,customers!$A$1:$A$1001,customers!$B$1:$B$1001,,0)</f>
        <v>Adelice Isabell</v>
      </c>
      <c r="G117" s="2" t="str">
        <f>IF(_xlfn.XLOOKUP(C117,customers!$A$1:$A$1001,customers!$C$1:$C$1001,,0)=0,"",_xlfn.XLOOKUP(C117,customers!$A$1:$A$1001,customers!$C$1:$C$1001,,0))</f>
        <v/>
      </c>
      <c r="H117" s="2" t="str">
        <f>_xlfn.XLOOKUP(C117,customers!$A$1:$A$1001,customers!$G$1:$G$1001,,0)</f>
        <v>United States</v>
      </c>
      <c r="I117" t="str">
        <f>INDEX(products!$A$1:$G$49, MATCH(orders!$D425,products!$A$1:$A472,0), MATCH(orders!I$1,products!$A$1:$G$1,0))</f>
        <v>Rob</v>
      </c>
      <c r="J117" t="str">
        <f>INDEX(products!$A$1:$G$49, MATCH(orders!$D425,products!$A$1:$A472,0), MATCH(orders!J$1,products!$A$1:$G$1,0))</f>
        <v>M</v>
      </c>
      <c r="K117" s="5">
        <f>INDEX(products!$A$1:$G$49, MATCH(orders!$D425,products!$A$1:$A472,0), MATCH(orders!K$1,products!$A$1:$G$1,0))</f>
        <v>0.5</v>
      </c>
      <c r="L117" s="6">
        <f>INDEX(products!$A$1:$G$49, MATCH(orders!$D425,products!$A$1:$A472,0), MATCH(orders!L$1,products!$A$1:$G$1,0))</f>
        <v>5.97</v>
      </c>
      <c r="M117" s="6">
        <f t="shared" si="3"/>
        <v>17.91</v>
      </c>
      <c r="N117" t="str">
        <f t="shared" si="4"/>
        <v>Robusta</v>
      </c>
      <c r="O117" t="str">
        <f t="shared" si="5"/>
        <v>Medium</v>
      </c>
      <c r="P117" t="str">
        <f>_xlfn.XLOOKUP(Orders[[#This Row],[Customer ID]],customers!$A$1:$A$1001,customers!$I$1:$I$1001,,0)</f>
        <v>No</v>
      </c>
      <c r="Q117">
        <f>COUNTIF(Orders[Order ID],Orders[[#This Row],[Order ID]])</f>
        <v>1</v>
      </c>
      <c r="R117" s="10">
        <f>SUMIF(Orders[Order ID], Orders[[#This Row],[Order ID]],Orders[Sales])/Orders[[#This Row],[Order Frequency]]</f>
        <v>17.91</v>
      </c>
      <c r="S117" t="str">
        <f>IF(Orders[[#This Row],[Order Frequency]]&gt;4, "More than 4", IF(AND(Orders[[#This Row],[Order Frequency]]&lt;=4,Orders[[#This Row],[Order Frequency]]&gt;=2), "Between 4 and 2", "Less than 2"))</f>
        <v>Less than 2</v>
      </c>
      <c r="T117" t="str">
        <f>IF(Orders[[#This Row],[Frequency Group]]="less than 2", "Low Value", IF(Orders[[#This Row],[Frequency Group]]="between 4 and 2", "Medium Value", "High Value"))</f>
        <v>Low Value</v>
      </c>
      <c r="U117" t="str">
        <f>IF(Orders[[#This Row],[Sales]]&lt;50, "$0-50", IF(AND(Orders[[#This Row],[Sales]]&gt;=50,Orders[[#This Row],[Sales]]&lt;=100), "$50-100", IF(AND(Orders[[#This Row],[Sales]]&gt;100,Orders[[#This Row],[Sales]]&lt;=150), "$101-150", "$150+")))</f>
        <v>$0-50</v>
      </c>
      <c r="V117" t="str">
        <f>IF(Orders[[#This Row],[Sales]]&gt;MEDIAN(M:M), "High Price", "Low Price")</f>
        <v>Low Price</v>
      </c>
      <c r="W117" t="str">
        <f>IF(Orders[[#This Row],[Quantity]]&gt;MEDIAN(E:E), "High Volume", "Low Volume")</f>
        <v>Low Volume</v>
      </c>
      <c r="X117" t="str">
        <f>Orders[[#This Row],[Sales Tier]] &amp; "-" &amp; Orders[[#This Row],[Quantity Tier]]</f>
        <v>Low Price-Low Volume</v>
      </c>
      <c r="Y117" t="str">
        <f>TEXT(Orders[[#This Row],[Order Date]], "mmmm")</f>
        <v>December</v>
      </c>
      <c r="Z11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117" t="str">
        <f>Orders[[#This Row],[Coffee Type Name]] &amp; "-" &amp; Orders[[#This Row],[Roast Type Name]]</f>
        <v>Robusta-Medium</v>
      </c>
      <c r="AB11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18" spans="1:28" x14ac:dyDescent="0.25">
      <c r="A118" s="2" t="s">
        <v>3571</v>
      </c>
      <c r="B118" s="4">
        <v>44120</v>
      </c>
      <c r="C118" s="2" t="s">
        <v>3572</v>
      </c>
      <c r="D118" t="s">
        <v>6150</v>
      </c>
      <c r="E118" s="2">
        <v>4</v>
      </c>
      <c r="F118" s="2" t="str">
        <f>_xlfn.XLOOKUP(C118,customers!$A$1:$A$1001,customers!$B$1:$B$1001,,0)</f>
        <v>Rufus Flear</v>
      </c>
      <c r="G118" s="2" t="str">
        <f>IF(_xlfn.XLOOKUP(C118,customers!$A$1:$A$1001,customers!$C$1:$C$1001,,0)=0,"",_xlfn.XLOOKUP(C118,customers!$A$1:$A$1001,customers!$C$1:$C$1001,,0))</f>
        <v>rflearf5@artisteer.com</v>
      </c>
      <c r="H118" s="2" t="str">
        <f>_xlfn.XLOOKUP(C118,customers!$A$1:$A$1001,customers!$G$1:$G$1001,,0)</f>
        <v>United Kingdom</v>
      </c>
      <c r="I118" t="str">
        <f>INDEX(products!$A$1:$G$49, MATCH(orders!$D547,products!$A$1:$A594,0), MATCH(orders!I$1,products!$A$1:$G$1,0))</f>
        <v>Lib</v>
      </c>
      <c r="J118" t="str">
        <f>INDEX(products!$A$1:$G$49, MATCH(orders!$D547,products!$A$1:$A594,0), MATCH(orders!J$1,products!$A$1:$G$1,0))</f>
        <v>D</v>
      </c>
      <c r="K118" s="5">
        <f>INDEX(products!$A$1:$G$49, MATCH(orders!$D547,products!$A$1:$A594,0), MATCH(orders!K$1,products!$A$1:$G$1,0))</f>
        <v>0.2</v>
      </c>
      <c r="L118" s="6">
        <f>INDEX(products!$A$1:$G$49, MATCH(orders!$D547,products!$A$1:$A594,0), MATCH(orders!L$1,products!$A$1:$G$1,0))</f>
        <v>3.8849999999999998</v>
      </c>
      <c r="M118" s="6">
        <f t="shared" si="3"/>
        <v>15.54</v>
      </c>
      <c r="N118" t="str">
        <f t="shared" si="4"/>
        <v>Liberica</v>
      </c>
      <c r="O118" t="str">
        <f t="shared" si="5"/>
        <v>Dark</v>
      </c>
      <c r="P118" t="str">
        <f>_xlfn.XLOOKUP(Orders[[#This Row],[Customer ID]],customers!$A$1:$A$1001,customers!$I$1:$I$1001,,0)</f>
        <v>No</v>
      </c>
      <c r="Q118">
        <f>COUNTIF(Orders[Order ID],Orders[[#This Row],[Order ID]])</f>
        <v>1</v>
      </c>
      <c r="R118" s="10">
        <f>SUMIF(Orders[Order ID], Orders[[#This Row],[Order ID]],Orders[Sales])/Orders[[#This Row],[Order Frequency]]</f>
        <v>15.54</v>
      </c>
      <c r="S118" t="str">
        <f>IF(Orders[[#This Row],[Order Frequency]]&gt;4, "More than 4", IF(AND(Orders[[#This Row],[Order Frequency]]&lt;=4,Orders[[#This Row],[Order Frequency]]&gt;=2), "Between 4 and 2", "Less than 2"))</f>
        <v>Less than 2</v>
      </c>
      <c r="T118" t="str">
        <f>IF(Orders[[#This Row],[Frequency Group]]="less than 2", "Low Value", IF(Orders[[#This Row],[Frequency Group]]="between 4 and 2", "Medium Value", "High Value"))</f>
        <v>Low Value</v>
      </c>
      <c r="U118" t="str">
        <f>IF(Orders[[#This Row],[Sales]]&lt;50, "$0-50", IF(AND(Orders[[#This Row],[Sales]]&gt;=50,Orders[[#This Row],[Sales]]&lt;=100), "$50-100", IF(AND(Orders[[#This Row],[Sales]]&gt;100,Orders[[#This Row],[Sales]]&lt;=150), "$101-150", "$150+")))</f>
        <v>$0-50</v>
      </c>
      <c r="V118" t="str">
        <f>IF(Orders[[#This Row],[Sales]]&gt;MEDIAN(M:M), "High Price", "Low Price")</f>
        <v>Low Price</v>
      </c>
      <c r="W118" t="str">
        <f>IF(Orders[[#This Row],[Quantity]]&gt;MEDIAN(E:E), "High Volume", "Low Volume")</f>
        <v>Low Volume</v>
      </c>
      <c r="X118" t="str">
        <f>Orders[[#This Row],[Sales Tier]] &amp; "-" &amp; Orders[[#This Row],[Quantity Tier]]</f>
        <v>Low Price-Low Volume</v>
      </c>
      <c r="Y118" t="str">
        <f>TEXT(Orders[[#This Row],[Order Date]], "mmmm")</f>
        <v>October</v>
      </c>
      <c r="Z11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118" t="str">
        <f>Orders[[#This Row],[Coffee Type Name]] &amp; "-" &amp; Orders[[#This Row],[Roast Type Name]]</f>
        <v>Liberica-Dark</v>
      </c>
      <c r="AB11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119" spans="1:28" x14ac:dyDescent="0.25">
      <c r="A119" s="2" t="s">
        <v>1216</v>
      </c>
      <c r="B119" s="4">
        <v>43652</v>
      </c>
      <c r="C119" s="2" t="s">
        <v>1217</v>
      </c>
      <c r="D119" t="s">
        <v>6183</v>
      </c>
      <c r="E119" s="2">
        <v>1</v>
      </c>
      <c r="F119" s="2" t="str">
        <f>_xlfn.XLOOKUP(C119,customers!$A$1:$A$1001,customers!$B$1:$B$1001,,0)</f>
        <v>Evelina Dacca</v>
      </c>
      <c r="G119" s="2" t="str">
        <f>IF(_xlfn.XLOOKUP(C119,customers!$A$1:$A$1001,customers!$C$1:$C$1001,,0)=0,"",_xlfn.XLOOKUP(C119,customers!$A$1:$A$1001,customers!$C$1:$C$1001,,0))</f>
        <v>edacca3l@google.pl</v>
      </c>
      <c r="H119" s="2" t="str">
        <f>_xlfn.XLOOKUP(C119,customers!$A$1:$A$1001,customers!$G$1:$G$1001,,0)</f>
        <v>United States</v>
      </c>
      <c r="I119" t="str">
        <f>INDEX(products!$A$1:$G$49, MATCH(orders!$D131,products!$A$1:$A178,0), MATCH(orders!I$1,products!$A$1:$G$1,0))</f>
        <v>Exc</v>
      </c>
      <c r="J119" t="str">
        <f>INDEX(products!$A$1:$G$49, MATCH(orders!$D131,products!$A$1:$A178,0), MATCH(orders!J$1,products!$A$1:$G$1,0))</f>
        <v>D</v>
      </c>
      <c r="K119" s="5">
        <f>INDEX(products!$A$1:$G$49, MATCH(orders!$D131,products!$A$1:$A178,0), MATCH(orders!K$1,products!$A$1:$G$1,0))</f>
        <v>1</v>
      </c>
      <c r="L119" s="6">
        <f>INDEX(products!$A$1:$G$49, MATCH(orders!$D131,products!$A$1:$A178,0), MATCH(orders!L$1,products!$A$1:$G$1,0))</f>
        <v>12.15</v>
      </c>
      <c r="M119" s="6">
        <f t="shared" si="3"/>
        <v>12.15</v>
      </c>
      <c r="N119" t="str">
        <f t="shared" si="4"/>
        <v>Excelsa</v>
      </c>
      <c r="O119" t="str">
        <f t="shared" si="5"/>
        <v>Dark</v>
      </c>
      <c r="P119" t="str">
        <f>_xlfn.XLOOKUP(Orders[[#This Row],[Customer ID]],customers!$A$1:$A$1001,customers!$I$1:$I$1001,,0)</f>
        <v>Yes</v>
      </c>
      <c r="Q119">
        <f>COUNTIF(Orders[Order ID],Orders[[#This Row],[Order ID]])</f>
        <v>1</v>
      </c>
      <c r="R119" s="10">
        <f>SUMIF(Orders[Order ID], Orders[[#This Row],[Order ID]],Orders[Sales])/Orders[[#This Row],[Order Frequency]]</f>
        <v>12.15</v>
      </c>
      <c r="S119" t="str">
        <f>IF(Orders[[#This Row],[Order Frequency]]&gt;4, "More than 4", IF(AND(Orders[[#This Row],[Order Frequency]]&lt;=4,Orders[[#This Row],[Order Frequency]]&gt;=2), "Between 4 and 2", "Less than 2"))</f>
        <v>Less than 2</v>
      </c>
      <c r="T119" t="str">
        <f>IF(Orders[[#This Row],[Frequency Group]]="less than 2", "Low Value", IF(Orders[[#This Row],[Frequency Group]]="between 4 and 2", "Medium Value", "High Value"))</f>
        <v>Low Value</v>
      </c>
      <c r="U119" t="str">
        <f>IF(Orders[[#This Row],[Sales]]&lt;50, "$0-50", IF(AND(Orders[[#This Row],[Sales]]&gt;=50,Orders[[#This Row],[Sales]]&lt;=100), "$50-100", IF(AND(Orders[[#This Row],[Sales]]&gt;100,Orders[[#This Row],[Sales]]&lt;=150), "$101-150", "$150+")))</f>
        <v>$0-50</v>
      </c>
      <c r="V119" t="str">
        <f>IF(Orders[[#This Row],[Sales]]&gt;MEDIAN(M:M), "High Price", "Low Price")</f>
        <v>Low Price</v>
      </c>
      <c r="W119" t="str">
        <f>IF(Orders[[#This Row],[Quantity]]&gt;MEDIAN(E:E), "High Volume", "Low Volume")</f>
        <v>Low Volume</v>
      </c>
      <c r="X119" t="str">
        <f>Orders[[#This Row],[Sales Tier]] &amp; "-" &amp; Orders[[#This Row],[Quantity Tier]]</f>
        <v>Low Price-Low Volume</v>
      </c>
      <c r="Y119" t="str">
        <f>TEXT(Orders[[#This Row],[Order Date]], "mmmm")</f>
        <v>July</v>
      </c>
      <c r="Z11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119" t="str">
        <f>Orders[[#This Row],[Coffee Type Name]] &amp; "-" &amp; Orders[[#This Row],[Roast Type Name]]</f>
        <v>Excelsa-Dark</v>
      </c>
      <c r="AB11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120" spans="1:28" x14ac:dyDescent="0.25">
      <c r="A120" s="2" t="s">
        <v>4371</v>
      </c>
      <c r="B120" s="4">
        <v>43471</v>
      </c>
      <c r="C120" s="2" t="s">
        <v>4372</v>
      </c>
      <c r="D120" t="s">
        <v>6139</v>
      </c>
      <c r="E120" s="2">
        <v>2</v>
      </c>
      <c r="F120" s="2" t="str">
        <f>_xlfn.XLOOKUP(C120,customers!$A$1:$A$1001,customers!$B$1:$B$1001,,0)</f>
        <v>Wilton Cottier</v>
      </c>
      <c r="G120" s="2" t="str">
        <f>IF(_xlfn.XLOOKUP(C120,customers!$A$1:$A$1001,customers!$C$1:$C$1001,,0)=0,"",_xlfn.XLOOKUP(C120,customers!$A$1:$A$1001,customers!$C$1:$C$1001,,0))</f>
        <v>wcottierj3@cafepress.com</v>
      </c>
      <c r="H120" s="2" t="str">
        <f>_xlfn.XLOOKUP(C120,customers!$A$1:$A$1001,customers!$G$1:$G$1001,,0)</f>
        <v>United States</v>
      </c>
      <c r="I120" t="str">
        <f>INDEX(products!$A$1:$G$49, MATCH(orders!$D689,products!$A$1:$A736,0), MATCH(orders!I$1,products!$A$1:$G$1,0))</f>
        <v>Exc</v>
      </c>
      <c r="J120" t="str">
        <f>INDEX(products!$A$1:$G$49, MATCH(orders!$D689,products!$A$1:$A736,0), MATCH(orders!J$1,products!$A$1:$G$1,0))</f>
        <v>M</v>
      </c>
      <c r="K120" s="5">
        <f>INDEX(products!$A$1:$G$49, MATCH(orders!$D689,products!$A$1:$A736,0), MATCH(orders!K$1,products!$A$1:$G$1,0))</f>
        <v>0.5</v>
      </c>
      <c r="L120" s="6">
        <f>INDEX(products!$A$1:$G$49, MATCH(orders!$D689,products!$A$1:$A736,0), MATCH(orders!L$1,products!$A$1:$G$1,0))</f>
        <v>8.25</v>
      </c>
      <c r="M120" s="6">
        <f t="shared" si="3"/>
        <v>16.5</v>
      </c>
      <c r="N120" t="str">
        <f t="shared" si="4"/>
        <v>Excelsa</v>
      </c>
      <c r="O120" t="str">
        <f t="shared" si="5"/>
        <v>Medium</v>
      </c>
      <c r="P120" t="str">
        <f>_xlfn.XLOOKUP(Orders[[#This Row],[Customer ID]],customers!$A$1:$A$1001,customers!$I$1:$I$1001,,0)</f>
        <v>No</v>
      </c>
      <c r="Q120">
        <f>COUNTIF(Orders[Order ID],Orders[[#This Row],[Order ID]])</f>
        <v>1</v>
      </c>
      <c r="R120" s="10">
        <f>SUMIF(Orders[Order ID], Orders[[#This Row],[Order ID]],Orders[Sales])/Orders[[#This Row],[Order Frequency]]</f>
        <v>16.5</v>
      </c>
      <c r="S120" t="str">
        <f>IF(Orders[[#This Row],[Order Frequency]]&gt;4, "More than 4", IF(AND(Orders[[#This Row],[Order Frequency]]&lt;=4,Orders[[#This Row],[Order Frequency]]&gt;=2), "Between 4 and 2", "Less than 2"))</f>
        <v>Less than 2</v>
      </c>
      <c r="T120" t="str">
        <f>IF(Orders[[#This Row],[Frequency Group]]="less than 2", "Low Value", IF(Orders[[#This Row],[Frequency Group]]="between 4 and 2", "Medium Value", "High Value"))</f>
        <v>Low Value</v>
      </c>
      <c r="U120" t="str">
        <f>IF(Orders[[#This Row],[Sales]]&lt;50, "$0-50", IF(AND(Orders[[#This Row],[Sales]]&gt;=50,Orders[[#This Row],[Sales]]&lt;=100), "$50-100", IF(AND(Orders[[#This Row],[Sales]]&gt;100,Orders[[#This Row],[Sales]]&lt;=150), "$101-150", "$150+")))</f>
        <v>$0-50</v>
      </c>
      <c r="V120" t="str">
        <f>IF(Orders[[#This Row],[Sales]]&gt;MEDIAN(M:M), "High Price", "Low Price")</f>
        <v>Low Price</v>
      </c>
      <c r="W120" t="str">
        <f>IF(Orders[[#This Row],[Quantity]]&gt;MEDIAN(E:E), "High Volume", "Low Volume")</f>
        <v>Low Volume</v>
      </c>
      <c r="X120" t="str">
        <f>Orders[[#This Row],[Sales Tier]] &amp; "-" &amp; Orders[[#This Row],[Quantity Tier]]</f>
        <v>Low Price-Low Volume</v>
      </c>
      <c r="Y120" t="str">
        <f>TEXT(Orders[[#This Row],[Order Date]], "mmmm")</f>
        <v>January</v>
      </c>
      <c r="Z12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20" t="str">
        <f>Orders[[#This Row],[Coffee Type Name]] &amp; "-" &amp; Orders[[#This Row],[Roast Type Name]]</f>
        <v>Excelsa-Medium</v>
      </c>
      <c r="AB12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21" spans="1:28" x14ac:dyDescent="0.25">
      <c r="A121" s="2" t="s">
        <v>5834</v>
      </c>
      <c r="B121" s="4">
        <v>43524</v>
      </c>
      <c r="C121" s="2" t="s">
        <v>5835</v>
      </c>
      <c r="D121" t="s">
        <v>6165</v>
      </c>
      <c r="E121" s="2">
        <v>4</v>
      </c>
      <c r="F121" s="2" t="str">
        <f>_xlfn.XLOOKUP(C121,customers!$A$1:$A$1001,customers!$B$1:$B$1001,,0)</f>
        <v>Jaimie Hatz</v>
      </c>
      <c r="G121" s="2" t="str">
        <f>IF(_xlfn.XLOOKUP(C121,customers!$A$1:$A$1001,customers!$C$1:$C$1001,,0)=0,"",_xlfn.XLOOKUP(C121,customers!$A$1:$A$1001,customers!$C$1:$C$1001,,0))</f>
        <v/>
      </c>
      <c r="H121" s="2" t="str">
        <f>_xlfn.XLOOKUP(C121,customers!$A$1:$A$1001,customers!$G$1:$G$1001,,0)</f>
        <v>United States</v>
      </c>
      <c r="I121" t="str">
        <f>INDEX(products!$A$1:$G$49, MATCH(orders!$D947,products!$A$1:$A994,0), MATCH(orders!I$1,products!$A$1:$G$1,0))</f>
        <v>Lib</v>
      </c>
      <c r="J121" t="str">
        <f>INDEX(products!$A$1:$G$49, MATCH(orders!$D947,products!$A$1:$A994,0), MATCH(orders!J$1,products!$A$1:$G$1,0))</f>
        <v>D</v>
      </c>
      <c r="K121" s="5">
        <f>INDEX(products!$A$1:$G$49, MATCH(orders!$D947,products!$A$1:$A994,0), MATCH(orders!K$1,products!$A$1:$G$1,0))</f>
        <v>2.5</v>
      </c>
      <c r="L121" s="6">
        <f>INDEX(products!$A$1:$G$49, MATCH(orders!$D947,products!$A$1:$A994,0), MATCH(orders!L$1,products!$A$1:$G$1,0))</f>
        <v>29.784999999999997</v>
      </c>
      <c r="M121" s="6">
        <f t="shared" si="3"/>
        <v>119.13999999999999</v>
      </c>
      <c r="N121" t="str">
        <f t="shared" si="4"/>
        <v>Liberica</v>
      </c>
      <c r="O121" t="str">
        <f t="shared" si="5"/>
        <v>Dark</v>
      </c>
      <c r="P121" t="str">
        <f>_xlfn.XLOOKUP(Orders[[#This Row],[Customer ID]],customers!$A$1:$A$1001,customers!$I$1:$I$1001,,0)</f>
        <v>No</v>
      </c>
      <c r="Q121">
        <f>COUNTIF(Orders[Order ID],Orders[[#This Row],[Order ID]])</f>
        <v>1</v>
      </c>
      <c r="R121" s="10">
        <f>SUMIF(Orders[Order ID], Orders[[#This Row],[Order ID]],Orders[Sales])/Orders[[#This Row],[Order Frequency]]</f>
        <v>119.13999999999999</v>
      </c>
      <c r="S121" t="str">
        <f>IF(Orders[[#This Row],[Order Frequency]]&gt;4, "More than 4", IF(AND(Orders[[#This Row],[Order Frequency]]&lt;=4,Orders[[#This Row],[Order Frequency]]&gt;=2), "Between 4 and 2", "Less than 2"))</f>
        <v>Less than 2</v>
      </c>
      <c r="T121" t="str">
        <f>IF(Orders[[#This Row],[Frequency Group]]="less than 2", "Low Value", IF(Orders[[#This Row],[Frequency Group]]="between 4 and 2", "Medium Value", "High Value"))</f>
        <v>Low Value</v>
      </c>
      <c r="U121" t="str">
        <f>IF(Orders[[#This Row],[Sales]]&lt;50, "$0-50", IF(AND(Orders[[#This Row],[Sales]]&gt;=50,Orders[[#This Row],[Sales]]&lt;=100), "$50-100", IF(AND(Orders[[#This Row],[Sales]]&gt;100,Orders[[#This Row],[Sales]]&lt;=150), "$101-150", "$150+")))</f>
        <v>$101-150</v>
      </c>
      <c r="V121" t="str">
        <f>IF(Orders[[#This Row],[Sales]]&gt;MEDIAN(M:M), "High Price", "Low Price")</f>
        <v>High Price</v>
      </c>
      <c r="W121" t="str">
        <f>IF(Orders[[#This Row],[Quantity]]&gt;MEDIAN(E:E), "High Volume", "Low Volume")</f>
        <v>Low Volume</v>
      </c>
      <c r="X121" t="str">
        <f>Orders[[#This Row],[Sales Tier]] &amp; "-" &amp; Orders[[#This Row],[Quantity Tier]]</f>
        <v>High Price-Low Volume</v>
      </c>
      <c r="Y121" t="str">
        <f>TEXT(Orders[[#This Row],[Order Date]], "mmmm")</f>
        <v>February</v>
      </c>
      <c r="Z12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21" t="str">
        <f>Orders[[#This Row],[Coffee Type Name]] &amp; "-" &amp; Orders[[#This Row],[Roast Type Name]]</f>
        <v>Liberica-Dark</v>
      </c>
      <c r="AB12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22" spans="1:28" x14ac:dyDescent="0.25">
      <c r="A122" s="2" t="s">
        <v>4512</v>
      </c>
      <c r="B122" s="4">
        <v>43646</v>
      </c>
      <c r="C122" s="2" t="s">
        <v>4513</v>
      </c>
      <c r="D122" t="s">
        <v>6139</v>
      </c>
      <c r="E122" s="2">
        <v>2</v>
      </c>
      <c r="F122" s="2" t="str">
        <f>_xlfn.XLOOKUP(C122,customers!$A$1:$A$1001,customers!$B$1:$B$1001,,0)</f>
        <v>Silas Deehan</v>
      </c>
      <c r="G122" s="2" t="str">
        <f>IF(_xlfn.XLOOKUP(C122,customers!$A$1:$A$1001,customers!$C$1:$C$1001,,0)=0,"",_xlfn.XLOOKUP(C122,customers!$A$1:$A$1001,customers!$C$1:$C$1001,,0))</f>
        <v/>
      </c>
      <c r="H122" s="2" t="str">
        <f>_xlfn.XLOOKUP(C122,customers!$A$1:$A$1001,customers!$G$1:$G$1001,,0)</f>
        <v>United Kingdom</v>
      </c>
      <c r="I122" t="str">
        <f>INDEX(products!$A$1:$G$49, MATCH(orders!$D714,products!$A$1:$A761,0), MATCH(orders!I$1,products!$A$1:$G$1,0))</f>
        <v>Exc</v>
      </c>
      <c r="J122" t="str">
        <f>INDEX(products!$A$1:$G$49, MATCH(orders!$D714,products!$A$1:$A761,0), MATCH(orders!J$1,products!$A$1:$G$1,0))</f>
        <v>M</v>
      </c>
      <c r="K122" s="5">
        <f>INDEX(products!$A$1:$G$49, MATCH(orders!$D714,products!$A$1:$A761,0), MATCH(orders!K$1,products!$A$1:$G$1,0))</f>
        <v>0.5</v>
      </c>
      <c r="L122" s="6">
        <f>INDEX(products!$A$1:$G$49, MATCH(orders!$D714,products!$A$1:$A761,0), MATCH(orders!L$1,products!$A$1:$G$1,0))</f>
        <v>8.25</v>
      </c>
      <c r="M122" s="6">
        <f t="shared" si="3"/>
        <v>16.5</v>
      </c>
      <c r="N122" t="str">
        <f t="shared" si="4"/>
        <v>Excelsa</v>
      </c>
      <c r="O122" t="str">
        <f t="shared" si="5"/>
        <v>Medium</v>
      </c>
      <c r="P122" t="str">
        <f>_xlfn.XLOOKUP(Orders[[#This Row],[Customer ID]],customers!$A$1:$A$1001,customers!$I$1:$I$1001,,0)</f>
        <v>No</v>
      </c>
      <c r="Q122">
        <f>COUNTIF(Orders[Order ID],Orders[[#This Row],[Order ID]])</f>
        <v>1</v>
      </c>
      <c r="R122" s="10">
        <f>SUMIF(Orders[Order ID], Orders[[#This Row],[Order ID]],Orders[Sales])/Orders[[#This Row],[Order Frequency]]</f>
        <v>16.5</v>
      </c>
      <c r="S122" t="str">
        <f>IF(Orders[[#This Row],[Order Frequency]]&gt;4, "More than 4", IF(AND(Orders[[#This Row],[Order Frequency]]&lt;=4,Orders[[#This Row],[Order Frequency]]&gt;=2), "Between 4 and 2", "Less than 2"))</f>
        <v>Less than 2</v>
      </c>
      <c r="T122" t="str">
        <f>IF(Orders[[#This Row],[Frequency Group]]="less than 2", "Low Value", IF(Orders[[#This Row],[Frequency Group]]="between 4 and 2", "Medium Value", "High Value"))</f>
        <v>Low Value</v>
      </c>
      <c r="U122" t="str">
        <f>IF(Orders[[#This Row],[Sales]]&lt;50, "$0-50", IF(AND(Orders[[#This Row],[Sales]]&gt;=50,Orders[[#This Row],[Sales]]&lt;=100), "$50-100", IF(AND(Orders[[#This Row],[Sales]]&gt;100,Orders[[#This Row],[Sales]]&lt;=150), "$101-150", "$150+")))</f>
        <v>$0-50</v>
      </c>
      <c r="V122" t="str">
        <f>IF(Orders[[#This Row],[Sales]]&gt;MEDIAN(M:M), "High Price", "Low Price")</f>
        <v>Low Price</v>
      </c>
      <c r="W122" t="str">
        <f>IF(Orders[[#This Row],[Quantity]]&gt;MEDIAN(E:E), "High Volume", "Low Volume")</f>
        <v>Low Volume</v>
      </c>
      <c r="X122" t="str">
        <f>Orders[[#This Row],[Sales Tier]] &amp; "-" &amp; Orders[[#This Row],[Quantity Tier]]</f>
        <v>Low Price-Low Volume</v>
      </c>
      <c r="Y122" t="str">
        <f>TEXT(Orders[[#This Row],[Order Date]], "mmmm")</f>
        <v>June</v>
      </c>
      <c r="Z12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122" t="str">
        <f>Orders[[#This Row],[Coffee Type Name]] &amp; "-" &amp; Orders[[#This Row],[Roast Type Name]]</f>
        <v>Excelsa-Medium</v>
      </c>
      <c r="AB12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123" spans="1:28" x14ac:dyDescent="0.25">
      <c r="A123" s="2" t="s">
        <v>4647</v>
      </c>
      <c r="B123" s="4">
        <v>43508</v>
      </c>
      <c r="C123" s="2" t="s">
        <v>4648</v>
      </c>
      <c r="D123" t="s">
        <v>6143</v>
      </c>
      <c r="E123" s="2">
        <v>2</v>
      </c>
      <c r="F123" s="2" t="str">
        <f>_xlfn.XLOOKUP(C123,customers!$A$1:$A$1001,customers!$B$1:$B$1001,,0)</f>
        <v>Jarret Toye</v>
      </c>
      <c r="G123" s="2" t="str">
        <f>IF(_xlfn.XLOOKUP(C123,customers!$A$1:$A$1001,customers!$C$1:$C$1001,,0)=0,"",_xlfn.XLOOKUP(C123,customers!$A$1:$A$1001,customers!$C$1:$C$1001,,0))</f>
        <v>jtoyekg@pinterest.com</v>
      </c>
      <c r="H123" s="2" t="str">
        <f>_xlfn.XLOOKUP(C123,customers!$A$1:$A$1001,customers!$G$1:$G$1001,,0)</f>
        <v>Ireland</v>
      </c>
      <c r="I123" t="str">
        <f>INDEX(products!$A$1:$G$49, MATCH(orders!$D738,products!$A$1:$A785,0), MATCH(orders!I$1,products!$A$1:$G$1,0))</f>
        <v>Lib</v>
      </c>
      <c r="J123" t="str">
        <f>INDEX(products!$A$1:$G$49, MATCH(orders!$D738,products!$A$1:$A785,0), MATCH(orders!J$1,products!$A$1:$G$1,0))</f>
        <v>D</v>
      </c>
      <c r="K123" s="5">
        <f>INDEX(products!$A$1:$G$49, MATCH(orders!$D738,products!$A$1:$A785,0), MATCH(orders!K$1,products!$A$1:$G$1,0))</f>
        <v>1</v>
      </c>
      <c r="L123" s="6">
        <f>INDEX(products!$A$1:$G$49, MATCH(orders!$D738,products!$A$1:$A785,0), MATCH(orders!L$1,products!$A$1:$G$1,0))</f>
        <v>12.95</v>
      </c>
      <c r="M123" s="6">
        <f t="shared" si="3"/>
        <v>25.9</v>
      </c>
      <c r="N123" t="str">
        <f t="shared" si="4"/>
        <v>Liberica</v>
      </c>
      <c r="O123" t="str">
        <f t="shared" si="5"/>
        <v>Dark</v>
      </c>
      <c r="P123" t="str">
        <f>_xlfn.XLOOKUP(Orders[[#This Row],[Customer ID]],customers!$A$1:$A$1001,customers!$I$1:$I$1001,,0)</f>
        <v>Yes</v>
      </c>
      <c r="Q123">
        <f>COUNTIF(Orders[Order ID],Orders[[#This Row],[Order ID]])</f>
        <v>1</v>
      </c>
      <c r="R123" s="10">
        <f>SUMIF(Orders[Order ID], Orders[[#This Row],[Order ID]],Orders[Sales])/Orders[[#This Row],[Order Frequency]]</f>
        <v>25.9</v>
      </c>
      <c r="S123" t="str">
        <f>IF(Orders[[#This Row],[Order Frequency]]&gt;4, "More than 4", IF(AND(Orders[[#This Row],[Order Frequency]]&lt;=4,Orders[[#This Row],[Order Frequency]]&gt;=2), "Between 4 and 2", "Less than 2"))</f>
        <v>Less than 2</v>
      </c>
      <c r="T123" t="str">
        <f>IF(Orders[[#This Row],[Frequency Group]]="less than 2", "Low Value", IF(Orders[[#This Row],[Frequency Group]]="between 4 and 2", "Medium Value", "High Value"))</f>
        <v>Low Value</v>
      </c>
      <c r="U123" t="str">
        <f>IF(Orders[[#This Row],[Sales]]&lt;50, "$0-50", IF(AND(Orders[[#This Row],[Sales]]&gt;=50,Orders[[#This Row],[Sales]]&lt;=100), "$50-100", IF(AND(Orders[[#This Row],[Sales]]&gt;100,Orders[[#This Row],[Sales]]&lt;=150), "$101-150", "$150+")))</f>
        <v>$0-50</v>
      </c>
      <c r="V123" t="str">
        <f>IF(Orders[[#This Row],[Sales]]&gt;MEDIAN(M:M), "High Price", "Low Price")</f>
        <v>Low Price</v>
      </c>
      <c r="W123" t="str">
        <f>IF(Orders[[#This Row],[Quantity]]&gt;MEDIAN(E:E), "High Volume", "Low Volume")</f>
        <v>Low Volume</v>
      </c>
      <c r="X123" t="str">
        <f>Orders[[#This Row],[Sales Tier]] &amp; "-" &amp; Orders[[#This Row],[Quantity Tier]]</f>
        <v>Low Price-Low Volume</v>
      </c>
      <c r="Y123" t="str">
        <f>TEXT(Orders[[#This Row],[Order Date]], "mmmm")</f>
        <v>February</v>
      </c>
      <c r="Z12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23" t="str">
        <f>Orders[[#This Row],[Coffee Type Name]] &amp; "-" &amp; Orders[[#This Row],[Roast Type Name]]</f>
        <v>Liberica-Dark</v>
      </c>
      <c r="AB12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24" spans="1:28" x14ac:dyDescent="0.25">
      <c r="A124" s="2" t="s">
        <v>5809</v>
      </c>
      <c r="B124" s="4">
        <v>44674</v>
      </c>
      <c r="C124" s="2" t="s">
        <v>5810</v>
      </c>
      <c r="D124" t="s">
        <v>6180</v>
      </c>
      <c r="E124" s="2">
        <v>2</v>
      </c>
      <c r="F124" s="2" t="str">
        <f>_xlfn.XLOOKUP(C124,customers!$A$1:$A$1001,customers!$B$1:$B$1001,,0)</f>
        <v>Henderson Crowne</v>
      </c>
      <c r="G124" s="2" t="str">
        <f>IF(_xlfn.XLOOKUP(C124,customers!$A$1:$A$1001,customers!$C$1:$C$1001,,0)=0,"",_xlfn.XLOOKUP(C124,customers!$A$1:$A$1001,customers!$C$1:$C$1001,,0))</f>
        <v>hcrowneq5@wufoo.com</v>
      </c>
      <c r="H124" s="2" t="str">
        <f>_xlfn.XLOOKUP(C124,customers!$A$1:$A$1001,customers!$G$1:$G$1001,,0)</f>
        <v>Ireland</v>
      </c>
      <c r="I124" t="str">
        <f>INDEX(products!$A$1:$G$49, MATCH(orders!$D943,products!$A$1:$A990,0), MATCH(orders!I$1,products!$A$1:$G$1,0))</f>
        <v>Ara</v>
      </c>
      <c r="J124" t="str">
        <f>INDEX(products!$A$1:$G$49, MATCH(orders!$D943,products!$A$1:$A990,0), MATCH(orders!J$1,products!$A$1:$G$1,0))</f>
        <v>L</v>
      </c>
      <c r="K124" s="5">
        <f>INDEX(products!$A$1:$G$49, MATCH(orders!$D943,products!$A$1:$A990,0), MATCH(orders!K$1,products!$A$1:$G$1,0))</f>
        <v>0.5</v>
      </c>
      <c r="L124" s="6">
        <f>INDEX(products!$A$1:$G$49, MATCH(orders!$D943,products!$A$1:$A990,0), MATCH(orders!L$1,products!$A$1:$G$1,0))</f>
        <v>7.77</v>
      </c>
      <c r="M124" s="6">
        <f t="shared" si="3"/>
        <v>15.54</v>
      </c>
      <c r="N124" t="str">
        <f t="shared" si="4"/>
        <v>Arabica</v>
      </c>
      <c r="O124" t="str">
        <f t="shared" si="5"/>
        <v>Light</v>
      </c>
      <c r="P124" t="str">
        <f>_xlfn.XLOOKUP(Orders[[#This Row],[Customer ID]],customers!$A$1:$A$1001,customers!$I$1:$I$1001,,0)</f>
        <v>Yes</v>
      </c>
      <c r="Q124">
        <f>COUNTIF(Orders[Order ID],Orders[[#This Row],[Order ID]])</f>
        <v>1</v>
      </c>
      <c r="R124" s="10">
        <f>SUMIF(Orders[Order ID], Orders[[#This Row],[Order ID]],Orders[Sales])/Orders[[#This Row],[Order Frequency]]</f>
        <v>15.54</v>
      </c>
      <c r="S124" t="str">
        <f>IF(Orders[[#This Row],[Order Frequency]]&gt;4, "More than 4", IF(AND(Orders[[#This Row],[Order Frequency]]&lt;=4,Orders[[#This Row],[Order Frequency]]&gt;=2), "Between 4 and 2", "Less than 2"))</f>
        <v>Less than 2</v>
      </c>
      <c r="T124" t="str">
        <f>IF(Orders[[#This Row],[Frequency Group]]="less than 2", "Low Value", IF(Orders[[#This Row],[Frequency Group]]="between 4 and 2", "Medium Value", "High Value"))</f>
        <v>Low Value</v>
      </c>
      <c r="U124" t="str">
        <f>IF(Orders[[#This Row],[Sales]]&lt;50, "$0-50", IF(AND(Orders[[#This Row],[Sales]]&gt;=50,Orders[[#This Row],[Sales]]&lt;=100), "$50-100", IF(AND(Orders[[#This Row],[Sales]]&gt;100,Orders[[#This Row],[Sales]]&lt;=150), "$101-150", "$150+")))</f>
        <v>$0-50</v>
      </c>
      <c r="V124" t="str">
        <f>IF(Orders[[#This Row],[Sales]]&gt;MEDIAN(M:M), "High Price", "Low Price")</f>
        <v>Low Price</v>
      </c>
      <c r="W124" t="str">
        <f>IF(Orders[[#This Row],[Quantity]]&gt;MEDIAN(E:E), "High Volume", "Low Volume")</f>
        <v>Low Volume</v>
      </c>
      <c r="X124" t="str">
        <f>Orders[[#This Row],[Sales Tier]] &amp; "-" &amp; Orders[[#This Row],[Quantity Tier]]</f>
        <v>Low Price-Low Volume</v>
      </c>
      <c r="Y124" t="str">
        <f>TEXT(Orders[[#This Row],[Order Date]], "mmmm")</f>
        <v>April</v>
      </c>
      <c r="Z12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124" t="str">
        <f>Orders[[#This Row],[Coffee Type Name]] &amp; "-" &amp; Orders[[#This Row],[Roast Type Name]]</f>
        <v>Arabica-Light</v>
      </c>
      <c r="AB12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125" spans="1:28" x14ac:dyDescent="0.25">
      <c r="A125" s="2" t="s">
        <v>2273</v>
      </c>
      <c r="B125" s="4">
        <v>43641</v>
      </c>
      <c r="C125" s="2" t="s">
        <v>2274</v>
      </c>
      <c r="D125" t="s">
        <v>6148</v>
      </c>
      <c r="E125" s="2">
        <v>6</v>
      </c>
      <c r="F125" s="2" t="str">
        <f>_xlfn.XLOOKUP(C125,customers!$A$1:$A$1001,customers!$B$1:$B$1001,,0)</f>
        <v>Nanny Lush</v>
      </c>
      <c r="G125" s="2" t="str">
        <f>IF(_xlfn.XLOOKUP(C125,customers!$A$1:$A$1001,customers!$C$1:$C$1001,,0)=0,"",_xlfn.XLOOKUP(C125,customers!$A$1:$A$1001,customers!$C$1:$C$1001,,0))</f>
        <v>nlush8s@dedecms.com</v>
      </c>
      <c r="H125" s="2" t="str">
        <f>_xlfn.XLOOKUP(C125,customers!$A$1:$A$1001,customers!$G$1:$G$1001,,0)</f>
        <v>Ireland</v>
      </c>
      <c r="I125" t="str">
        <f>INDEX(products!$A$1:$G$49, MATCH(orders!$D318,products!$A$1:$A365,0), MATCH(orders!I$1,products!$A$1:$G$1,0))</f>
        <v>Exc</v>
      </c>
      <c r="J125" t="str">
        <f>INDEX(products!$A$1:$G$49, MATCH(orders!$D318,products!$A$1:$A365,0), MATCH(orders!J$1,products!$A$1:$G$1,0))</f>
        <v>L</v>
      </c>
      <c r="K125" s="5">
        <f>INDEX(products!$A$1:$G$49, MATCH(orders!$D318,products!$A$1:$A365,0), MATCH(orders!K$1,products!$A$1:$G$1,0))</f>
        <v>2.5</v>
      </c>
      <c r="L125" s="6">
        <f>INDEX(products!$A$1:$G$49, MATCH(orders!$D318,products!$A$1:$A365,0), MATCH(orders!L$1,products!$A$1:$G$1,0))</f>
        <v>34.154999999999994</v>
      </c>
      <c r="M125" s="6">
        <f t="shared" si="3"/>
        <v>204.92999999999995</v>
      </c>
      <c r="N125" t="str">
        <f t="shared" si="4"/>
        <v>Excelsa</v>
      </c>
      <c r="O125" t="str">
        <f t="shared" si="5"/>
        <v>Light</v>
      </c>
      <c r="P125" t="str">
        <f>_xlfn.XLOOKUP(Orders[[#This Row],[Customer ID]],customers!$A$1:$A$1001,customers!$I$1:$I$1001,,0)</f>
        <v>No</v>
      </c>
      <c r="Q125">
        <f>COUNTIF(Orders[Order ID],Orders[[#This Row],[Order ID]])</f>
        <v>1</v>
      </c>
      <c r="R125" s="10">
        <f>SUMIF(Orders[Order ID], Orders[[#This Row],[Order ID]],Orders[Sales])/Orders[[#This Row],[Order Frequency]]</f>
        <v>204.92999999999995</v>
      </c>
      <c r="S125" t="str">
        <f>IF(Orders[[#This Row],[Order Frequency]]&gt;4, "More than 4", IF(AND(Orders[[#This Row],[Order Frequency]]&lt;=4,Orders[[#This Row],[Order Frequency]]&gt;=2), "Between 4 and 2", "Less than 2"))</f>
        <v>Less than 2</v>
      </c>
      <c r="T125" t="str">
        <f>IF(Orders[[#This Row],[Frequency Group]]="less than 2", "Low Value", IF(Orders[[#This Row],[Frequency Group]]="between 4 and 2", "Medium Value", "High Value"))</f>
        <v>Low Value</v>
      </c>
      <c r="U125" t="str">
        <f>IF(Orders[[#This Row],[Sales]]&lt;50, "$0-50", IF(AND(Orders[[#This Row],[Sales]]&gt;=50,Orders[[#This Row],[Sales]]&lt;=100), "$50-100", IF(AND(Orders[[#This Row],[Sales]]&gt;100,Orders[[#This Row],[Sales]]&lt;=150), "$101-150", "$150+")))</f>
        <v>$150+</v>
      </c>
      <c r="V125" t="str">
        <f>IF(Orders[[#This Row],[Sales]]&gt;MEDIAN(M:M), "High Price", "Low Price")</f>
        <v>High Price</v>
      </c>
      <c r="W125" t="str">
        <f>IF(Orders[[#This Row],[Quantity]]&gt;MEDIAN(E:E), "High Volume", "Low Volume")</f>
        <v>High Volume</v>
      </c>
      <c r="X125" t="str">
        <f>Orders[[#This Row],[Sales Tier]] &amp; "-" &amp; Orders[[#This Row],[Quantity Tier]]</f>
        <v>High Price-High Volume</v>
      </c>
      <c r="Y125" t="str">
        <f>TEXT(Orders[[#This Row],[Order Date]], "mmmm")</f>
        <v>June</v>
      </c>
      <c r="Z12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125" t="str">
        <f>Orders[[#This Row],[Coffee Type Name]] &amp; "-" &amp; Orders[[#This Row],[Roast Type Name]]</f>
        <v>Excelsa-Light</v>
      </c>
      <c r="AB12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126" spans="1:28" x14ac:dyDescent="0.25">
      <c r="A126" s="2" t="s">
        <v>4256</v>
      </c>
      <c r="B126" s="4">
        <v>44451</v>
      </c>
      <c r="C126" s="2" t="s">
        <v>4257</v>
      </c>
      <c r="D126" t="s">
        <v>6147</v>
      </c>
      <c r="E126" s="2">
        <v>6</v>
      </c>
      <c r="F126" s="2" t="str">
        <f>_xlfn.XLOOKUP(C126,customers!$A$1:$A$1001,customers!$B$1:$B$1001,,0)</f>
        <v>Nissie Rudland</v>
      </c>
      <c r="G126" s="2" t="str">
        <f>IF(_xlfn.XLOOKUP(C126,customers!$A$1:$A$1001,customers!$C$1:$C$1001,,0)=0,"",_xlfn.XLOOKUP(C126,customers!$A$1:$A$1001,customers!$C$1:$C$1001,,0))</f>
        <v>nrudlandij@blogs.com</v>
      </c>
      <c r="H126" s="2" t="str">
        <f>_xlfn.XLOOKUP(C126,customers!$A$1:$A$1001,customers!$G$1:$G$1001,,0)</f>
        <v>Ireland</v>
      </c>
      <c r="I126" t="str">
        <f>INDEX(products!$A$1:$G$49, MATCH(orders!$D669,products!$A$1:$A716,0), MATCH(orders!I$1,products!$A$1:$G$1,0))</f>
        <v>Ara</v>
      </c>
      <c r="J126" t="str">
        <f>INDEX(products!$A$1:$G$49, MATCH(orders!$D669,products!$A$1:$A716,0), MATCH(orders!J$1,products!$A$1:$G$1,0))</f>
        <v>D</v>
      </c>
      <c r="K126" s="5">
        <f>INDEX(products!$A$1:$G$49, MATCH(orders!$D669,products!$A$1:$A716,0), MATCH(orders!K$1,products!$A$1:$G$1,0))</f>
        <v>1</v>
      </c>
      <c r="L126" s="6">
        <f>INDEX(products!$A$1:$G$49, MATCH(orders!$D669,products!$A$1:$A716,0), MATCH(orders!L$1,products!$A$1:$G$1,0))</f>
        <v>9.9499999999999993</v>
      </c>
      <c r="M126" s="6">
        <f t="shared" si="3"/>
        <v>59.699999999999996</v>
      </c>
      <c r="N126" t="str">
        <f t="shared" si="4"/>
        <v>Arabica</v>
      </c>
      <c r="O126" t="str">
        <f t="shared" si="5"/>
        <v>Dark</v>
      </c>
      <c r="P126" t="str">
        <f>_xlfn.XLOOKUP(Orders[[#This Row],[Customer ID]],customers!$A$1:$A$1001,customers!$I$1:$I$1001,,0)</f>
        <v>No</v>
      </c>
      <c r="Q126">
        <f>COUNTIF(Orders[Order ID],Orders[[#This Row],[Order ID]])</f>
        <v>1</v>
      </c>
      <c r="R126" s="10">
        <f>SUMIF(Orders[Order ID], Orders[[#This Row],[Order ID]],Orders[Sales])/Orders[[#This Row],[Order Frequency]]</f>
        <v>59.699999999999996</v>
      </c>
      <c r="S126" t="str">
        <f>IF(Orders[[#This Row],[Order Frequency]]&gt;4, "More than 4", IF(AND(Orders[[#This Row],[Order Frequency]]&lt;=4,Orders[[#This Row],[Order Frequency]]&gt;=2), "Between 4 and 2", "Less than 2"))</f>
        <v>Less than 2</v>
      </c>
      <c r="T126" t="str">
        <f>IF(Orders[[#This Row],[Frequency Group]]="less than 2", "Low Value", IF(Orders[[#This Row],[Frequency Group]]="between 4 and 2", "Medium Value", "High Value"))</f>
        <v>Low Value</v>
      </c>
      <c r="U126" t="str">
        <f>IF(Orders[[#This Row],[Sales]]&lt;50, "$0-50", IF(AND(Orders[[#This Row],[Sales]]&gt;=50,Orders[[#This Row],[Sales]]&lt;=100), "$50-100", IF(AND(Orders[[#This Row],[Sales]]&gt;100,Orders[[#This Row],[Sales]]&lt;=150), "$101-150", "$150+")))</f>
        <v>$50-100</v>
      </c>
      <c r="V126" t="str">
        <f>IF(Orders[[#This Row],[Sales]]&gt;MEDIAN(M:M), "High Price", "Low Price")</f>
        <v>High Price</v>
      </c>
      <c r="W126" t="str">
        <f>IF(Orders[[#This Row],[Quantity]]&gt;MEDIAN(E:E), "High Volume", "Low Volume")</f>
        <v>High Volume</v>
      </c>
      <c r="X126" t="str">
        <f>Orders[[#This Row],[Sales Tier]] &amp; "-" &amp; Orders[[#This Row],[Quantity Tier]]</f>
        <v>High Price-High Volume</v>
      </c>
      <c r="Y126" t="str">
        <f>TEXT(Orders[[#This Row],[Order Date]], "mmmm")</f>
        <v>September</v>
      </c>
      <c r="Z12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126" t="str">
        <f>Orders[[#This Row],[Coffee Type Name]] &amp; "-" &amp; Orders[[#This Row],[Roast Type Name]]</f>
        <v>Arabica-Dark</v>
      </c>
      <c r="AB12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127" spans="1:28" x14ac:dyDescent="0.25">
      <c r="A127" s="2" t="s">
        <v>1043</v>
      </c>
      <c r="B127" s="4">
        <v>44139</v>
      </c>
      <c r="C127" s="2" t="s">
        <v>1044</v>
      </c>
      <c r="D127" t="s">
        <v>6159</v>
      </c>
      <c r="E127" s="2">
        <v>3</v>
      </c>
      <c r="F127" s="2" t="str">
        <f>_xlfn.XLOOKUP(C127,customers!$A$1:$A$1001,customers!$B$1:$B$1001,,0)</f>
        <v>Aube Follett</v>
      </c>
      <c r="G127" s="2" t="str">
        <f>IF(_xlfn.XLOOKUP(C127,customers!$A$1:$A$1001,customers!$C$1:$C$1001,,0)=0,"",_xlfn.XLOOKUP(C127,customers!$A$1:$A$1001,customers!$C$1:$C$1001,,0))</f>
        <v/>
      </c>
      <c r="H127" s="2" t="str">
        <f>_xlfn.XLOOKUP(C127,customers!$A$1:$A$1001,customers!$G$1:$G$1001,,0)</f>
        <v>United States</v>
      </c>
      <c r="I127" t="str">
        <f>INDEX(products!$A$1:$G$49, MATCH(orders!$D101,products!$A$1:$A148,0), MATCH(orders!I$1,products!$A$1:$G$1,0))</f>
        <v>Lib</v>
      </c>
      <c r="J127" t="str">
        <f>INDEX(products!$A$1:$G$49, MATCH(orders!$D101,products!$A$1:$A148,0), MATCH(orders!J$1,products!$A$1:$G$1,0))</f>
        <v>M</v>
      </c>
      <c r="K127" s="5">
        <f>INDEX(products!$A$1:$G$49, MATCH(orders!$D101,products!$A$1:$A148,0), MATCH(orders!K$1,products!$A$1:$G$1,0))</f>
        <v>0.2</v>
      </c>
      <c r="L127" s="6">
        <f>INDEX(products!$A$1:$G$49, MATCH(orders!$D101,products!$A$1:$A148,0), MATCH(orders!L$1,products!$A$1:$G$1,0))</f>
        <v>4.3650000000000002</v>
      </c>
      <c r="M127" s="6">
        <f t="shared" si="3"/>
        <v>13.095000000000001</v>
      </c>
      <c r="N127" t="str">
        <f t="shared" si="4"/>
        <v>Liberica</v>
      </c>
      <c r="O127" t="str">
        <f t="shared" si="5"/>
        <v>Medium</v>
      </c>
      <c r="P127" t="str">
        <f>_xlfn.XLOOKUP(Orders[[#This Row],[Customer ID]],customers!$A$1:$A$1001,customers!$I$1:$I$1001,,0)</f>
        <v>Yes</v>
      </c>
      <c r="Q127">
        <f>COUNTIF(Orders[Order ID],Orders[[#This Row],[Order ID]])</f>
        <v>1</v>
      </c>
      <c r="R127" s="10">
        <f>SUMIF(Orders[Order ID], Orders[[#This Row],[Order ID]],Orders[Sales])/Orders[[#This Row],[Order Frequency]]</f>
        <v>13.095000000000001</v>
      </c>
      <c r="S127" t="str">
        <f>IF(Orders[[#This Row],[Order Frequency]]&gt;4, "More than 4", IF(AND(Orders[[#This Row],[Order Frequency]]&lt;=4,Orders[[#This Row],[Order Frequency]]&gt;=2), "Between 4 and 2", "Less than 2"))</f>
        <v>Less than 2</v>
      </c>
      <c r="T127" t="str">
        <f>IF(Orders[[#This Row],[Frequency Group]]="less than 2", "Low Value", IF(Orders[[#This Row],[Frequency Group]]="between 4 and 2", "Medium Value", "High Value"))</f>
        <v>Low Value</v>
      </c>
      <c r="U127" t="str">
        <f>IF(Orders[[#This Row],[Sales]]&lt;50, "$0-50", IF(AND(Orders[[#This Row],[Sales]]&gt;=50,Orders[[#This Row],[Sales]]&lt;=100), "$50-100", IF(AND(Orders[[#This Row],[Sales]]&gt;100,Orders[[#This Row],[Sales]]&lt;=150), "$101-150", "$150+")))</f>
        <v>$0-50</v>
      </c>
      <c r="V127" t="str">
        <f>IF(Orders[[#This Row],[Sales]]&gt;MEDIAN(M:M), "High Price", "Low Price")</f>
        <v>Low Price</v>
      </c>
      <c r="W127" t="str">
        <f>IF(Orders[[#This Row],[Quantity]]&gt;MEDIAN(E:E), "High Volume", "Low Volume")</f>
        <v>Low Volume</v>
      </c>
      <c r="X127" t="str">
        <f>Orders[[#This Row],[Sales Tier]] &amp; "-" &amp; Orders[[#This Row],[Quantity Tier]]</f>
        <v>Low Price-Low Volume</v>
      </c>
      <c r="Y127" t="str">
        <f>TEXT(Orders[[#This Row],[Order Date]], "mmmm")</f>
        <v>November</v>
      </c>
      <c r="Z12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127" t="str">
        <f>Orders[[#This Row],[Coffee Type Name]] &amp; "-" &amp; Orders[[#This Row],[Roast Type Name]]</f>
        <v>Liberica-Medium</v>
      </c>
      <c r="AB12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128" spans="1:28" x14ac:dyDescent="0.25">
      <c r="A128" s="2" t="s">
        <v>761</v>
      </c>
      <c r="B128" s="4">
        <v>44085</v>
      </c>
      <c r="C128" s="2" t="s">
        <v>762</v>
      </c>
      <c r="D128" t="s">
        <v>6168</v>
      </c>
      <c r="E128" s="2">
        <v>4</v>
      </c>
      <c r="F128" s="2" t="str">
        <f>_xlfn.XLOOKUP(C128,customers!$A$1:$A$1001,customers!$B$1:$B$1001,,0)</f>
        <v>Raynor McGilvary</v>
      </c>
      <c r="G128" s="2" t="str">
        <f>IF(_xlfn.XLOOKUP(C128,customers!$A$1:$A$1001,customers!$C$1:$C$1001,,0)=0,"",_xlfn.XLOOKUP(C128,customers!$A$1:$A$1001,customers!$C$1:$C$1001,,0))</f>
        <v>rmcgilvary1c@tamu.edu</v>
      </c>
      <c r="H128" s="2" t="str">
        <f>_xlfn.XLOOKUP(C128,customers!$A$1:$A$1001,customers!$G$1:$G$1001,,0)</f>
        <v>United States</v>
      </c>
      <c r="I128" t="str">
        <f>INDEX(products!$A$1:$G$49, MATCH(orders!$D50,products!$A$1:$A97,0), MATCH(orders!I$1,products!$A$1:$G$1,0))</f>
        <v>Ara</v>
      </c>
      <c r="J128" t="str">
        <f>INDEX(products!$A$1:$G$49, MATCH(orders!$D50,products!$A$1:$A97,0), MATCH(orders!J$1,products!$A$1:$G$1,0))</f>
        <v>D</v>
      </c>
      <c r="K128" s="5">
        <f>INDEX(products!$A$1:$G$49, MATCH(orders!$D50,products!$A$1:$A97,0), MATCH(orders!K$1,products!$A$1:$G$1,0))</f>
        <v>2.5</v>
      </c>
      <c r="L128" s="6">
        <f>INDEX(products!$A$1:$G$49, MATCH(orders!$D50,products!$A$1:$A97,0), MATCH(orders!L$1,products!$A$1:$G$1,0))</f>
        <v>22.884999999999998</v>
      </c>
      <c r="M128" s="6">
        <f t="shared" si="3"/>
        <v>91.539999999999992</v>
      </c>
      <c r="N128" t="str">
        <f t="shared" si="4"/>
        <v>Arabica</v>
      </c>
      <c r="O128" t="str">
        <f t="shared" si="5"/>
        <v>Dark</v>
      </c>
      <c r="P128" t="str">
        <f>_xlfn.XLOOKUP(Orders[[#This Row],[Customer ID]],customers!$A$1:$A$1001,customers!$I$1:$I$1001,,0)</f>
        <v>No</v>
      </c>
      <c r="Q128">
        <f>COUNTIF(Orders[Order ID],Orders[[#This Row],[Order ID]])</f>
        <v>1</v>
      </c>
      <c r="R128" s="10">
        <f>SUMIF(Orders[Order ID], Orders[[#This Row],[Order ID]],Orders[Sales])/Orders[[#This Row],[Order Frequency]]</f>
        <v>91.539999999999992</v>
      </c>
      <c r="S128" t="str">
        <f>IF(Orders[[#This Row],[Order Frequency]]&gt;4, "More than 4", IF(AND(Orders[[#This Row],[Order Frequency]]&lt;=4,Orders[[#This Row],[Order Frequency]]&gt;=2), "Between 4 and 2", "Less than 2"))</f>
        <v>Less than 2</v>
      </c>
      <c r="T128" t="str">
        <f>IF(Orders[[#This Row],[Frequency Group]]="less than 2", "Low Value", IF(Orders[[#This Row],[Frequency Group]]="between 4 and 2", "Medium Value", "High Value"))</f>
        <v>Low Value</v>
      </c>
      <c r="U128" t="str">
        <f>IF(Orders[[#This Row],[Sales]]&lt;50, "$0-50", IF(AND(Orders[[#This Row],[Sales]]&gt;=50,Orders[[#This Row],[Sales]]&lt;=100), "$50-100", IF(AND(Orders[[#This Row],[Sales]]&gt;100,Orders[[#This Row],[Sales]]&lt;=150), "$101-150", "$150+")))</f>
        <v>$50-100</v>
      </c>
      <c r="V128" t="str">
        <f>IF(Orders[[#This Row],[Sales]]&gt;MEDIAN(M:M), "High Price", "Low Price")</f>
        <v>High Price</v>
      </c>
      <c r="W128" t="str">
        <f>IF(Orders[[#This Row],[Quantity]]&gt;MEDIAN(E:E), "High Volume", "Low Volume")</f>
        <v>Low Volume</v>
      </c>
      <c r="X128" t="str">
        <f>Orders[[#This Row],[Sales Tier]] &amp; "-" &amp; Orders[[#This Row],[Quantity Tier]]</f>
        <v>High Price-Low Volume</v>
      </c>
      <c r="Y128" t="str">
        <f>TEXT(Orders[[#This Row],[Order Date]], "mmmm")</f>
        <v>September</v>
      </c>
      <c r="Z12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128" t="str">
        <f>Orders[[#This Row],[Coffee Type Name]] &amp; "-" &amp; Orders[[#This Row],[Roast Type Name]]</f>
        <v>Arabica-Dark</v>
      </c>
      <c r="AB12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129" spans="1:28" x14ac:dyDescent="0.25">
      <c r="A129" s="2" t="s">
        <v>5672</v>
      </c>
      <c r="B129" s="4">
        <v>44291</v>
      </c>
      <c r="C129" s="2" t="s">
        <v>5673</v>
      </c>
      <c r="D129" t="s">
        <v>6153</v>
      </c>
      <c r="E129" s="2">
        <v>1</v>
      </c>
      <c r="F129" s="2" t="str">
        <f>_xlfn.XLOOKUP(C129,customers!$A$1:$A$1001,customers!$B$1:$B$1001,,0)</f>
        <v>Harland Trematick</v>
      </c>
      <c r="G129" s="2" t="str">
        <f>IF(_xlfn.XLOOKUP(C129,customers!$A$1:$A$1001,customers!$C$1:$C$1001,,0)=0,"",_xlfn.XLOOKUP(C129,customers!$A$1:$A$1001,customers!$C$1:$C$1001,,0))</f>
        <v/>
      </c>
      <c r="H129" s="2" t="str">
        <f>_xlfn.XLOOKUP(C129,customers!$A$1:$A$1001,customers!$G$1:$G$1001,,0)</f>
        <v>Ireland</v>
      </c>
      <c r="I129" t="str">
        <f>INDEX(products!$A$1:$G$49, MATCH(orders!$D918,products!$A$1:$A965,0), MATCH(orders!I$1,products!$A$1:$G$1,0))</f>
        <v>Exc</v>
      </c>
      <c r="J129" t="str">
        <f>INDEX(products!$A$1:$G$49, MATCH(orders!$D918,products!$A$1:$A965,0), MATCH(orders!J$1,products!$A$1:$G$1,0))</f>
        <v>D</v>
      </c>
      <c r="K129" s="5">
        <f>INDEX(products!$A$1:$G$49, MATCH(orders!$D918,products!$A$1:$A965,0), MATCH(orders!K$1,products!$A$1:$G$1,0))</f>
        <v>0.2</v>
      </c>
      <c r="L129" s="6">
        <f>INDEX(products!$A$1:$G$49, MATCH(orders!$D918,products!$A$1:$A965,0), MATCH(orders!L$1,products!$A$1:$G$1,0))</f>
        <v>3.645</v>
      </c>
      <c r="M129" s="6">
        <f t="shared" si="3"/>
        <v>3.645</v>
      </c>
      <c r="N129" t="str">
        <f t="shared" si="4"/>
        <v>Excelsa</v>
      </c>
      <c r="O129" t="str">
        <f t="shared" si="5"/>
        <v>Dark</v>
      </c>
      <c r="P129" t="str">
        <f>_xlfn.XLOOKUP(Orders[[#This Row],[Customer ID]],customers!$A$1:$A$1001,customers!$I$1:$I$1001,,0)</f>
        <v>Yes</v>
      </c>
      <c r="Q129">
        <f>COUNTIF(Orders[Order ID],Orders[[#This Row],[Order ID]])</f>
        <v>1</v>
      </c>
      <c r="R129" s="10">
        <f>SUMIF(Orders[Order ID], Orders[[#This Row],[Order ID]],Orders[Sales])/Orders[[#This Row],[Order Frequency]]</f>
        <v>3.645</v>
      </c>
      <c r="S129" t="str">
        <f>IF(Orders[[#This Row],[Order Frequency]]&gt;4, "More than 4", IF(AND(Orders[[#This Row],[Order Frequency]]&lt;=4,Orders[[#This Row],[Order Frequency]]&gt;=2), "Between 4 and 2", "Less than 2"))</f>
        <v>Less than 2</v>
      </c>
      <c r="T129" t="str">
        <f>IF(Orders[[#This Row],[Frequency Group]]="less than 2", "Low Value", IF(Orders[[#This Row],[Frequency Group]]="between 4 and 2", "Medium Value", "High Value"))</f>
        <v>Low Value</v>
      </c>
      <c r="U129" t="str">
        <f>IF(Orders[[#This Row],[Sales]]&lt;50, "$0-50", IF(AND(Orders[[#This Row],[Sales]]&gt;=50,Orders[[#This Row],[Sales]]&lt;=100), "$50-100", IF(AND(Orders[[#This Row],[Sales]]&gt;100,Orders[[#This Row],[Sales]]&lt;=150), "$101-150", "$150+")))</f>
        <v>$0-50</v>
      </c>
      <c r="V129" t="str">
        <f>IF(Orders[[#This Row],[Sales]]&gt;MEDIAN(M:M), "High Price", "Low Price")</f>
        <v>Low Price</v>
      </c>
      <c r="W129" t="str">
        <f>IF(Orders[[#This Row],[Quantity]]&gt;MEDIAN(E:E), "High Volume", "Low Volume")</f>
        <v>Low Volume</v>
      </c>
      <c r="X129" t="str">
        <f>Orders[[#This Row],[Sales Tier]] &amp; "-" &amp; Orders[[#This Row],[Quantity Tier]]</f>
        <v>Low Price-Low Volume</v>
      </c>
      <c r="Y129" t="str">
        <f>TEXT(Orders[[#This Row],[Order Date]], "mmmm")</f>
        <v>April</v>
      </c>
      <c r="Z12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129" t="str">
        <f>Orders[[#This Row],[Coffee Type Name]] &amp; "-" &amp; Orders[[#This Row],[Roast Type Name]]</f>
        <v>Excelsa-Dark</v>
      </c>
      <c r="AB12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130" spans="1:28" x14ac:dyDescent="0.25">
      <c r="A130" s="2" t="s">
        <v>4753</v>
      </c>
      <c r="B130" s="4">
        <v>44726</v>
      </c>
      <c r="C130" s="2" t="s">
        <v>4434</v>
      </c>
      <c r="D130" t="s">
        <v>6154</v>
      </c>
      <c r="E130" s="2">
        <v>6</v>
      </c>
      <c r="F130" s="2" t="str">
        <f>_xlfn.XLOOKUP(C130,customers!$A$1:$A$1001,customers!$B$1:$B$1001,,0)</f>
        <v>Jimmy Dymoke</v>
      </c>
      <c r="G130" s="2" t="str">
        <f>IF(_xlfn.XLOOKUP(C130,customers!$A$1:$A$1001,customers!$C$1:$C$1001,,0)=0,"",_xlfn.XLOOKUP(C130,customers!$A$1:$A$1001,customers!$C$1:$C$1001,,0))</f>
        <v>jdymokeje@prnewswire.com</v>
      </c>
      <c r="H130" s="2" t="str">
        <f>_xlfn.XLOOKUP(C130,customers!$A$1:$A$1001,customers!$G$1:$G$1001,,0)</f>
        <v>Ireland</v>
      </c>
      <c r="I130" t="str">
        <f>INDEX(products!$A$1:$G$49, MATCH(orders!$D756,products!$A$1:$A803,0), MATCH(orders!I$1,products!$A$1:$G$1,0))</f>
        <v>Ara</v>
      </c>
      <c r="J130" t="str">
        <f>INDEX(products!$A$1:$G$49, MATCH(orders!$D756,products!$A$1:$A803,0), MATCH(orders!J$1,products!$A$1:$G$1,0))</f>
        <v>D</v>
      </c>
      <c r="K130" s="5">
        <f>INDEX(products!$A$1:$G$49, MATCH(orders!$D756,products!$A$1:$A803,0), MATCH(orders!K$1,products!$A$1:$G$1,0))</f>
        <v>0.2</v>
      </c>
      <c r="L130" s="6">
        <f>INDEX(products!$A$1:$G$49, MATCH(orders!$D756,products!$A$1:$A803,0), MATCH(orders!L$1,products!$A$1:$G$1,0))</f>
        <v>2.9849999999999999</v>
      </c>
      <c r="M130" s="6">
        <f t="shared" ref="M130:M193" si="6">L130*E130</f>
        <v>17.91</v>
      </c>
      <c r="N130" t="str">
        <f t="shared" ref="N130:N193" si="7">IF(I130="Rob", "Robusta", IF(I130="Exc", "Excelsa", IF(I130="Ara","Arabica", IF(I130="Lib", "Liberica",""))))</f>
        <v>Arabica</v>
      </c>
      <c r="O130" t="str">
        <f t="shared" ref="O130:O193" si="8">IF(J130="M", "Medium", IF(J130="L", "Light", IF(J130="D", "Dark", "")))</f>
        <v>Dark</v>
      </c>
      <c r="P130" t="str">
        <f>_xlfn.XLOOKUP(Orders[[#This Row],[Customer ID]],customers!$A$1:$A$1001,customers!$I$1:$I$1001,,0)</f>
        <v>No</v>
      </c>
      <c r="Q130">
        <f>COUNTIF(Orders[Order ID],Orders[[#This Row],[Order ID]])</f>
        <v>1</v>
      </c>
      <c r="R130" s="10">
        <f>SUMIF(Orders[Order ID], Orders[[#This Row],[Order ID]],Orders[Sales])/Orders[[#This Row],[Order Frequency]]</f>
        <v>17.91</v>
      </c>
      <c r="S130" t="str">
        <f>IF(Orders[[#This Row],[Order Frequency]]&gt;4, "More than 4", IF(AND(Orders[[#This Row],[Order Frequency]]&lt;=4,Orders[[#This Row],[Order Frequency]]&gt;=2), "Between 4 and 2", "Less than 2"))</f>
        <v>Less than 2</v>
      </c>
      <c r="T130" t="str">
        <f>IF(Orders[[#This Row],[Frequency Group]]="less than 2", "Low Value", IF(Orders[[#This Row],[Frequency Group]]="between 4 and 2", "Medium Value", "High Value"))</f>
        <v>Low Value</v>
      </c>
      <c r="U130" t="str">
        <f>IF(Orders[[#This Row],[Sales]]&lt;50, "$0-50", IF(AND(Orders[[#This Row],[Sales]]&gt;=50,Orders[[#This Row],[Sales]]&lt;=100), "$50-100", IF(AND(Orders[[#This Row],[Sales]]&gt;100,Orders[[#This Row],[Sales]]&lt;=150), "$101-150", "$150+")))</f>
        <v>$0-50</v>
      </c>
      <c r="V130" t="str">
        <f>IF(Orders[[#This Row],[Sales]]&gt;MEDIAN(M:M), "High Price", "Low Price")</f>
        <v>Low Price</v>
      </c>
      <c r="W130" t="str">
        <f>IF(Orders[[#This Row],[Quantity]]&gt;MEDIAN(E:E), "High Volume", "Low Volume")</f>
        <v>High Volume</v>
      </c>
      <c r="X130" t="str">
        <f>Orders[[#This Row],[Sales Tier]] &amp; "-" &amp; Orders[[#This Row],[Quantity Tier]]</f>
        <v>Low Price-High Volume</v>
      </c>
      <c r="Y130" t="str">
        <f>TEXT(Orders[[#This Row],[Order Date]], "mmmm")</f>
        <v>June</v>
      </c>
      <c r="Z13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130" t="str">
        <f>Orders[[#This Row],[Coffee Type Name]] &amp; "-" &amp; Orders[[#This Row],[Roast Type Name]]</f>
        <v>Arabica-Dark</v>
      </c>
      <c r="AB13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131" spans="1:28" x14ac:dyDescent="0.25">
      <c r="A131" s="2" t="s">
        <v>1567</v>
      </c>
      <c r="B131" s="4">
        <v>43567</v>
      </c>
      <c r="C131" s="2" t="s">
        <v>1568</v>
      </c>
      <c r="D131" t="s">
        <v>6150</v>
      </c>
      <c r="E131" s="2">
        <v>5</v>
      </c>
      <c r="F131" s="2" t="str">
        <f>_xlfn.XLOOKUP(C131,customers!$A$1:$A$1001,customers!$B$1:$B$1001,,0)</f>
        <v>Alisun Baudino</v>
      </c>
      <c r="G131" s="2" t="str">
        <f>IF(_xlfn.XLOOKUP(C131,customers!$A$1:$A$1001,customers!$C$1:$C$1001,,0)=0,"",_xlfn.XLOOKUP(C131,customers!$A$1:$A$1001,customers!$C$1:$C$1001,,0))</f>
        <v>abaudino5b@netvibes.com</v>
      </c>
      <c r="H131" s="2" t="str">
        <f>_xlfn.XLOOKUP(C131,customers!$A$1:$A$1001,customers!$G$1:$G$1001,,0)</f>
        <v>United States</v>
      </c>
      <c r="I131" t="str">
        <f>INDEX(products!$A$1:$G$49, MATCH(orders!$D193,products!$A$1:$A240,0), MATCH(orders!I$1,products!$A$1:$G$1,0))</f>
        <v>Lib</v>
      </c>
      <c r="J131" t="str">
        <f>INDEX(products!$A$1:$G$49, MATCH(orders!$D193,products!$A$1:$A240,0), MATCH(orders!J$1,products!$A$1:$G$1,0))</f>
        <v>D</v>
      </c>
      <c r="K131" s="5">
        <f>INDEX(products!$A$1:$G$49, MATCH(orders!$D193,products!$A$1:$A240,0), MATCH(orders!K$1,products!$A$1:$G$1,0))</f>
        <v>0.2</v>
      </c>
      <c r="L131" s="6">
        <f>INDEX(products!$A$1:$G$49, MATCH(orders!$D193,products!$A$1:$A240,0), MATCH(orders!L$1,products!$A$1:$G$1,0))</f>
        <v>3.8849999999999998</v>
      </c>
      <c r="M131" s="6">
        <f t="shared" si="6"/>
        <v>19.424999999999997</v>
      </c>
      <c r="N131" t="str">
        <f t="shared" si="7"/>
        <v>Liberica</v>
      </c>
      <c r="O131" t="str">
        <f t="shared" si="8"/>
        <v>Dark</v>
      </c>
      <c r="P131" t="str">
        <f>_xlfn.XLOOKUP(Orders[[#This Row],[Customer ID]],customers!$A$1:$A$1001,customers!$I$1:$I$1001,,0)</f>
        <v>Yes</v>
      </c>
      <c r="Q131">
        <f>COUNTIF(Orders[Order ID],Orders[[#This Row],[Order ID]])</f>
        <v>1</v>
      </c>
      <c r="R131" s="10">
        <f>SUMIF(Orders[Order ID], Orders[[#This Row],[Order ID]],Orders[Sales])/Orders[[#This Row],[Order Frequency]]</f>
        <v>19.424999999999997</v>
      </c>
      <c r="S131" t="str">
        <f>IF(Orders[[#This Row],[Order Frequency]]&gt;4, "More than 4", IF(AND(Orders[[#This Row],[Order Frequency]]&lt;=4,Orders[[#This Row],[Order Frequency]]&gt;=2), "Between 4 and 2", "Less than 2"))</f>
        <v>Less than 2</v>
      </c>
      <c r="T131" t="str">
        <f>IF(Orders[[#This Row],[Frequency Group]]="less than 2", "Low Value", IF(Orders[[#This Row],[Frequency Group]]="between 4 and 2", "Medium Value", "High Value"))</f>
        <v>Low Value</v>
      </c>
      <c r="U131" t="str">
        <f>IF(Orders[[#This Row],[Sales]]&lt;50, "$0-50", IF(AND(Orders[[#This Row],[Sales]]&gt;=50,Orders[[#This Row],[Sales]]&lt;=100), "$50-100", IF(AND(Orders[[#This Row],[Sales]]&gt;100,Orders[[#This Row],[Sales]]&lt;=150), "$101-150", "$150+")))</f>
        <v>$0-50</v>
      </c>
      <c r="V131" t="str">
        <f>IF(Orders[[#This Row],[Sales]]&gt;MEDIAN(M:M), "High Price", "Low Price")</f>
        <v>Low Price</v>
      </c>
      <c r="W131" t="str">
        <f>IF(Orders[[#This Row],[Quantity]]&gt;MEDIAN(E:E), "High Volume", "Low Volume")</f>
        <v>High Volume</v>
      </c>
      <c r="X131" t="str">
        <f>Orders[[#This Row],[Sales Tier]] &amp; "-" &amp; Orders[[#This Row],[Quantity Tier]]</f>
        <v>Low Price-High Volume</v>
      </c>
      <c r="Y131" t="str">
        <f>TEXT(Orders[[#This Row],[Order Date]], "mmmm")</f>
        <v>April</v>
      </c>
      <c r="Z13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131" t="str">
        <f>Orders[[#This Row],[Coffee Type Name]] &amp; "-" &amp; Orders[[#This Row],[Roast Type Name]]</f>
        <v>Liberica-Dark</v>
      </c>
      <c r="AB13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132" spans="1:28" x14ac:dyDescent="0.25">
      <c r="A132" s="2" t="s">
        <v>3532</v>
      </c>
      <c r="B132" s="4">
        <v>44482</v>
      </c>
      <c r="C132" s="2" t="s">
        <v>3533</v>
      </c>
      <c r="D132" t="s">
        <v>6163</v>
      </c>
      <c r="E132" s="2">
        <v>4</v>
      </c>
      <c r="F132" s="2" t="str">
        <f>_xlfn.XLOOKUP(C132,customers!$A$1:$A$1001,customers!$B$1:$B$1001,,0)</f>
        <v>Amii Gallyon</v>
      </c>
      <c r="G132" s="2" t="str">
        <f>IF(_xlfn.XLOOKUP(C132,customers!$A$1:$A$1001,customers!$C$1:$C$1001,,0)=0,"",_xlfn.XLOOKUP(C132,customers!$A$1:$A$1001,customers!$C$1:$C$1001,,0))</f>
        <v>agallyoney@engadget.com</v>
      </c>
      <c r="H132" s="2" t="str">
        <f>_xlfn.XLOOKUP(C132,customers!$A$1:$A$1001,customers!$G$1:$G$1001,,0)</f>
        <v>United States</v>
      </c>
      <c r="I132" t="str">
        <f>INDEX(products!$A$1:$G$49, MATCH(orders!$D540,products!$A$1:$A587,0), MATCH(orders!I$1,products!$A$1:$G$1,0))</f>
        <v>Rob</v>
      </c>
      <c r="J132" t="str">
        <f>INDEX(products!$A$1:$G$49, MATCH(orders!$D540,products!$A$1:$A587,0), MATCH(orders!J$1,products!$A$1:$G$1,0))</f>
        <v>D</v>
      </c>
      <c r="K132" s="5">
        <f>INDEX(products!$A$1:$G$49, MATCH(orders!$D540,products!$A$1:$A587,0), MATCH(orders!K$1,products!$A$1:$G$1,0))</f>
        <v>0.2</v>
      </c>
      <c r="L132" s="6">
        <f>INDEX(products!$A$1:$G$49, MATCH(orders!$D540,products!$A$1:$A587,0), MATCH(orders!L$1,products!$A$1:$G$1,0))</f>
        <v>2.6849999999999996</v>
      </c>
      <c r="M132" s="6">
        <f t="shared" si="6"/>
        <v>10.739999999999998</v>
      </c>
      <c r="N132" t="str">
        <f t="shared" si="7"/>
        <v>Robusta</v>
      </c>
      <c r="O132" t="str">
        <f t="shared" si="8"/>
        <v>Dark</v>
      </c>
      <c r="P132" t="str">
        <f>_xlfn.XLOOKUP(Orders[[#This Row],[Customer ID]],customers!$A$1:$A$1001,customers!$I$1:$I$1001,,0)</f>
        <v>Yes</v>
      </c>
      <c r="Q132">
        <f>COUNTIF(Orders[Order ID],Orders[[#This Row],[Order ID]])</f>
        <v>1</v>
      </c>
      <c r="R132" s="10">
        <f>SUMIF(Orders[Order ID], Orders[[#This Row],[Order ID]],Orders[Sales])/Orders[[#This Row],[Order Frequency]]</f>
        <v>10.739999999999998</v>
      </c>
      <c r="S132" t="str">
        <f>IF(Orders[[#This Row],[Order Frequency]]&gt;4, "More than 4", IF(AND(Orders[[#This Row],[Order Frequency]]&lt;=4,Orders[[#This Row],[Order Frequency]]&gt;=2), "Between 4 and 2", "Less than 2"))</f>
        <v>Less than 2</v>
      </c>
      <c r="T132" t="str">
        <f>IF(Orders[[#This Row],[Frequency Group]]="less than 2", "Low Value", IF(Orders[[#This Row],[Frequency Group]]="between 4 and 2", "Medium Value", "High Value"))</f>
        <v>Low Value</v>
      </c>
      <c r="U132" t="str">
        <f>IF(Orders[[#This Row],[Sales]]&lt;50, "$0-50", IF(AND(Orders[[#This Row],[Sales]]&gt;=50,Orders[[#This Row],[Sales]]&lt;=100), "$50-100", IF(AND(Orders[[#This Row],[Sales]]&gt;100,Orders[[#This Row],[Sales]]&lt;=150), "$101-150", "$150+")))</f>
        <v>$0-50</v>
      </c>
      <c r="V132" t="str">
        <f>IF(Orders[[#This Row],[Sales]]&gt;MEDIAN(M:M), "High Price", "Low Price")</f>
        <v>Low Price</v>
      </c>
      <c r="W132" t="str">
        <f>IF(Orders[[#This Row],[Quantity]]&gt;MEDIAN(E:E), "High Volume", "Low Volume")</f>
        <v>Low Volume</v>
      </c>
      <c r="X132" t="str">
        <f>Orders[[#This Row],[Sales Tier]] &amp; "-" &amp; Orders[[#This Row],[Quantity Tier]]</f>
        <v>Low Price-Low Volume</v>
      </c>
      <c r="Y132" t="str">
        <f>TEXT(Orders[[#This Row],[Order Date]], "mmmm")</f>
        <v>October</v>
      </c>
      <c r="Z13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132" t="str">
        <f>Orders[[#This Row],[Coffee Type Name]] &amp; "-" &amp; Orders[[#This Row],[Roast Type Name]]</f>
        <v>Robusta-Dark</v>
      </c>
      <c r="AB13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133" spans="1:28" x14ac:dyDescent="0.25">
      <c r="A133" s="2" t="s">
        <v>2123</v>
      </c>
      <c r="B133" s="4">
        <v>43772</v>
      </c>
      <c r="C133" s="2" t="s">
        <v>2124</v>
      </c>
      <c r="D133" t="s">
        <v>6163</v>
      </c>
      <c r="E133" s="2">
        <v>5</v>
      </c>
      <c r="F133" s="2" t="str">
        <f>_xlfn.XLOOKUP(C133,customers!$A$1:$A$1001,customers!$B$1:$B$1001,,0)</f>
        <v>Marris Grcic</v>
      </c>
      <c r="G133" s="2" t="str">
        <f>IF(_xlfn.XLOOKUP(C133,customers!$A$1:$A$1001,customers!$C$1:$C$1001,,0)=0,"",_xlfn.XLOOKUP(C133,customers!$A$1:$A$1001,customers!$C$1:$C$1001,,0))</f>
        <v/>
      </c>
      <c r="H133" s="2" t="str">
        <f>_xlfn.XLOOKUP(C133,customers!$A$1:$A$1001,customers!$G$1:$G$1001,,0)</f>
        <v>United States</v>
      </c>
      <c r="I133" t="str">
        <f>INDEX(products!$A$1:$G$49, MATCH(orders!$D291,products!$A$1:$A338,0), MATCH(orders!I$1,products!$A$1:$G$1,0))</f>
        <v>Rob</v>
      </c>
      <c r="J133" t="str">
        <f>INDEX(products!$A$1:$G$49, MATCH(orders!$D291,products!$A$1:$A338,0), MATCH(orders!J$1,products!$A$1:$G$1,0))</f>
        <v>D</v>
      </c>
      <c r="K133" s="5">
        <f>INDEX(products!$A$1:$G$49, MATCH(orders!$D291,products!$A$1:$A338,0), MATCH(orders!K$1,products!$A$1:$G$1,0))</f>
        <v>0.2</v>
      </c>
      <c r="L133" s="6">
        <f>INDEX(products!$A$1:$G$49, MATCH(orders!$D291,products!$A$1:$A338,0), MATCH(orders!L$1,products!$A$1:$G$1,0))</f>
        <v>2.6849999999999996</v>
      </c>
      <c r="M133" s="6">
        <f t="shared" si="6"/>
        <v>13.424999999999997</v>
      </c>
      <c r="N133" t="str">
        <f t="shared" si="7"/>
        <v>Robusta</v>
      </c>
      <c r="O133" t="str">
        <f t="shared" si="8"/>
        <v>Dark</v>
      </c>
      <c r="P133" t="str">
        <f>_xlfn.XLOOKUP(Orders[[#This Row],[Customer ID]],customers!$A$1:$A$1001,customers!$I$1:$I$1001,,0)</f>
        <v>Yes</v>
      </c>
      <c r="Q133">
        <f>COUNTIF(Orders[Order ID],Orders[[#This Row],[Order ID]])</f>
        <v>1</v>
      </c>
      <c r="R133" s="10">
        <f>SUMIF(Orders[Order ID], Orders[[#This Row],[Order ID]],Orders[Sales])/Orders[[#This Row],[Order Frequency]]</f>
        <v>13.424999999999997</v>
      </c>
      <c r="S133" t="str">
        <f>IF(Orders[[#This Row],[Order Frequency]]&gt;4, "More than 4", IF(AND(Orders[[#This Row],[Order Frequency]]&lt;=4,Orders[[#This Row],[Order Frequency]]&gt;=2), "Between 4 and 2", "Less than 2"))</f>
        <v>Less than 2</v>
      </c>
      <c r="T133" t="str">
        <f>IF(Orders[[#This Row],[Frequency Group]]="less than 2", "Low Value", IF(Orders[[#This Row],[Frequency Group]]="between 4 and 2", "Medium Value", "High Value"))</f>
        <v>Low Value</v>
      </c>
      <c r="U133" t="str">
        <f>IF(Orders[[#This Row],[Sales]]&lt;50, "$0-50", IF(AND(Orders[[#This Row],[Sales]]&gt;=50,Orders[[#This Row],[Sales]]&lt;=100), "$50-100", IF(AND(Orders[[#This Row],[Sales]]&gt;100,Orders[[#This Row],[Sales]]&lt;=150), "$101-150", "$150+")))</f>
        <v>$0-50</v>
      </c>
      <c r="V133" t="str">
        <f>IF(Orders[[#This Row],[Sales]]&gt;MEDIAN(M:M), "High Price", "Low Price")</f>
        <v>Low Price</v>
      </c>
      <c r="W133" t="str">
        <f>IF(Orders[[#This Row],[Quantity]]&gt;MEDIAN(E:E), "High Volume", "Low Volume")</f>
        <v>High Volume</v>
      </c>
      <c r="X133" t="str">
        <f>Orders[[#This Row],[Sales Tier]] &amp; "-" &amp; Orders[[#This Row],[Quantity Tier]]</f>
        <v>Low Price-High Volume</v>
      </c>
      <c r="Y133" t="str">
        <f>TEXT(Orders[[#This Row],[Order Date]], "mmmm")</f>
        <v>November</v>
      </c>
      <c r="Z13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133" t="str">
        <f>Orders[[#This Row],[Coffee Type Name]] &amp; "-" &amp; Orders[[#This Row],[Roast Type Name]]</f>
        <v>Robusta-Dark</v>
      </c>
      <c r="AB13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134" spans="1:28" x14ac:dyDescent="0.25">
      <c r="A134" s="2" t="s">
        <v>1322</v>
      </c>
      <c r="B134" s="4">
        <v>44551</v>
      </c>
      <c r="C134" s="2" t="s">
        <v>1323</v>
      </c>
      <c r="D134" t="s">
        <v>6153</v>
      </c>
      <c r="E134" s="2">
        <v>5</v>
      </c>
      <c r="F134" s="2" t="str">
        <f>_xlfn.XLOOKUP(C134,customers!$A$1:$A$1001,customers!$B$1:$B$1001,,0)</f>
        <v>Giacobo Skingle</v>
      </c>
      <c r="G134" s="2" t="str">
        <f>IF(_xlfn.XLOOKUP(C134,customers!$A$1:$A$1001,customers!$C$1:$C$1001,,0)=0,"",_xlfn.XLOOKUP(C134,customers!$A$1:$A$1001,customers!$C$1:$C$1001,,0))</f>
        <v>gskingle44@clickbank.net</v>
      </c>
      <c r="H134" s="2" t="str">
        <f>_xlfn.XLOOKUP(C134,customers!$A$1:$A$1001,customers!$G$1:$G$1001,,0)</f>
        <v>United States</v>
      </c>
      <c r="I134" t="str">
        <f>INDEX(products!$A$1:$G$49, MATCH(orders!$D150,products!$A$1:$A197,0), MATCH(orders!I$1,products!$A$1:$G$1,0))</f>
        <v>Exc</v>
      </c>
      <c r="J134" t="str">
        <f>INDEX(products!$A$1:$G$49, MATCH(orders!$D150,products!$A$1:$A197,0), MATCH(orders!J$1,products!$A$1:$G$1,0))</f>
        <v>D</v>
      </c>
      <c r="K134" s="5">
        <f>INDEX(products!$A$1:$G$49, MATCH(orders!$D150,products!$A$1:$A197,0), MATCH(orders!K$1,products!$A$1:$G$1,0))</f>
        <v>0.2</v>
      </c>
      <c r="L134" s="6">
        <f>INDEX(products!$A$1:$G$49, MATCH(orders!$D150,products!$A$1:$A197,0), MATCH(orders!L$1,products!$A$1:$G$1,0))</f>
        <v>3.645</v>
      </c>
      <c r="M134" s="6">
        <f t="shared" si="6"/>
        <v>18.225000000000001</v>
      </c>
      <c r="N134" t="str">
        <f t="shared" si="7"/>
        <v>Excelsa</v>
      </c>
      <c r="O134" t="str">
        <f t="shared" si="8"/>
        <v>Dark</v>
      </c>
      <c r="P134" t="str">
        <f>_xlfn.XLOOKUP(Orders[[#This Row],[Customer ID]],customers!$A$1:$A$1001,customers!$I$1:$I$1001,,0)</f>
        <v>Yes</v>
      </c>
      <c r="Q134">
        <f>COUNTIF(Orders[Order ID],Orders[[#This Row],[Order ID]])</f>
        <v>1</v>
      </c>
      <c r="R134" s="10">
        <f>SUMIF(Orders[Order ID], Orders[[#This Row],[Order ID]],Orders[Sales])/Orders[[#This Row],[Order Frequency]]</f>
        <v>18.225000000000001</v>
      </c>
      <c r="S134" t="str">
        <f>IF(Orders[[#This Row],[Order Frequency]]&gt;4, "More than 4", IF(AND(Orders[[#This Row],[Order Frequency]]&lt;=4,Orders[[#This Row],[Order Frequency]]&gt;=2), "Between 4 and 2", "Less than 2"))</f>
        <v>Less than 2</v>
      </c>
      <c r="T134" t="str">
        <f>IF(Orders[[#This Row],[Frequency Group]]="less than 2", "Low Value", IF(Orders[[#This Row],[Frequency Group]]="between 4 and 2", "Medium Value", "High Value"))</f>
        <v>Low Value</v>
      </c>
      <c r="U134" t="str">
        <f>IF(Orders[[#This Row],[Sales]]&lt;50, "$0-50", IF(AND(Orders[[#This Row],[Sales]]&gt;=50,Orders[[#This Row],[Sales]]&lt;=100), "$50-100", IF(AND(Orders[[#This Row],[Sales]]&gt;100,Orders[[#This Row],[Sales]]&lt;=150), "$101-150", "$150+")))</f>
        <v>$0-50</v>
      </c>
      <c r="V134" t="str">
        <f>IF(Orders[[#This Row],[Sales]]&gt;MEDIAN(M:M), "High Price", "Low Price")</f>
        <v>Low Price</v>
      </c>
      <c r="W134" t="str">
        <f>IF(Orders[[#This Row],[Quantity]]&gt;MEDIAN(E:E), "High Volume", "Low Volume")</f>
        <v>High Volume</v>
      </c>
      <c r="X134" t="str">
        <f>Orders[[#This Row],[Sales Tier]] &amp; "-" &amp; Orders[[#This Row],[Quantity Tier]]</f>
        <v>Low Price-High Volume</v>
      </c>
      <c r="Y134" t="str">
        <f>TEXT(Orders[[#This Row],[Order Date]], "mmmm")</f>
        <v>December</v>
      </c>
      <c r="Z13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134" t="str">
        <f>Orders[[#This Row],[Coffee Type Name]] &amp; "-" &amp; Orders[[#This Row],[Roast Type Name]]</f>
        <v>Excelsa-Dark</v>
      </c>
      <c r="AB13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35" spans="1:28" x14ac:dyDescent="0.25">
      <c r="A135" s="2" t="s">
        <v>1958</v>
      </c>
      <c r="B135" s="4">
        <v>44156</v>
      </c>
      <c r="C135" s="2" t="s">
        <v>1959</v>
      </c>
      <c r="D135" t="s">
        <v>6142</v>
      </c>
      <c r="E135" s="2">
        <v>1</v>
      </c>
      <c r="F135" s="2" t="str">
        <f>_xlfn.XLOOKUP(C135,customers!$A$1:$A$1001,customers!$B$1:$B$1001,,0)</f>
        <v>Tani Taffarello</v>
      </c>
      <c r="G135" s="2" t="str">
        <f>IF(_xlfn.XLOOKUP(C135,customers!$A$1:$A$1001,customers!$C$1:$C$1001,,0)=0,"",_xlfn.XLOOKUP(C135,customers!$A$1:$A$1001,customers!$C$1:$C$1001,,0))</f>
        <v>ttaffarello78@sciencedaily.com</v>
      </c>
      <c r="H135" s="2" t="str">
        <f>_xlfn.XLOOKUP(C135,customers!$A$1:$A$1001,customers!$G$1:$G$1001,,0)</f>
        <v>United States</v>
      </c>
      <c r="I135" t="str">
        <f>INDEX(products!$A$1:$G$49, MATCH(orders!$D262,products!$A$1:$A309,0), MATCH(orders!I$1,products!$A$1:$G$1,0))</f>
        <v>Rob</v>
      </c>
      <c r="J135" t="str">
        <f>INDEX(products!$A$1:$G$49, MATCH(orders!$D262,products!$A$1:$A309,0), MATCH(orders!J$1,products!$A$1:$G$1,0))</f>
        <v>L</v>
      </c>
      <c r="K135" s="5">
        <f>INDEX(products!$A$1:$G$49, MATCH(orders!$D262,products!$A$1:$A309,0), MATCH(orders!K$1,products!$A$1:$G$1,0))</f>
        <v>2.5</v>
      </c>
      <c r="L135" s="6">
        <f>INDEX(products!$A$1:$G$49, MATCH(orders!$D262,products!$A$1:$A309,0), MATCH(orders!L$1,products!$A$1:$G$1,0))</f>
        <v>27.484999999999996</v>
      </c>
      <c r="M135" s="6">
        <f t="shared" si="6"/>
        <v>27.484999999999996</v>
      </c>
      <c r="N135" t="str">
        <f t="shared" si="7"/>
        <v>Robusta</v>
      </c>
      <c r="O135" t="str">
        <f t="shared" si="8"/>
        <v>Light</v>
      </c>
      <c r="P135" t="str">
        <f>_xlfn.XLOOKUP(Orders[[#This Row],[Customer ID]],customers!$A$1:$A$1001,customers!$I$1:$I$1001,,0)</f>
        <v>Yes</v>
      </c>
      <c r="Q135">
        <f>COUNTIF(Orders[Order ID],Orders[[#This Row],[Order ID]])</f>
        <v>1</v>
      </c>
      <c r="R135" s="10">
        <f>SUMIF(Orders[Order ID], Orders[[#This Row],[Order ID]],Orders[Sales])/Orders[[#This Row],[Order Frequency]]</f>
        <v>27.484999999999996</v>
      </c>
      <c r="S135" t="str">
        <f>IF(Orders[[#This Row],[Order Frequency]]&gt;4, "More than 4", IF(AND(Orders[[#This Row],[Order Frequency]]&lt;=4,Orders[[#This Row],[Order Frequency]]&gt;=2), "Between 4 and 2", "Less than 2"))</f>
        <v>Less than 2</v>
      </c>
      <c r="T135" t="str">
        <f>IF(Orders[[#This Row],[Frequency Group]]="less than 2", "Low Value", IF(Orders[[#This Row],[Frequency Group]]="between 4 and 2", "Medium Value", "High Value"))</f>
        <v>Low Value</v>
      </c>
      <c r="U135" t="str">
        <f>IF(Orders[[#This Row],[Sales]]&lt;50, "$0-50", IF(AND(Orders[[#This Row],[Sales]]&gt;=50,Orders[[#This Row],[Sales]]&lt;=100), "$50-100", IF(AND(Orders[[#This Row],[Sales]]&gt;100,Orders[[#This Row],[Sales]]&lt;=150), "$101-150", "$150+")))</f>
        <v>$0-50</v>
      </c>
      <c r="V135" t="str">
        <f>IF(Orders[[#This Row],[Sales]]&gt;MEDIAN(M:M), "High Price", "Low Price")</f>
        <v>Low Price</v>
      </c>
      <c r="W135" t="str">
        <f>IF(Orders[[#This Row],[Quantity]]&gt;MEDIAN(E:E), "High Volume", "Low Volume")</f>
        <v>Low Volume</v>
      </c>
      <c r="X135" t="str">
        <f>Orders[[#This Row],[Sales Tier]] &amp; "-" &amp; Orders[[#This Row],[Quantity Tier]]</f>
        <v>Low Price-Low Volume</v>
      </c>
      <c r="Y135" t="str">
        <f>TEXT(Orders[[#This Row],[Order Date]], "mmmm")</f>
        <v>November</v>
      </c>
      <c r="Z13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135" t="str">
        <f>Orders[[#This Row],[Coffee Type Name]] &amp; "-" &amp; Orders[[#This Row],[Roast Type Name]]</f>
        <v>Robusta-Light</v>
      </c>
      <c r="AB13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136" spans="1:28" x14ac:dyDescent="0.25">
      <c r="A136" s="2" t="s">
        <v>3413</v>
      </c>
      <c r="B136" s="4">
        <v>44678</v>
      </c>
      <c r="C136" s="2" t="s">
        <v>3414</v>
      </c>
      <c r="D136" t="s">
        <v>6150</v>
      </c>
      <c r="E136" s="2">
        <v>2</v>
      </c>
      <c r="F136" s="2" t="str">
        <f>_xlfn.XLOOKUP(C136,customers!$A$1:$A$1001,customers!$B$1:$B$1001,,0)</f>
        <v>Channa Belamy</v>
      </c>
      <c r="G136" s="2" t="str">
        <f>IF(_xlfn.XLOOKUP(C136,customers!$A$1:$A$1001,customers!$C$1:$C$1001,,0)=0,"",_xlfn.XLOOKUP(C136,customers!$A$1:$A$1001,customers!$C$1:$C$1001,,0))</f>
        <v/>
      </c>
      <c r="H136" s="2" t="str">
        <f>_xlfn.XLOOKUP(C136,customers!$A$1:$A$1001,customers!$G$1:$G$1001,,0)</f>
        <v>United States</v>
      </c>
      <c r="I136" t="str">
        <f>INDEX(products!$A$1:$G$49, MATCH(orders!$D519,products!$A$1:$A566,0), MATCH(orders!I$1,products!$A$1:$G$1,0))</f>
        <v>Lib</v>
      </c>
      <c r="J136" t="str">
        <f>INDEX(products!$A$1:$G$49, MATCH(orders!$D519,products!$A$1:$A566,0), MATCH(orders!J$1,products!$A$1:$G$1,0))</f>
        <v>D</v>
      </c>
      <c r="K136" s="5">
        <f>INDEX(products!$A$1:$G$49, MATCH(orders!$D519,products!$A$1:$A566,0), MATCH(orders!K$1,products!$A$1:$G$1,0))</f>
        <v>0.2</v>
      </c>
      <c r="L136" s="6">
        <f>INDEX(products!$A$1:$G$49, MATCH(orders!$D519,products!$A$1:$A566,0), MATCH(orders!L$1,products!$A$1:$G$1,0))</f>
        <v>3.8849999999999998</v>
      </c>
      <c r="M136" s="6">
        <f t="shared" si="6"/>
        <v>7.77</v>
      </c>
      <c r="N136" t="str">
        <f t="shared" si="7"/>
        <v>Liberica</v>
      </c>
      <c r="O136" t="str">
        <f t="shared" si="8"/>
        <v>Dark</v>
      </c>
      <c r="P136" t="str">
        <f>_xlfn.XLOOKUP(Orders[[#This Row],[Customer ID]],customers!$A$1:$A$1001,customers!$I$1:$I$1001,,0)</f>
        <v>No</v>
      </c>
      <c r="Q136">
        <f>COUNTIF(Orders[Order ID],Orders[[#This Row],[Order ID]])</f>
        <v>1</v>
      </c>
      <c r="R136" s="10">
        <f>SUMIF(Orders[Order ID], Orders[[#This Row],[Order ID]],Orders[Sales])/Orders[[#This Row],[Order Frequency]]</f>
        <v>7.77</v>
      </c>
      <c r="S136" t="str">
        <f>IF(Orders[[#This Row],[Order Frequency]]&gt;4, "More than 4", IF(AND(Orders[[#This Row],[Order Frequency]]&lt;=4,Orders[[#This Row],[Order Frequency]]&gt;=2), "Between 4 and 2", "Less than 2"))</f>
        <v>Less than 2</v>
      </c>
      <c r="T136" t="str">
        <f>IF(Orders[[#This Row],[Frequency Group]]="less than 2", "Low Value", IF(Orders[[#This Row],[Frequency Group]]="between 4 and 2", "Medium Value", "High Value"))</f>
        <v>Low Value</v>
      </c>
      <c r="U136" t="str">
        <f>IF(Orders[[#This Row],[Sales]]&lt;50, "$0-50", IF(AND(Orders[[#This Row],[Sales]]&gt;=50,Orders[[#This Row],[Sales]]&lt;=100), "$50-100", IF(AND(Orders[[#This Row],[Sales]]&gt;100,Orders[[#This Row],[Sales]]&lt;=150), "$101-150", "$150+")))</f>
        <v>$0-50</v>
      </c>
      <c r="V136" t="str">
        <f>IF(Orders[[#This Row],[Sales]]&gt;MEDIAN(M:M), "High Price", "Low Price")</f>
        <v>Low Price</v>
      </c>
      <c r="W136" t="str">
        <f>IF(Orders[[#This Row],[Quantity]]&gt;MEDIAN(E:E), "High Volume", "Low Volume")</f>
        <v>Low Volume</v>
      </c>
      <c r="X136" t="str">
        <f>Orders[[#This Row],[Sales Tier]] &amp; "-" &amp; Orders[[#This Row],[Quantity Tier]]</f>
        <v>Low Price-Low Volume</v>
      </c>
      <c r="Y136" t="str">
        <f>TEXT(Orders[[#This Row],[Order Date]], "mmmm")</f>
        <v>April</v>
      </c>
      <c r="Z13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136" t="str">
        <f>Orders[[#This Row],[Coffee Type Name]] &amp; "-" &amp; Orders[[#This Row],[Roast Type Name]]</f>
        <v>Liberica-Dark</v>
      </c>
      <c r="AB13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137" spans="1:28" x14ac:dyDescent="0.25">
      <c r="A137" s="2" t="s">
        <v>2559</v>
      </c>
      <c r="B137" s="4">
        <v>44393</v>
      </c>
      <c r="C137" s="2" t="s">
        <v>2560</v>
      </c>
      <c r="D137" t="s">
        <v>6159</v>
      </c>
      <c r="E137" s="2">
        <v>2</v>
      </c>
      <c r="F137" s="2" t="str">
        <f>_xlfn.XLOOKUP(C137,customers!$A$1:$A$1001,customers!$B$1:$B$1001,,0)</f>
        <v>Silvio Iorizzi</v>
      </c>
      <c r="G137" s="2" t="str">
        <f>IF(_xlfn.XLOOKUP(C137,customers!$A$1:$A$1001,customers!$C$1:$C$1001,,0)=0,"",_xlfn.XLOOKUP(C137,customers!$A$1:$A$1001,customers!$C$1:$C$1001,,0))</f>
        <v/>
      </c>
      <c r="H137" s="2" t="str">
        <f>_xlfn.XLOOKUP(C137,customers!$A$1:$A$1001,customers!$G$1:$G$1001,,0)</f>
        <v>United States</v>
      </c>
      <c r="I137" t="str">
        <f>INDEX(products!$A$1:$G$49, MATCH(orders!$D369,products!$A$1:$A416,0), MATCH(orders!I$1,products!$A$1:$G$1,0))</f>
        <v>Lib</v>
      </c>
      <c r="J137" t="str">
        <f>INDEX(products!$A$1:$G$49, MATCH(orders!$D369,products!$A$1:$A416,0), MATCH(orders!J$1,products!$A$1:$G$1,0))</f>
        <v>M</v>
      </c>
      <c r="K137" s="5">
        <f>INDEX(products!$A$1:$G$49, MATCH(orders!$D369,products!$A$1:$A416,0), MATCH(orders!K$1,products!$A$1:$G$1,0))</f>
        <v>0.2</v>
      </c>
      <c r="L137" s="6">
        <f>INDEX(products!$A$1:$G$49, MATCH(orders!$D369,products!$A$1:$A416,0), MATCH(orders!L$1,products!$A$1:$G$1,0))</f>
        <v>4.3650000000000002</v>
      </c>
      <c r="M137" s="6">
        <f t="shared" si="6"/>
        <v>8.73</v>
      </c>
      <c r="N137" t="str">
        <f t="shared" si="7"/>
        <v>Liberica</v>
      </c>
      <c r="O137" t="str">
        <f t="shared" si="8"/>
        <v>Medium</v>
      </c>
      <c r="P137" t="str">
        <f>_xlfn.XLOOKUP(Orders[[#This Row],[Customer ID]],customers!$A$1:$A$1001,customers!$I$1:$I$1001,,0)</f>
        <v>Yes</v>
      </c>
      <c r="Q137">
        <f>COUNTIF(Orders[Order ID],Orders[[#This Row],[Order ID]])</f>
        <v>1</v>
      </c>
      <c r="R137" s="10">
        <f>SUMIF(Orders[Order ID], Orders[[#This Row],[Order ID]],Orders[Sales])/Orders[[#This Row],[Order Frequency]]</f>
        <v>8.73</v>
      </c>
      <c r="S137" t="str">
        <f>IF(Orders[[#This Row],[Order Frequency]]&gt;4, "More than 4", IF(AND(Orders[[#This Row],[Order Frequency]]&lt;=4,Orders[[#This Row],[Order Frequency]]&gt;=2), "Between 4 and 2", "Less than 2"))</f>
        <v>Less than 2</v>
      </c>
      <c r="T137" t="str">
        <f>IF(Orders[[#This Row],[Frequency Group]]="less than 2", "Low Value", IF(Orders[[#This Row],[Frequency Group]]="between 4 and 2", "Medium Value", "High Value"))</f>
        <v>Low Value</v>
      </c>
      <c r="U137" t="str">
        <f>IF(Orders[[#This Row],[Sales]]&lt;50, "$0-50", IF(AND(Orders[[#This Row],[Sales]]&gt;=50,Orders[[#This Row],[Sales]]&lt;=100), "$50-100", IF(AND(Orders[[#This Row],[Sales]]&gt;100,Orders[[#This Row],[Sales]]&lt;=150), "$101-150", "$150+")))</f>
        <v>$0-50</v>
      </c>
      <c r="V137" t="str">
        <f>IF(Orders[[#This Row],[Sales]]&gt;MEDIAN(M:M), "High Price", "Low Price")</f>
        <v>Low Price</v>
      </c>
      <c r="W137" t="str">
        <f>IF(Orders[[#This Row],[Quantity]]&gt;MEDIAN(E:E), "High Volume", "Low Volume")</f>
        <v>Low Volume</v>
      </c>
      <c r="X137" t="str">
        <f>Orders[[#This Row],[Sales Tier]] &amp; "-" &amp; Orders[[#This Row],[Quantity Tier]]</f>
        <v>Low Price-Low Volume</v>
      </c>
      <c r="Y137" t="str">
        <f>TEXT(Orders[[#This Row],[Order Date]], "mmmm")</f>
        <v>July</v>
      </c>
      <c r="Z13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137" t="str">
        <f>Orders[[#This Row],[Coffee Type Name]] &amp; "-" &amp; Orders[[#This Row],[Roast Type Name]]</f>
        <v>Liberica-Medium</v>
      </c>
      <c r="AB13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138" spans="1:28" x14ac:dyDescent="0.25">
      <c r="A138" s="2" t="s">
        <v>1007</v>
      </c>
      <c r="B138" s="4">
        <v>44037</v>
      </c>
      <c r="C138" s="2" t="s">
        <v>1008</v>
      </c>
      <c r="D138" t="s">
        <v>6171</v>
      </c>
      <c r="E138" s="2">
        <v>3</v>
      </c>
      <c r="F138" s="2" t="str">
        <f>_xlfn.XLOOKUP(C138,customers!$A$1:$A$1001,customers!$B$1:$B$1001,,0)</f>
        <v>Hamish MacSherry</v>
      </c>
      <c r="G138" s="2" t="str">
        <f>IF(_xlfn.XLOOKUP(C138,customers!$A$1:$A$1001,customers!$C$1:$C$1001,,0)=0,"",_xlfn.XLOOKUP(C138,customers!$A$1:$A$1001,customers!$C$1:$C$1001,,0))</f>
        <v/>
      </c>
      <c r="H138" s="2" t="str">
        <f>_xlfn.XLOOKUP(C138,customers!$A$1:$A$1001,customers!$G$1:$G$1001,,0)</f>
        <v>United States</v>
      </c>
      <c r="I138" t="str">
        <f>INDEX(products!$A$1:$G$49, MATCH(orders!$D94,products!$A$1:$A141,0), MATCH(orders!I$1,products!$A$1:$G$1,0))</f>
        <v>Exc</v>
      </c>
      <c r="J138" t="str">
        <f>INDEX(products!$A$1:$G$49, MATCH(orders!$D94,products!$A$1:$A141,0), MATCH(orders!J$1,products!$A$1:$G$1,0))</f>
        <v>L</v>
      </c>
      <c r="K138" s="5">
        <f>INDEX(products!$A$1:$G$49, MATCH(orders!$D94,products!$A$1:$A141,0), MATCH(orders!K$1,products!$A$1:$G$1,0))</f>
        <v>1</v>
      </c>
      <c r="L138" s="6">
        <f>INDEX(products!$A$1:$G$49, MATCH(orders!$D94,products!$A$1:$A141,0), MATCH(orders!L$1,products!$A$1:$G$1,0))</f>
        <v>14.85</v>
      </c>
      <c r="M138" s="6">
        <f t="shared" si="6"/>
        <v>44.55</v>
      </c>
      <c r="N138" t="str">
        <f t="shared" si="7"/>
        <v>Excelsa</v>
      </c>
      <c r="O138" t="str">
        <f t="shared" si="8"/>
        <v>Light</v>
      </c>
      <c r="P138" t="str">
        <f>_xlfn.XLOOKUP(Orders[[#This Row],[Customer ID]],customers!$A$1:$A$1001,customers!$I$1:$I$1001,,0)</f>
        <v>Yes</v>
      </c>
      <c r="Q138">
        <f>COUNTIF(Orders[Order ID],Orders[[#This Row],[Order ID]])</f>
        <v>1</v>
      </c>
      <c r="R138" s="10">
        <f>SUMIF(Orders[Order ID], Orders[[#This Row],[Order ID]],Orders[Sales])/Orders[[#This Row],[Order Frequency]]</f>
        <v>44.55</v>
      </c>
      <c r="S138" t="str">
        <f>IF(Orders[[#This Row],[Order Frequency]]&gt;4, "More than 4", IF(AND(Orders[[#This Row],[Order Frequency]]&lt;=4,Orders[[#This Row],[Order Frequency]]&gt;=2), "Between 4 and 2", "Less than 2"))</f>
        <v>Less than 2</v>
      </c>
      <c r="T138" t="str">
        <f>IF(Orders[[#This Row],[Frequency Group]]="less than 2", "Low Value", IF(Orders[[#This Row],[Frequency Group]]="between 4 and 2", "Medium Value", "High Value"))</f>
        <v>Low Value</v>
      </c>
      <c r="U138" t="str">
        <f>IF(Orders[[#This Row],[Sales]]&lt;50, "$0-50", IF(AND(Orders[[#This Row],[Sales]]&gt;=50,Orders[[#This Row],[Sales]]&lt;=100), "$50-100", IF(AND(Orders[[#This Row],[Sales]]&gt;100,Orders[[#This Row],[Sales]]&lt;=150), "$101-150", "$150+")))</f>
        <v>$0-50</v>
      </c>
      <c r="V138" t="str">
        <f>IF(Orders[[#This Row],[Sales]]&gt;MEDIAN(M:M), "High Price", "Low Price")</f>
        <v>High Price</v>
      </c>
      <c r="W138" t="str">
        <f>IF(Orders[[#This Row],[Quantity]]&gt;MEDIAN(E:E), "High Volume", "Low Volume")</f>
        <v>Low Volume</v>
      </c>
      <c r="X138" t="str">
        <f>Orders[[#This Row],[Sales Tier]] &amp; "-" &amp; Orders[[#This Row],[Quantity Tier]]</f>
        <v>High Price-Low Volume</v>
      </c>
      <c r="Y138" t="str">
        <f>TEXT(Orders[[#This Row],[Order Date]], "mmmm")</f>
        <v>July</v>
      </c>
      <c r="Z13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138" t="str">
        <f>Orders[[#This Row],[Coffee Type Name]] &amp; "-" &amp; Orders[[#This Row],[Roast Type Name]]</f>
        <v>Excelsa-Light</v>
      </c>
      <c r="AB13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139" spans="1:28" x14ac:dyDescent="0.25">
      <c r="A139" s="2" t="s">
        <v>2330</v>
      </c>
      <c r="B139" s="4">
        <v>44057</v>
      </c>
      <c r="C139" s="2" t="s">
        <v>2331</v>
      </c>
      <c r="D139" t="s">
        <v>6177</v>
      </c>
      <c r="E139" s="2">
        <v>5</v>
      </c>
      <c r="F139" s="2" t="str">
        <f>_xlfn.XLOOKUP(C139,customers!$A$1:$A$1001,customers!$B$1:$B$1001,,0)</f>
        <v>Flynn Antony</v>
      </c>
      <c r="G139" s="2" t="str">
        <f>IF(_xlfn.XLOOKUP(C139,customers!$A$1:$A$1001,customers!$C$1:$C$1001,,0)=0,"",_xlfn.XLOOKUP(C139,customers!$A$1:$A$1001,customers!$C$1:$C$1001,,0))</f>
        <v/>
      </c>
      <c r="H139" s="2" t="str">
        <f>_xlfn.XLOOKUP(C139,customers!$A$1:$A$1001,customers!$G$1:$G$1001,,0)</f>
        <v>United States</v>
      </c>
      <c r="I139" t="str">
        <f>INDEX(products!$A$1:$G$49, MATCH(orders!$D328,products!$A$1:$A375,0), MATCH(orders!I$1,products!$A$1:$G$1,0))</f>
        <v>Rob</v>
      </c>
      <c r="J139" t="str">
        <f>INDEX(products!$A$1:$G$49, MATCH(orders!$D328,products!$A$1:$A375,0), MATCH(orders!J$1,products!$A$1:$G$1,0))</f>
        <v>D</v>
      </c>
      <c r="K139" s="5">
        <f>INDEX(products!$A$1:$G$49, MATCH(orders!$D328,products!$A$1:$A375,0), MATCH(orders!K$1,products!$A$1:$G$1,0))</f>
        <v>1</v>
      </c>
      <c r="L139" s="6">
        <f>INDEX(products!$A$1:$G$49, MATCH(orders!$D328,products!$A$1:$A375,0), MATCH(orders!L$1,products!$A$1:$G$1,0))</f>
        <v>8.9499999999999993</v>
      </c>
      <c r="M139" s="6">
        <f t="shared" si="6"/>
        <v>44.75</v>
      </c>
      <c r="N139" t="str">
        <f t="shared" si="7"/>
        <v>Robusta</v>
      </c>
      <c r="O139" t="str">
        <f t="shared" si="8"/>
        <v>Dark</v>
      </c>
      <c r="P139" t="str">
        <f>_xlfn.XLOOKUP(Orders[[#This Row],[Customer ID]],customers!$A$1:$A$1001,customers!$I$1:$I$1001,,0)</f>
        <v>No</v>
      </c>
      <c r="Q139">
        <f>COUNTIF(Orders[Order ID],Orders[[#This Row],[Order ID]])</f>
        <v>1</v>
      </c>
      <c r="R139" s="10">
        <f>SUMIF(Orders[Order ID], Orders[[#This Row],[Order ID]],Orders[Sales])/Orders[[#This Row],[Order Frequency]]</f>
        <v>44.75</v>
      </c>
      <c r="S139" t="str">
        <f>IF(Orders[[#This Row],[Order Frequency]]&gt;4, "More than 4", IF(AND(Orders[[#This Row],[Order Frequency]]&lt;=4,Orders[[#This Row],[Order Frequency]]&gt;=2), "Between 4 and 2", "Less than 2"))</f>
        <v>Less than 2</v>
      </c>
      <c r="T139" t="str">
        <f>IF(Orders[[#This Row],[Frequency Group]]="less than 2", "Low Value", IF(Orders[[#This Row],[Frequency Group]]="between 4 and 2", "Medium Value", "High Value"))</f>
        <v>Low Value</v>
      </c>
      <c r="U139" t="str">
        <f>IF(Orders[[#This Row],[Sales]]&lt;50, "$0-50", IF(AND(Orders[[#This Row],[Sales]]&gt;=50,Orders[[#This Row],[Sales]]&lt;=100), "$50-100", IF(AND(Orders[[#This Row],[Sales]]&gt;100,Orders[[#This Row],[Sales]]&lt;=150), "$101-150", "$150+")))</f>
        <v>$0-50</v>
      </c>
      <c r="V139" t="str">
        <f>IF(Orders[[#This Row],[Sales]]&gt;MEDIAN(M:M), "High Price", "Low Price")</f>
        <v>High Price</v>
      </c>
      <c r="W139" t="str">
        <f>IF(Orders[[#This Row],[Quantity]]&gt;MEDIAN(E:E), "High Volume", "Low Volume")</f>
        <v>High Volume</v>
      </c>
      <c r="X139" t="str">
        <f>Orders[[#This Row],[Sales Tier]] &amp; "-" &amp; Orders[[#This Row],[Quantity Tier]]</f>
        <v>High Price-High Volume</v>
      </c>
      <c r="Y139" t="str">
        <f>TEXT(Orders[[#This Row],[Order Date]], "mmmm")</f>
        <v>August</v>
      </c>
      <c r="Z13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139" t="str">
        <f>Orders[[#This Row],[Coffee Type Name]] &amp; "-" &amp; Orders[[#This Row],[Roast Type Name]]</f>
        <v>Robusta-Dark</v>
      </c>
      <c r="AB13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140" spans="1:28" x14ac:dyDescent="0.25">
      <c r="A140" s="2" t="s">
        <v>2470</v>
      </c>
      <c r="B140" s="4">
        <v>44066</v>
      </c>
      <c r="C140" s="2" t="s">
        <v>2471</v>
      </c>
      <c r="D140" t="s">
        <v>6155</v>
      </c>
      <c r="E140" s="2">
        <v>2</v>
      </c>
      <c r="F140" s="2" t="str">
        <f>_xlfn.XLOOKUP(C140,customers!$A$1:$A$1001,customers!$B$1:$B$1001,,0)</f>
        <v>Ethel Ryles</v>
      </c>
      <c r="G140" s="2" t="str">
        <f>IF(_xlfn.XLOOKUP(C140,customers!$A$1:$A$1001,customers!$C$1:$C$1001,,0)=0,"",_xlfn.XLOOKUP(C140,customers!$A$1:$A$1001,customers!$C$1:$C$1001,,0))</f>
        <v>eryles9r@fastcompany.com</v>
      </c>
      <c r="H140" s="2" t="str">
        <f>_xlfn.XLOOKUP(C140,customers!$A$1:$A$1001,customers!$G$1:$G$1001,,0)</f>
        <v>United States</v>
      </c>
      <c r="I140" t="str">
        <f>INDEX(products!$A$1:$G$49, MATCH(orders!$D353,products!$A$1:$A400,0), MATCH(orders!I$1,products!$A$1:$G$1,0))</f>
        <v>Ara</v>
      </c>
      <c r="J140" t="str">
        <f>INDEX(products!$A$1:$G$49, MATCH(orders!$D353,products!$A$1:$A400,0), MATCH(orders!J$1,products!$A$1:$G$1,0))</f>
        <v>M</v>
      </c>
      <c r="K140" s="5">
        <f>INDEX(products!$A$1:$G$49, MATCH(orders!$D353,products!$A$1:$A400,0), MATCH(orders!K$1,products!$A$1:$G$1,0))</f>
        <v>1</v>
      </c>
      <c r="L140" s="6">
        <f>INDEX(products!$A$1:$G$49, MATCH(orders!$D353,products!$A$1:$A400,0), MATCH(orders!L$1,products!$A$1:$G$1,0))</f>
        <v>11.25</v>
      </c>
      <c r="M140" s="6">
        <f t="shared" si="6"/>
        <v>22.5</v>
      </c>
      <c r="N140" t="str">
        <f t="shared" si="7"/>
        <v>Arabica</v>
      </c>
      <c r="O140" t="str">
        <f t="shared" si="8"/>
        <v>Medium</v>
      </c>
      <c r="P140" t="str">
        <f>_xlfn.XLOOKUP(Orders[[#This Row],[Customer ID]],customers!$A$1:$A$1001,customers!$I$1:$I$1001,,0)</f>
        <v>No</v>
      </c>
      <c r="Q140">
        <f>COUNTIF(Orders[Order ID],Orders[[#This Row],[Order ID]])</f>
        <v>1</v>
      </c>
      <c r="R140" s="10">
        <f>SUMIF(Orders[Order ID], Orders[[#This Row],[Order ID]],Orders[Sales])/Orders[[#This Row],[Order Frequency]]</f>
        <v>22.5</v>
      </c>
      <c r="S140" t="str">
        <f>IF(Orders[[#This Row],[Order Frequency]]&gt;4, "More than 4", IF(AND(Orders[[#This Row],[Order Frequency]]&lt;=4,Orders[[#This Row],[Order Frequency]]&gt;=2), "Between 4 and 2", "Less than 2"))</f>
        <v>Less than 2</v>
      </c>
      <c r="T140" t="str">
        <f>IF(Orders[[#This Row],[Frequency Group]]="less than 2", "Low Value", IF(Orders[[#This Row],[Frequency Group]]="between 4 and 2", "Medium Value", "High Value"))</f>
        <v>Low Value</v>
      </c>
      <c r="U140" t="str">
        <f>IF(Orders[[#This Row],[Sales]]&lt;50, "$0-50", IF(AND(Orders[[#This Row],[Sales]]&gt;=50,Orders[[#This Row],[Sales]]&lt;=100), "$50-100", IF(AND(Orders[[#This Row],[Sales]]&gt;100,Orders[[#This Row],[Sales]]&lt;=150), "$101-150", "$150+")))</f>
        <v>$0-50</v>
      </c>
      <c r="V140" t="str">
        <f>IF(Orders[[#This Row],[Sales]]&gt;MEDIAN(M:M), "High Price", "Low Price")</f>
        <v>Low Price</v>
      </c>
      <c r="W140" t="str">
        <f>IF(Orders[[#This Row],[Quantity]]&gt;MEDIAN(E:E), "High Volume", "Low Volume")</f>
        <v>Low Volume</v>
      </c>
      <c r="X140" t="str">
        <f>Orders[[#This Row],[Sales Tier]] &amp; "-" &amp; Orders[[#This Row],[Quantity Tier]]</f>
        <v>Low Price-Low Volume</v>
      </c>
      <c r="Y140" t="str">
        <f>TEXT(Orders[[#This Row],[Order Date]], "mmmm")</f>
        <v>August</v>
      </c>
      <c r="Z14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140" t="str">
        <f>Orders[[#This Row],[Coffee Type Name]] &amp; "-" &amp; Orders[[#This Row],[Roast Type Name]]</f>
        <v>Arabica-Medium</v>
      </c>
      <c r="AB14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141" spans="1:28" x14ac:dyDescent="0.25">
      <c r="A141" s="2" t="s">
        <v>2671</v>
      </c>
      <c r="B141" s="4">
        <v>44455</v>
      </c>
      <c r="C141" s="2" t="s">
        <v>2672</v>
      </c>
      <c r="D141" t="s">
        <v>6171</v>
      </c>
      <c r="E141" s="2">
        <v>5</v>
      </c>
      <c r="F141" s="2" t="str">
        <f>_xlfn.XLOOKUP(C141,customers!$A$1:$A$1001,customers!$B$1:$B$1001,,0)</f>
        <v>Shirleen Welds</v>
      </c>
      <c r="G141" s="2" t="str">
        <f>IF(_xlfn.XLOOKUP(C141,customers!$A$1:$A$1001,customers!$C$1:$C$1001,,0)=0,"",_xlfn.XLOOKUP(C141,customers!$A$1:$A$1001,customers!$C$1:$C$1001,,0))</f>
        <v>sweldsar@wired.com</v>
      </c>
      <c r="H141" s="2" t="str">
        <f>_xlfn.XLOOKUP(C141,customers!$A$1:$A$1001,customers!$G$1:$G$1001,,0)</f>
        <v>United States</v>
      </c>
      <c r="I141" t="str">
        <f>INDEX(products!$A$1:$G$49, MATCH(orders!$D389,products!$A$1:$A436,0), MATCH(orders!I$1,products!$A$1:$G$1,0))</f>
        <v>Exc</v>
      </c>
      <c r="J141" t="str">
        <f>INDEX(products!$A$1:$G$49, MATCH(orders!$D389,products!$A$1:$A436,0), MATCH(orders!J$1,products!$A$1:$G$1,0))</f>
        <v>L</v>
      </c>
      <c r="K141" s="5">
        <f>INDEX(products!$A$1:$G$49, MATCH(orders!$D389,products!$A$1:$A436,0), MATCH(orders!K$1,products!$A$1:$G$1,0))</f>
        <v>1</v>
      </c>
      <c r="L141" s="6">
        <f>INDEX(products!$A$1:$G$49, MATCH(orders!$D389,products!$A$1:$A436,0), MATCH(orders!L$1,products!$A$1:$G$1,0))</f>
        <v>14.85</v>
      </c>
      <c r="M141" s="6">
        <f t="shared" si="6"/>
        <v>74.25</v>
      </c>
      <c r="N141" t="str">
        <f t="shared" si="7"/>
        <v>Excelsa</v>
      </c>
      <c r="O141" t="str">
        <f t="shared" si="8"/>
        <v>Light</v>
      </c>
      <c r="P141" t="str">
        <f>_xlfn.XLOOKUP(Orders[[#This Row],[Customer ID]],customers!$A$1:$A$1001,customers!$I$1:$I$1001,,0)</f>
        <v>Yes</v>
      </c>
      <c r="Q141">
        <f>COUNTIF(Orders[Order ID],Orders[[#This Row],[Order ID]])</f>
        <v>1</v>
      </c>
      <c r="R141" s="10">
        <f>SUMIF(Orders[Order ID], Orders[[#This Row],[Order ID]],Orders[Sales])/Orders[[#This Row],[Order Frequency]]</f>
        <v>74.25</v>
      </c>
      <c r="S141" t="str">
        <f>IF(Orders[[#This Row],[Order Frequency]]&gt;4, "More than 4", IF(AND(Orders[[#This Row],[Order Frequency]]&lt;=4,Orders[[#This Row],[Order Frequency]]&gt;=2), "Between 4 and 2", "Less than 2"))</f>
        <v>Less than 2</v>
      </c>
      <c r="T141" t="str">
        <f>IF(Orders[[#This Row],[Frequency Group]]="less than 2", "Low Value", IF(Orders[[#This Row],[Frequency Group]]="between 4 and 2", "Medium Value", "High Value"))</f>
        <v>Low Value</v>
      </c>
      <c r="U141" t="str">
        <f>IF(Orders[[#This Row],[Sales]]&lt;50, "$0-50", IF(AND(Orders[[#This Row],[Sales]]&gt;=50,Orders[[#This Row],[Sales]]&lt;=100), "$50-100", IF(AND(Orders[[#This Row],[Sales]]&gt;100,Orders[[#This Row],[Sales]]&lt;=150), "$101-150", "$150+")))</f>
        <v>$50-100</v>
      </c>
      <c r="V141" t="str">
        <f>IF(Orders[[#This Row],[Sales]]&gt;MEDIAN(M:M), "High Price", "Low Price")</f>
        <v>High Price</v>
      </c>
      <c r="W141" t="str">
        <f>IF(Orders[[#This Row],[Quantity]]&gt;MEDIAN(E:E), "High Volume", "Low Volume")</f>
        <v>High Volume</v>
      </c>
      <c r="X141" t="str">
        <f>Orders[[#This Row],[Sales Tier]] &amp; "-" &amp; Orders[[#This Row],[Quantity Tier]]</f>
        <v>High Price-High Volume</v>
      </c>
      <c r="Y141" t="str">
        <f>TEXT(Orders[[#This Row],[Order Date]], "mmmm")</f>
        <v>September</v>
      </c>
      <c r="Z14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141" t="str">
        <f>Orders[[#This Row],[Coffee Type Name]] &amp; "-" &amp; Orders[[#This Row],[Roast Type Name]]</f>
        <v>Excelsa-Light</v>
      </c>
      <c r="AB14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142" spans="1:28" x14ac:dyDescent="0.25">
      <c r="A142" s="2" t="s">
        <v>2757</v>
      </c>
      <c r="B142" s="4">
        <v>43502</v>
      </c>
      <c r="C142" s="2" t="s">
        <v>2758</v>
      </c>
      <c r="D142" t="s">
        <v>6177</v>
      </c>
      <c r="E142" s="2">
        <v>3</v>
      </c>
      <c r="F142" s="2" t="str">
        <f>_xlfn.XLOOKUP(C142,customers!$A$1:$A$1001,customers!$B$1:$B$1001,,0)</f>
        <v>Gale Croysdale</v>
      </c>
      <c r="G142" s="2" t="str">
        <f>IF(_xlfn.XLOOKUP(C142,customers!$A$1:$A$1001,customers!$C$1:$C$1001,,0)=0,"",_xlfn.XLOOKUP(C142,customers!$A$1:$A$1001,customers!$C$1:$C$1001,,0))</f>
        <v>gcroysdaleb6@nih.gov</v>
      </c>
      <c r="H142" s="2" t="str">
        <f>_xlfn.XLOOKUP(C142,customers!$A$1:$A$1001,customers!$G$1:$G$1001,,0)</f>
        <v>United States</v>
      </c>
      <c r="I142" t="str">
        <f>INDEX(products!$A$1:$G$49, MATCH(orders!$D404,products!$A$1:$A451,0), MATCH(orders!I$1,products!$A$1:$G$1,0))</f>
        <v>Rob</v>
      </c>
      <c r="J142" t="str">
        <f>INDEX(products!$A$1:$G$49, MATCH(orders!$D404,products!$A$1:$A451,0), MATCH(orders!J$1,products!$A$1:$G$1,0))</f>
        <v>D</v>
      </c>
      <c r="K142" s="5">
        <f>INDEX(products!$A$1:$G$49, MATCH(orders!$D404,products!$A$1:$A451,0), MATCH(orders!K$1,products!$A$1:$G$1,0))</f>
        <v>1</v>
      </c>
      <c r="L142" s="6">
        <f>INDEX(products!$A$1:$G$49, MATCH(orders!$D404,products!$A$1:$A451,0), MATCH(orders!L$1,products!$A$1:$G$1,0))</f>
        <v>8.9499999999999993</v>
      </c>
      <c r="M142" s="6">
        <f t="shared" si="6"/>
        <v>26.849999999999998</v>
      </c>
      <c r="N142" t="str">
        <f t="shared" si="7"/>
        <v>Robusta</v>
      </c>
      <c r="O142" t="str">
        <f t="shared" si="8"/>
        <v>Dark</v>
      </c>
      <c r="P142" t="str">
        <f>_xlfn.XLOOKUP(Orders[[#This Row],[Customer ID]],customers!$A$1:$A$1001,customers!$I$1:$I$1001,,0)</f>
        <v>Yes</v>
      </c>
      <c r="Q142">
        <f>COUNTIF(Orders[Order ID],Orders[[#This Row],[Order ID]])</f>
        <v>1</v>
      </c>
      <c r="R142" s="10">
        <f>SUMIF(Orders[Order ID], Orders[[#This Row],[Order ID]],Orders[Sales])/Orders[[#This Row],[Order Frequency]]</f>
        <v>26.849999999999998</v>
      </c>
      <c r="S142" t="str">
        <f>IF(Orders[[#This Row],[Order Frequency]]&gt;4, "More than 4", IF(AND(Orders[[#This Row],[Order Frequency]]&lt;=4,Orders[[#This Row],[Order Frequency]]&gt;=2), "Between 4 and 2", "Less than 2"))</f>
        <v>Less than 2</v>
      </c>
      <c r="T142" t="str">
        <f>IF(Orders[[#This Row],[Frequency Group]]="less than 2", "Low Value", IF(Orders[[#This Row],[Frequency Group]]="between 4 and 2", "Medium Value", "High Value"))</f>
        <v>Low Value</v>
      </c>
      <c r="U142" t="str">
        <f>IF(Orders[[#This Row],[Sales]]&lt;50, "$0-50", IF(AND(Orders[[#This Row],[Sales]]&gt;=50,Orders[[#This Row],[Sales]]&lt;=100), "$50-100", IF(AND(Orders[[#This Row],[Sales]]&gt;100,Orders[[#This Row],[Sales]]&lt;=150), "$101-150", "$150+")))</f>
        <v>$0-50</v>
      </c>
      <c r="V142" t="str">
        <f>IF(Orders[[#This Row],[Sales]]&gt;MEDIAN(M:M), "High Price", "Low Price")</f>
        <v>Low Price</v>
      </c>
      <c r="W142" t="str">
        <f>IF(Orders[[#This Row],[Quantity]]&gt;MEDIAN(E:E), "High Volume", "Low Volume")</f>
        <v>Low Volume</v>
      </c>
      <c r="X142" t="str">
        <f>Orders[[#This Row],[Sales Tier]] &amp; "-" &amp; Orders[[#This Row],[Quantity Tier]]</f>
        <v>Low Price-Low Volume</v>
      </c>
      <c r="Y142" t="str">
        <f>TEXT(Orders[[#This Row],[Order Date]], "mmmm")</f>
        <v>February</v>
      </c>
      <c r="Z14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42" t="str">
        <f>Orders[[#This Row],[Coffee Type Name]] &amp; "-" &amp; Orders[[#This Row],[Roast Type Name]]</f>
        <v>Robusta-Dark</v>
      </c>
      <c r="AB14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43" spans="1:28" x14ac:dyDescent="0.25">
      <c r="A143" s="2" t="s">
        <v>750</v>
      </c>
      <c r="B143" s="4">
        <v>43776</v>
      </c>
      <c r="C143" s="2" t="s">
        <v>751</v>
      </c>
      <c r="D143" t="s">
        <v>6166</v>
      </c>
      <c r="E143" s="2">
        <v>2</v>
      </c>
      <c r="F143" s="2" t="str">
        <f>_xlfn.XLOOKUP(C143,customers!$A$1:$A$1001,customers!$B$1:$B$1001,,0)</f>
        <v>Donna Baskeyfied</v>
      </c>
      <c r="G143" s="2" t="str">
        <f>IF(_xlfn.XLOOKUP(C143,customers!$A$1:$A$1001,customers!$C$1:$C$1001,,0)=0,"",_xlfn.XLOOKUP(C143,customers!$A$1:$A$1001,customers!$C$1:$C$1001,,0))</f>
        <v/>
      </c>
      <c r="H143" s="2" t="str">
        <f>_xlfn.XLOOKUP(C143,customers!$A$1:$A$1001,customers!$G$1:$G$1001,,0)</f>
        <v>United States</v>
      </c>
      <c r="I143" t="str">
        <f>INDEX(products!$A$1:$G$49, MATCH(orders!$D48,products!$A$1:$A95,0), MATCH(orders!I$1,products!$A$1:$G$1,0))</f>
        <v>Exc</v>
      </c>
      <c r="J143" t="str">
        <f>INDEX(products!$A$1:$G$49, MATCH(orders!$D48,products!$A$1:$A95,0), MATCH(orders!J$1,products!$A$1:$G$1,0))</f>
        <v>M</v>
      </c>
      <c r="K143" s="5">
        <f>INDEX(products!$A$1:$G$49, MATCH(orders!$D48,products!$A$1:$A95,0), MATCH(orders!K$1,products!$A$1:$G$1,0))</f>
        <v>2.5</v>
      </c>
      <c r="L143" s="6">
        <f>INDEX(products!$A$1:$G$49, MATCH(orders!$D48,products!$A$1:$A95,0), MATCH(orders!L$1,products!$A$1:$G$1,0))</f>
        <v>31.624999999999996</v>
      </c>
      <c r="M143" s="6">
        <f t="shared" si="6"/>
        <v>63.249999999999993</v>
      </c>
      <c r="N143" t="str">
        <f t="shared" si="7"/>
        <v>Excelsa</v>
      </c>
      <c r="O143" t="str">
        <f t="shared" si="8"/>
        <v>Medium</v>
      </c>
      <c r="P143" t="str">
        <f>_xlfn.XLOOKUP(Orders[[#This Row],[Customer ID]],customers!$A$1:$A$1001,customers!$I$1:$I$1001,,0)</f>
        <v>Yes</v>
      </c>
      <c r="Q143">
        <f>COUNTIF(Orders[Order ID],Orders[[#This Row],[Order ID]])</f>
        <v>1</v>
      </c>
      <c r="R143" s="10">
        <f>SUMIF(Orders[Order ID], Orders[[#This Row],[Order ID]],Orders[Sales])/Orders[[#This Row],[Order Frequency]]</f>
        <v>63.249999999999993</v>
      </c>
      <c r="S143" t="str">
        <f>IF(Orders[[#This Row],[Order Frequency]]&gt;4, "More than 4", IF(AND(Orders[[#This Row],[Order Frequency]]&lt;=4,Orders[[#This Row],[Order Frequency]]&gt;=2), "Between 4 and 2", "Less than 2"))</f>
        <v>Less than 2</v>
      </c>
      <c r="T143" t="str">
        <f>IF(Orders[[#This Row],[Frequency Group]]="less than 2", "Low Value", IF(Orders[[#This Row],[Frequency Group]]="between 4 and 2", "Medium Value", "High Value"))</f>
        <v>Low Value</v>
      </c>
      <c r="U143" t="str">
        <f>IF(Orders[[#This Row],[Sales]]&lt;50, "$0-50", IF(AND(Orders[[#This Row],[Sales]]&gt;=50,Orders[[#This Row],[Sales]]&lt;=100), "$50-100", IF(AND(Orders[[#This Row],[Sales]]&gt;100,Orders[[#This Row],[Sales]]&lt;=150), "$101-150", "$150+")))</f>
        <v>$50-100</v>
      </c>
      <c r="V143" t="str">
        <f>IF(Orders[[#This Row],[Sales]]&gt;MEDIAN(M:M), "High Price", "Low Price")</f>
        <v>High Price</v>
      </c>
      <c r="W143" t="str">
        <f>IF(Orders[[#This Row],[Quantity]]&gt;MEDIAN(E:E), "High Volume", "Low Volume")</f>
        <v>Low Volume</v>
      </c>
      <c r="X143" t="str">
        <f>Orders[[#This Row],[Sales Tier]] &amp; "-" &amp; Orders[[#This Row],[Quantity Tier]]</f>
        <v>High Price-Low Volume</v>
      </c>
      <c r="Y143" t="str">
        <f>TEXT(Orders[[#This Row],[Order Date]], "mmmm")</f>
        <v>November</v>
      </c>
      <c r="Z14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143" t="str">
        <f>Orders[[#This Row],[Coffee Type Name]] &amp; "-" &amp; Orders[[#This Row],[Roast Type Name]]</f>
        <v>Excelsa-Medium</v>
      </c>
      <c r="AB14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144" spans="1:28" x14ac:dyDescent="0.25">
      <c r="A144" s="2" t="s">
        <v>1952</v>
      </c>
      <c r="B144" s="4">
        <v>44355</v>
      </c>
      <c r="C144" s="2" t="s">
        <v>1953</v>
      </c>
      <c r="D144" t="s">
        <v>6174</v>
      </c>
      <c r="E144" s="2">
        <v>2</v>
      </c>
      <c r="F144" s="2" t="str">
        <f>_xlfn.XLOOKUP(C144,customers!$A$1:$A$1001,customers!$B$1:$B$1001,,0)</f>
        <v>Irv Hay</v>
      </c>
      <c r="G144" s="2" t="str">
        <f>IF(_xlfn.XLOOKUP(C144,customers!$A$1:$A$1001,customers!$C$1:$C$1001,,0)=0,"",_xlfn.XLOOKUP(C144,customers!$A$1:$A$1001,customers!$C$1:$C$1001,,0))</f>
        <v>ihay77@lulu.com</v>
      </c>
      <c r="H144" s="2" t="str">
        <f>_xlfn.XLOOKUP(C144,customers!$A$1:$A$1001,customers!$G$1:$G$1001,,0)</f>
        <v>United Kingdom</v>
      </c>
      <c r="I144" t="str">
        <f>INDEX(products!$A$1:$G$49, MATCH(orders!$D261,products!$A$1:$A308,0), MATCH(orders!I$1,products!$A$1:$G$1,0))</f>
        <v>Rob</v>
      </c>
      <c r="J144" t="str">
        <f>INDEX(products!$A$1:$G$49, MATCH(orders!$D261,products!$A$1:$A308,0), MATCH(orders!J$1,products!$A$1:$G$1,0))</f>
        <v>M</v>
      </c>
      <c r="K144" s="5">
        <f>INDEX(products!$A$1:$G$49, MATCH(orders!$D261,products!$A$1:$A308,0), MATCH(orders!K$1,products!$A$1:$G$1,0))</f>
        <v>0.2</v>
      </c>
      <c r="L144" s="6">
        <f>INDEX(products!$A$1:$G$49, MATCH(orders!$D261,products!$A$1:$A308,0), MATCH(orders!L$1,products!$A$1:$G$1,0))</f>
        <v>2.9849999999999999</v>
      </c>
      <c r="M144" s="6">
        <f t="shared" si="6"/>
        <v>5.97</v>
      </c>
      <c r="N144" t="str">
        <f t="shared" si="7"/>
        <v>Robusta</v>
      </c>
      <c r="O144" t="str">
        <f t="shared" si="8"/>
        <v>Medium</v>
      </c>
      <c r="P144" t="str">
        <f>_xlfn.XLOOKUP(Orders[[#This Row],[Customer ID]],customers!$A$1:$A$1001,customers!$I$1:$I$1001,,0)</f>
        <v>No</v>
      </c>
      <c r="Q144">
        <f>COUNTIF(Orders[Order ID],Orders[[#This Row],[Order ID]])</f>
        <v>1</v>
      </c>
      <c r="R144" s="10">
        <f>SUMIF(Orders[Order ID], Orders[[#This Row],[Order ID]],Orders[Sales])/Orders[[#This Row],[Order Frequency]]</f>
        <v>5.97</v>
      </c>
      <c r="S144" t="str">
        <f>IF(Orders[[#This Row],[Order Frequency]]&gt;4, "More than 4", IF(AND(Orders[[#This Row],[Order Frequency]]&lt;=4,Orders[[#This Row],[Order Frequency]]&gt;=2), "Between 4 and 2", "Less than 2"))</f>
        <v>Less than 2</v>
      </c>
      <c r="T144" t="str">
        <f>IF(Orders[[#This Row],[Frequency Group]]="less than 2", "Low Value", IF(Orders[[#This Row],[Frequency Group]]="between 4 and 2", "Medium Value", "High Value"))</f>
        <v>Low Value</v>
      </c>
      <c r="U144" t="str">
        <f>IF(Orders[[#This Row],[Sales]]&lt;50, "$0-50", IF(AND(Orders[[#This Row],[Sales]]&gt;=50,Orders[[#This Row],[Sales]]&lt;=100), "$50-100", IF(AND(Orders[[#This Row],[Sales]]&gt;100,Orders[[#This Row],[Sales]]&lt;=150), "$101-150", "$150+")))</f>
        <v>$0-50</v>
      </c>
      <c r="V144" t="str">
        <f>IF(Orders[[#This Row],[Sales]]&gt;MEDIAN(M:M), "High Price", "Low Price")</f>
        <v>Low Price</v>
      </c>
      <c r="W144" t="str">
        <f>IF(Orders[[#This Row],[Quantity]]&gt;MEDIAN(E:E), "High Volume", "Low Volume")</f>
        <v>Low Volume</v>
      </c>
      <c r="X144" t="str">
        <f>Orders[[#This Row],[Sales Tier]] &amp; "-" &amp; Orders[[#This Row],[Quantity Tier]]</f>
        <v>Low Price-Low Volume</v>
      </c>
      <c r="Y144" t="str">
        <f>TEXT(Orders[[#This Row],[Order Date]], "mmmm")</f>
        <v>June</v>
      </c>
      <c r="Z14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144" t="str">
        <f>Orders[[#This Row],[Coffee Type Name]] &amp; "-" &amp; Orders[[#This Row],[Roast Type Name]]</f>
        <v>Robusta-Medium</v>
      </c>
      <c r="AB14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145" spans="1:28" x14ac:dyDescent="0.25">
      <c r="A145" s="2" t="s">
        <v>2476</v>
      </c>
      <c r="B145" s="4">
        <v>43984</v>
      </c>
      <c r="C145" s="2" t="s">
        <v>2331</v>
      </c>
      <c r="D145" t="s">
        <v>6144</v>
      </c>
      <c r="E145" s="2">
        <v>5</v>
      </c>
      <c r="F145" s="2" t="str">
        <f>_xlfn.XLOOKUP(C145,customers!$A$1:$A$1001,customers!$B$1:$B$1001,,0)</f>
        <v>Flynn Antony</v>
      </c>
      <c r="G145" s="2" t="str">
        <f>IF(_xlfn.XLOOKUP(C145,customers!$A$1:$A$1001,customers!$C$1:$C$1001,,0)=0,"",_xlfn.XLOOKUP(C145,customers!$A$1:$A$1001,customers!$C$1:$C$1001,,0))</f>
        <v/>
      </c>
      <c r="H145" s="2" t="str">
        <f>_xlfn.XLOOKUP(C145,customers!$A$1:$A$1001,customers!$G$1:$G$1001,,0)</f>
        <v>United States</v>
      </c>
      <c r="I145" t="str">
        <f>INDEX(products!$A$1:$G$49, MATCH(orders!$D354,products!$A$1:$A401,0), MATCH(orders!I$1,products!$A$1:$G$1,0))</f>
        <v>Exc</v>
      </c>
      <c r="J145" t="str">
        <f>INDEX(products!$A$1:$G$49, MATCH(orders!$D354,products!$A$1:$A401,0), MATCH(orders!J$1,products!$A$1:$G$1,0))</f>
        <v>D</v>
      </c>
      <c r="K145" s="5">
        <f>INDEX(products!$A$1:$G$49, MATCH(orders!$D354,products!$A$1:$A401,0), MATCH(orders!K$1,products!$A$1:$G$1,0))</f>
        <v>0.5</v>
      </c>
      <c r="L145" s="6">
        <f>INDEX(products!$A$1:$G$49, MATCH(orders!$D354,products!$A$1:$A401,0), MATCH(orders!L$1,products!$A$1:$G$1,0))</f>
        <v>7.29</v>
      </c>
      <c r="M145" s="6">
        <f t="shared" si="6"/>
        <v>36.450000000000003</v>
      </c>
      <c r="N145" t="str">
        <f t="shared" si="7"/>
        <v>Excelsa</v>
      </c>
      <c r="O145" t="str">
        <f t="shared" si="8"/>
        <v>Dark</v>
      </c>
      <c r="P145" t="str">
        <f>_xlfn.XLOOKUP(Orders[[#This Row],[Customer ID]],customers!$A$1:$A$1001,customers!$I$1:$I$1001,,0)</f>
        <v>No</v>
      </c>
      <c r="Q145">
        <f>COUNTIF(Orders[Order ID],Orders[[#This Row],[Order ID]])</f>
        <v>1</v>
      </c>
      <c r="R145" s="10">
        <f>SUMIF(Orders[Order ID], Orders[[#This Row],[Order ID]],Orders[Sales])/Orders[[#This Row],[Order Frequency]]</f>
        <v>36.450000000000003</v>
      </c>
      <c r="S145" t="str">
        <f>IF(Orders[[#This Row],[Order Frequency]]&gt;4, "More than 4", IF(AND(Orders[[#This Row],[Order Frequency]]&lt;=4,Orders[[#This Row],[Order Frequency]]&gt;=2), "Between 4 and 2", "Less than 2"))</f>
        <v>Less than 2</v>
      </c>
      <c r="T145" t="str">
        <f>IF(Orders[[#This Row],[Frequency Group]]="less than 2", "Low Value", IF(Orders[[#This Row],[Frequency Group]]="between 4 and 2", "Medium Value", "High Value"))</f>
        <v>Low Value</v>
      </c>
      <c r="U145" t="str">
        <f>IF(Orders[[#This Row],[Sales]]&lt;50, "$0-50", IF(AND(Orders[[#This Row],[Sales]]&gt;=50,Orders[[#This Row],[Sales]]&lt;=100), "$50-100", IF(AND(Orders[[#This Row],[Sales]]&gt;100,Orders[[#This Row],[Sales]]&lt;=150), "$101-150", "$150+")))</f>
        <v>$0-50</v>
      </c>
      <c r="V145" t="str">
        <f>IF(Orders[[#This Row],[Sales]]&gt;MEDIAN(M:M), "High Price", "Low Price")</f>
        <v>High Price</v>
      </c>
      <c r="W145" t="str">
        <f>IF(Orders[[#This Row],[Quantity]]&gt;MEDIAN(E:E), "High Volume", "Low Volume")</f>
        <v>High Volume</v>
      </c>
      <c r="X145" t="str">
        <f>Orders[[#This Row],[Sales Tier]] &amp; "-" &amp; Orders[[#This Row],[Quantity Tier]]</f>
        <v>High Price-High Volume</v>
      </c>
      <c r="Y145" t="str">
        <f>TEXT(Orders[[#This Row],[Order Date]], "mmmm")</f>
        <v>June</v>
      </c>
      <c r="Z14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145" t="str">
        <f>Orders[[#This Row],[Coffee Type Name]] &amp; "-" &amp; Orders[[#This Row],[Roast Type Name]]</f>
        <v>Excelsa-Dark</v>
      </c>
      <c r="AB14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146" spans="1:28" x14ac:dyDescent="0.25">
      <c r="A146" s="2" t="s">
        <v>5368</v>
      </c>
      <c r="B146" s="4">
        <v>44712</v>
      </c>
      <c r="C146" s="2" t="s">
        <v>5369</v>
      </c>
      <c r="D146" t="s">
        <v>6162</v>
      </c>
      <c r="E146" s="2">
        <v>2</v>
      </c>
      <c r="F146" s="2" t="str">
        <f>_xlfn.XLOOKUP(C146,customers!$A$1:$A$1001,customers!$B$1:$B$1001,,0)</f>
        <v>Meade Birkin</v>
      </c>
      <c r="G146" s="2" t="str">
        <f>IF(_xlfn.XLOOKUP(C146,customers!$A$1:$A$1001,customers!$C$1:$C$1001,,0)=0,"",_xlfn.XLOOKUP(C146,customers!$A$1:$A$1001,customers!$C$1:$C$1001,,0))</f>
        <v>mbirkinnz@java.com</v>
      </c>
      <c r="H146" s="2" t="str">
        <f>_xlfn.XLOOKUP(C146,customers!$A$1:$A$1001,customers!$G$1:$G$1001,,0)</f>
        <v>United States</v>
      </c>
      <c r="I146" t="str">
        <f>INDEX(products!$A$1:$G$49, MATCH(orders!$D865,products!$A$1:$A912,0), MATCH(orders!I$1,products!$A$1:$G$1,0))</f>
        <v>Lib</v>
      </c>
      <c r="J146" t="str">
        <f>INDEX(products!$A$1:$G$49, MATCH(orders!$D865,products!$A$1:$A912,0), MATCH(orders!J$1,products!$A$1:$G$1,0))</f>
        <v>M</v>
      </c>
      <c r="K146" s="5">
        <f>INDEX(products!$A$1:$G$49, MATCH(orders!$D865,products!$A$1:$A912,0), MATCH(orders!K$1,products!$A$1:$G$1,0))</f>
        <v>1</v>
      </c>
      <c r="L146" s="6">
        <f>INDEX(products!$A$1:$G$49, MATCH(orders!$D865,products!$A$1:$A912,0), MATCH(orders!L$1,products!$A$1:$G$1,0))</f>
        <v>14.55</v>
      </c>
      <c r="M146" s="6">
        <f t="shared" si="6"/>
        <v>29.1</v>
      </c>
      <c r="N146" t="str">
        <f t="shared" si="7"/>
        <v>Liberica</v>
      </c>
      <c r="O146" t="str">
        <f t="shared" si="8"/>
        <v>Medium</v>
      </c>
      <c r="P146" t="str">
        <f>_xlfn.XLOOKUP(Orders[[#This Row],[Customer ID]],customers!$A$1:$A$1001,customers!$I$1:$I$1001,,0)</f>
        <v>Yes</v>
      </c>
      <c r="Q146">
        <f>COUNTIF(Orders[Order ID],Orders[[#This Row],[Order ID]])</f>
        <v>1</v>
      </c>
      <c r="R146" s="10">
        <f>SUMIF(Orders[Order ID], Orders[[#This Row],[Order ID]],Orders[Sales])/Orders[[#This Row],[Order Frequency]]</f>
        <v>29.1</v>
      </c>
      <c r="S146" t="str">
        <f>IF(Orders[[#This Row],[Order Frequency]]&gt;4, "More than 4", IF(AND(Orders[[#This Row],[Order Frequency]]&lt;=4,Orders[[#This Row],[Order Frequency]]&gt;=2), "Between 4 and 2", "Less than 2"))</f>
        <v>Less than 2</v>
      </c>
      <c r="T146" t="str">
        <f>IF(Orders[[#This Row],[Frequency Group]]="less than 2", "Low Value", IF(Orders[[#This Row],[Frequency Group]]="between 4 and 2", "Medium Value", "High Value"))</f>
        <v>Low Value</v>
      </c>
      <c r="U146" t="str">
        <f>IF(Orders[[#This Row],[Sales]]&lt;50, "$0-50", IF(AND(Orders[[#This Row],[Sales]]&gt;=50,Orders[[#This Row],[Sales]]&lt;=100), "$50-100", IF(AND(Orders[[#This Row],[Sales]]&gt;100,Orders[[#This Row],[Sales]]&lt;=150), "$101-150", "$150+")))</f>
        <v>$0-50</v>
      </c>
      <c r="V146" t="str">
        <f>IF(Orders[[#This Row],[Sales]]&gt;MEDIAN(M:M), "High Price", "Low Price")</f>
        <v>Low Price</v>
      </c>
      <c r="W146" t="str">
        <f>IF(Orders[[#This Row],[Quantity]]&gt;MEDIAN(E:E), "High Volume", "Low Volume")</f>
        <v>Low Volume</v>
      </c>
      <c r="X146" t="str">
        <f>Orders[[#This Row],[Sales Tier]] &amp; "-" &amp; Orders[[#This Row],[Quantity Tier]]</f>
        <v>Low Price-Low Volume</v>
      </c>
      <c r="Y146" t="str">
        <f>TEXT(Orders[[#This Row],[Order Date]], "mmmm")</f>
        <v>May</v>
      </c>
      <c r="Z14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146" t="str">
        <f>Orders[[#This Row],[Coffee Type Name]] &amp; "-" &amp; Orders[[#This Row],[Roast Type Name]]</f>
        <v>Liberica-Medium</v>
      </c>
      <c r="AB14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147" spans="1:28" x14ac:dyDescent="0.25">
      <c r="A147" s="2" t="s">
        <v>5626</v>
      </c>
      <c r="B147" s="4">
        <v>43836</v>
      </c>
      <c r="C147" s="2" t="s">
        <v>5627</v>
      </c>
      <c r="D147" t="s">
        <v>6179</v>
      </c>
      <c r="E147" s="2">
        <v>5</v>
      </c>
      <c r="F147" s="2" t="str">
        <f>_xlfn.XLOOKUP(C147,customers!$A$1:$A$1001,customers!$B$1:$B$1001,,0)</f>
        <v>Gustaf Ciccotti</v>
      </c>
      <c r="G147" s="2" t="str">
        <f>IF(_xlfn.XLOOKUP(C147,customers!$A$1:$A$1001,customers!$C$1:$C$1001,,0)=0,"",_xlfn.XLOOKUP(C147,customers!$A$1:$A$1001,customers!$C$1:$C$1001,,0))</f>
        <v>gciccottip8@so-net.ne.jp</v>
      </c>
      <c r="H147" s="2" t="str">
        <f>_xlfn.XLOOKUP(C147,customers!$A$1:$A$1001,customers!$G$1:$G$1001,,0)</f>
        <v>United States</v>
      </c>
      <c r="I147" t="str">
        <f>INDEX(products!$A$1:$G$49, MATCH(orders!$D910,products!$A$1:$A957,0), MATCH(orders!I$1,products!$A$1:$G$1,0))</f>
        <v>Rob</v>
      </c>
      <c r="J147" t="str">
        <f>INDEX(products!$A$1:$G$49, MATCH(orders!$D910,products!$A$1:$A957,0), MATCH(orders!J$1,products!$A$1:$G$1,0))</f>
        <v>L</v>
      </c>
      <c r="K147" s="5">
        <f>INDEX(products!$A$1:$G$49, MATCH(orders!$D910,products!$A$1:$A957,0), MATCH(orders!K$1,products!$A$1:$G$1,0))</f>
        <v>1</v>
      </c>
      <c r="L147" s="6">
        <f>INDEX(products!$A$1:$G$49, MATCH(orders!$D910,products!$A$1:$A957,0), MATCH(orders!L$1,products!$A$1:$G$1,0))</f>
        <v>11.95</v>
      </c>
      <c r="M147" s="6">
        <f t="shared" si="6"/>
        <v>59.75</v>
      </c>
      <c r="N147" t="str">
        <f t="shared" si="7"/>
        <v>Robusta</v>
      </c>
      <c r="O147" t="str">
        <f t="shared" si="8"/>
        <v>Light</v>
      </c>
      <c r="P147" t="str">
        <f>_xlfn.XLOOKUP(Orders[[#This Row],[Customer ID]],customers!$A$1:$A$1001,customers!$I$1:$I$1001,,0)</f>
        <v>No</v>
      </c>
      <c r="Q147">
        <f>COUNTIF(Orders[Order ID],Orders[[#This Row],[Order ID]])</f>
        <v>1</v>
      </c>
      <c r="R147" s="10">
        <f>SUMIF(Orders[Order ID], Orders[[#This Row],[Order ID]],Orders[Sales])/Orders[[#This Row],[Order Frequency]]</f>
        <v>59.75</v>
      </c>
      <c r="S147" t="str">
        <f>IF(Orders[[#This Row],[Order Frequency]]&gt;4, "More than 4", IF(AND(Orders[[#This Row],[Order Frequency]]&lt;=4,Orders[[#This Row],[Order Frequency]]&gt;=2), "Between 4 and 2", "Less than 2"))</f>
        <v>Less than 2</v>
      </c>
      <c r="T147" t="str">
        <f>IF(Orders[[#This Row],[Frequency Group]]="less than 2", "Low Value", IF(Orders[[#This Row],[Frequency Group]]="between 4 and 2", "Medium Value", "High Value"))</f>
        <v>Low Value</v>
      </c>
      <c r="U147" t="str">
        <f>IF(Orders[[#This Row],[Sales]]&lt;50, "$0-50", IF(AND(Orders[[#This Row],[Sales]]&gt;=50,Orders[[#This Row],[Sales]]&lt;=100), "$50-100", IF(AND(Orders[[#This Row],[Sales]]&gt;100,Orders[[#This Row],[Sales]]&lt;=150), "$101-150", "$150+")))</f>
        <v>$50-100</v>
      </c>
      <c r="V147" t="str">
        <f>IF(Orders[[#This Row],[Sales]]&gt;MEDIAN(M:M), "High Price", "Low Price")</f>
        <v>High Price</v>
      </c>
      <c r="W147" t="str">
        <f>IF(Orders[[#This Row],[Quantity]]&gt;MEDIAN(E:E), "High Volume", "Low Volume")</f>
        <v>High Volume</v>
      </c>
      <c r="X147" t="str">
        <f>Orders[[#This Row],[Sales Tier]] &amp; "-" &amp; Orders[[#This Row],[Quantity Tier]]</f>
        <v>High Price-High Volume</v>
      </c>
      <c r="Y147" t="str">
        <f>TEXT(Orders[[#This Row],[Order Date]], "mmmm")</f>
        <v>January</v>
      </c>
      <c r="Z14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47" t="str">
        <f>Orders[[#This Row],[Coffee Type Name]] &amp; "-" &amp; Orders[[#This Row],[Roast Type Name]]</f>
        <v>Robusta-Light</v>
      </c>
      <c r="AB14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48" spans="1:28" x14ac:dyDescent="0.25">
      <c r="A148" s="2" t="s">
        <v>2677</v>
      </c>
      <c r="B148" s="4">
        <v>44130</v>
      </c>
      <c r="C148" s="2" t="s">
        <v>2678</v>
      </c>
      <c r="D148" t="s">
        <v>6150</v>
      </c>
      <c r="E148" s="2">
        <v>3</v>
      </c>
      <c r="F148" s="2" t="str">
        <f>_xlfn.XLOOKUP(C148,customers!$A$1:$A$1001,customers!$B$1:$B$1001,,0)</f>
        <v>Maisie Sarvar</v>
      </c>
      <c r="G148" s="2" t="str">
        <f>IF(_xlfn.XLOOKUP(C148,customers!$A$1:$A$1001,customers!$C$1:$C$1001,,0)=0,"",_xlfn.XLOOKUP(C148,customers!$A$1:$A$1001,customers!$C$1:$C$1001,,0))</f>
        <v>msarvaras@artisteer.com</v>
      </c>
      <c r="H148" s="2" t="str">
        <f>_xlfn.XLOOKUP(C148,customers!$A$1:$A$1001,customers!$G$1:$G$1001,,0)</f>
        <v>United States</v>
      </c>
      <c r="I148" t="str">
        <f>INDEX(products!$A$1:$G$49, MATCH(orders!$D390,products!$A$1:$A437,0), MATCH(orders!I$1,products!$A$1:$G$1,0))</f>
        <v>Lib</v>
      </c>
      <c r="J148" t="str">
        <f>INDEX(products!$A$1:$G$49, MATCH(orders!$D390,products!$A$1:$A437,0), MATCH(orders!J$1,products!$A$1:$G$1,0))</f>
        <v>D</v>
      </c>
      <c r="K148" s="5">
        <f>INDEX(products!$A$1:$G$49, MATCH(orders!$D390,products!$A$1:$A437,0), MATCH(orders!K$1,products!$A$1:$G$1,0))</f>
        <v>0.2</v>
      </c>
      <c r="L148" s="6">
        <f>INDEX(products!$A$1:$G$49, MATCH(orders!$D390,products!$A$1:$A437,0), MATCH(orders!L$1,products!$A$1:$G$1,0))</f>
        <v>3.8849999999999998</v>
      </c>
      <c r="M148" s="6">
        <f t="shared" si="6"/>
        <v>11.654999999999999</v>
      </c>
      <c r="N148" t="str">
        <f t="shared" si="7"/>
        <v>Liberica</v>
      </c>
      <c r="O148" t="str">
        <f t="shared" si="8"/>
        <v>Dark</v>
      </c>
      <c r="P148" t="str">
        <f>_xlfn.XLOOKUP(Orders[[#This Row],[Customer ID]],customers!$A$1:$A$1001,customers!$I$1:$I$1001,,0)</f>
        <v>Yes</v>
      </c>
      <c r="Q148">
        <f>COUNTIF(Orders[Order ID],Orders[[#This Row],[Order ID]])</f>
        <v>1</v>
      </c>
      <c r="R148" s="10">
        <f>SUMIF(Orders[Order ID], Orders[[#This Row],[Order ID]],Orders[Sales])/Orders[[#This Row],[Order Frequency]]</f>
        <v>11.654999999999999</v>
      </c>
      <c r="S148" t="str">
        <f>IF(Orders[[#This Row],[Order Frequency]]&gt;4, "More than 4", IF(AND(Orders[[#This Row],[Order Frequency]]&lt;=4,Orders[[#This Row],[Order Frequency]]&gt;=2), "Between 4 and 2", "Less than 2"))</f>
        <v>Less than 2</v>
      </c>
      <c r="T148" t="str">
        <f>IF(Orders[[#This Row],[Frequency Group]]="less than 2", "Low Value", IF(Orders[[#This Row],[Frequency Group]]="between 4 and 2", "Medium Value", "High Value"))</f>
        <v>Low Value</v>
      </c>
      <c r="U148" t="str">
        <f>IF(Orders[[#This Row],[Sales]]&lt;50, "$0-50", IF(AND(Orders[[#This Row],[Sales]]&gt;=50,Orders[[#This Row],[Sales]]&lt;=100), "$50-100", IF(AND(Orders[[#This Row],[Sales]]&gt;100,Orders[[#This Row],[Sales]]&lt;=150), "$101-150", "$150+")))</f>
        <v>$0-50</v>
      </c>
      <c r="V148" t="str">
        <f>IF(Orders[[#This Row],[Sales]]&gt;MEDIAN(M:M), "High Price", "Low Price")</f>
        <v>Low Price</v>
      </c>
      <c r="W148" t="str">
        <f>IF(Orders[[#This Row],[Quantity]]&gt;MEDIAN(E:E), "High Volume", "Low Volume")</f>
        <v>Low Volume</v>
      </c>
      <c r="X148" t="str">
        <f>Orders[[#This Row],[Sales Tier]] &amp; "-" &amp; Orders[[#This Row],[Quantity Tier]]</f>
        <v>Low Price-Low Volume</v>
      </c>
      <c r="Y148" t="str">
        <f>TEXT(Orders[[#This Row],[Order Date]], "mmmm")</f>
        <v>October</v>
      </c>
      <c r="Z14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148" t="str">
        <f>Orders[[#This Row],[Coffee Type Name]] &amp; "-" &amp; Orders[[#This Row],[Roast Type Name]]</f>
        <v>Liberica-Dark</v>
      </c>
      <c r="AB14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149" spans="1:28" x14ac:dyDescent="0.25">
      <c r="A149" s="2" t="s">
        <v>3453</v>
      </c>
      <c r="B149" s="4">
        <v>44255</v>
      </c>
      <c r="C149" s="2" t="s">
        <v>3454</v>
      </c>
      <c r="D149" t="s">
        <v>6164</v>
      </c>
      <c r="E149" s="2">
        <v>2</v>
      </c>
      <c r="F149" s="2" t="str">
        <f>_xlfn.XLOOKUP(C149,customers!$A$1:$A$1001,customers!$B$1:$B$1001,,0)</f>
        <v>Erny Stenyng</v>
      </c>
      <c r="G149" s="2" t="str">
        <f>IF(_xlfn.XLOOKUP(C149,customers!$A$1:$A$1001,customers!$C$1:$C$1001,,0)=0,"",_xlfn.XLOOKUP(C149,customers!$A$1:$A$1001,customers!$C$1:$C$1001,,0))</f>
        <v/>
      </c>
      <c r="H149" s="2" t="str">
        <f>_xlfn.XLOOKUP(C149,customers!$A$1:$A$1001,customers!$G$1:$G$1001,,0)</f>
        <v>United States</v>
      </c>
      <c r="I149" t="str">
        <f>INDEX(products!$A$1:$G$49, MATCH(orders!$D526,products!$A$1:$A573,0), MATCH(orders!I$1,products!$A$1:$G$1,0))</f>
        <v>Lib</v>
      </c>
      <c r="J149" t="str">
        <f>INDEX(products!$A$1:$G$49, MATCH(orders!$D526,products!$A$1:$A573,0), MATCH(orders!J$1,products!$A$1:$G$1,0))</f>
        <v>L</v>
      </c>
      <c r="K149" s="5">
        <f>INDEX(products!$A$1:$G$49, MATCH(orders!$D526,products!$A$1:$A573,0), MATCH(orders!K$1,products!$A$1:$G$1,0))</f>
        <v>2.5</v>
      </c>
      <c r="L149" s="6">
        <f>INDEX(products!$A$1:$G$49, MATCH(orders!$D526,products!$A$1:$A573,0), MATCH(orders!L$1,products!$A$1:$G$1,0))</f>
        <v>36.454999999999998</v>
      </c>
      <c r="M149" s="6">
        <f t="shared" si="6"/>
        <v>72.91</v>
      </c>
      <c r="N149" t="str">
        <f t="shared" si="7"/>
        <v>Liberica</v>
      </c>
      <c r="O149" t="str">
        <f t="shared" si="8"/>
        <v>Light</v>
      </c>
      <c r="P149" t="str">
        <f>_xlfn.XLOOKUP(Orders[[#This Row],[Customer ID]],customers!$A$1:$A$1001,customers!$I$1:$I$1001,,0)</f>
        <v>No</v>
      </c>
      <c r="Q149">
        <f>COUNTIF(Orders[Order ID],Orders[[#This Row],[Order ID]])</f>
        <v>1</v>
      </c>
      <c r="R149" s="10">
        <f>SUMIF(Orders[Order ID], Orders[[#This Row],[Order ID]],Orders[Sales])/Orders[[#This Row],[Order Frequency]]</f>
        <v>72.91</v>
      </c>
      <c r="S149" t="str">
        <f>IF(Orders[[#This Row],[Order Frequency]]&gt;4, "More than 4", IF(AND(Orders[[#This Row],[Order Frequency]]&lt;=4,Orders[[#This Row],[Order Frequency]]&gt;=2), "Between 4 and 2", "Less than 2"))</f>
        <v>Less than 2</v>
      </c>
      <c r="T149" t="str">
        <f>IF(Orders[[#This Row],[Frequency Group]]="less than 2", "Low Value", IF(Orders[[#This Row],[Frequency Group]]="between 4 and 2", "Medium Value", "High Value"))</f>
        <v>Low Value</v>
      </c>
      <c r="U149" t="str">
        <f>IF(Orders[[#This Row],[Sales]]&lt;50, "$0-50", IF(AND(Orders[[#This Row],[Sales]]&gt;=50,Orders[[#This Row],[Sales]]&lt;=100), "$50-100", IF(AND(Orders[[#This Row],[Sales]]&gt;100,Orders[[#This Row],[Sales]]&lt;=150), "$101-150", "$150+")))</f>
        <v>$50-100</v>
      </c>
      <c r="V149" t="str">
        <f>IF(Orders[[#This Row],[Sales]]&gt;MEDIAN(M:M), "High Price", "Low Price")</f>
        <v>High Price</v>
      </c>
      <c r="W149" t="str">
        <f>IF(Orders[[#This Row],[Quantity]]&gt;MEDIAN(E:E), "High Volume", "Low Volume")</f>
        <v>Low Volume</v>
      </c>
      <c r="X149" t="str">
        <f>Orders[[#This Row],[Sales Tier]] &amp; "-" &amp; Orders[[#This Row],[Quantity Tier]]</f>
        <v>High Price-Low Volume</v>
      </c>
      <c r="Y149" t="str">
        <f>TEXT(Orders[[#This Row],[Order Date]], "mmmm")</f>
        <v>February</v>
      </c>
      <c r="Z14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49" t="str">
        <f>Orders[[#This Row],[Coffee Type Name]] &amp; "-" &amp; Orders[[#This Row],[Roast Type Name]]</f>
        <v>Liberica-Light</v>
      </c>
      <c r="AB14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50" spans="1:28" x14ac:dyDescent="0.25">
      <c r="A150" s="2" t="s">
        <v>2379</v>
      </c>
      <c r="B150" s="4">
        <v>43885</v>
      </c>
      <c r="C150" s="2" t="s">
        <v>2380</v>
      </c>
      <c r="D150" t="s">
        <v>6145</v>
      </c>
      <c r="E150" s="2">
        <v>6</v>
      </c>
      <c r="F150" s="2" t="str">
        <f>_xlfn.XLOOKUP(C150,customers!$A$1:$A$1001,customers!$B$1:$B$1001,,0)</f>
        <v>Clement Vasiliev</v>
      </c>
      <c r="G150" s="2" t="str">
        <f>IF(_xlfn.XLOOKUP(C150,customers!$A$1:$A$1001,customers!$C$1:$C$1001,,0)=0,"",_xlfn.XLOOKUP(C150,customers!$A$1:$A$1001,customers!$C$1:$C$1001,,0))</f>
        <v>cvasiliev9b@discuz.net</v>
      </c>
      <c r="H150" s="2" t="str">
        <f>_xlfn.XLOOKUP(C150,customers!$A$1:$A$1001,customers!$G$1:$G$1001,,0)</f>
        <v>United States</v>
      </c>
      <c r="I150" t="str">
        <f>INDEX(products!$A$1:$G$49, MATCH(orders!$D337,products!$A$1:$A384,0), MATCH(orders!I$1,products!$A$1:$G$1,0))</f>
        <v>Lib</v>
      </c>
      <c r="J150" t="str">
        <f>INDEX(products!$A$1:$G$49, MATCH(orders!$D337,products!$A$1:$A384,0), MATCH(orders!J$1,products!$A$1:$G$1,0))</f>
        <v>L</v>
      </c>
      <c r="K150" s="5">
        <f>INDEX(products!$A$1:$G$49, MATCH(orders!$D337,products!$A$1:$A384,0), MATCH(orders!K$1,products!$A$1:$G$1,0))</f>
        <v>0.2</v>
      </c>
      <c r="L150" s="6">
        <f>INDEX(products!$A$1:$G$49, MATCH(orders!$D337,products!$A$1:$A384,0), MATCH(orders!L$1,products!$A$1:$G$1,0))</f>
        <v>4.7549999999999999</v>
      </c>
      <c r="M150" s="6">
        <f t="shared" si="6"/>
        <v>28.53</v>
      </c>
      <c r="N150" t="str">
        <f t="shared" si="7"/>
        <v>Liberica</v>
      </c>
      <c r="O150" t="str">
        <f t="shared" si="8"/>
        <v>Light</v>
      </c>
      <c r="P150" t="str">
        <f>_xlfn.XLOOKUP(Orders[[#This Row],[Customer ID]],customers!$A$1:$A$1001,customers!$I$1:$I$1001,,0)</f>
        <v>Yes</v>
      </c>
      <c r="Q150">
        <f>COUNTIF(Orders[Order ID],Orders[[#This Row],[Order ID]])</f>
        <v>1</v>
      </c>
      <c r="R150" s="10">
        <f>SUMIF(Orders[Order ID], Orders[[#This Row],[Order ID]],Orders[Sales])/Orders[[#This Row],[Order Frequency]]</f>
        <v>28.53</v>
      </c>
      <c r="S150" t="str">
        <f>IF(Orders[[#This Row],[Order Frequency]]&gt;4, "More than 4", IF(AND(Orders[[#This Row],[Order Frequency]]&lt;=4,Orders[[#This Row],[Order Frequency]]&gt;=2), "Between 4 and 2", "Less than 2"))</f>
        <v>Less than 2</v>
      </c>
      <c r="T150" t="str">
        <f>IF(Orders[[#This Row],[Frequency Group]]="less than 2", "Low Value", IF(Orders[[#This Row],[Frequency Group]]="between 4 and 2", "Medium Value", "High Value"))</f>
        <v>Low Value</v>
      </c>
      <c r="U150" t="str">
        <f>IF(Orders[[#This Row],[Sales]]&lt;50, "$0-50", IF(AND(Orders[[#This Row],[Sales]]&gt;=50,Orders[[#This Row],[Sales]]&lt;=100), "$50-100", IF(AND(Orders[[#This Row],[Sales]]&gt;100,Orders[[#This Row],[Sales]]&lt;=150), "$101-150", "$150+")))</f>
        <v>$0-50</v>
      </c>
      <c r="V150" t="str">
        <f>IF(Orders[[#This Row],[Sales]]&gt;MEDIAN(M:M), "High Price", "Low Price")</f>
        <v>Low Price</v>
      </c>
      <c r="W150" t="str">
        <f>IF(Orders[[#This Row],[Quantity]]&gt;MEDIAN(E:E), "High Volume", "Low Volume")</f>
        <v>High Volume</v>
      </c>
      <c r="X150" t="str">
        <f>Orders[[#This Row],[Sales Tier]] &amp; "-" &amp; Orders[[#This Row],[Quantity Tier]]</f>
        <v>Low Price-High Volume</v>
      </c>
      <c r="Y150" t="str">
        <f>TEXT(Orders[[#This Row],[Order Date]], "mmmm")</f>
        <v>February</v>
      </c>
      <c r="Z15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50" t="str">
        <f>Orders[[#This Row],[Coffee Type Name]] &amp; "-" &amp; Orders[[#This Row],[Roast Type Name]]</f>
        <v>Liberica-Light</v>
      </c>
      <c r="AB15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51" spans="1:28" x14ac:dyDescent="0.25">
      <c r="A151" s="2" t="s">
        <v>3582</v>
      </c>
      <c r="B151" s="4">
        <v>44265</v>
      </c>
      <c r="C151" s="2" t="s">
        <v>3594</v>
      </c>
      <c r="D151" t="s">
        <v>6178</v>
      </c>
      <c r="E151" s="2">
        <v>3</v>
      </c>
      <c r="F151" s="2" t="str">
        <f>_xlfn.XLOOKUP(C151,customers!$A$1:$A$1001,customers!$B$1:$B$1001,,0)</f>
        <v>Wilek Lightollers</v>
      </c>
      <c r="G151" s="2" t="str">
        <f>IF(_xlfn.XLOOKUP(C151,customers!$A$1:$A$1001,customers!$C$1:$C$1001,,0)=0,"",_xlfn.XLOOKUP(C151,customers!$A$1:$A$1001,customers!$C$1:$C$1001,,0))</f>
        <v>wlightollersf9@baidu.com</v>
      </c>
      <c r="H151" s="2" t="str">
        <f>_xlfn.XLOOKUP(C151,customers!$A$1:$A$1001,customers!$G$1:$G$1001,,0)</f>
        <v>United States</v>
      </c>
      <c r="I151" t="str">
        <f>INDEX(products!$A$1:$G$49, MATCH(orders!$D549,products!$A$1:$A596,0), MATCH(orders!I$1,products!$A$1:$G$1,0))</f>
        <v>Rob</v>
      </c>
      <c r="J151" t="str">
        <f>INDEX(products!$A$1:$G$49, MATCH(orders!$D549,products!$A$1:$A596,0), MATCH(orders!J$1,products!$A$1:$G$1,0))</f>
        <v>L</v>
      </c>
      <c r="K151" s="5">
        <f>INDEX(products!$A$1:$G$49, MATCH(orders!$D549,products!$A$1:$A596,0), MATCH(orders!K$1,products!$A$1:$G$1,0))</f>
        <v>0.2</v>
      </c>
      <c r="L151" s="6">
        <f>INDEX(products!$A$1:$G$49, MATCH(orders!$D549,products!$A$1:$A596,0), MATCH(orders!L$1,products!$A$1:$G$1,0))</f>
        <v>3.5849999999999995</v>
      </c>
      <c r="M151" s="6">
        <f t="shared" si="6"/>
        <v>10.754999999999999</v>
      </c>
      <c r="N151" t="str">
        <f t="shared" si="7"/>
        <v>Robusta</v>
      </c>
      <c r="O151" t="str">
        <f t="shared" si="8"/>
        <v>Light</v>
      </c>
      <c r="P151" t="str">
        <f>_xlfn.XLOOKUP(Orders[[#This Row],[Customer ID]],customers!$A$1:$A$1001,customers!$I$1:$I$1001,,0)</f>
        <v>Yes</v>
      </c>
      <c r="Q151">
        <f>COUNTIF(Orders[Order ID],Orders[[#This Row],[Order ID]])</f>
        <v>1</v>
      </c>
      <c r="R151" s="10">
        <f>SUMIF(Orders[Order ID], Orders[[#This Row],[Order ID]],Orders[Sales])/Orders[[#This Row],[Order Frequency]]</f>
        <v>10.754999999999999</v>
      </c>
      <c r="S151" t="str">
        <f>IF(Orders[[#This Row],[Order Frequency]]&gt;4, "More than 4", IF(AND(Orders[[#This Row],[Order Frequency]]&lt;=4,Orders[[#This Row],[Order Frequency]]&gt;=2), "Between 4 and 2", "Less than 2"))</f>
        <v>Less than 2</v>
      </c>
      <c r="T151" t="str">
        <f>IF(Orders[[#This Row],[Frequency Group]]="less than 2", "Low Value", IF(Orders[[#This Row],[Frequency Group]]="between 4 and 2", "Medium Value", "High Value"))</f>
        <v>Low Value</v>
      </c>
      <c r="U151" t="str">
        <f>IF(Orders[[#This Row],[Sales]]&lt;50, "$0-50", IF(AND(Orders[[#This Row],[Sales]]&gt;=50,Orders[[#This Row],[Sales]]&lt;=100), "$50-100", IF(AND(Orders[[#This Row],[Sales]]&gt;100,Orders[[#This Row],[Sales]]&lt;=150), "$101-150", "$150+")))</f>
        <v>$0-50</v>
      </c>
      <c r="V151" t="str">
        <f>IF(Orders[[#This Row],[Sales]]&gt;MEDIAN(M:M), "High Price", "Low Price")</f>
        <v>Low Price</v>
      </c>
      <c r="W151" t="str">
        <f>IF(Orders[[#This Row],[Quantity]]&gt;MEDIAN(E:E), "High Volume", "Low Volume")</f>
        <v>Low Volume</v>
      </c>
      <c r="X151" t="str">
        <f>Orders[[#This Row],[Sales Tier]] &amp; "-" &amp; Orders[[#This Row],[Quantity Tier]]</f>
        <v>Low Price-Low Volume</v>
      </c>
      <c r="Y151" t="str">
        <f>TEXT(Orders[[#This Row],[Order Date]], "mmmm")</f>
        <v>March</v>
      </c>
      <c r="Z15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51" t="str">
        <f>Orders[[#This Row],[Coffee Type Name]] &amp; "-" &amp; Orders[[#This Row],[Roast Type Name]]</f>
        <v>Robusta-Light</v>
      </c>
      <c r="AB15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152" spans="1:28" x14ac:dyDescent="0.25">
      <c r="A152" s="2" t="s">
        <v>3860</v>
      </c>
      <c r="B152" s="4">
        <v>44532</v>
      </c>
      <c r="C152" s="2" t="s">
        <v>3861</v>
      </c>
      <c r="D152" t="s">
        <v>6164</v>
      </c>
      <c r="E152" s="2">
        <v>4</v>
      </c>
      <c r="F152" s="2" t="str">
        <f>_xlfn.XLOOKUP(C152,customers!$A$1:$A$1001,customers!$B$1:$B$1001,,0)</f>
        <v>Bo Kindley</v>
      </c>
      <c r="G152" s="2" t="str">
        <f>IF(_xlfn.XLOOKUP(C152,customers!$A$1:$A$1001,customers!$C$1:$C$1001,,0)=0,"",_xlfn.XLOOKUP(C152,customers!$A$1:$A$1001,customers!$C$1:$C$1001,,0))</f>
        <v>bkindleygl@wikimedia.org</v>
      </c>
      <c r="H152" s="2" t="str">
        <f>_xlfn.XLOOKUP(C152,customers!$A$1:$A$1001,customers!$G$1:$G$1001,,0)</f>
        <v>United States</v>
      </c>
      <c r="I152" t="str">
        <f>INDEX(products!$A$1:$G$49, MATCH(orders!$D599,products!$A$1:$A646,0), MATCH(orders!I$1,products!$A$1:$G$1,0))</f>
        <v>Lib</v>
      </c>
      <c r="J152" t="str">
        <f>INDEX(products!$A$1:$G$49, MATCH(orders!$D599,products!$A$1:$A646,0), MATCH(orders!J$1,products!$A$1:$G$1,0))</f>
        <v>L</v>
      </c>
      <c r="K152" s="5">
        <f>INDEX(products!$A$1:$G$49, MATCH(orders!$D599,products!$A$1:$A646,0), MATCH(orders!K$1,products!$A$1:$G$1,0))</f>
        <v>2.5</v>
      </c>
      <c r="L152" s="6">
        <f>INDEX(products!$A$1:$G$49, MATCH(orders!$D599,products!$A$1:$A646,0), MATCH(orders!L$1,products!$A$1:$G$1,0))</f>
        <v>36.454999999999998</v>
      </c>
      <c r="M152" s="6">
        <f t="shared" si="6"/>
        <v>145.82</v>
      </c>
      <c r="N152" t="str">
        <f t="shared" si="7"/>
        <v>Liberica</v>
      </c>
      <c r="O152" t="str">
        <f t="shared" si="8"/>
        <v>Light</v>
      </c>
      <c r="P152" t="str">
        <f>_xlfn.XLOOKUP(Orders[[#This Row],[Customer ID]],customers!$A$1:$A$1001,customers!$I$1:$I$1001,,0)</f>
        <v>Yes</v>
      </c>
      <c r="Q152">
        <f>COUNTIF(Orders[Order ID],Orders[[#This Row],[Order ID]])</f>
        <v>1</v>
      </c>
      <c r="R152" s="10">
        <f>SUMIF(Orders[Order ID], Orders[[#This Row],[Order ID]],Orders[Sales])/Orders[[#This Row],[Order Frequency]]</f>
        <v>145.82</v>
      </c>
      <c r="S152" t="str">
        <f>IF(Orders[[#This Row],[Order Frequency]]&gt;4, "More than 4", IF(AND(Orders[[#This Row],[Order Frequency]]&lt;=4,Orders[[#This Row],[Order Frequency]]&gt;=2), "Between 4 and 2", "Less than 2"))</f>
        <v>Less than 2</v>
      </c>
      <c r="T152" t="str">
        <f>IF(Orders[[#This Row],[Frequency Group]]="less than 2", "Low Value", IF(Orders[[#This Row],[Frequency Group]]="between 4 and 2", "Medium Value", "High Value"))</f>
        <v>Low Value</v>
      </c>
      <c r="U152" t="str">
        <f>IF(Orders[[#This Row],[Sales]]&lt;50, "$0-50", IF(AND(Orders[[#This Row],[Sales]]&gt;=50,Orders[[#This Row],[Sales]]&lt;=100), "$50-100", IF(AND(Orders[[#This Row],[Sales]]&gt;100,Orders[[#This Row],[Sales]]&lt;=150), "$101-150", "$150+")))</f>
        <v>$101-150</v>
      </c>
      <c r="V152" t="str">
        <f>IF(Orders[[#This Row],[Sales]]&gt;MEDIAN(M:M), "High Price", "Low Price")</f>
        <v>High Price</v>
      </c>
      <c r="W152" t="str">
        <f>IF(Orders[[#This Row],[Quantity]]&gt;MEDIAN(E:E), "High Volume", "Low Volume")</f>
        <v>Low Volume</v>
      </c>
      <c r="X152" t="str">
        <f>Orders[[#This Row],[Sales Tier]] &amp; "-" &amp; Orders[[#This Row],[Quantity Tier]]</f>
        <v>High Price-Low Volume</v>
      </c>
      <c r="Y152" t="str">
        <f>TEXT(Orders[[#This Row],[Order Date]], "mmmm")</f>
        <v>December</v>
      </c>
      <c r="Z15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152" t="str">
        <f>Orders[[#This Row],[Coffee Type Name]] &amp; "-" &amp; Orders[[#This Row],[Roast Type Name]]</f>
        <v>Liberica-Light</v>
      </c>
      <c r="AB15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53" spans="1:28" x14ac:dyDescent="0.25">
      <c r="A153" s="2" t="s">
        <v>5967</v>
      </c>
      <c r="B153" s="4">
        <v>43649</v>
      </c>
      <c r="C153" s="2" t="s">
        <v>5968</v>
      </c>
      <c r="D153" t="s">
        <v>6143</v>
      </c>
      <c r="E153" s="2">
        <v>1</v>
      </c>
      <c r="F153" s="2" t="str">
        <f>_xlfn.XLOOKUP(C153,customers!$A$1:$A$1001,customers!$B$1:$B$1001,,0)</f>
        <v>Chiarra Shalders</v>
      </c>
      <c r="G153" s="2" t="str">
        <f>IF(_xlfn.XLOOKUP(C153,customers!$A$1:$A$1001,customers!$C$1:$C$1001,,0)=0,"",_xlfn.XLOOKUP(C153,customers!$A$1:$A$1001,customers!$C$1:$C$1001,,0))</f>
        <v>cshaldersqx@cisco.com</v>
      </c>
      <c r="H153" s="2" t="str">
        <f>_xlfn.XLOOKUP(C153,customers!$A$1:$A$1001,customers!$G$1:$G$1001,,0)</f>
        <v>United States</v>
      </c>
      <c r="I153" t="str">
        <f>INDEX(products!$A$1:$G$49, MATCH(orders!$D971,products!$A$1:$A1018,0), MATCH(orders!I$1,products!$A$1:$G$1,0))</f>
        <v>Lib</v>
      </c>
      <c r="J153" t="str">
        <f>INDEX(products!$A$1:$G$49, MATCH(orders!$D971,products!$A$1:$A1018,0), MATCH(orders!J$1,products!$A$1:$G$1,0))</f>
        <v>D</v>
      </c>
      <c r="K153" s="5">
        <f>INDEX(products!$A$1:$G$49, MATCH(orders!$D971,products!$A$1:$A1018,0), MATCH(orders!K$1,products!$A$1:$G$1,0))</f>
        <v>1</v>
      </c>
      <c r="L153" s="6">
        <f>INDEX(products!$A$1:$G$49, MATCH(orders!$D971,products!$A$1:$A1018,0), MATCH(orders!L$1,products!$A$1:$G$1,0))</f>
        <v>12.95</v>
      </c>
      <c r="M153" s="6">
        <f t="shared" si="6"/>
        <v>12.95</v>
      </c>
      <c r="N153" t="str">
        <f t="shared" si="7"/>
        <v>Liberica</v>
      </c>
      <c r="O153" t="str">
        <f t="shared" si="8"/>
        <v>Dark</v>
      </c>
      <c r="P153" t="str">
        <f>_xlfn.XLOOKUP(Orders[[#This Row],[Customer ID]],customers!$A$1:$A$1001,customers!$I$1:$I$1001,,0)</f>
        <v>Yes</v>
      </c>
      <c r="Q153">
        <f>COUNTIF(Orders[Order ID],Orders[[#This Row],[Order ID]])</f>
        <v>1</v>
      </c>
      <c r="R153" s="10">
        <f>SUMIF(Orders[Order ID], Orders[[#This Row],[Order ID]],Orders[Sales])/Orders[[#This Row],[Order Frequency]]</f>
        <v>12.95</v>
      </c>
      <c r="S153" t="str">
        <f>IF(Orders[[#This Row],[Order Frequency]]&gt;4, "More than 4", IF(AND(Orders[[#This Row],[Order Frequency]]&lt;=4,Orders[[#This Row],[Order Frequency]]&gt;=2), "Between 4 and 2", "Less than 2"))</f>
        <v>Less than 2</v>
      </c>
      <c r="T153" t="str">
        <f>IF(Orders[[#This Row],[Frequency Group]]="less than 2", "Low Value", IF(Orders[[#This Row],[Frequency Group]]="between 4 and 2", "Medium Value", "High Value"))</f>
        <v>Low Value</v>
      </c>
      <c r="U153" t="str">
        <f>IF(Orders[[#This Row],[Sales]]&lt;50, "$0-50", IF(AND(Orders[[#This Row],[Sales]]&gt;=50,Orders[[#This Row],[Sales]]&lt;=100), "$50-100", IF(AND(Orders[[#This Row],[Sales]]&gt;100,Orders[[#This Row],[Sales]]&lt;=150), "$101-150", "$150+")))</f>
        <v>$0-50</v>
      </c>
      <c r="V153" t="str">
        <f>IF(Orders[[#This Row],[Sales]]&gt;MEDIAN(M:M), "High Price", "Low Price")</f>
        <v>Low Price</v>
      </c>
      <c r="W153" t="str">
        <f>IF(Orders[[#This Row],[Quantity]]&gt;MEDIAN(E:E), "High Volume", "Low Volume")</f>
        <v>Low Volume</v>
      </c>
      <c r="X153" t="str">
        <f>Orders[[#This Row],[Sales Tier]] &amp; "-" &amp; Orders[[#This Row],[Quantity Tier]]</f>
        <v>Low Price-Low Volume</v>
      </c>
      <c r="Y153" t="str">
        <f>TEXT(Orders[[#This Row],[Order Date]], "mmmm")</f>
        <v>July</v>
      </c>
      <c r="Z15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153" t="str">
        <f>Orders[[#This Row],[Coffee Type Name]] &amp; "-" &amp; Orders[[#This Row],[Roast Type Name]]</f>
        <v>Liberica-Dark</v>
      </c>
      <c r="AB15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154" spans="1:28" x14ac:dyDescent="0.25">
      <c r="A154" s="2" t="s">
        <v>6086</v>
      </c>
      <c r="B154" s="4">
        <v>44718</v>
      </c>
      <c r="C154" s="2" t="s">
        <v>6118</v>
      </c>
      <c r="D154" t="s">
        <v>6169</v>
      </c>
      <c r="E154" s="2">
        <v>2</v>
      </c>
      <c r="F154" s="2" t="str">
        <f>_xlfn.XLOOKUP(C154,customers!$A$1:$A$1001,customers!$B$1:$B$1001,,0)</f>
        <v>Marguerite Graves</v>
      </c>
      <c r="G154" s="2" t="str">
        <f>IF(_xlfn.XLOOKUP(C154,customers!$A$1:$A$1001,customers!$C$1:$C$1001,,0)=0,"",_xlfn.XLOOKUP(C154,customers!$A$1:$A$1001,customers!$C$1:$C$1001,,0))</f>
        <v/>
      </c>
      <c r="H154" s="2" t="str">
        <f>_xlfn.XLOOKUP(C154,customers!$A$1:$A$1001,customers!$G$1:$G$1001,,0)</f>
        <v>United States</v>
      </c>
      <c r="I154" t="str">
        <f>INDEX(products!$A$1:$G$49, MATCH(orders!$D993,products!$A$1:$A1040,0), MATCH(orders!I$1,products!$A$1:$G$1,0))</f>
        <v>Lib</v>
      </c>
      <c r="J154" t="str">
        <f>INDEX(products!$A$1:$G$49, MATCH(orders!$D993,products!$A$1:$A1040,0), MATCH(orders!J$1,products!$A$1:$G$1,0))</f>
        <v>D</v>
      </c>
      <c r="K154" s="5">
        <f>INDEX(products!$A$1:$G$49, MATCH(orders!$D993,products!$A$1:$A1040,0), MATCH(orders!K$1,products!$A$1:$G$1,0))</f>
        <v>0.5</v>
      </c>
      <c r="L154" s="6">
        <f>INDEX(products!$A$1:$G$49, MATCH(orders!$D993,products!$A$1:$A1040,0), MATCH(orders!L$1,products!$A$1:$G$1,0))</f>
        <v>7.77</v>
      </c>
      <c r="M154" s="6">
        <f t="shared" si="6"/>
        <v>15.54</v>
      </c>
      <c r="N154" t="str">
        <f t="shared" si="7"/>
        <v>Liberica</v>
      </c>
      <c r="O154" t="str">
        <f t="shared" si="8"/>
        <v>Dark</v>
      </c>
      <c r="P154" t="str">
        <f>_xlfn.XLOOKUP(Orders[[#This Row],[Customer ID]],customers!$A$1:$A$1001,customers!$I$1:$I$1001,,0)</f>
        <v>No</v>
      </c>
      <c r="Q154">
        <f>COUNTIF(Orders[Order ID],Orders[[#This Row],[Order ID]])</f>
        <v>2</v>
      </c>
      <c r="R154" s="10">
        <f>SUMIF(Orders[Order ID], Orders[[#This Row],[Order ID]],Orders[Sales])/Orders[[#This Row],[Order Frequency]]</f>
        <v>16.8825</v>
      </c>
      <c r="S154" t="str">
        <f>IF(Orders[[#This Row],[Order Frequency]]&gt;4, "More than 4", IF(AND(Orders[[#This Row],[Order Frequency]]&lt;=4,Orders[[#This Row],[Order Frequency]]&gt;=2), "Between 4 and 2", "Less than 2"))</f>
        <v>Between 4 and 2</v>
      </c>
      <c r="T154" t="str">
        <f>IF(Orders[[#This Row],[Frequency Group]]="less than 2", "Low Value", IF(Orders[[#This Row],[Frequency Group]]="between 4 and 2", "Medium Value", "High Value"))</f>
        <v>Medium Value</v>
      </c>
      <c r="U154" t="str">
        <f>IF(Orders[[#This Row],[Sales]]&lt;50, "$0-50", IF(AND(Orders[[#This Row],[Sales]]&gt;=50,Orders[[#This Row],[Sales]]&lt;=100), "$50-100", IF(AND(Orders[[#This Row],[Sales]]&gt;100,Orders[[#This Row],[Sales]]&lt;=150), "$101-150", "$150+")))</f>
        <v>$0-50</v>
      </c>
      <c r="V154" t="str">
        <f>IF(Orders[[#This Row],[Sales]]&gt;MEDIAN(M:M), "High Price", "Low Price")</f>
        <v>Low Price</v>
      </c>
      <c r="W154" t="str">
        <f>IF(Orders[[#This Row],[Quantity]]&gt;MEDIAN(E:E), "High Volume", "Low Volume")</f>
        <v>Low Volume</v>
      </c>
      <c r="X154" t="str">
        <f>Orders[[#This Row],[Sales Tier]] &amp; "-" &amp; Orders[[#This Row],[Quantity Tier]]</f>
        <v>Low Price-Low Volume</v>
      </c>
      <c r="Y154" t="str">
        <f>TEXT(Orders[[#This Row],[Order Date]], "mmmm")</f>
        <v>June</v>
      </c>
      <c r="Z15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154" t="str">
        <f>Orders[[#This Row],[Coffee Type Name]] &amp; "-" &amp; Orders[[#This Row],[Roast Type Name]]</f>
        <v>Liberica-Dark</v>
      </c>
      <c r="AB15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155" spans="1:28" x14ac:dyDescent="0.25">
      <c r="A155" s="2" t="s">
        <v>6086</v>
      </c>
      <c r="B155" s="4">
        <v>44718</v>
      </c>
      <c r="C155" s="2" t="s">
        <v>6118</v>
      </c>
      <c r="D155" t="s">
        <v>6153</v>
      </c>
      <c r="E155" s="2">
        <v>5</v>
      </c>
      <c r="F155" s="2" t="str">
        <f>_xlfn.XLOOKUP(C155,customers!$A$1:$A$1001,customers!$B$1:$B$1001,,0)</f>
        <v>Marguerite Graves</v>
      </c>
      <c r="G155" s="2" t="str">
        <f>IF(_xlfn.XLOOKUP(C155,customers!$A$1:$A$1001,customers!$C$1:$C$1001,,0)=0,"",_xlfn.XLOOKUP(C155,customers!$A$1:$A$1001,customers!$C$1:$C$1001,,0))</f>
        <v/>
      </c>
      <c r="H155" s="2" t="str">
        <f>_xlfn.XLOOKUP(C155,customers!$A$1:$A$1001,customers!$G$1:$G$1001,,0)</f>
        <v>United States</v>
      </c>
      <c r="I155" t="str">
        <f>INDEX(products!$A$1:$G$49, MATCH(orders!$D992,products!$A$1:$A1039,0), MATCH(orders!I$1,products!$A$1:$G$1,0))</f>
        <v>Exc</v>
      </c>
      <c r="J155" t="str">
        <f>INDEX(products!$A$1:$G$49, MATCH(orders!$D992,products!$A$1:$A1039,0), MATCH(orders!J$1,products!$A$1:$G$1,0))</f>
        <v>D</v>
      </c>
      <c r="K155" s="5">
        <f>INDEX(products!$A$1:$G$49, MATCH(orders!$D992,products!$A$1:$A1039,0), MATCH(orders!K$1,products!$A$1:$G$1,0))</f>
        <v>0.2</v>
      </c>
      <c r="L155" s="6">
        <f>INDEX(products!$A$1:$G$49, MATCH(orders!$D992,products!$A$1:$A1039,0), MATCH(orders!L$1,products!$A$1:$G$1,0))</f>
        <v>3.645</v>
      </c>
      <c r="M155" s="6">
        <f t="shared" si="6"/>
        <v>18.225000000000001</v>
      </c>
      <c r="N155" t="str">
        <f t="shared" si="7"/>
        <v>Excelsa</v>
      </c>
      <c r="O155" t="str">
        <f t="shared" si="8"/>
        <v>Dark</v>
      </c>
      <c r="P155" t="str">
        <f>_xlfn.XLOOKUP(Orders[[#This Row],[Customer ID]],customers!$A$1:$A$1001,customers!$I$1:$I$1001,,0)</f>
        <v>No</v>
      </c>
      <c r="Q155">
        <f>COUNTIF(Orders[Order ID],Orders[[#This Row],[Order ID]])</f>
        <v>2</v>
      </c>
      <c r="R155" s="10">
        <f>SUMIF(Orders[Order ID], Orders[[#This Row],[Order ID]],Orders[Sales])/Orders[[#This Row],[Order Frequency]]</f>
        <v>16.8825</v>
      </c>
      <c r="S155" t="str">
        <f>IF(Orders[[#This Row],[Order Frequency]]&gt;4, "More than 4", IF(AND(Orders[[#This Row],[Order Frequency]]&lt;=4,Orders[[#This Row],[Order Frequency]]&gt;=2), "Between 4 and 2", "Less than 2"))</f>
        <v>Between 4 and 2</v>
      </c>
      <c r="T155" t="str">
        <f>IF(Orders[[#This Row],[Frequency Group]]="less than 2", "Low Value", IF(Orders[[#This Row],[Frequency Group]]="between 4 and 2", "Medium Value", "High Value"))</f>
        <v>Medium Value</v>
      </c>
      <c r="U155" t="str">
        <f>IF(Orders[[#This Row],[Sales]]&lt;50, "$0-50", IF(AND(Orders[[#This Row],[Sales]]&gt;=50,Orders[[#This Row],[Sales]]&lt;=100), "$50-100", IF(AND(Orders[[#This Row],[Sales]]&gt;100,Orders[[#This Row],[Sales]]&lt;=150), "$101-150", "$150+")))</f>
        <v>$0-50</v>
      </c>
      <c r="V155" t="str">
        <f>IF(Orders[[#This Row],[Sales]]&gt;MEDIAN(M:M), "High Price", "Low Price")</f>
        <v>Low Price</v>
      </c>
      <c r="W155" t="str">
        <f>IF(Orders[[#This Row],[Quantity]]&gt;MEDIAN(E:E), "High Volume", "Low Volume")</f>
        <v>High Volume</v>
      </c>
      <c r="X155" t="str">
        <f>Orders[[#This Row],[Sales Tier]] &amp; "-" &amp; Orders[[#This Row],[Quantity Tier]]</f>
        <v>Low Price-High Volume</v>
      </c>
      <c r="Y155" t="str">
        <f>TEXT(Orders[[#This Row],[Order Date]], "mmmm")</f>
        <v>June</v>
      </c>
      <c r="Z15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155" t="str">
        <f>Orders[[#This Row],[Coffee Type Name]] &amp; "-" &amp; Orders[[#This Row],[Roast Type Name]]</f>
        <v>Excelsa-Dark</v>
      </c>
      <c r="AB15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156" spans="1:28" x14ac:dyDescent="0.25">
      <c r="A156" s="2" t="s">
        <v>2763</v>
      </c>
      <c r="B156" s="4">
        <v>44295</v>
      </c>
      <c r="C156" s="2" t="s">
        <v>2764</v>
      </c>
      <c r="D156" t="s">
        <v>6145</v>
      </c>
      <c r="E156" s="2">
        <v>2</v>
      </c>
      <c r="F156" s="2" t="str">
        <f>_xlfn.XLOOKUP(C156,customers!$A$1:$A$1001,customers!$B$1:$B$1001,,0)</f>
        <v>Benedetto Gozzett</v>
      </c>
      <c r="G156" s="2" t="str">
        <f>IF(_xlfn.XLOOKUP(C156,customers!$A$1:$A$1001,customers!$C$1:$C$1001,,0)=0,"",_xlfn.XLOOKUP(C156,customers!$A$1:$A$1001,customers!$C$1:$C$1001,,0))</f>
        <v>bgozzettb7@github.com</v>
      </c>
      <c r="H156" s="2" t="str">
        <f>_xlfn.XLOOKUP(C156,customers!$A$1:$A$1001,customers!$G$1:$G$1001,,0)</f>
        <v>United States</v>
      </c>
      <c r="I156" t="str">
        <f>INDEX(products!$A$1:$G$49, MATCH(orders!$D405,products!$A$1:$A452,0), MATCH(orders!I$1,products!$A$1:$G$1,0))</f>
        <v>Lib</v>
      </c>
      <c r="J156" t="str">
        <f>INDEX(products!$A$1:$G$49, MATCH(orders!$D405,products!$A$1:$A452,0), MATCH(orders!J$1,products!$A$1:$G$1,0))</f>
        <v>L</v>
      </c>
      <c r="K156" s="5">
        <f>INDEX(products!$A$1:$G$49, MATCH(orders!$D405,products!$A$1:$A452,0), MATCH(orders!K$1,products!$A$1:$G$1,0))</f>
        <v>0.2</v>
      </c>
      <c r="L156" s="6">
        <f>INDEX(products!$A$1:$G$49, MATCH(orders!$D405,products!$A$1:$A452,0), MATCH(orders!L$1,products!$A$1:$G$1,0))</f>
        <v>4.7549999999999999</v>
      </c>
      <c r="M156" s="6">
        <f t="shared" si="6"/>
        <v>9.51</v>
      </c>
      <c r="N156" t="str">
        <f t="shared" si="7"/>
        <v>Liberica</v>
      </c>
      <c r="O156" t="str">
        <f t="shared" si="8"/>
        <v>Light</v>
      </c>
      <c r="P156" t="str">
        <f>_xlfn.XLOOKUP(Orders[[#This Row],[Customer ID]],customers!$A$1:$A$1001,customers!$I$1:$I$1001,,0)</f>
        <v>No</v>
      </c>
      <c r="Q156">
        <f>COUNTIF(Orders[Order ID],Orders[[#This Row],[Order ID]])</f>
        <v>1</v>
      </c>
      <c r="R156" s="10">
        <f>SUMIF(Orders[Order ID], Orders[[#This Row],[Order ID]],Orders[Sales])/Orders[[#This Row],[Order Frequency]]</f>
        <v>9.51</v>
      </c>
      <c r="S156" t="str">
        <f>IF(Orders[[#This Row],[Order Frequency]]&gt;4, "More than 4", IF(AND(Orders[[#This Row],[Order Frequency]]&lt;=4,Orders[[#This Row],[Order Frequency]]&gt;=2), "Between 4 and 2", "Less than 2"))</f>
        <v>Less than 2</v>
      </c>
      <c r="T156" t="str">
        <f>IF(Orders[[#This Row],[Frequency Group]]="less than 2", "Low Value", IF(Orders[[#This Row],[Frequency Group]]="between 4 and 2", "Medium Value", "High Value"))</f>
        <v>Low Value</v>
      </c>
      <c r="U156" t="str">
        <f>IF(Orders[[#This Row],[Sales]]&lt;50, "$0-50", IF(AND(Orders[[#This Row],[Sales]]&gt;=50,Orders[[#This Row],[Sales]]&lt;=100), "$50-100", IF(AND(Orders[[#This Row],[Sales]]&gt;100,Orders[[#This Row],[Sales]]&lt;=150), "$101-150", "$150+")))</f>
        <v>$0-50</v>
      </c>
      <c r="V156" t="str">
        <f>IF(Orders[[#This Row],[Sales]]&gt;MEDIAN(M:M), "High Price", "Low Price")</f>
        <v>Low Price</v>
      </c>
      <c r="W156" t="str">
        <f>IF(Orders[[#This Row],[Quantity]]&gt;MEDIAN(E:E), "High Volume", "Low Volume")</f>
        <v>Low Volume</v>
      </c>
      <c r="X156" t="str">
        <f>Orders[[#This Row],[Sales Tier]] &amp; "-" &amp; Orders[[#This Row],[Quantity Tier]]</f>
        <v>Low Price-Low Volume</v>
      </c>
      <c r="Y156" t="str">
        <f>TEXT(Orders[[#This Row],[Order Date]], "mmmm")</f>
        <v>April</v>
      </c>
      <c r="Z15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156" t="str">
        <f>Orders[[#This Row],[Coffee Type Name]] &amp; "-" &amp; Orders[[#This Row],[Roast Type Name]]</f>
        <v>Liberica-Light</v>
      </c>
      <c r="AB15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157" spans="1:28" x14ac:dyDescent="0.25">
      <c r="A157" s="2" t="s">
        <v>2402</v>
      </c>
      <c r="B157" s="4">
        <v>44256</v>
      </c>
      <c r="C157" s="2" t="s">
        <v>2403</v>
      </c>
      <c r="D157" t="s">
        <v>6153</v>
      </c>
      <c r="E157" s="2">
        <v>2</v>
      </c>
      <c r="F157" s="2" t="str">
        <f>_xlfn.XLOOKUP(C157,customers!$A$1:$A$1001,customers!$B$1:$B$1001,,0)</f>
        <v>Emmaline Rasmus</v>
      </c>
      <c r="G157" s="2" t="str">
        <f>IF(_xlfn.XLOOKUP(C157,customers!$A$1:$A$1001,customers!$C$1:$C$1001,,0)=0,"",_xlfn.XLOOKUP(C157,customers!$A$1:$A$1001,customers!$C$1:$C$1001,,0))</f>
        <v>erasmus9f@techcrunch.com</v>
      </c>
      <c r="H157" s="2" t="str">
        <f>_xlfn.XLOOKUP(C157,customers!$A$1:$A$1001,customers!$G$1:$G$1001,,0)</f>
        <v>United States</v>
      </c>
      <c r="I157" t="str">
        <f>INDEX(products!$A$1:$G$49, MATCH(orders!$D341,products!$A$1:$A388,0), MATCH(orders!I$1,products!$A$1:$G$1,0))</f>
        <v>Exc</v>
      </c>
      <c r="J157" t="str">
        <f>INDEX(products!$A$1:$G$49, MATCH(orders!$D341,products!$A$1:$A388,0), MATCH(orders!J$1,products!$A$1:$G$1,0))</f>
        <v>D</v>
      </c>
      <c r="K157" s="5">
        <f>INDEX(products!$A$1:$G$49, MATCH(orders!$D341,products!$A$1:$A388,0), MATCH(orders!K$1,products!$A$1:$G$1,0))</f>
        <v>0.2</v>
      </c>
      <c r="L157" s="6">
        <f>INDEX(products!$A$1:$G$49, MATCH(orders!$D341,products!$A$1:$A388,0), MATCH(orders!L$1,products!$A$1:$G$1,0))</f>
        <v>3.645</v>
      </c>
      <c r="M157" s="6">
        <f t="shared" si="6"/>
        <v>7.29</v>
      </c>
      <c r="N157" t="str">
        <f t="shared" si="7"/>
        <v>Excelsa</v>
      </c>
      <c r="O157" t="str">
        <f t="shared" si="8"/>
        <v>Dark</v>
      </c>
      <c r="P157" t="str">
        <f>_xlfn.XLOOKUP(Orders[[#This Row],[Customer ID]],customers!$A$1:$A$1001,customers!$I$1:$I$1001,,0)</f>
        <v>Yes</v>
      </c>
      <c r="Q157">
        <f>COUNTIF(Orders[Order ID],Orders[[#This Row],[Order ID]])</f>
        <v>1</v>
      </c>
      <c r="R157" s="10">
        <f>SUMIF(Orders[Order ID], Orders[[#This Row],[Order ID]],Orders[Sales])/Orders[[#This Row],[Order Frequency]]</f>
        <v>7.29</v>
      </c>
      <c r="S157" t="str">
        <f>IF(Orders[[#This Row],[Order Frequency]]&gt;4, "More than 4", IF(AND(Orders[[#This Row],[Order Frequency]]&lt;=4,Orders[[#This Row],[Order Frequency]]&gt;=2), "Between 4 and 2", "Less than 2"))</f>
        <v>Less than 2</v>
      </c>
      <c r="T157" t="str">
        <f>IF(Orders[[#This Row],[Frequency Group]]="less than 2", "Low Value", IF(Orders[[#This Row],[Frequency Group]]="between 4 and 2", "Medium Value", "High Value"))</f>
        <v>Low Value</v>
      </c>
      <c r="U157" t="str">
        <f>IF(Orders[[#This Row],[Sales]]&lt;50, "$0-50", IF(AND(Orders[[#This Row],[Sales]]&gt;=50,Orders[[#This Row],[Sales]]&lt;=100), "$50-100", IF(AND(Orders[[#This Row],[Sales]]&gt;100,Orders[[#This Row],[Sales]]&lt;=150), "$101-150", "$150+")))</f>
        <v>$0-50</v>
      </c>
      <c r="V157" t="str">
        <f>IF(Orders[[#This Row],[Sales]]&gt;MEDIAN(M:M), "High Price", "Low Price")</f>
        <v>Low Price</v>
      </c>
      <c r="W157" t="str">
        <f>IF(Orders[[#This Row],[Quantity]]&gt;MEDIAN(E:E), "High Volume", "Low Volume")</f>
        <v>Low Volume</v>
      </c>
      <c r="X157" t="str">
        <f>Orders[[#This Row],[Sales Tier]] &amp; "-" &amp; Orders[[#This Row],[Quantity Tier]]</f>
        <v>Low Price-Low Volume</v>
      </c>
      <c r="Y157" t="str">
        <f>TEXT(Orders[[#This Row],[Order Date]], "mmmm")</f>
        <v>March</v>
      </c>
      <c r="Z15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57" t="str">
        <f>Orders[[#This Row],[Coffee Type Name]] &amp; "-" &amp; Orders[[#This Row],[Roast Type Name]]</f>
        <v>Excelsa-Dark</v>
      </c>
      <c r="AB15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158" spans="1:28" x14ac:dyDescent="0.25">
      <c r="A158" s="2" t="s">
        <v>5955</v>
      </c>
      <c r="B158" s="4">
        <v>44246</v>
      </c>
      <c r="C158" s="2" t="s">
        <v>5956</v>
      </c>
      <c r="D158" t="s">
        <v>6163</v>
      </c>
      <c r="E158" s="2">
        <v>1</v>
      </c>
      <c r="F158" s="2" t="str">
        <f>_xlfn.XLOOKUP(C158,customers!$A$1:$A$1001,customers!$B$1:$B$1001,,0)</f>
        <v>Zeke Walisiak</v>
      </c>
      <c r="G158" s="2" t="str">
        <f>IF(_xlfn.XLOOKUP(C158,customers!$A$1:$A$1001,customers!$C$1:$C$1001,,0)=0,"",_xlfn.XLOOKUP(C158,customers!$A$1:$A$1001,customers!$C$1:$C$1001,,0))</f>
        <v>zwalisiakqv@ucsd.edu</v>
      </c>
      <c r="H158" s="2" t="str">
        <f>_xlfn.XLOOKUP(C158,customers!$A$1:$A$1001,customers!$G$1:$G$1001,,0)</f>
        <v>Ireland</v>
      </c>
      <c r="I158" t="str">
        <f>INDEX(products!$A$1:$G$49, MATCH(orders!$D969,products!$A$1:$A1016,0), MATCH(orders!I$1,products!$A$1:$G$1,0))</f>
        <v>Rob</v>
      </c>
      <c r="J158" t="str">
        <f>INDEX(products!$A$1:$G$49, MATCH(orders!$D969,products!$A$1:$A1016,0), MATCH(orders!J$1,products!$A$1:$G$1,0))</f>
        <v>D</v>
      </c>
      <c r="K158" s="5">
        <f>INDEX(products!$A$1:$G$49, MATCH(orders!$D969,products!$A$1:$A1016,0), MATCH(orders!K$1,products!$A$1:$G$1,0))</f>
        <v>0.2</v>
      </c>
      <c r="L158" s="6">
        <f>INDEX(products!$A$1:$G$49, MATCH(orders!$D969,products!$A$1:$A1016,0), MATCH(orders!L$1,products!$A$1:$G$1,0))</f>
        <v>2.6849999999999996</v>
      </c>
      <c r="M158" s="6">
        <f t="shared" si="6"/>
        <v>2.6849999999999996</v>
      </c>
      <c r="N158" t="str">
        <f t="shared" si="7"/>
        <v>Robusta</v>
      </c>
      <c r="O158" t="str">
        <f t="shared" si="8"/>
        <v>Dark</v>
      </c>
      <c r="P158" t="str">
        <f>_xlfn.XLOOKUP(Orders[[#This Row],[Customer ID]],customers!$A$1:$A$1001,customers!$I$1:$I$1001,,0)</f>
        <v>Yes</v>
      </c>
      <c r="Q158">
        <f>COUNTIF(Orders[Order ID],Orders[[#This Row],[Order ID]])</f>
        <v>1</v>
      </c>
      <c r="R158" s="10">
        <f>SUMIF(Orders[Order ID], Orders[[#This Row],[Order ID]],Orders[Sales])/Orders[[#This Row],[Order Frequency]]</f>
        <v>2.6849999999999996</v>
      </c>
      <c r="S158" t="str">
        <f>IF(Orders[[#This Row],[Order Frequency]]&gt;4, "More than 4", IF(AND(Orders[[#This Row],[Order Frequency]]&lt;=4,Orders[[#This Row],[Order Frequency]]&gt;=2), "Between 4 and 2", "Less than 2"))</f>
        <v>Less than 2</v>
      </c>
      <c r="T158" t="str">
        <f>IF(Orders[[#This Row],[Frequency Group]]="less than 2", "Low Value", IF(Orders[[#This Row],[Frequency Group]]="between 4 and 2", "Medium Value", "High Value"))</f>
        <v>Low Value</v>
      </c>
      <c r="U158" t="str">
        <f>IF(Orders[[#This Row],[Sales]]&lt;50, "$0-50", IF(AND(Orders[[#This Row],[Sales]]&gt;=50,Orders[[#This Row],[Sales]]&lt;=100), "$50-100", IF(AND(Orders[[#This Row],[Sales]]&gt;100,Orders[[#This Row],[Sales]]&lt;=150), "$101-150", "$150+")))</f>
        <v>$0-50</v>
      </c>
      <c r="V158" t="str">
        <f>IF(Orders[[#This Row],[Sales]]&gt;MEDIAN(M:M), "High Price", "Low Price")</f>
        <v>Low Price</v>
      </c>
      <c r="W158" t="str">
        <f>IF(Orders[[#This Row],[Quantity]]&gt;MEDIAN(E:E), "High Volume", "Low Volume")</f>
        <v>Low Volume</v>
      </c>
      <c r="X158" t="str">
        <f>Orders[[#This Row],[Sales Tier]] &amp; "-" &amp; Orders[[#This Row],[Quantity Tier]]</f>
        <v>Low Price-Low Volume</v>
      </c>
      <c r="Y158" t="str">
        <f>TEXT(Orders[[#This Row],[Order Date]], "mmmm")</f>
        <v>February</v>
      </c>
      <c r="Z15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58" t="str">
        <f>Orders[[#This Row],[Coffee Type Name]] &amp; "-" &amp; Orders[[#This Row],[Roast Type Name]]</f>
        <v>Robusta-Dark</v>
      </c>
      <c r="AB15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59" spans="1:28" x14ac:dyDescent="0.25">
      <c r="A159" s="2" t="s">
        <v>778</v>
      </c>
      <c r="B159" s="4">
        <v>43600</v>
      </c>
      <c r="C159" s="2" t="s">
        <v>779</v>
      </c>
      <c r="D159" t="s">
        <v>6164</v>
      </c>
      <c r="E159" s="2">
        <v>4</v>
      </c>
      <c r="F159" s="2" t="str">
        <f>_xlfn.XLOOKUP(C159,customers!$A$1:$A$1001,customers!$B$1:$B$1001,,0)</f>
        <v>Karry Flanders</v>
      </c>
      <c r="G159" s="2" t="str">
        <f>IF(_xlfn.XLOOKUP(C159,customers!$A$1:$A$1001,customers!$C$1:$C$1001,,0)=0,"",_xlfn.XLOOKUP(C159,customers!$A$1:$A$1001,customers!$C$1:$C$1001,,0))</f>
        <v>kflanders1f@over-blog.com</v>
      </c>
      <c r="H159" s="2" t="str">
        <f>_xlfn.XLOOKUP(C159,customers!$A$1:$A$1001,customers!$G$1:$G$1001,,0)</f>
        <v>Ireland</v>
      </c>
      <c r="I159" t="str">
        <f>INDEX(products!$A$1:$G$49, MATCH(orders!$D53,products!$A$1:$A100,0), MATCH(orders!I$1,products!$A$1:$G$1,0))</f>
        <v>Lib</v>
      </c>
      <c r="J159" t="str">
        <f>INDEX(products!$A$1:$G$49, MATCH(orders!$D53,products!$A$1:$A100,0), MATCH(orders!J$1,products!$A$1:$G$1,0))</f>
        <v>L</v>
      </c>
      <c r="K159" s="5">
        <f>INDEX(products!$A$1:$G$49, MATCH(orders!$D53,products!$A$1:$A100,0), MATCH(orders!K$1,products!$A$1:$G$1,0))</f>
        <v>2.5</v>
      </c>
      <c r="L159" s="6">
        <f>INDEX(products!$A$1:$G$49, MATCH(orders!$D53,products!$A$1:$A100,0), MATCH(orders!L$1,products!$A$1:$G$1,0))</f>
        <v>36.454999999999998</v>
      </c>
      <c r="M159" s="6">
        <f t="shared" si="6"/>
        <v>145.82</v>
      </c>
      <c r="N159" t="str">
        <f t="shared" si="7"/>
        <v>Liberica</v>
      </c>
      <c r="O159" t="str">
        <f t="shared" si="8"/>
        <v>Light</v>
      </c>
      <c r="P159" t="str">
        <f>_xlfn.XLOOKUP(Orders[[#This Row],[Customer ID]],customers!$A$1:$A$1001,customers!$I$1:$I$1001,,0)</f>
        <v>Yes</v>
      </c>
      <c r="Q159">
        <f>COUNTIF(Orders[Order ID],Orders[[#This Row],[Order ID]])</f>
        <v>1</v>
      </c>
      <c r="R159" s="10">
        <f>SUMIF(Orders[Order ID], Orders[[#This Row],[Order ID]],Orders[Sales])/Orders[[#This Row],[Order Frequency]]</f>
        <v>145.82</v>
      </c>
      <c r="S159" t="str">
        <f>IF(Orders[[#This Row],[Order Frequency]]&gt;4, "More than 4", IF(AND(Orders[[#This Row],[Order Frequency]]&lt;=4,Orders[[#This Row],[Order Frequency]]&gt;=2), "Between 4 and 2", "Less than 2"))</f>
        <v>Less than 2</v>
      </c>
      <c r="T159" t="str">
        <f>IF(Orders[[#This Row],[Frequency Group]]="less than 2", "Low Value", IF(Orders[[#This Row],[Frequency Group]]="between 4 and 2", "Medium Value", "High Value"))</f>
        <v>Low Value</v>
      </c>
      <c r="U159" t="str">
        <f>IF(Orders[[#This Row],[Sales]]&lt;50, "$0-50", IF(AND(Orders[[#This Row],[Sales]]&gt;=50,Orders[[#This Row],[Sales]]&lt;=100), "$50-100", IF(AND(Orders[[#This Row],[Sales]]&gt;100,Orders[[#This Row],[Sales]]&lt;=150), "$101-150", "$150+")))</f>
        <v>$101-150</v>
      </c>
      <c r="V159" t="str">
        <f>IF(Orders[[#This Row],[Sales]]&gt;MEDIAN(M:M), "High Price", "Low Price")</f>
        <v>High Price</v>
      </c>
      <c r="W159" t="str">
        <f>IF(Orders[[#This Row],[Quantity]]&gt;MEDIAN(E:E), "High Volume", "Low Volume")</f>
        <v>Low Volume</v>
      </c>
      <c r="X159" t="str">
        <f>Orders[[#This Row],[Sales Tier]] &amp; "-" &amp; Orders[[#This Row],[Quantity Tier]]</f>
        <v>High Price-Low Volume</v>
      </c>
      <c r="Y159" t="str">
        <f>TEXT(Orders[[#This Row],[Order Date]], "mmmm")</f>
        <v>May</v>
      </c>
      <c r="Z15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159" t="str">
        <f>Orders[[#This Row],[Coffee Type Name]] &amp; "-" &amp; Orders[[#This Row],[Roast Type Name]]</f>
        <v>Liberica-Light</v>
      </c>
      <c r="AB15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160" spans="1:28" x14ac:dyDescent="0.25">
      <c r="A160" s="2" t="s">
        <v>5413</v>
      </c>
      <c r="B160" s="4">
        <v>43707</v>
      </c>
      <c r="C160" s="2" t="s">
        <v>5414</v>
      </c>
      <c r="D160" t="s">
        <v>6171</v>
      </c>
      <c r="E160" s="2">
        <v>2</v>
      </c>
      <c r="F160" s="2" t="str">
        <f>_xlfn.XLOOKUP(C160,customers!$A$1:$A$1001,customers!$B$1:$B$1001,,0)</f>
        <v>Peyter Matignon</v>
      </c>
      <c r="G160" s="2" t="str">
        <f>IF(_xlfn.XLOOKUP(C160,customers!$A$1:$A$1001,customers!$C$1:$C$1001,,0)=0,"",_xlfn.XLOOKUP(C160,customers!$A$1:$A$1001,customers!$C$1:$C$1001,,0))</f>
        <v>pmatignono7@harvard.edu</v>
      </c>
      <c r="H160" s="2" t="str">
        <f>_xlfn.XLOOKUP(C160,customers!$A$1:$A$1001,customers!$G$1:$G$1001,,0)</f>
        <v>United Kingdom</v>
      </c>
      <c r="I160" t="str">
        <f>INDEX(products!$A$1:$G$49, MATCH(orders!$D873,products!$A$1:$A920,0), MATCH(orders!I$1,products!$A$1:$G$1,0))</f>
        <v>Exc</v>
      </c>
      <c r="J160" t="str">
        <f>INDEX(products!$A$1:$G$49, MATCH(orders!$D873,products!$A$1:$A920,0), MATCH(orders!J$1,products!$A$1:$G$1,0))</f>
        <v>L</v>
      </c>
      <c r="K160" s="5">
        <f>INDEX(products!$A$1:$G$49, MATCH(orders!$D873,products!$A$1:$A920,0), MATCH(orders!K$1,products!$A$1:$G$1,0))</f>
        <v>1</v>
      </c>
      <c r="L160" s="6">
        <f>INDEX(products!$A$1:$G$49, MATCH(orders!$D873,products!$A$1:$A920,0), MATCH(orders!L$1,products!$A$1:$G$1,0))</f>
        <v>14.85</v>
      </c>
      <c r="M160" s="6">
        <f t="shared" si="6"/>
        <v>29.7</v>
      </c>
      <c r="N160" t="str">
        <f t="shared" si="7"/>
        <v>Excelsa</v>
      </c>
      <c r="O160" t="str">
        <f t="shared" si="8"/>
        <v>Light</v>
      </c>
      <c r="P160" t="str">
        <f>_xlfn.XLOOKUP(Orders[[#This Row],[Customer ID]],customers!$A$1:$A$1001,customers!$I$1:$I$1001,,0)</f>
        <v>Yes</v>
      </c>
      <c r="Q160">
        <f>COUNTIF(Orders[Order ID],Orders[[#This Row],[Order ID]])</f>
        <v>1</v>
      </c>
      <c r="R160" s="10">
        <f>SUMIF(Orders[Order ID], Orders[[#This Row],[Order ID]],Orders[Sales])/Orders[[#This Row],[Order Frequency]]</f>
        <v>29.7</v>
      </c>
      <c r="S160" t="str">
        <f>IF(Orders[[#This Row],[Order Frequency]]&gt;4, "More than 4", IF(AND(Orders[[#This Row],[Order Frequency]]&lt;=4,Orders[[#This Row],[Order Frequency]]&gt;=2), "Between 4 and 2", "Less than 2"))</f>
        <v>Less than 2</v>
      </c>
      <c r="T160" t="str">
        <f>IF(Orders[[#This Row],[Frequency Group]]="less than 2", "Low Value", IF(Orders[[#This Row],[Frequency Group]]="between 4 and 2", "Medium Value", "High Value"))</f>
        <v>Low Value</v>
      </c>
      <c r="U160" t="str">
        <f>IF(Orders[[#This Row],[Sales]]&lt;50, "$0-50", IF(AND(Orders[[#This Row],[Sales]]&gt;=50,Orders[[#This Row],[Sales]]&lt;=100), "$50-100", IF(AND(Orders[[#This Row],[Sales]]&gt;100,Orders[[#This Row],[Sales]]&lt;=150), "$101-150", "$150+")))</f>
        <v>$0-50</v>
      </c>
      <c r="V160" t="str">
        <f>IF(Orders[[#This Row],[Sales]]&gt;MEDIAN(M:M), "High Price", "Low Price")</f>
        <v>Low Price</v>
      </c>
      <c r="W160" t="str">
        <f>IF(Orders[[#This Row],[Quantity]]&gt;MEDIAN(E:E), "High Volume", "Low Volume")</f>
        <v>Low Volume</v>
      </c>
      <c r="X160" t="str">
        <f>Orders[[#This Row],[Sales Tier]] &amp; "-" &amp; Orders[[#This Row],[Quantity Tier]]</f>
        <v>Low Price-Low Volume</v>
      </c>
      <c r="Y160" t="str">
        <f>TEXT(Orders[[#This Row],[Order Date]], "mmmm")</f>
        <v>August</v>
      </c>
      <c r="Z16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160" t="str">
        <f>Orders[[#This Row],[Coffee Type Name]] &amp; "-" &amp; Orders[[#This Row],[Roast Type Name]]</f>
        <v>Excelsa-Light</v>
      </c>
      <c r="AB16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161" spans="1:28" x14ac:dyDescent="0.25">
      <c r="A161" s="2" t="s">
        <v>4056</v>
      </c>
      <c r="B161" s="4">
        <v>44049</v>
      </c>
      <c r="C161" s="2" t="s">
        <v>4057</v>
      </c>
      <c r="D161" t="s">
        <v>6176</v>
      </c>
      <c r="E161" s="2">
        <v>4</v>
      </c>
      <c r="F161" s="2" t="str">
        <f>_xlfn.XLOOKUP(C161,customers!$A$1:$A$1001,customers!$B$1:$B$1001,,0)</f>
        <v>Marjorie Yoxen</v>
      </c>
      <c r="G161" s="2" t="str">
        <f>IF(_xlfn.XLOOKUP(C161,customers!$A$1:$A$1001,customers!$C$1:$C$1001,,0)=0,"",_xlfn.XLOOKUP(C161,customers!$A$1:$A$1001,customers!$C$1:$C$1001,,0))</f>
        <v>myoxenhk@google.com</v>
      </c>
      <c r="H161" s="2" t="str">
        <f>_xlfn.XLOOKUP(C161,customers!$A$1:$A$1001,customers!$G$1:$G$1001,,0)</f>
        <v>United States</v>
      </c>
      <c r="I161" t="str">
        <f>INDEX(products!$A$1:$G$49, MATCH(orders!$D634,products!$A$1:$A681,0), MATCH(orders!I$1,products!$A$1:$G$1,0))</f>
        <v>Exc</v>
      </c>
      <c r="J161" t="str">
        <f>INDEX(products!$A$1:$G$49, MATCH(orders!$D634,products!$A$1:$A681,0), MATCH(orders!J$1,products!$A$1:$G$1,0))</f>
        <v>L</v>
      </c>
      <c r="K161" s="5">
        <f>INDEX(products!$A$1:$G$49, MATCH(orders!$D634,products!$A$1:$A681,0), MATCH(orders!K$1,products!$A$1:$G$1,0))</f>
        <v>0.5</v>
      </c>
      <c r="L161" s="6">
        <f>INDEX(products!$A$1:$G$49, MATCH(orders!$D634,products!$A$1:$A681,0), MATCH(orders!L$1,products!$A$1:$G$1,0))</f>
        <v>8.91</v>
      </c>
      <c r="M161" s="6">
        <f t="shared" si="6"/>
        <v>35.64</v>
      </c>
      <c r="N161" t="str">
        <f t="shared" si="7"/>
        <v>Excelsa</v>
      </c>
      <c r="O161" t="str">
        <f t="shared" si="8"/>
        <v>Light</v>
      </c>
      <c r="P161" t="str">
        <f>_xlfn.XLOOKUP(Orders[[#This Row],[Customer ID]],customers!$A$1:$A$1001,customers!$I$1:$I$1001,,0)</f>
        <v>No</v>
      </c>
      <c r="Q161">
        <f>COUNTIF(Orders[Order ID],Orders[[#This Row],[Order ID]])</f>
        <v>1</v>
      </c>
      <c r="R161" s="10">
        <f>SUMIF(Orders[Order ID], Orders[[#This Row],[Order ID]],Orders[Sales])/Orders[[#This Row],[Order Frequency]]</f>
        <v>35.64</v>
      </c>
      <c r="S161" t="str">
        <f>IF(Orders[[#This Row],[Order Frequency]]&gt;4, "More than 4", IF(AND(Orders[[#This Row],[Order Frequency]]&lt;=4,Orders[[#This Row],[Order Frequency]]&gt;=2), "Between 4 and 2", "Less than 2"))</f>
        <v>Less than 2</v>
      </c>
      <c r="T161" t="str">
        <f>IF(Orders[[#This Row],[Frequency Group]]="less than 2", "Low Value", IF(Orders[[#This Row],[Frequency Group]]="between 4 and 2", "Medium Value", "High Value"))</f>
        <v>Low Value</v>
      </c>
      <c r="U161" t="str">
        <f>IF(Orders[[#This Row],[Sales]]&lt;50, "$0-50", IF(AND(Orders[[#This Row],[Sales]]&gt;=50,Orders[[#This Row],[Sales]]&lt;=100), "$50-100", IF(AND(Orders[[#This Row],[Sales]]&gt;100,Orders[[#This Row],[Sales]]&lt;=150), "$101-150", "$150+")))</f>
        <v>$0-50</v>
      </c>
      <c r="V161" t="str">
        <f>IF(Orders[[#This Row],[Sales]]&gt;MEDIAN(M:M), "High Price", "Low Price")</f>
        <v>High Price</v>
      </c>
      <c r="W161" t="str">
        <f>IF(Orders[[#This Row],[Quantity]]&gt;MEDIAN(E:E), "High Volume", "Low Volume")</f>
        <v>Low Volume</v>
      </c>
      <c r="X161" t="str">
        <f>Orders[[#This Row],[Sales Tier]] &amp; "-" &amp; Orders[[#This Row],[Quantity Tier]]</f>
        <v>High Price-Low Volume</v>
      </c>
      <c r="Y161" t="str">
        <f>TEXT(Orders[[#This Row],[Order Date]], "mmmm")</f>
        <v>August</v>
      </c>
      <c r="Z16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161" t="str">
        <f>Orders[[#This Row],[Coffee Type Name]] &amp; "-" &amp; Orders[[#This Row],[Roast Type Name]]</f>
        <v>Excelsa-Light</v>
      </c>
      <c r="AB16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162" spans="1:28" x14ac:dyDescent="0.25">
      <c r="A162" s="2" t="s">
        <v>5654</v>
      </c>
      <c r="B162" s="4">
        <v>44406</v>
      </c>
      <c r="C162" s="2" t="s">
        <v>5655</v>
      </c>
      <c r="D162" t="s">
        <v>6157</v>
      </c>
      <c r="E162" s="2">
        <v>1</v>
      </c>
      <c r="F162" s="2" t="str">
        <f>_xlfn.XLOOKUP(C162,customers!$A$1:$A$1001,customers!$B$1:$B$1001,,0)</f>
        <v>Merrile Cobbledick</v>
      </c>
      <c r="G162" s="2" t="str">
        <f>IF(_xlfn.XLOOKUP(C162,customers!$A$1:$A$1001,customers!$C$1:$C$1001,,0)=0,"",_xlfn.XLOOKUP(C162,customers!$A$1:$A$1001,customers!$C$1:$C$1001,,0))</f>
        <v>mcobbledickpd@ucsd.edu</v>
      </c>
      <c r="H162" s="2" t="str">
        <f>_xlfn.XLOOKUP(C162,customers!$A$1:$A$1001,customers!$G$1:$G$1001,,0)</f>
        <v>United States</v>
      </c>
      <c r="I162" t="str">
        <f>INDEX(products!$A$1:$G$49, MATCH(orders!$D915,products!$A$1:$A962,0), MATCH(orders!I$1,products!$A$1:$G$1,0))</f>
        <v>Ara</v>
      </c>
      <c r="J162" t="str">
        <f>INDEX(products!$A$1:$G$49, MATCH(orders!$D915,products!$A$1:$A962,0), MATCH(orders!J$1,products!$A$1:$G$1,0))</f>
        <v>M</v>
      </c>
      <c r="K162" s="5">
        <f>INDEX(products!$A$1:$G$49, MATCH(orders!$D915,products!$A$1:$A962,0), MATCH(orders!K$1,products!$A$1:$G$1,0))</f>
        <v>0.5</v>
      </c>
      <c r="L162" s="6">
        <f>INDEX(products!$A$1:$G$49, MATCH(orders!$D915,products!$A$1:$A962,0), MATCH(orders!L$1,products!$A$1:$G$1,0))</f>
        <v>6.75</v>
      </c>
      <c r="M162" s="6">
        <f t="shared" si="6"/>
        <v>6.75</v>
      </c>
      <c r="N162" t="str">
        <f t="shared" si="7"/>
        <v>Arabica</v>
      </c>
      <c r="O162" t="str">
        <f t="shared" si="8"/>
        <v>Medium</v>
      </c>
      <c r="P162" t="str">
        <f>_xlfn.XLOOKUP(Orders[[#This Row],[Customer ID]],customers!$A$1:$A$1001,customers!$I$1:$I$1001,,0)</f>
        <v>No</v>
      </c>
      <c r="Q162">
        <f>COUNTIF(Orders[Order ID],Orders[[#This Row],[Order ID]])</f>
        <v>1</v>
      </c>
      <c r="R162" s="10">
        <f>SUMIF(Orders[Order ID], Orders[[#This Row],[Order ID]],Orders[Sales])/Orders[[#This Row],[Order Frequency]]</f>
        <v>6.75</v>
      </c>
      <c r="S162" t="str">
        <f>IF(Orders[[#This Row],[Order Frequency]]&gt;4, "More than 4", IF(AND(Orders[[#This Row],[Order Frequency]]&lt;=4,Orders[[#This Row],[Order Frequency]]&gt;=2), "Between 4 and 2", "Less than 2"))</f>
        <v>Less than 2</v>
      </c>
      <c r="T162" t="str">
        <f>IF(Orders[[#This Row],[Frequency Group]]="less than 2", "Low Value", IF(Orders[[#This Row],[Frequency Group]]="between 4 and 2", "Medium Value", "High Value"))</f>
        <v>Low Value</v>
      </c>
      <c r="U162" t="str">
        <f>IF(Orders[[#This Row],[Sales]]&lt;50, "$0-50", IF(AND(Orders[[#This Row],[Sales]]&gt;=50,Orders[[#This Row],[Sales]]&lt;=100), "$50-100", IF(AND(Orders[[#This Row],[Sales]]&gt;100,Orders[[#This Row],[Sales]]&lt;=150), "$101-150", "$150+")))</f>
        <v>$0-50</v>
      </c>
      <c r="V162" t="str">
        <f>IF(Orders[[#This Row],[Sales]]&gt;MEDIAN(M:M), "High Price", "Low Price")</f>
        <v>Low Price</v>
      </c>
      <c r="W162" t="str">
        <f>IF(Orders[[#This Row],[Quantity]]&gt;MEDIAN(E:E), "High Volume", "Low Volume")</f>
        <v>Low Volume</v>
      </c>
      <c r="X162" t="str">
        <f>Orders[[#This Row],[Sales Tier]] &amp; "-" &amp; Orders[[#This Row],[Quantity Tier]]</f>
        <v>Low Price-Low Volume</v>
      </c>
      <c r="Y162" t="str">
        <f>TEXT(Orders[[#This Row],[Order Date]], "mmmm")</f>
        <v>July</v>
      </c>
      <c r="Z16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162" t="str">
        <f>Orders[[#This Row],[Coffee Type Name]] &amp; "-" &amp; Orders[[#This Row],[Roast Type Name]]</f>
        <v>Arabica-Medium</v>
      </c>
      <c r="AB16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163" spans="1:28" x14ac:dyDescent="0.25">
      <c r="A163" s="2" t="s">
        <v>3158</v>
      </c>
      <c r="B163" s="4">
        <v>43869</v>
      </c>
      <c r="C163" s="2" t="s">
        <v>3159</v>
      </c>
      <c r="D163" t="s">
        <v>6154</v>
      </c>
      <c r="E163" s="2">
        <v>2</v>
      </c>
      <c r="F163" s="2" t="str">
        <f>_xlfn.XLOOKUP(C163,customers!$A$1:$A$1001,customers!$B$1:$B$1001,,0)</f>
        <v>Roxine Drivers</v>
      </c>
      <c r="G163" s="2" t="str">
        <f>IF(_xlfn.XLOOKUP(C163,customers!$A$1:$A$1001,customers!$C$1:$C$1001,,0)=0,"",_xlfn.XLOOKUP(C163,customers!$A$1:$A$1001,customers!$C$1:$C$1001,,0))</f>
        <v>rdriversd4@hexun.com</v>
      </c>
      <c r="H163" s="2" t="str">
        <f>_xlfn.XLOOKUP(C163,customers!$A$1:$A$1001,customers!$G$1:$G$1001,,0)</f>
        <v>United States</v>
      </c>
      <c r="I163" t="str">
        <f>INDEX(products!$A$1:$G$49, MATCH(orders!$D474,products!$A$1:$A521,0), MATCH(orders!I$1,products!$A$1:$G$1,0))</f>
        <v>Ara</v>
      </c>
      <c r="J163" t="str">
        <f>INDEX(products!$A$1:$G$49, MATCH(orders!$D474,products!$A$1:$A521,0), MATCH(orders!J$1,products!$A$1:$G$1,0))</f>
        <v>D</v>
      </c>
      <c r="K163" s="5">
        <f>INDEX(products!$A$1:$G$49, MATCH(orders!$D474,products!$A$1:$A521,0), MATCH(orders!K$1,products!$A$1:$G$1,0))</f>
        <v>0.2</v>
      </c>
      <c r="L163" s="6">
        <f>INDEX(products!$A$1:$G$49, MATCH(orders!$D474,products!$A$1:$A521,0), MATCH(orders!L$1,products!$A$1:$G$1,0))</f>
        <v>2.9849999999999999</v>
      </c>
      <c r="M163" s="6">
        <f t="shared" si="6"/>
        <v>5.97</v>
      </c>
      <c r="N163" t="str">
        <f t="shared" si="7"/>
        <v>Arabica</v>
      </c>
      <c r="O163" t="str">
        <f t="shared" si="8"/>
        <v>Dark</v>
      </c>
      <c r="P163" t="str">
        <f>_xlfn.XLOOKUP(Orders[[#This Row],[Customer ID]],customers!$A$1:$A$1001,customers!$I$1:$I$1001,,0)</f>
        <v>No</v>
      </c>
      <c r="Q163">
        <f>COUNTIF(Orders[Order ID],Orders[[#This Row],[Order ID]])</f>
        <v>1</v>
      </c>
      <c r="R163" s="10">
        <f>SUMIF(Orders[Order ID], Orders[[#This Row],[Order ID]],Orders[Sales])/Orders[[#This Row],[Order Frequency]]</f>
        <v>5.97</v>
      </c>
      <c r="S163" t="str">
        <f>IF(Orders[[#This Row],[Order Frequency]]&gt;4, "More than 4", IF(AND(Orders[[#This Row],[Order Frequency]]&lt;=4,Orders[[#This Row],[Order Frequency]]&gt;=2), "Between 4 and 2", "Less than 2"))</f>
        <v>Less than 2</v>
      </c>
      <c r="T163" t="str">
        <f>IF(Orders[[#This Row],[Frequency Group]]="less than 2", "Low Value", IF(Orders[[#This Row],[Frequency Group]]="between 4 and 2", "Medium Value", "High Value"))</f>
        <v>Low Value</v>
      </c>
      <c r="U163" t="str">
        <f>IF(Orders[[#This Row],[Sales]]&lt;50, "$0-50", IF(AND(Orders[[#This Row],[Sales]]&gt;=50,Orders[[#This Row],[Sales]]&lt;=100), "$50-100", IF(AND(Orders[[#This Row],[Sales]]&gt;100,Orders[[#This Row],[Sales]]&lt;=150), "$101-150", "$150+")))</f>
        <v>$0-50</v>
      </c>
      <c r="V163" t="str">
        <f>IF(Orders[[#This Row],[Sales]]&gt;MEDIAN(M:M), "High Price", "Low Price")</f>
        <v>Low Price</v>
      </c>
      <c r="W163" t="str">
        <f>IF(Orders[[#This Row],[Quantity]]&gt;MEDIAN(E:E), "High Volume", "Low Volume")</f>
        <v>Low Volume</v>
      </c>
      <c r="X163" t="str">
        <f>Orders[[#This Row],[Sales Tier]] &amp; "-" &amp; Orders[[#This Row],[Quantity Tier]]</f>
        <v>Low Price-Low Volume</v>
      </c>
      <c r="Y163" t="str">
        <f>TEXT(Orders[[#This Row],[Order Date]], "mmmm")</f>
        <v>February</v>
      </c>
      <c r="Z16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63" t="str">
        <f>Orders[[#This Row],[Coffee Type Name]] &amp; "-" &amp; Orders[[#This Row],[Roast Type Name]]</f>
        <v>Arabica-Dark</v>
      </c>
      <c r="AB16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64" spans="1:28" x14ac:dyDescent="0.25">
      <c r="A164" s="2" t="s">
        <v>3950</v>
      </c>
      <c r="B164" s="4">
        <v>43761</v>
      </c>
      <c r="C164" s="2" t="s">
        <v>3951</v>
      </c>
      <c r="D164" t="s">
        <v>6146</v>
      </c>
      <c r="E164" s="2">
        <v>1</v>
      </c>
      <c r="F164" s="2" t="str">
        <f>_xlfn.XLOOKUP(C164,customers!$A$1:$A$1001,customers!$B$1:$B$1001,,0)</f>
        <v>Gunilla Lynch</v>
      </c>
      <c r="G164" s="2" t="str">
        <f>IF(_xlfn.XLOOKUP(C164,customers!$A$1:$A$1001,customers!$C$1:$C$1001,,0)=0,"",_xlfn.XLOOKUP(C164,customers!$A$1:$A$1001,customers!$C$1:$C$1001,,0))</f>
        <v/>
      </c>
      <c r="H164" s="2" t="str">
        <f>_xlfn.XLOOKUP(C164,customers!$A$1:$A$1001,customers!$G$1:$G$1001,,0)</f>
        <v>United States</v>
      </c>
      <c r="I164" t="str">
        <f>INDEX(products!$A$1:$G$49, MATCH(orders!$D615,products!$A$1:$A662,0), MATCH(orders!I$1,products!$A$1:$G$1,0))</f>
        <v>Rob</v>
      </c>
      <c r="J164" t="str">
        <f>INDEX(products!$A$1:$G$49, MATCH(orders!$D615,products!$A$1:$A662,0), MATCH(orders!J$1,products!$A$1:$G$1,0))</f>
        <v>M</v>
      </c>
      <c r="K164" s="5">
        <f>INDEX(products!$A$1:$G$49, MATCH(orders!$D615,products!$A$1:$A662,0), MATCH(orders!K$1,products!$A$1:$G$1,0))</f>
        <v>0.5</v>
      </c>
      <c r="L164" s="6">
        <f>INDEX(products!$A$1:$G$49, MATCH(orders!$D615,products!$A$1:$A662,0), MATCH(orders!L$1,products!$A$1:$G$1,0))</f>
        <v>5.97</v>
      </c>
      <c r="M164" s="6">
        <f t="shared" si="6"/>
        <v>5.97</v>
      </c>
      <c r="N164" t="str">
        <f t="shared" si="7"/>
        <v>Robusta</v>
      </c>
      <c r="O164" t="str">
        <f t="shared" si="8"/>
        <v>Medium</v>
      </c>
      <c r="P164" t="str">
        <f>_xlfn.XLOOKUP(Orders[[#This Row],[Customer ID]],customers!$A$1:$A$1001,customers!$I$1:$I$1001,,0)</f>
        <v>No</v>
      </c>
      <c r="Q164">
        <f>COUNTIF(Orders[Order ID],Orders[[#This Row],[Order ID]])</f>
        <v>1</v>
      </c>
      <c r="R164" s="10">
        <f>SUMIF(Orders[Order ID], Orders[[#This Row],[Order ID]],Orders[Sales])/Orders[[#This Row],[Order Frequency]]</f>
        <v>5.97</v>
      </c>
      <c r="S164" t="str">
        <f>IF(Orders[[#This Row],[Order Frequency]]&gt;4, "More than 4", IF(AND(Orders[[#This Row],[Order Frequency]]&lt;=4,Orders[[#This Row],[Order Frequency]]&gt;=2), "Between 4 and 2", "Less than 2"))</f>
        <v>Less than 2</v>
      </c>
      <c r="T164" t="str">
        <f>IF(Orders[[#This Row],[Frequency Group]]="less than 2", "Low Value", IF(Orders[[#This Row],[Frequency Group]]="between 4 and 2", "Medium Value", "High Value"))</f>
        <v>Low Value</v>
      </c>
      <c r="U164" t="str">
        <f>IF(Orders[[#This Row],[Sales]]&lt;50, "$0-50", IF(AND(Orders[[#This Row],[Sales]]&gt;=50,Orders[[#This Row],[Sales]]&lt;=100), "$50-100", IF(AND(Orders[[#This Row],[Sales]]&gt;100,Orders[[#This Row],[Sales]]&lt;=150), "$101-150", "$150+")))</f>
        <v>$0-50</v>
      </c>
      <c r="V164" t="str">
        <f>IF(Orders[[#This Row],[Sales]]&gt;MEDIAN(M:M), "High Price", "Low Price")</f>
        <v>Low Price</v>
      </c>
      <c r="W164" t="str">
        <f>IF(Orders[[#This Row],[Quantity]]&gt;MEDIAN(E:E), "High Volume", "Low Volume")</f>
        <v>Low Volume</v>
      </c>
      <c r="X164" t="str">
        <f>Orders[[#This Row],[Sales Tier]] &amp; "-" &amp; Orders[[#This Row],[Quantity Tier]]</f>
        <v>Low Price-Low Volume</v>
      </c>
      <c r="Y164" t="str">
        <f>TEXT(Orders[[#This Row],[Order Date]], "mmmm")</f>
        <v>October</v>
      </c>
      <c r="Z16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164" t="str">
        <f>Orders[[#This Row],[Coffee Type Name]] &amp; "-" &amp; Orders[[#This Row],[Roast Type Name]]</f>
        <v>Robusta-Medium</v>
      </c>
      <c r="AB16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165" spans="1:28" x14ac:dyDescent="0.25">
      <c r="A165" s="2" t="s">
        <v>5251</v>
      </c>
      <c r="B165" s="4">
        <v>44502</v>
      </c>
      <c r="C165" s="2" t="s">
        <v>5188</v>
      </c>
      <c r="D165" t="s">
        <v>6156</v>
      </c>
      <c r="E165" s="2">
        <v>2</v>
      </c>
      <c r="F165" s="2" t="str">
        <f>_xlfn.XLOOKUP(C165,customers!$A$1:$A$1001,customers!$B$1:$B$1001,,0)</f>
        <v>Odelia Skerme</v>
      </c>
      <c r="G165" s="2" t="str">
        <f>IF(_xlfn.XLOOKUP(C165,customers!$A$1:$A$1001,customers!$C$1:$C$1001,,0)=0,"",_xlfn.XLOOKUP(C165,customers!$A$1:$A$1001,customers!$C$1:$C$1001,,0))</f>
        <v>oskermen3@hatena.ne.jp</v>
      </c>
      <c r="H165" s="2" t="str">
        <f>_xlfn.XLOOKUP(C165,customers!$A$1:$A$1001,customers!$G$1:$G$1001,,0)</f>
        <v>United States</v>
      </c>
      <c r="I165" t="str">
        <f>INDEX(products!$A$1:$G$49, MATCH(orders!$D844,products!$A$1:$A891,0), MATCH(orders!I$1,products!$A$1:$G$1,0))</f>
        <v>Exc</v>
      </c>
      <c r="J165" t="str">
        <f>INDEX(products!$A$1:$G$49, MATCH(orders!$D844,products!$A$1:$A891,0), MATCH(orders!J$1,products!$A$1:$G$1,0))</f>
        <v>M</v>
      </c>
      <c r="K165" s="5">
        <f>INDEX(products!$A$1:$G$49, MATCH(orders!$D844,products!$A$1:$A891,0), MATCH(orders!K$1,products!$A$1:$G$1,0))</f>
        <v>0.2</v>
      </c>
      <c r="L165" s="6">
        <f>INDEX(products!$A$1:$G$49, MATCH(orders!$D844,products!$A$1:$A891,0), MATCH(orders!L$1,products!$A$1:$G$1,0))</f>
        <v>4.125</v>
      </c>
      <c r="M165" s="6">
        <f t="shared" si="6"/>
        <v>8.25</v>
      </c>
      <c r="N165" t="str">
        <f t="shared" si="7"/>
        <v>Excelsa</v>
      </c>
      <c r="O165" t="str">
        <f t="shared" si="8"/>
        <v>Medium</v>
      </c>
      <c r="P165" t="str">
        <f>_xlfn.XLOOKUP(Orders[[#This Row],[Customer ID]],customers!$A$1:$A$1001,customers!$I$1:$I$1001,,0)</f>
        <v>Yes</v>
      </c>
      <c r="Q165">
        <f>COUNTIF(Orders[Order ID],Orders[[#This Row],[Order ID]])</f>
        <v>1</v>
      </c>
      <c r="R165" s="10">
        <f>SUMIF(Orders[Order ID], Orders[[#This Row],[Order ID]],Orders[Sales])/Orders[[#This Row],[Order Frequency]]</f>
        <v>8.25</v>
      </c>
      <c r="S165" t="str">
        <f>IF(Orders[[#This Row],[Order Frequency]]&gt;4, "More than 4", IF(AND(Orders[[#This Row],[Order Frequency]]&lt;=4,Orders[[#This Row],[Order Frequency]]&gt;=2), "Between 4 and 2", "Less than 2"))</f>
        <v>Less than 2</v>
      </c>
      <c r="T165" t="str">
        <f>IF(Orders[[#This Row],[Frequency Group]]="less than 2", "Low Value", IF(Orders[[#This Row],[Frequency Group]]="between 4 and 2", "Medium Value", "High Value"))</f>
        <v>Low Value</v>
      </c>
      <c r="U165" t="str">
        <f>IF(Orders[[#This Row],[Sales]]&lt;50, "$0-50", IF(AND(Orders[[#This Row],[Sales]]&gt;=50,Orders[[#This Row],[Sales]]&lt;=100), "$50-100", IF(AND(Orders[[#This Row],[Sales]]&gt;100,Orders[[#This Row],[Sales]]&lt;=150), "$101-150", "$150+")))</f>
        <v>$0-50</v>
      </c>
      <c r="V165" t="str">
        <f>IF(Orders[[#This Row],[Sales]]&gt;MEDIAN(M:M), "High Price", "Low Price")</f>
        <v>Low Price</v>
      </c>
      <c r="W165" t="str">
        <f>IF(Orders[[#This Row],[Quantity]]&gt;MEDIAN(E:E), "High Volume", "Low Volume")</f>
        <v>Low Volume</v>
      </c>
      <c r="X165" t="str">
        <f>Orders[[#This Row],[Sales Tier]] &amp; "-" &amp; Orders[[#This Row],[Quantity Tier]]</f>
        <v>Low Price-Low Volume</v>
      </c>
      <c r="Y165" t="str">
        <f>TEXT(Orders[[#This Row],[Order Date]], "mmmm")</f>
        <v>November</v>
      </c>
      <c r="Z16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165" t="str">
        <f>Orders[[#This Row],[Coffee Type Name]] &amp; "-" &amp; Orders[[#This Row],[Roast Type Name]]</f>
        <v>Excelsa-Medium</v>
      </c>
      <c r="AB16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166" spans="1:28" x14ac:dyDescent="0.25">
      <c r="A166" s="2" t="s">
        <v>5603</v>
      </c>
      <c r="B166" s="4">
        <v>44463</v>
      </c>
      <c r="C166" s="2" t="s">
        <v>5604</v>
      </c>
      <c r="D166" t="s">
        <v>6182</v>
      </c>
      <c r="E166" s="2">
        <v>5</v>
      </c>
      <c r="F166" s="2" t="str">
        <f>_xlfn.XLOOKUP(C166,customers!$A$1:$A$1001,customers!$B$1:$B$1001,,0)</f>
        <v>Dorey Sopper</v>
      </c>
      <c r="G166" s="2" t="str">
        <f>IF(_xlfn.XLOOKUP(C166,customers!$A$1:$A$1001,customers!$C$1:$C$1001,,0)=0,"",_xlfn.XLOOKUP(C166,customers!$A$1:$A$1001,customers!$C$1:$C$1001,,0))</f>
        <v>dsopperp4@eventbrite.com</v>
      </c>
      <c r="H166" s="2" t="str">
        <f>_xlfn.XLOOKUP(C166,customers!$A$1:$A$1001,customers!$G$1:$G$1001,,0)</f>
        <v>United States</v>
      </c>
      <c r="I166" t="str">
        <f>INDEX(products!$A$1:$G$49, MATCH(orders!$D906,products!$A$1:$A953,0), MATCH(orders!I$1,products!$A$1:$G$1,0))</f>
        <v>Ara</v>
      </c>
      <c r="J166" t="str">
        <f>INDEX(products!$A$1:$G$49, MATCH(orders!$D906,products!$A$1:$A953,0), MATCH(orders!J$1,products!$A$1:$G$1,0))</f>
        <v>L</v>
      </c>
      <c r="K166" s="5">
        <f>INDEX(products!$A$1:$G$49, MATCH(orders!$D906,products!$A$1:$A953,0), MATCH(orders!K$1,products!$A$1:$G$1,0))</f>
        <v>2.5</v>
      </c>
      <c r="L166" s="6">
        <f>INDEX(products!$A$1:$G$49, MATCH(orders!$D906,products!$A$1:$A953,0), MATCH(orders!L$1,products!$A$1:$G$1,0))</f>
        <v>29.784999999999997</v>
      </c>
      <c r="M166" s="6">
        <f t="shared" si="6"/>
        <v>148.92499999999998</v>
      </c>
      <c r="N166" t="str">
        <f t="shared" si="7"/>
        <v>Arabica</v>
      </c>
      <c r="O166" t="str">
        <f t="shared" si="8"/>
        <v>Light</v>
      </c>
      <c r="P166" t="str">
        <f>_xlfn.XLOOKUP(Orders[[#This Row],[Customer ID]],customers!$A$1:$A$1001,customers!$I$1:$I$1001,,0)</f>
        <v>No</v>
      </c>
      <c r="Q166">
        <f>COUNTIF(Orders[Order ID],Orders[[#This Row],[Order ID]])</f>
        <v>1</v>
      </c>
      <c r="R166" s="10">
        <f>SUMIF(Orders[Order ID], Orders[[#This Row],[Order ID]],Orders[Sales])/Orders[[#This Row],[Order Frequency]]</f>
        <v>148.92499999999998</v>
      </c>
      <c r="S166" t="str">
        <f>IF(Orders[[#This Row],[Order Frequency]]&gt;4, "More than 4", IF(AND(Orders[[#This Row],[Order Frequency]]&lt;=4,Orders[[#This Row],[Order Frequency]]&gt;=2), "Between 4 and 2", "Less than 2"))</f>
        <v>Less than 2</v>
      </c>
      <c r="T166" t="str">
        <f>IF(Orders[[#This Row],[Frequency Group]]="less than 2", "Low Value", IF(Orders[[#This Row],[Frequency Group]]="between 4 and 2", "Medium Value", "High Value"))</f>
        <v>Low Value</v>
      </c>
      <c r="U166" t="str">
        <f>IF(Orders[[#This Row],[Sales]]&lt;50, "$0-50", IF(AND(Orders[[#This Row],[Sales]]&gt;=50,Orders[[#This Row],[Sales]]&lt;=100), "$50-100", IF(AND(Orders[[#This Row],[Sales]]&gt;100,Orders[[#This Row],[Sales]]&lt;=150), "$101-150", "$150+")))</f>
        <v>$101-150</v>
      </c>
      <c r="V166" t="str">
        <f>IF(Orders[[#This Row],[Sales]]&gt;MEDIAN(M:M), "High Price", "Low Price")</f>
        <v>High Price</v>
      </c>
      <c r="W166" t="str">
        <f>IF(Orders[[#This Row],[Quantity]]&gt;MEDIAN(E:E), "High Volume", "Low Volume")</f>
        <v>High Volume</v>
      </c>
      <c r="X166" t="str">
        <f>Orders[[#This Row],[Sales Tier]] &amp; "-" &amp; Orders[[#This Row],[Quantity Tier]]</f>
        <v>High Price-High Volume</v>
      </c>
      <c r="Y166" t="str">
        <f>TEXT(Orders[[#This Row],[Order Date]], "mmmm")</f>
        <v>September</v>
      </c>
      <c r="Z16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166" t="str">
        <f>Orders[[#This Row],[Coffee Type Name]] &amp; "-" &amp; Orders[[#This Row],[Roast Type Name]]</f>
        <v>Arabica-Light</v>
      </c>
      <c r="AB16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167" spans="1:28" x14ac:dyDescent="0.25">
      <c r="A167" s="2" t="s">
        <v>3724</v>
      </c>
      <c r="B167" s="4">
        <v>43515</v>
      </c>
      <c r="C167" s="2" t="s">
        <v>3725</v>
      </c>
      <c r="D167" t="s">
        <v>6154</v>
      </c>
      <c r="E167" s="2">
        <v>2</v>
      </c>
      <c r="F167" s="2" t="str">
        <f>_xlfn.XLOOKUP(C167,customers!$A$1:$A$1001,customers!$B$1:$B$1001,,0)</f>
        <v>Herbie Peppard</v>
      </c>
      <c r="G167" s="2" t="str">
        <f>IF(_xlfn.XLOOKUP(C167,customers!$A$1:$A$1001,customers!$C$1:$C$1001,,0)=0,"",_xlfn.XLOOKUP(C167,customers!$A$1:$A$1001,customers!$C$1:$C$1001,,0))</f>
        <v/>
      </c>
      <c r="H167" s="2" t="str">
        <f>_xlfn.XLOOKUP(C167,customers!$A$1:$A$1001,customers!$G$1:$G$1001,,0)</f>
        <v>United States</v>
      </c>
      <c r="I167" t="str">
        <f>INDEX(products!$A$1:$G$49, MATCH(orders!$D574,products!$A$1:$A621,0), MATCH(orders!I$1,products!$A$1:$G$1,0))</f>
        <v>Ara</v>
      </c>
      <c r="J167" t="str">
        <f>INDEX(products!$A$1:$G$49, MATCH(orders!$D574,products!$A$1:$A621,0), MATCH(orders!J$1,products!$A$1:$G$1,0))</f>
        <v>D</v>
      </c>
      <c r="K167" s="5">
        <f>INDEX(products!$A$1:$G$49, MATCH(orders!$D574,products!$A$1:$A621,0), MATCH(orders!K$1,products!$A$1:$G$1,0))</f>
        <v>0.2</v>
      </c>
      <c r="L167" s="6">
        <f>INDEX(products!$A$1:$G$49, MATCH(orders!$D574,products!$A$1:$A621,0), MATCH(orders!L$1,products!$A$1:$G$1,0))</f>
        <v>2.9849999999999999</v>
      </c>
      <c r="M167" s="6">
        <f t="shared" si="6"/>
        <v>5.97</v>
      </c>
      <c r="N167" t="str">
        <f t="shared" si="7"/>
        <v>Arabica</v>
      </c>
      <c r="O167" t="str">
        <f t="shared" si="8"/>
        <v>Dark</v>
      </c>
      <c r="P167" t="str">
        <f>_xlfn.XLOOKUP(Orders[[#This Row],[Customer ID]],customers!$A$1:$A$1001,customers!$I$1:$I$1001,,0)</f>
        <v>Yes</v>
      </c>
      <c r="Q167">
        <f>COUNTIF(Orders[Order ID],Orders[[#This Row],[Order ID]])</f>
        <v>1</v>
      </c>
      <c r="R167" s="10">
        <f>SUMIF(Orders[Order ID], Orders[[#This Row],[Order ID]],Orders[Sales])/Orders[[#This Row],[Order Frequency]]</f>
        <v>5.97</v>
      </c>
      <c r="S167" t="str">
        <f>IF(Orders[[#This Row],[Order Frequency]]&gt;4, "More than 4", IF(AND(Orders[[#This Row],[Order Frequency]]&lt;=4,Orders[[#This Row],[Order Frequency]]&gt;=2), "Between 4 and 2", "Less than 2"))</f>
        <v>Less than 2</v>
      </c>
      <c r="T167" t="str">
        <f>IF(Orders[[#This Row],[Frequency Group]]="less than 2", "Low Value", IF(Orders[[#This Row],[Frequency Group]]="between 4 and 2", "Medium Value", "High Value"))</f>
        <v>Low Value</v>
      </c>
      <c r="U167" t="str">
        <f>IF(Orders[[#This Row],[Sales]]&lt;50, "$0-50", IF(AND(Orders[[#This Row],[Sales]]&gt;=50,Orders[[#This Row],[Sales]]&lt;=100), "$50-100", IF(AND(Orders[[#This Row],[Sales]]&gt;100,Orders[[#This Row],[Sales]]&lt;=150), "$101-150", "$150+")))</f>
        <v>$0-50</v>
      </c>
      <c r="V167" t="str">
        <f>IF(Orders[[#This Row],[Sales]]&gt;MEDIAN(M:M), "High Price", "Low Price")</f>
        <v>Low Price</v>
      </c>
      <c r="W167" t="str">
        <f>IF(Orders[[#This Row],[Quantity]]&gt;MEDIAN(E:E), "High Volume", "Low Volume")</f>
        <v>Low Volume</v>
      </c>
      <c r="X167" t="str">
        <f>Orders[[#This Row],[Sales Tier]] &amp; "-" &amp; Orders[[#This Row],[Quantity Tier]]</f>
        <v>Low Price-Low Volume</v>
      </c>
      <c r="Y167" t="str">
        <f>TEXT(Orders[[#This Row],[Order Date]], "mmmm")</f>
        <v>February</v>
      </c>
      <c r="Z16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67" t="str">
        <f>Orders[[#This Row],[Coffee Type Name]] &amp; "-" &amp; Orders[[#This Row],[Roast Type Name]]</f>
        <v>Arabica-Dark</v>
      </c>
      <c r="AB16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68" spans="1:28" x14ac:dyDescent="0.25">
      <c r="A168" s="2" t="s">
        <v>4620</v>
      </c>
      <c r="B168" s="4">
        <v>44222</v>
      </c>
      <c r="C168" s="2" t="s">
        <v>4621</v>
      </c>
      <c r="D168" t="s">
        <v>6150</v>
      </c>
      <c r="E168" s="2">
        <v>4</v>
      </c>
      <c r="F168" s="2" t="str">
        <f>_xlfn.XLOOKUP(C168,customers!$A$1:$A$1001,customers!$B$1:$B$1001,,0)</f>
        <v>Leta Clarricoates</v>
      </c>
      <c r="G168" s="2" t="str">
        <f>IF(_xlfn.XLOOKUP(C168,customers!$A$1:$A$1001,customers!$C$1:$C$1001,,0)=0,"",_xlfn.XLOOKUP(C168,customers!$A$1:$A$1001,customers!$C$1:$C$1001,,0))</f>
        <v/>
      </c>
      <c r="H168" s="2" t="str">
        <f>_xlfn.XLOOKUP(C168,customers!$A$1:$A$1001,customers!$G$1:$G$1001,,0)</f>
        <v>United States</v>
      </c>
      <c r="I168" t="str">
        <f>INDEX(products!$A$1:$G$49, MATCH(orders!$D733,products!$A$1:$A780,0), MATCH(orders!I$1,products!$A$1:$G$1,0))</f>
        <v>Lib</v>
      </c>
      <c r="J168" t="str">
        <f>INDEX(products!$A$1:$G$49, MATCH(orders!$D733,products!$A$1:$A780,0), MATCH(orders!J$1,products!$A$1:$G$1,0))</f>
        <v>D</v>
      </c>
      <c r="K168" s="5">
        <f>INDEX(products!$A$1:$G$49, MATCH(orders!$D733,products!$A$1:$A780,0), MATCH(orders!K$1,products!$A$1:$G$1,0))</f>
        <v>0.2</v>
      </c>
      <c r="L168" s="6">
        <f>INDEX(products!$A$1:$G$49, MATCH(orders!$D733,products!$A$1:$A780,0), MATCH(orders!L$1,products!$A$1:$G$1,0))</f>
        <v>3.8849999999999998</v>
      </c>
      <c r="M168" s="6">
        <f t="shared" si="6"/>
        <v>15.54</v>
      </c>
      <c r="N168" t="str">
        <f t="shared" si="7"/>
        <v>Liberica</v>
      </c>
      <c r="O168" t="str">
        <f t="shared" si="8"/>
        <v>Dark</v>
      </c>
      <c r="P168" t="str">
        <f>_xlfn.XLOOKUP(Orders[[#This Row],[Customer ID]],customers!$A$1:$A$1001,customers!$I$1:$I$1001,,0)</f>
        <v>Yes</v>
      </c>
      <c r="Q168">
        <f>COUNTIF(Orders[Order ID],Orders[[#This Row],[Order ID]])</f>
        <v>1</v>
      </c>
      <c r="R168" s="10">
        <f>SUMIF(Orders[Order ID], Orders[[#This Row],[Order ID]],Orders[Sales])/Orders[[#This Row],[Order Frequency]]</f>
        <v>15.54</v>
      </c>
      <c r="S168" t="str">
        <f>IF(Orders[[#This Row],[Order Frequency]]&gt;4, "More than 4", IF(AND(Orders[[#This Row],[Order Frequency]]&lt;=4,Orders[[#This Row],[Order Frequency]]&gt;=2), "Between 4 and 2", "Less than 2"))</f>
        <v>Less than 2</v>
      </c>
      <c r="T168" t="str">
        <f>IF(Orders[[#This Row],[Frequency Group]]="less than 2", "Low Value", IF(Orders[[#This Row],[Frequency Group]]="between 4 and 2", "Medium Value", "High Value"))</f>
        <v>Low Value</v>
      </c>
      <c r="U168" t="str">
        <f>IF(Orders[[#This Row],[Sales]]&lt;50, "$0-50", IF(AND(Orders[[#This Row],[Sales]]&gt;=50,Orders[[#This Row],[Sales]]&lt;=100), "$50-100", IF(AND(Orders[[#This Row],[Sales]]&gt;100,Orders[[#This Row],[Sales]]&lt;=150), "$101-150", "$150+")))</f>
        <v>$0-50</v>
      </c>
      <c r="V168" t="str">
        <f>IF(Orders[[#This Row],[Sales]]&gt;MEDIAN(M:M), "High Price", "Low Price")</f>
        <v>Low Price</v>
      </c>
      <c r="W168" t="str">
        <f>IF(Orders[[#This Row],[Quantity]]&gt;MEDIAN(E:E), "High Volume", "Low Volume")</f>
        <v>Low Volume</v>
      </c>
      <c r="X168" t="str">
        <f>Orders[[#This Row],[Sales Tier]] &amp; "-" &amp; Orders[[#This Row],[Quantity Tier]]</f>
        <v>Low Price-Low Volume</v>
      </c>
      <c r="Y168" t="str">
        <f>TEXT(Orders[[#This Row],[Order Date]], "mmmm")</f>
        <v>January</v>
      </c>
      <c r="Z16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68" t="str">
        <f>Orders[[#This Row],[Coffee Type Name]] &amp; "-" &amp; Orders[[#This Row],[Roast Type Name]]</f>
        <v>Liberica-Dark</v>
      </c>
      <c r="AB16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69" spans="1:28" x14ac:dyDescent="0.25">
      <c r="A169" s="2" t="s">
        <v>811</v>
      </c>
      <c r="B169" s="4">
        <v>44759</v>
      </c>
      <c r="C169" s="2" t="s">
        <v>812</v>
      </c>
      <c r="D169" t="s">
        <v>6171</v>
      </c>
      <c r="E169" s="2">
        <v>4</v>
      </c>
      <c r="F169" s="2" t="str">
        <f>_xlfn.XLOOKUP(C169,customers!$A$1:$A$1001,customers!$B$1:$B$1001,,0)</f>
        <v>Rozele Relton</v>
      </c>
      <c r="G169" s="2" t="str">
        <f>IF(_xlfn.XLOOKUP(C169,customers!$A$1:$A$1001,customers!$C$1:$C$1001,,0)=0,"",_xlfn.XLOOKUP(C169,customers!$A$1:$A$1001,customers!$C$1:$C$1001,,0))</f>
        <v>rrelton1l@stanford.edu</v>
      </c>
      <c r="H169" s="2" t="str">
        <f>_xlfn.XLOOKUP(C169,customers!$A$1:$A$1001,customers!$G$1:$G$1001,,0)</f>
        <v>United States</v>
      </c>
      <c r="I169" t="str">
        <f>INDEX(products!$A$1:$G$49, MATCH(orders!$D59,products!$A$1:$A106,0), MATCH(orders!I$1,products!$A$1:$G$1,0))</f>
        <v>Exc</v>
      </c>
      <c r="J169" t="str">
        <f>INDEX(products!$A$1:$G$49, MATCH(orders!$D59,products!$A$1:$A106,0), MATCH(orders!J$1,products!$A$1:$G$1,0))</f>
        <v>L</v>
      </c>
      <c r="K169" s="5">
        <f>INDEX(products!$A$1:$G$49, MATCH(orders!$D59,products!$A$1:$A106,0), MATCH(orders!K$1,products!$A$1:$G$1,0))</f>
        <v>1</v>
      </c>
      <c r="L169" s="6">
        <f>INDEX(products!$A$1:$G$49, MATCH(orders!$D59,products!$A$1:$A106,0), MATCH(orders!L$1,products!$A$1:$G$1,0))</f>
        <v>14.85</v>
      </c>
      <c r="M169" s="6">
        <f t="shared" si="6"/>
        <v>59.4</v>
      </c>
      <c r="N169" t="str">
        <f t="shared" si="7"/>
        <v>Excelsa</v>
      </c>
      <c r="O169" t="str">
        <f t="shared" si="8"/>
        <v>Light</v>
      </c>
      <c r="P169" t="str">
        <f>_xlfn.XLOOKUP(Orders[[#This Row],[Customer ID]],customers!$A$1:$A$1001,customers!$I$1:$I$1001,,0)</f>
        <v>No</v>
      </c>
      <c r="Q169">
        <f>COUNTIF(Orders[Order ID],Orders[[#This Row],[Order ID]])</f>
        <v>1</v>
      </c>
      <c r="R169" s="10">
        <f>SUMIF(Orders[Order ID], Orders[[#This Row],[Order ID]],Orders[Sales])/Orders[[#This Row],[Order Frequency]]</f>
        <v>59.4</v>
      </c>
      <c r="S169" t="str">
        <f>IF(Orders[[#This Row],[Order Frequency]]&gt;4, "More than 4", IF(AND(Orders[[#This Row],[Order Frequency]]&lt;=4,Orders[[#This Row],[Order Frequency]]&gt;=2), "Between 4 and 2", "Less than 2"))</f>
        <v>Less than 2</v>
      </c>
      <c r="T169" t="str">
        <f>IF(Orders[[#This Row],[Frequency Group]]="less than 2", "Low Value", IF(Orders[[#This Row],[Frequency Group]]="between 4 and 2", "Medium Value", "High Value"))</f>
        <v>Low Value</v>
      </c>
      <c r="U169" t="str">
        <f>IF(Orders[[#This Row],[Sales]]&lt;50, "$0-50", IF(AND(Orders[[#This Row],[Sales]]&gt;=50,Orders[[#This Row],[Sales]]&lt;=100), "$50-100", IF(AND(Orders[[#This Row],[Sales]]&gt;100,Orders[[#This Row],[Sales]]&lt;=150), "$101-150", "$150+")))</f>
        <v>$50-100</v>
      </c>
      <c r="V169" t="str">
        <f>IF(Orders[[#This Row],[Sales]]&gt;MEDIAN(M:M), "High Price", "Low Price")</f>
        <v>High Price</v>
      </c>
      <c r="W169" t="str">
        <f>IF(Orders[[#This Row],[Quantity]]&gt;MEDIAN(E:E), "High Volume", "Low Volume")</f>
        <v>Low Volume</v>
      </c>
      <c r="X169" t="str">
        <f>Orders[[#This Row],[Sales Tier]] &amp; "-" &amp; Orders[[#This Row],[Quantity Tier]]</f>
        <v>High Price-Low Volume</v>
      </c>
      <c r="Y169" t="str">
        <f>TEXT(Orders[[#This Row],[Order Date]], "mmmm")</f>
        <v>July</v>
      </c>
      <c r="Z16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169" t="str">
        <f>Orders[[#This Row],[Coffee Type Name]] &amp; "-" &amp; Orders[[#This Row],[Roast Type Name]]</f>
        <v>Excelsa-Light</v>
      </c>
      <c r="AB16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170" spans="1:28" x14ac:dyDescent="0.25">
      <c r="A170" s="2" t="s">
        <v>838</v>
      </c>
      <c r="B170" s="4">
        <v>43505</v>
      </c>
      <c r="C170" s="2" t="s">
        <v>839</v>
      </c>
      <c r="D170" t="s">
        <v>6145</v>
      </c>
      <c r="E170" s="2">
        <v>5</v>
      </c>
      <c r="F170" s="2" t="str">
        <f>_xlfn.XLOOKUP(C170,customers!$A$1:$A$1001,customers!$B$1:$B$1001,,0)</f>
        <v>Nona Linklater</v>
      </c>
      <c r="G170" s="2" t="str">
        <f>IF(_xlfn.XLOOKUP(C170,customers!$A$1:$A$1001,customers!$C$1:$C$1001,,0)=0,"",_xlfn.XLOOKUP(C170,customers!$A$1:$A$1001,customers!$C$1:$C$1001,,0))</f>
        <v/>
      </c>
      <c r="H170" s="2" t="str">
        <f>_xlfn.XLOOKUP(C170,customers!$A$1:$A$1001,customers!$G$1:$G$1001,,0)</f>
        <v>United States</v>
      </c>
      <c r="I170" t="str">
        <f>INDEX(products!$A$1:$G$49, MATCH(orders!$D64,products!$A$1:$A111,0), MATCH(orders!I$1,products!$A$1:$G$1,0))</f>
        <v>Lib</v>
      </c>
      <c r="J170" t="str">
        <f>INDEX(products!$A$1:$G$49, MATCH(orders!$D64,products!$A$1:$A111,0), MATCH(orders!J$1,products!$A$1:$G$1,0))</f>
        <v>L</v>
      </c>
      <c r="K170" s="5">
        <f>INDEX(products!$A$1:$G$49, MATCH(orders!$D64,products!$A$1:$A111,0), MATCH(orders!K$1,products!$A$1:$G$1,0))</f>
        <v>0.2</v>
      </c>
      <c r="L170" s="6">
        <f>INDEX(products!$A$1:$G$49, MATCH(orders!$D64,products!$A$1:$A111,0), MATCH(orders!L$1,products!$A$1:$G$1,0))</f>
        <v>4.7549999999999999</v>
      </c>
      <c r="M170" s="6">
        <f t="shared" si="6"/>
        <v>23.774999999999999</v>
      </c>
      <c r="N170" t="str">
        <f t="shared" si="7"/>
        <v>Liberica</v>
      </c>
      <c r="O170" t="str">
        <f t="shared" si="8"/>
        <v>Light</v>
      </c>
      <c r="P170" t="str">
        <f>_xlfn.XLOOKUP(Orders[[#This Row],[Customer ID]],customers!$A$1:$A$1001,customers!$I$1:$I$1001,,0)</f>
        <v>Yes</v>
      </c>
      <c r="Q170">
        <f>COUNTIF(Orders[Order ID],Orders[[#This Row],[Order ID]])</f>
        <v>1</v>
      </c>
      <c r="R170" s="10">
        <f>SUMIF(Orders[Order ID], Orders[[#This Row],[Order ID]],Orders[Sales])/Orders[[#This Row],[Order Frequency]]</f>
        <v>23.774999999999999</v>
      </c>
      <c r="S170" t="str">
        <f>IF(Orders[[#This Row],[Order Frequency]]&gt;4, "More than 4", IF(AND(Orders[[#This Row],[Order Frequency]]&lt;=4,Orders[[#This Row],[Order Frequency]]&gt;=2), "Between 4 and 2", "Less than 2"))</f>
        <v>Less than 2</v>
      </c>
      <c r="T170" t="str">
        <f>IF(Orders[[#This Row],[Frequency Group]]="less than 2", "Low Value", IF(Orders[[#This Row],[Frequency Group]]="between 4 and 2", "Medium Value", "High Value"))</f>
        <v>Low Value</v>
      </c>
      <c r="U170" t="str">
        <f>IF(Orders[[#This Row],[Sales]]&lt;50, "$0-50", IF(AND(Orders[[#This Row],[Sales]]&gt;=50,Orders[[#This Row],[Sales]]&lt;=100), "$50-100", IF(AND(Orders[[#This Row],[Sales]]&gt;100,Orders[[#This Row],[Sales]]&lt;=150), "$101-150", "$150+")))</f>
        <v>$0-50</v>
      </c>
      <c r="V170" t="str">
        <f>IF(Orders[[#This Row],[Sales]]&gt;MEDIAN(M:M), "High Price", "Low Price")</f>
        <v>Low Price</v>
      </c>
      <c r="W170" t="str">
        <f>IF(Orders[[#This Row],[Quantity]]&gt;MEDIAN(E:E), "High Volume", "Low Volume")</f>
        <v>High Volume</v>
      </c>
      <c r="X170" t="str">
        <f>Orders[[#This Row],[Sales Tier]] &amp; "-" &amp; Orders[[#This Row],[Quantity Tier]]</f>
        <v>Low Price-High Volume</v>
      </c>
      <c r="Y170" t="str">
        <f>TEXT(Orders[[#This Row],[Order Date]], "mmmm")</f>
        <v>February</v>
      </c>
      <c r="Z17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70" t="str">
        <f>Orders[[#This Row],[Coffee Type Name]] &amp; "-" &amp; Orders[[#This Row],[Roast Type Name]]</f>
        <v>Liberica-Light</v>
      </c>
      <c r="AB17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71" spans="1:28" x14ac:dyDescent="0.25">
      <c r="A171" s="2" t="s">
        <v>2107</v>
      </c>
      <c r="B171" s="4">
        <v>43755</v>
      </c>
      <c r="C171" s="2" t="s">
        <v>2108</v>
      </c>
      <c r="D171" t="s">
        <v>6152</v>
      </c>
      <c r="E171" s="2">
        <v>4</v>
      </c>
      <c r="F171" s="2" t="str">
        <f>_xlfn.XLOOKUP(C171,customers!$A$1:$A$1001,customers!$B$1:$B$1001,,0)</f>
        <v>Byram Mergue</v>
      </c>
      <c r="G171" s="2" t="str">
        <f>IF(_xlfn.XLOOKUP(C171,customers!$A$1:$A$1001,customers!$C$1:$C$1001,,0)=0,"",_xlfn.XLOOKUP(C171,customers!$A$1:$A$1001,customers!$C$1:$C$1001,,0))</f>
        <v>bmergue7y@umn.edu</v>
      </c>
      <c r="H171" s="2" t="str">
        <f>_xlfn.XLOOKUP(C171,customers!$A$1:$A$1001,customers!$G$1:$G$1001,,0)</f>
        <v>United States</v>
      </c>
      <c r="I171" t="str">
        <f>INDEX(products!$A$1:$G$49, MATCH(orders!$D288,products!$A$1:$A335,0), MATCH(orders!I$1,products!$A$1:$G$1,0))</f>
        <v>Ara</v>
      </c>
      <c r="J171" t="str">
        <f>INDEX(products!$A$1:$G$49, MATCH(orders!$D288,products!$A$1:$A335,0), MATCH(orders!J$1,products!$A$1:$G$1,0))</f>
        <v>M</v>
      </c>
      <c r="K171" s="5">
        <f>INDEX(products!$A$1:$G$49, MATCH(orders!$D288,products!$A$1:$A335,0), MATCH(orders!K$1,products!$A$1:$G$1,0))</f>
        <v>0.2</v>
      </c>
      <c r="L171" s="6">
        <f>INDEX(products!$A$1:$G$49, MATCH(orders!$D288,products!$A$1:$A335,0), MATCH(orders!L$1,products!$A$1:$G$1,0))</f>
        <v>3.375</v>
      </c>
      <c r="M171" s="6">
        <f t="shared" si="6"/>
        <v>13.5</v>
      </c>
      <c r="N171" t="str">
        <f t="shared" si="7"/>
        <v>Arabica</v>
      </c>
      <c r="O171" t="str">
        <f t="shared" si="8"/>
        <v>Medium</v>
      </c>
      <c r="P171" t="str">
        <f>_xlfn.XLOOKUP(Orders[[#This Row],[Customer ID]],customers!$A$1:$A$1001,customers!$I$1:$I$1001,,0)</f>
        <v>Yes</v>
      </c>
      <c r="Q171">
        <f>COUNTIF(Orders[Order ID],Orders[[#This Row],[Order ID]])</f>
        <v>1</v>
      </c>
      <c r="R171" s="10">
        <f>SUMIF(Orders[Order ID], Orders[[#This Row],[Order ID]],Orders[Sales])/Orders[[#This Row],[Order Frequency]]</f>
        <v>13.5</v>
      </c>
      <c r="S171" t="str">
        <f>IF(Orders[[#This Row],[Order Frequency]]&gt;4, "More than 4", IF(AND(Orders[[#This Row],[Order Frequency]]&lt;=4,Orders[[#This Row],[Order Frequency]]&gt;=2), "Between 4 and 2", "Less than 2"))</f>
        <v>Less than 2</v>
      </c>
      <c r="T171" t="str">
        <f>IF(Orders[[#This Row],[Frequency Group]]="less than 2", "Low Value", IF(Orders[[#This Row],[Frequency Group]]="between 4 and 2", "Medium Value", "High Value"))</f>
        <v>Low Value</v>
      </c>
      <c r="U171" t="str">
        <f>IF(Orders[[#This Row],[Sales]]&lt;50, "$0-50", IF(AND(Orders[[#This Row],[Sales]]&gt;=50,Orders[[#This Row],[Sales]]&lt;=100), "$50-100", IF(AND(Orders[[#This Row],[Sales]]&gt;100,Orders[[#This Row],[Sales]]&lt;=150), "$101-150", "$150+")))</f>
        <v>$0-50</v>
      </c>
      <c r="V171" t="str">
        <f>IF(Orders[[#This Row],[Sales]]&gt;MEDIAN(M:M), "High Price", "Low Price")</f>
        <v>Low Price</v>
      </c>
      <c r="W171" t="str">
        <f>IF(Orders[[#This Row],[Quantity]]&gt;MEDIAN(E:E), "High Volume", "Low Volume")</f>
        <v>Low Volume</v>
      </c>
      <c r="X171" t="str">
        <f>Orders[[#This Row],[Sales Tier]] &amp; "-" &amp; Orders[[#This Row],[Quantity Tier]]</f>
        <v>Low Price-Low Volume</v>
      </c>
      <c r="Y171" t="str">
        <f>TEXT(Orders[[#This Row],[Order Date]], "mmmm")</f>
        <v>October</v>
      </c>
      <c r="Z17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171" t="str">
        <f>Orders[[#This Row],[Coffee Type Name]] &amp; "-" &amp; Orders[[#This Row],[Roast Type Name]]</f>
        <v>Arabica-Medium</v>
      </c>
      <c r="AB17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172" spans="1:28" x14ac:dyDescent="0.25">
      <c r="A172" s="2" t="s">
        <v>2781</v>
      </c>
      <c r="B172" s="4">
        <v>44416</v>
      </c>
      <c r="C172" s="2" t="s">
        <v>2782</v>
      </c>
      <c r="D172" t="s">
        <v>6141</v>
      </c>
      <c r="E172" s="2">
        <v>5</v>
      </c>
      <c r="F172" s="2" t="str">
        <f>_xlfn.XLOOKUP(C172,customers!$A$1:$A$1001,customers!$B$1:$B$1001,,0)</f>
        <v>Auguste Rizon</v>
      </c>
      <c r="G172" s="2" t="str">
        <f>IF(_xlfn.XLOOKUP(C172,customers!$A$1:$A$1001,customers!$C$1:$C$1001,,0)=0,"",_xlfn.XLOOKUP(C172,customers!$A$1:$A$1001,customers!$C$1:$C$1001,,0))</f>
        <v>arizonba@xing.com</v>
      </c>
      <c r="H172" s="2" t="str">
        <f>_xlfn.XLOOKUP(C172,customers!$A$1:$A$1001,customers!$G$1:$G$1001,,0)</f>
        <v>United States</v>
      </c>
      <c r="I172" t="str">
        <f>INDEX(products!$A$1:$G$49, MATCH(orders!$D408,products!$A$1:$A455,0), MATCH(orders!I$1,products!$A$1:$G$1,0))</f>
        <v>Exc</v>
      </c>
      <c r="J172" t="str">
        <f>INDEX(products!$A$1:$G$49, MATCH(orders!$D408,products!$A$1:$A455,0), MATCH(orders!J$1,products!$A$1:$G$1,0))</f>
        <v>M</v>
      </c>
      <c r="K172" s="5">
        <f>INDEX(products!$A$1:$G$49, MATCH(orders!$D408,products!$A$1:$A455,0), MATCH(orders!K$1,products!$A$1:$G$1,0))</f>
        <v>1</v>
      </c>
      <c r="L172" s="6">
        <f>INDEX(products!$A$1:$G$49, MATCH(orders!$D408,products!$A$1:$A455,0), MATCH(orders!L$1,products!$A$1:$G$1,0))</f>
        <v>13.75</v>
      </c>
      <c r="M172" s="6">
        <f t="shared" si="6"/>
        <v>68.75</v>
      </c>
      <c r="N172" t="str">
        <f t="shared" si="7"/>
        <v>Excelsa</v>
      </c>
      <c r="O172" t="str">
        <f t="shared" si="8"/>
        <v>Medium</v>
      </c>
      <c r="P172" t="str">
        <f>_xlfn.XLOOKUP(Orders[[#This Row],[Customer ID]],customers!$A$1:$A$1001,customers!$I$1:$I$1001,,0)</f>
        <v>Yes</v>
      </c>
      <c r="Q172">
        <f>COUNTIF(Orders[Order ID],Orders[[#This Row],[Order ID]])</f>
        <v>1</v>
      </c>
      <c r="R172" s="10">
        <f>SUMIF(Orders[Order ID], Orders[[#This Row],[Order ID]],Orders[Sales])/Orders[[#This Row],[Order Frequency]]</f>
        <v>68.75</v>
      </c>
      <c r="S172" t="str">
        <f>IF(Orders[[#This Row],[Order Frequency]]&gt;4, "More than 4", IF(AND(Orders[[#This Row],[Order Frequency]]&lt;=4,Orders[[#This Row],[Order Frequency]]&gt;=2), "Between 4 and 2", "Less than 2"))</f>
        <v>Less than 2</v>
      </c>
      <c r="T172" t="str">
        <f>IF(Orders[[#This Row],[Frequency Group]]="less than 2", "Low Value", IF(Orders[[#This Row],[Frequency Group]]="between 4 and 2", "Medium Value", "High Value"))</f>
        <v>Low Value</v>
      </c>
      <c r="U172" t="str">
        <f>IF(Orders[[#This Row],[Sales]]&lt;50, "$0-50", IF(AND(Orders[[#This Row],[Sales]]&gt;=50,Orders[[#This Row],[Sales]]&lt;=100), "$50-100", IF(AND(Orders[[#This Row],[Sales]]&gt;100,Orders[[#This Row],[Sales]]&lt;=150), "$101-150", "$150+")))</f>
        <v>$50-100</v>
      </c>
      <c r="V172" t="str">
        <f>IF(Orders[[#This Row],[Sales]]&gt;MEDIAN(M:M), "High Price", "Low Price")</f>
        <v>High Price</v>
      </c>
      <c r="W172" t="str">
        <f>IF(Orders[[#This Row],[Quantity]]&gt;MEDIAN(E:E), "High Volume", "Low Volume")</f>
        <v>High Volume</v>
      </c>
      <c r="X172" t="str">
        <f>Orders[[#This Row],[Sales Tier]] &amp; "-" &amp; Orders[[#This Row],[Quantity Tier]]</f>
        <v>High Price-High Volume</v>
      </c>
      <c r="Y172" t="str">
        <f>TEXT(Orders[[#This Row],[Order Date]], "mmmm")</f>
        <v>August</v>
      </c>
      <c r="Z17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172" t="str">
        <f>Orders[[#This Row],[Coffee Type Name]] &amp; "-" &amp; Orders[[#This Row],[Roast Type Name]]</f>
        <v>Excelsa-Medium</v>
      </c>
      <c r="AB17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173" spans="1:28" x14ac:dyDescent="0.25">
      <c r="A173" s="2" t="s">
        <v>4477</v>
      </c>
      <c r="B173" s="4">
        <v>44353</v>
      </c>
      <c r="C173" s="2" t="s">
        <v>4478</v>
      </c>
      <c r="D173" t="s">
        <v>6156</v>
      </c>
      <c r="E173" s="2">
        <v>3</v>
      </c>
      <c r="F173" s="2" t="str">
        <f>_xlfn.XLOOKUP(C173,customers!$A$1:$A$1001,customers!$B$1:$B$1001,,0)</f>
        <v>Barrie Fallowes</v>
      </c>
      <c r="G173" s="2" t="str">
        <f>IF(_xlfn.XLOOKUP(C173,customers!$A$1:$A$1001,customers!$C$1:$C$1001,,0)=0,"",_xlfn.XLOOKUP(C173,customers!$A$1:$A$1001,customers!$C$1:$C$1001,,0))</f>
        <v>bfallowesjm@purevolume.com</v>
      </c>
      <c r="H173" s="2" t="str">
        <f>_xlfn.XLOOKUP(C173,customers!$A$1:$A$1001,customers!$G$1:$G$1001,,0)</f>
        <v>United States</v>
      </c>
      <c r="I173" t="str">
        <f>INDEX(products!$A$1:$G$49, MATCH(orders!$D708,products!$A$1:$A755,0), MATCH(orders!I$1,products!$A$1:$G$1,0))</f>
        <v>Exc</v>
      </c>
      <c r="J173" t="str">
        <f>INDEX(products!$A$1:$G$49, MATCH(orders!$D708,products!$A$1:$A755,0), MATCH(orders!J$1,products!$A$1:$G$1,0))</f>
        <v>M</v>
      </c>
      <c r="K173" s="5">
        <f>INDEX(products!$A$1:$G$49, MATCH(orders!$D708,products!$A$1:$A755,0), MATCH(orders!K$1,products!$A$1:$G$1,0))</f>
        <v>0.2</v>
      </c>
      <c r="L173" s="6">
        <f>INDEX(products!$A$1:$G$49, MATCH(orders!$D708,products!$A$1:$A755,0), MATCH(orders!L$1,products!$A$1:$G$1,0))</f>
        <v>4.125</v>
      </c>
      <c r="M173" s="6">
        <f t="shared" si="6"/>
        <v>12.375</v>
      </c>
      <c r="N173" t="str">
        <f t="shared" si="7"/>
        <v>Excelsa</v>
      </c>
      <c r="O173" t="str">
        <f t="shared" si="8"/>
        <v>Medium</v>
      </c>
      <c r="P173" t="str">
        <f>_xlfn.XLOOKUP(Orders[[#This Row],[Customer ID]],customers!$A$1:$A$1001,customers!$I$1:$I$1001,,0)</f>
        <v>No</v>
      </c>
      <c r="Q173">
        <f>COUNTIF(Orders[Order ID],Orders[[#This Row],[Order ID]])</f>
        <v>1</v>
      </c>
      <c r="R173" s="10">
        <f>SUMIF(Orders[Order ID], Orders[[#This Row],[Order ID]],Orders[Sales])/Orders[[#This Row],[Order Frequency]]</f>
        <v>12.375</v>
      </c>
      <c r="S173" t="str">
        <f>IF(Orders[[#This Row],[Order Frequency]]&gt;4, "More than 4", IF(AND(Orders[[#This Row],[Order Frequency]]&lt;=4,Orders[[#This Row],[Order Frequency]]&gt;=2), "Between 4 and 2", "Less than 2"))</f>
        <v>Less than 2</v>
      </c>
      <c r="T173" t="str">
        <f>IF(Orders[[#This Row],[Frequency Group]]="less than 2", "Low Value", IF(Orders[[#This Row],[Frequency Group]]="between 4 and 2", "Medium Value", "High Value"))</f>
        <v>Low Value</v>
      </c>
      <c r="U173" t="str">
        <f>IF(Orders[[#This Row],[Sales]]&lt;50, "$0-50", IF(AND(Orders[[#This Row],[Sales]]&gt;=50,Orders[[#This Row],[Sales]]&lt;=100), "$50-100", IF(AND(Orders[[#This Row],[Sales]]&gt;100,Orders[[#This Row],[Sales]]&lt;=150), "$101-150", "$150+")))</f>
        <v>$0-50</v>
      </c>
      <c r="V173" t="str">
        <f>IF(Orders[[#This Row],[Sales]]&gt;MEDIAN(M:M), "High Price", "Low Price")</f>
        <v>Low Price</v>
      </c>
      <c r="W173" t="str">
        <f>IF(Orders[[#This Row],[Quantity]]&gt;MEDIAN(E:E), "High Volume", "Low Volume")</f>
        <v>Low Volume</v>
      </c>
      <c r="X173" t="str">
        <f>Orders[[#This Row],[Sales Tier]] &amp; "-" &amp; Orders[[#This Row],[Quantity Tier]]</f>
        <v>Low Price-Low Volume</v>
      </c>
      <c r="Y173" t="str">
        <f>TEXT(Orders[[#This Row],[Order Date]], "mmmm")</f>
        <v>June</v>
      </c>
      <c r="Z17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173" t="str">
        <f>Orders[[#This Row],[Coffee Type Name]] &amp; "-" &amp; Orders[[#This Row],[Roast Type Name]]</f>
        <v>Excelsa-Medium</v>
      </c>
      <c r="AB17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174" spans="1:28" x14ac:dyDescent="0.25">
      <c r="A174" s="2" t="s">
        <v>3141</v>
      </c>
      <c r="B174" s="4">
        <v>44375</v>
      </c>
      <c r="C174" s="2" t="s">
        <v>3194</v>
      </c>
      <c r="D174" t="s">
        <v>6184</v>
      </c>
      <c r="E174" s="2">
        <v>5</v>
      </c>
      <c r="F174" s="2" t="str">
        <f>_xlfn.XLOOKUP(C174,customers!$A$1:$A$1001,customers!$B$1:$B$1001,,0)</f>
        <v>Ailey Brash</v>
      </c>
      <c r="G174" s="2" t="str">
        <f>IF(_xlfn.XLOOKUP(C174,customers!$A$1:$A$1001,customers!$C$1:$C$1001,,0)=0,"",_xlfn.XLOOKUP(C174,customers!$A$1:$A$1001,customers!$C$1:$C$1001,,0))</f>
        <v>abrashda@plala.or.jp</v>
      </c>
      <c r="H174" s="2" t="str">
        <f>_xlfn.XLOOKUP(C174,customers!$A$1:$A$1001,customers!$G$1:$G$1001,,0)</f>
        <v>United States</v>
      </c>
      <c r="I174" t="str">
        <f>INDEX(products!$A$1:$G$49, MATCH(orders!$D471,products!$A$1:$A518,0), MATCH(orders!I$1,products!$A$1:$G$1,0))</f>
        <v>Exc</v>
      </c>
      <c r="J174" t="str">
        <f>INDEX(products!$A$1:$G$49, MATCH(orders!$D471,products!$A$1:$A518,0), MATCH(orders!J$1,products!$A$1:$G$1,0))</f>
        <v>L</v>
      </c>
      <c r="K174" s="5">
        <f>INDEX(products!$A$1:$G$49, MATCH(orders!$D471,products!$A$1:$A518,0), MATCH(orders!K$1,products!$A$1:$G$1,0))</f>
        <v>0.2</v>
      </c>
      <c r="L174" s="6">
        <f>INDEX(products!$A$1:$G$49, MATCH(orders!$D471,products!$A$1:$A518,0), MATCH(orders!L$1,products!$A$1:$G$1,0))</f>
        <v>4.4550000000000001</v>
      </c>
      <c r="M174" s="6">
        <f t="shared" si="6"/>
        <v>22.274999999999999</v>
      </c>
      <c r="N174" t="str">
        <f t="shared" si="7"/>
        <v>Excelsa</v>
      </c>
      <c r="O174" t="str">
        <f t="shared" si="8"/>
        <v>Light</v>
      </c>
      <c r="P174" t="str">
        <f>_xlfn.XLOOKUP(Orders[[#This Row],[Customer ID]],customers!$A$1:$A$1001,customers!$I$1:$I$1001,,0)</f>
        <v>Yes</v>
      </c>
      <c r="Q174">
        <f>COUNTIF(Orders[Order ID],Orders[[#This Row],[Order ID]])</f>
        <v>1</v>
      </c>
      <c r="R174" s="10">
        <f>SUMIF(Orders[Order ID], Orders[[#This Row],[Order ID]],Orders[Sales])/Orders[[#This Row],[Order Frequency]]</f>
        <v>22.274999999999999</v>
      </c>
      <c r="S174" t="str">
        <f>IF(Orders[[#This Row],[Order Frequency]]&gt;4, "More than 4", IF(AND(Orders[[#This Row],[Order Frequency]]&lt;=4,Orders[[#This Row],[Order Frequency]]&gt;=2), "Between 4 and 2", "Less than 2"))</f>
        <v>Less than 2</v>
      </c>
      <c r="T174" t="str">
        <f>IF(Orders[[#This Row],[Frequency Group]]="less than 2", "Low Value", IF(Orders[[#This Row],[Frequency Group]]="between 4 and 2", "Medium Value", "High Value"))</f>
        <v>Low Value</v>
      </c>
      <c r="U174" t="str">
        <f>IF(Orders[[#This Row],[Sales]]&lt;50, "$0-50", IF(AND(Orders[[#This Row],[Sales]]&gt;=50,Orders[[#This Row],[Sales]]&lt;=100), "$50-100", IF(AND(Orders[[#This Row],[Sales]]&gt;100,Orders[[#This Row],[Sales]]&lt;=150), "$101-150", "$150+")))</f>
        <v>$0-50</v>
      </c>
      <c r="V174" t="str">
        <f>IF(Orders[[#This Row],[Sales]]&gt;MEDIAN(M:M), "High Price", "Low Price")</f>
        <v>Low Price</v>
      </c>
      <c r="W174" t="str">
        <f>IF(Orders[[#This Row],[Quantity]]&gt;MEDIAN(E:E), "High Volume", "Low Volume")</f>
        <v>High Volume</v>
      </c>
      <c r="X174" t="str">
        <f>Orders[[#This Row],[Sales Tier]] &amp; "-" &amp; Orders[[#This Row],[Quantity Tier]]</f>
        <v>Low Price-High Volume</v>
      </c>
      <c r="Y174" t="str">
        <f>TEXT(Orders[[#This Row],[Order Date]], "mmmm")</f>
        <v>June</v>
      </c>
      <c r="Z17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174" t="str">
        <f>Orders[[#This Row],[Coffee Type Name]] &amp; "-" &amp; Orders[[#This Row],[Roast Type Name]]</f>
        <v>Excelsa-Light</v>
      </c>
      <c r="AB17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175" spans="1:28" x14ac:dyDescent="0.25">
      <c r="A175" s="2" t="s">
        <v>1420</v>
      </c>
      <c r="B175" s="4">
        <v>44234</v>
      </c>
      <c r="C175" s="2" t="s">
        <v>1421</v>
      </c>
      <c r="D175" t="s">
        <v>6177</v>
      </c>
      <c r="E175" s="2">
        <v>6</v>
      </c>
      <c r="F175" s="2" t="str">
        <f>_xlfn.XLOOKUP(C175,customers!$A$1:$A$1001,customers!$B$1:$B$1001,,0)</f>
        <v>Mina Elstone</v>
      </c>
      <c r="G175" s="2" t="str">
        <f>IF(_xlfn.XLOOKUP(C175,customers!$A$1:$A$1001,customers!$C$1:$C$1001,,0)=0,"",_xlfn.XLOOKUP(C175,customers!$A$1:$A$1001,customers!$C$1:$C$1001,,0))</f>
        <v/>
      </c>
      <c r="H175" s="2" t="str">
        <f>_xlfn.XLOOKUP(C175,customers!$A$1:$A$1001,customers!$G$1:$G$1001,,0)</f>
        <v>United States</v>
      </c>
      <c r="I175" t="str">
        <f>INDEX(products!$A$1:$G$49, MATCH(orders!$D167,products!$A$1:$A214,0), MATCH(orders!I$1,products!$A$1:$G$1,0))</f>
        <v>Rob</v>
      </c>
      <c r="J175" t="str">
        <f>INDEX(products!$A$1:$G$49, MATCH(orders!$D167,products!$A$1:$A214,0), MATCH(orders!J$1,products!$A$1:$G$1,0))</f>
        <v>D</v>
      </c>
      <c r="K175" s="5">
        <f>INDEX(products!$A$1:$G$49, MATCH(orders!$D167,products!$A$1:$A214,0), MATCH(orders!K$1,products!$A$1:$G$1,0))</f>
        <v>1</v>
      </c>
      <c r="L175" s="6">
        <f>INDEX(products!$A$1:$G$49, MATCH(orders!$D167,products!$A$1:$A214,0), MATCH(orders!L$1,products!$A$1:$G$1,0))</f>
        <v>8.9499999999999993</v>
      </c>
      <c r="M175" s="6">
        <f t="shared" si="6"/>
        <v>53.699999999999996</v>
      </c>
      <c r="N175" t="str">
        <f t="shared" si="7"/>
        <v>Robusta</v>
      </c>
      <c r="O175" t="str">
        <f t="shared" si="8"/>
        <v>Dark</v>
      </c>
      <c r="P175" t="str">
        <f>_xlfn.XLOOKUP(Orders[[#This Row],[Customer ID]],customers!$A$1:$A$1001,customers!$I$1:$I$1001,,0)</f>
        <v>Yes</v>
      </c>
      <c r="Q175">
        <f>COUNTIF(Orders[Order ID],Orders[[#This Row],[Order ID]])</f>
        <v>1</v>
      </c>
      <c r="R175" s="10">
        <f>SUMIF(Orders[Order ID], Orders[[#This Row],[Order ID]],Orders[Sales])/Orders[[#This Row],[Order Frequency]]</f>
        <v>53.699999999999996</v>
      </c>
      <c r="S175" t="str">
        <f>IF(Orders[[#This Row],[Order Frequency]]&gt;4, "More than 4", IF(AND(Orders[[#This Row],[Order Frequency]]&lt;=4,Orders[[#This Row],[Order Frequency]]&gt;=2), "Between 4 and 2", "Less than 2"))</f>
        <v>Less than 2</v>
      </c>
      <c r="T175" t="str">
        <f>IF(Orders[[#This Row],[Frequency Group]]="less than 2", "Low Value", IF(Orders[[#This Row],[Frequency Group]]="between 4 and 2", "Medium Value", "High Value"))</f>
        <v>Low Value</v>
      </c>
      <c r="U175" t="str">
        <f>IF(Orders[[#This Row],[Sales]]&lt;50, "$0-50", IF(AND(Orders[[#This Row],[Sales]]&gt;=50,Orders[[#This Row],[Sales]]&lt;=100), "$50-100", IF(AND(Orders[[#This Row],[Sales]]&gt;100,Orders[[#This Row],[Sales]]&lt;=150), "$101-150", "$150+")))</f>
        <v>$50-100</v>
      </c>
      <c r="V175" t="str">
        <f>IF(Orders[[#This Row],[Sales]]&gt;MEDIAN(M:M), "High Price", "Low Price")</f>
        <v>High Price</v>
      </c>
      <c r="W175" t="str">
        <f>IF(Orders[[#This Row],[Quantity]]&gt;MEDIAN(E:E), "High Volume", "Low Volume")</f>
        <v>High Volume</v>
      </c>
      <c r="X175" t="str">
        <f>Orders[[#This Row],[Sales Tier]] &amp; "-" &amp; Orders[[#This Row],[Quantity Tier]]</f>
        <v>High Price-High Volume</v>
      </c>
      <c r="Y175" t="str">
        <f>TEXT(Orders[[#This Row],[Order Date]], "mmmm")</f>
        <v>February</v>
      </c>
      <c r="Z17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75" t="str">
        <f>Orders[[#This Row],[Coffee Type Name]] &amp; "-" &amp; Orders[[#This Row],[Roast Type Name]]</f>
        <v>Robusta-Dark</v>
      </c>
      <c r="AB17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76" spans="1:28" x14ac:dyDescent="0.25">
      <c r="A176" s="2" t="s">
        <v>4723</v>
      </c>
      <c r="B176" s="4">
        <v>44209</v>
      </c>
      <c r="C176" s="2" t="s">
        <v>4724</v>
      </c>
      <c r="D176" t="s">
        <v>6163</v>
      </c>
      <c r="E176" s="2">
        <v>2</v>
      </c>
      <c r="F176" s="2" t="str">
        <f>_xlfn.XLOOKUP(C176,customers!$A$1:$A$1001,customers!$B$1:$B$1001,,0)</f>
        <v>Melodie OIlier</v>
      </c>
      <c r="G176" s="2" t="str">
        <f>IF(_xlfn.XLOOKUP(C176,customers!$A$1:$A$1001,customers!$C$1:$C$1001,,0)=0,"",_xlfn.XLOOKUP(C176,customers!$A$1:$A$1001,customers!$C$1:$C$1001,,0))</f>
        <v>moilierkt@paginegialle.it</v>
      </c>
      <c r="H176" s="2" t="str">
        <f>_xlfn.XLOOKUP(C176,customers!$A$1:$A$1001,customers!$G$1:$G$1001,,0)</f>
        <v>Ireland</v>
      </c>
      <c r="I176" t="str">
        <f>INDEX(products!$A$1:$G$49, MATCH(orders!$D751,products!$A$1:$A798,0), MATCH(orders!I$1,products!$A$1:$G$1,0))</f>
        <v>Rob</v>
      </c>
      <c r="J176" t="str">
        <f>INDEX(products!$A$1:$G$49, MATCH(orders!$D751,products!$A$1:$A798,0), MATCH(orders!J$1,products!$A$1:$G$1,0))</f>
        <v>D</v>
      </c>
      <c r="K176" s="5">
        <f>INDEX(products!$A$1:$G$49, MATCH(orders!$D751,products!$A$1:$A798,0), MATCH(orders!K$1,products!$A$1:$G$1,0))</f>
        <v>0.2</v>
      </c>
      <c r="L176" s="6">
        <f>INDEX(products!$A$1:$G$49, MATCH(orders!$D751,products!$A$1:$A798,0), MATCH(orders!L$1,products!$A$1:$G$1,0))</f>
        <v>2.6849999999999996</v>
      </c>
      <c r="M176" s="6">
        <f t="shared" si="6"/>
        <v>5.3699999999999992</v>
      </c>
      <c r="N176" t="str">
        <f t="shared" si="7"/>
        <v>Robusta</v>
      </c>
      <c r="O176" t="str">
        <f t="shared" si="8"/>
        <v>Dark</v>
      </c>
      <c r="P176" t="str">
        <f>_xlfn.XLOOKUP(Orders[[#This Row],[Customer ID]],customers!$A$1:$A$1001,customers!$I$1:$I$1001,,0)</f>
        <v>Yes</v>
      </c>
      <c r="Q176">
        <f>COUNTIF(Orders[Order ID],Orders[[#This Row],[Order ID]])</f>
        <v>1</v>
      </c>
      <c r="R176" s="10">
        <f>SUMIF(Orders[Order ID], Orders[[#This Row],[Order ID]],Orders[Sales])/Orders[[#This Row],[Order Frequency]]</f>
        <v>5.3699999999999992</v>
      </c>
      <c r="S176" t="str">
        <f>IF(Orders[[#This Row],[Order Frequency]]&gt;4, "More than 4", IF(AND(Orders[[#This Row],[Order Frequency]]&lt;=4,Orders[[#This Row],[Order Frequency]]&gt;=2), "Between 4 and 2", "Less than 2"))</f>
        <v>Less than 2</v>
      </c>
      <c r="T176" t="str">
        <f>IF(Orders[[#This Row],[Frequency Group]]="less than 2", "Low Value", IF(Orders[[#This Row],[Frequency Group]]="between 4 and 2", "Medium Value", "High Value"))</f>
        <v>Low Value</v>
      </c>
      <c r="U176" t="str">
        <f>IF(Orders[[#This Row],[Sales]]&lt;50, "$0-50", IF(AND(Orders[[#This Row],[Sales]]&gt;=50,Orders[[#This Row],[Sales]]&lt;=100), "$50-100", IF(AND(Orders[[#This Row],[Sales]]&gt;100,Orders[[#This Row],[Sales]]&lt;=150), "$101-150", "$150+")))</f>
        <v>$0-50</v>
      </c>
      <c r="V176" t="str">
        <f>IF(Orders[[#This Row],[Sales]]&gt;MEDIAN(M:M), "High Price", "Low Price")</f>
        <v>Low Price</v>
      </c>
      <c r="W176" t="str">
        <f>IF(Orders[[#This Row],[Quantity]]&gt;MEDIAN(E:E), "High Volume", "Low Volume")</f>
        <v>Low Volume</v>
      </c>
      <c r="X176" t="str">
        <f>Orders[[#This Row],[Sales Tier]] &amp; "-" &amp; Orders[[#This Row],[Quantity Tier]]</f>
        <v>Low Price-Low Volume</v>
      </c>
      <c r="Y176" t="str">
        <f>TEXT(Orders[[#This Row],[Order Date]], "mmmm")</f>
        <v>January</v>
      </c>
      <c r="Z17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76" t="str">
        <f>Orders[[#This Row],[Coffee Type Name]] &amp; "-" &amp; Orders[[#This Row],[Roast Type Name]]</f>
        <v>Robusta-Dark</v>
      </c>
      <c r="AB17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77" spans="1:28" x14ac:dyDescent="0.25">
      <c r="A177" s="2" t="s">
        <v>1293</v>
      </c>
      <c r="B177" s="4">
        <v>44083</v>
      </c>
      <c r="C177" s="2" t="s">
        <v>1294</v>
      </c>
      <c r="D177" t="s">
        <v>6160</v>
      </c>
      <c r="E177" s="2">
        <v>2</v>
      </c>
      <c r="F177" s="2" t="str">
        <f>_xlfn.XLOOKUP(C177,customers!$A$1:$A$1001,customers!$B$1:$B$1001,,0)</f>
        <v>Deana Staite</v>
      </c>
      <c r="G177" s="2" t="str">
        <f>IF(_xlfn.XLOOKUP(C177,customers!$A$1:$A$1001,customers!$C$1:$C$1001,,0)=0,"",_xlfn.XLOOKUP(C177,customers!$A$1:$A$1001,customers!$C$1:$C$1001,,0))</f>
        <v>dstaite3z@scientificamerican.com</v>
      </c>
      <c r="H177" s="2" t="str">
        <f>_xlfn.XLOOKUP(C177,customers!$A$1:$A$1001,customers!$G$1:$G$1001,,0)</f>
        <v>United States</v>
      </c>
      <c r="I177" t="str">
        <f>INDEX(products!$A$1:$G$49, MATCH(orders!$D145,products!$A$1:$A192,0), MATCH(orders!I$1,products!$A$1:$G$1,0))</f>
        <v>Lib</v>
      </c>
      <c r="J177" t="str">
        <f>INDEX(products!$A$1:$G$49, MATCH(orders!$D145,products!$A$1:$A192,0), MATCH(orders!J$1,products!$A$1:$G$1,0))</f>
        <v>M</v>
      </c>
      <c r="K177" s="5">
        <f>INDEX(products!$A$1:$G$49, MATCH(orders!$D145,products!$A$1:$A192,0), MATCH(orders!K$1,products!$A$1:$G$1,0))</f>
        <v>0.5</v>
      </c>
      <c r="L177" s="6">
        <f>INDEX(products!$A$1:$G$49, MATCH(orders!$D145,products!$A$1:$A192,0), MATCH(orders!L$1,products!$A$1:$G$1,0))</f>
        <v>8.73</v>
      </c>
      <c r="M177" s="6">
        <f t="shared" si="6"/>
        <v>17.46</v>
      </c>
      <c r="N177" t="str">
        <f t="shared" si="7"/>
        <v>Liberica</v>
      </c>
      <c r="O177" t="str">
        <f t="shared" si="8"/>
        <v>Medium</v>
      </c>
      <c r="P177" t="str">
        <f>_xlfn.XLOOKUP(Orders[[#This Row],[Customer ID]],customers!$A$1:$A$1001,customers!$I$1:$I$1001,,0)</f>
        <v>No</v>
      </c>
      <c r="Q177">
        <f>COUNTIF(Orders[Order ID],Orders[[#This Row],[Order ID]])</f>
        <v>1</v>
      </c>
      <c r="R177" s="10">
        <f>SUMIF(Orders[Order ID], Orders[[#This Row],[Order ID]],Orders[Sales])/Orders[[#This Row],[Order Frequency]]</f>
        <v>17.46</v>
      </c>
      <c r="S177" t="str">
        <f>IF(Orders[[#This Row],[Order Frequency]]&gt;4, "More than 4", IF(AND(Orders[[#This Row],[Order Frequency]]&lt;=4,Orders[[#This Row],[Order Frequency]]&gt;=2), "Between 4 and 2", "Less than 2"))</f>
        <v>Less than 2</v>
      </c>
      <c r="T177" t="str">
        <f>IF(Orders[[#This Row],[Frequency Group]]="less than 2", "Low Value", IF(Orders[[#This Row],[Frequency Group]]="between 4 and 2", "Medium Value", "High Value"))</f>
        <v>Low Value</v>
      </c>
      <c r="U177" t="str">
        <f>IF(Orders[[#This Row],[Sales]]&lt;50, "$0-50", IF(AND(Orders[[#This Row],[Sales]]&gt;=50,Orders[[#This Row],[Sales]]&lt;=100), "$50-100", IF(AND(Orders[[#This Row],[Sales]]&gt;100,Orders[[#This Row],[Sales]]&lt;=150), "$101-150", "$150+")))</f>
        <v>$0-50</v>
      </c>
      <c r="V177" t="str">
        <f>IF(Orders[[#This Row],[Sales]]&gt;MEDIAN(M:M), "High Price", "Low Price")</f>
        <v>Low Price</v>
      </c>
      <c r="W177" t="str">
        <f>IF(Orders[[#This Row],[Quantity]]&gt;MEDIAN(E:E), "High Volume", "Low Volume")</f>
        <v>Low Volume</v>
      </c>
      <c r="X177" t="str">
        <f>Orders[[#This Row],[Sales Tier]] &amp; "-" &amp; Orders[[#This Row],[Quantity Tier]]</f>
        <v>Low Price-Low Volume</v>
      </c>
      <c r="Y177" t="str">
        <f>TEXT(Orders[[#This Row],[Order Date]], "mmmm")</f>
        <v>September</v>
      </c>
      <c r="Z17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177" t="str">
        <f>Orders[[#This Row],[Coffee Type Name]] &amp; "-" &amp; Orders[[#This Row],[Roast Type Name]]</f>
        <v>Liberica-Medium</v>
      </c>
      <c r="AB17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178" spans="1:28" x14ac:dyDescent="0.25">
      <c r="A178" s="2" t="s">
        <v>1425</v>
      </c>
      <c r="B178" s="4">
        <v>44270</v>
      </c>
      <c r="C178" s="2" t="s">
        <v>1426</v>
      </c>
      <c r="D178" t="s">
        <v>6172</v>
      </c>
      <c r="E178" s="2">
        <v>5</v>
      </c>
      <c r="F178" s="2" t="str">
        <f>_xlfn.XLOOKUP(C178,customers!$A$1:$A$1001,customers!$B$1:$B$1001,,0)</f>
        <v>Sherman Mewrcik</v>
      </c>
      <c r="G178" s="2" t="str">
        <f>IF(_xlfn.XLOOKUP(C178,customers!$A$1:$A$1001,customers!$C$1:$C$1001,,0)=0,"",_xlfn.XLOOKUP(C178,customers!$A$1:$A$1001,customers!$C$1:$C$1001,,0))</f>
        <v/>
      </c>
      <c r="H178" s="2" t="str">
        <f>_xlfn.XLOOKUP(C178,customers!$A$1:$A$1001,customers!$G$1:$G$1001,,0)</f>
        <v>United States</v>
      </c>
      <c r="I178" t="str">
        <f>INDEX(products!$A$1:$G$49, MATCH(orders!$D168,products!$A$1:$A215,0), MATCH(orders!I$1,products!$A$1:$G$1,0))</f>
        <v>Rob</v>
      </c>
      <c r="J178" t="str">
        <f>INDEX(products!$A$1:$G$49, MATCH(orders!$D168,products!$A$1:$A215,0), MATCH(orders!J$1,products!$A$1:$G$1,0))</f>
        <v>D</v>
      </c>
      <c r="K178" s="5">
        <f>INDEX(products!$A$1:$G$49, MATCH(orders!$D168,products!$A$1:$A215,0), MATCH(orders!K$1,products!$A$1:$G$1,0))</f>
        <v>0.5</v>
      </c>
      <c r="L178" s="6">
        <f>INDEX(products!$A$1:$G$49, MATCH(orders!$D168,products!$A$1:$A215,0), MATCH(orders!L$1,products!$A$1:$G$1,0))</f>
        <v>5.3699999999999992</v>
      </c>
      <c r="M178" s="6">
        <f t="shared" si="6"/>
        <v>26.849999999999994</v>
      </c>
      <c r="N178" t="str">
        <f t="shared" si="7"/>
        <v>Robusta</v>
      </c>
      <c r="O178" t="str">
        <f t="shared" si="8"/>
        <v>Dark</v>
      </c>
      <c r="P178" t="str">
        <f>_xlfn.XLOOKUP(Orders[[#This Row],[Customer ID]],customers!$A$1:$A$1001,customers!$I$1:$I$1001,,0)</f>
        <v>Yes</v>
      </c>
      <c r="Q178">
        <f>COUNTIF(Orders[Order ID],Orders[[#This Row],[Order ID]])</f>
        <v>1</v>
      </c>
      <c r="R178" s="10">
        <f>SUMIF(Orders[Order ID], Orders[[#This Row],[Order ID]],Orders[Sales])/Orders[[#This Row],[Order Frequency]]</f>
        <v>26.849999999999994</v>
      </c>
      <c r="S178" t="str">
        <f>IF(Orders[[#This Row],[Order Frequency]]&gt;4, "More than 4", IF(AND(Orders[[#This Row],[Order Frequency]]&lt;=4,Orders[[#This Row],[Order Frequency]]&gt;=2), "Between 4 and 2", "Less than 2"))</f>
        <v>Less than 2</v>
      </c>
      <c r="T178" t="str">
        <f>IF(Orders[[#This Row],[Frequency Group]]="less than 2", "Low Value", IF(Orders[[#This Row],[Frequency Group]]="between 4 and 2", "Medium Value", "High Value"))</f>
        <v>Low Value</v>
      </c>
      <c r="U178" t="str">
        <f>IF(Orders[[#This Row],[Sales]]&lt;50, "$0-50", IF(AND(Orders[[#This Row],[Sales]]&gt;=50,Orders[[#This Row],[Sales]]&lt;=100), "$50-100", IF(AND(Orders[[#This Row],[Sales]]&gt;100,Orders[[#This Row],[Sales]]&lt;=150), "$101-150", "$150+")))</f>
        <v>$0-50</v>
      </c>
      <c r="V178" t="str">
        <f>IF(Orders[[#This Row],[Sales]]&gt;MEDIAN(M:M), "High Price", "Low Price")</f>
        <v>Low Price</v>
      </c>
      <c r="W178" t="str">
        <f>IF(Orders[[#This Row],[Quantity]]&gt;MEDIAN(E:E), "High Volume", "Low Volume")</f>
        <v>High Volume</v>
      </c>
      <c r="X178" t="str">
        <f>Orders[[#This Row],[Sales Tier]] &amp; "-" &amp; Orders[[#This Row],[Quantity Tier]]</f>
        <v>Low Price-High Volume</v>
      </c>
      <c r="Y178" t="str">
        <f>TEXT(Orders[[#This Row],[Order Date]], "mmmm")</f>
        <v>March</v>
      </c>
      <c r="Z17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78" t="str">
        <f>Orders[[#This Row],[Coffee Type Name]] &amp; "-" &amp; Orders[[#This Row],[Roast Type Name]]</f>
        <v>Robusta-Dark</v>
      </c>
      <c r="AB17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179" spans="1:28" x14ac:dyDescent="0.25">
      <c r="A179" s="2" t="s">
        <v>2699</v>
      </c>
      <c r="B179" s="4">
        <v>44445</v>
      </c>
      <c r="C179" s="2" t="s">
        <v>2700</v>
      </c>
      <c r="D179" t="s">
        <v>6167</v>
      </c>
      <c r="E179" s="2">
        <v>1</v>
      </c>
      <c r="F179" s="2" t="str">
        <f>_xlfn.XLOOKUP(C179,customers!$A$1:$A$1001,customers!$B$1:$B$1001,,0)</f>
        <v>Anson Iddison</v>
      </c>
      <c r="G179" s="2" t="str">
        <f>IF(_xlfn.XLOOKUP(C179,customers!$A$1:$A$1001,customers!$C$1:$C$1001,,0)=0,"",_xlfn.XLOOKUP(C179,customers!$A$1:$A$1001,customers!$C$1:$C$1001,,0))</f>
        <v>aiddisonaw@usa.gov</v>
      </c>
      <c r="H179" s="2" t="str">
        <f>_xlfn.XLOOKUP(C179,customers!$A$1:$A$1001,customers!$G$1:$G$1001,,0)</f>
        <v>United States</v>
      </c>
      <c r="I179" t="str">
        <f>INDEX(products!$A$1:$G$49, MATCH(orders!$D395,products!$A$1:$A442,0), MATCH(orders!I$1,products!$A$1:$G$1,0))</f>
        <v>Ara</v>
      </c>
      <c r="J179" t="str">
        <f>INDEX(products!$A$1:$G$49, MATCH(orders!$D395,products!$A$1:$A442,0), MATCH(orders!J$1,products!$A$1:$G$1,0))</f>
        <v>L</v>
      </c>
      <c r="K179" s="5">
        <f>INDEX(products!$A$1:$G$49, MATCH(orders!$D395,products!$A$1:$A442,0), MATCH(orders!K$1,products!$A$1:$G$1,0))</f>
        <v>0.2</v>
      </c>
      <c r="L179" s="6">
        <f>INDEX(products!$A$1:$G$49, MATCH(orders!$D395,products!$A$1:$A442,0), MATCH(orders!L$1,products!$A$1:$G$1,0))</f>
        <v>3.8849999999999998</v>
      </c>
      <c r="M179" s="6">
        <f t="shared" si="6"/>
        <v>3.8849999999999998</v>
      </c>
      <c r="N179" t="str">
        <f t="shared" si="7"/>
        <v>Arabica</v>
      </c>
      <c r="O179" t="str">
        <f t="shared" si="8"/>
        <v>Light</v>
      </c>
      <c r="P179" t="str">
        <f>_xlfn.XLOOKUP(Orders[[#This Row],[Customer ID]],customers!$A$1:$A$1001,customers!$I$1:$I$1001,,0)</f>
        <v>No</v>
      </c>
      <c r="Q179">
        <f>COUNTIF(Orders[Order ID],Orders[[#This Row],[Order ID]])</f>
        <v>2</v>
      </c>
      <c r="R179" s="10">
        <f>SUMIF(Orders[Order ID], Orders[[#This Row],[Order ID]],Orders[Sales])/Orders[[#This Row],[Order Frequency]]</f>
        <v>46.4925</v>
      </c>
      <c r="S179" t="str">
        <f>IF(Orders[[#This Row],[Order Frequency]]&gt;4, "More than 4", IF(AND(Orders[[#This Row],[Order Frequency]]&lt;=4,Orders[[#This Row],[Order Frequency]]&gt;=2), "Between 4 and 2", "Less than 2"))</f>
        <v>Between 4 and 2</v>
      </c>
      <c r="T179" t="str">
        <f>IF(Orders[[#This Row],[Frequency Group]]="less than 2", "Low Value", IF(Orders[[#This Row],[Frequency Group]]="between 4 and 2", "Medium Value", "High Value"))</f>
        <v>Medium Value</v>
      </c>
      <c r="U179" t="str">
        <f>IF(Orders[[#This Row],[Sales]]&lt;50, "$0-50", IF(AND(Orders[[#This Row],[Sales]]&gt;=50,Orders[[#This Row],[Sales]]&lt;=100), "$50-100", IF(AND(Orders[[#This Row],[Sales]]&gt;100,Orders[[#This Row],[Sales]]&lt;=150), "$101-150", "$150+")))</f>
        <v>$0-50</v>
      </c>
      <c r="V179" t="str">
        <f>IF(Orders[[#This Row],[Sales]]&gt;MEDIAN(M:M), "High Price", "Low Price")</f>
        <v>Low Price</v>
      </c>
      <c r="W179" t="str">
        <f>IF(Orders[[#This Row],[Quantity]]&gt;MEDIAN(E:E), "High Volume", "Low Volume")</f>
        <v>Low Volume</v>
      </c>
      <c r="X179" t="str">
        <f>Orders[[#This Row],[Sales Tier]] &amp; "-" &amp; Orders[[#This Row],[Quantity Tier]]</f>
        <v>Low Price-Low Volume</v>
      </c>
      <c r="Y179" t="str">
        <f>TEXT(Orders[[#This Row],[Order Date]], "mmmm")</f>
        <v>September</v>
      </c>
      <c r="Z17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179" t="str">
        <f>Orders[[#This Row],[Coffee Type Name]] &amp; "-" &amp; Orders[[#This Row],[Roast Type Name]]</f>
        <v>Arabica-Light</v>
      </c>
      <c r="AB17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180" spans="1:28" x14ac:dyDescent="0.25">
      <c r="A180" s="2" t="s">
        <v>2699</v>
      </c>
      <c r="B180" s="4">
        <v>44445</v>
      </c>
      <c r="C180" s="2" t="s">
        <v>2700</v>
      </c>
      <c r="D180" t="s">
        <v>6171</v>
      </c>
      <c r="E180" s="2">
        <v>6</v>
      </c>
      <c r="F180" s="2" t="str">
        <f>_xlfn.XLOOKUP(C180,customers!$A$1:$A$1001,customers!$B$1:$B$1001,,0)</f>
        <v>Anson Iddison</v>
      </c>
      <c r="G180" s="2" t="str">
        <f>IF(_xlfn.XLOOKUP(C180,customers!$A$1:$A$1001,customers!$C$1:$C$1001,,0)=0,"",_xlfn.XLOOKUP(C180,customers!$A$1:$A$1001,customers!$C$1:$C$1001,,0))</f>
        <v>aiddisonaw@usa.gov</v>
      </c>
      <c r="H180" s="2" t="str">
        <f>_xlfn.XLOOKUP(C180,customers!$A$1:$A$1001,customers!$G$1:$G$1001,,0)</f>
        <v>United States</v>
      </c>
      <c r="I180" t="str">
        <f>INDEX(products!$A$1:$G$49, MATCH(orders!$D394,products!$A$1:$A441,0), MATCH(orders!I$1,products!$A$1:$G$1,0))</f>
        <v>Exc</v>
      </c>
      <c r="J180" t="str">
        <f>INDEX(products!$A$1:$G$49, MATCH(orders!$D394,products!$A$1:$A441,0), MATCH(orders!J$1,products!$A$1:$G$1,0))</f>
        <v>L</v>
      </c>
      <c r="K180" s="5">
        <f>INDEX(products!$A$1:$G$49, MATCH(orders!$D394,products!$A$1:$A441,0), MATCH(orders!K$1,products!$A$1:$G$1,0))</f>
        <v>1</v>
      </c>
      <c r="L180" s="6">
        <f>INDEX(products!$A$1:$G$49, MATCH(orders!$D394,products!$A$1:$A441,0), MATCH(orders!L$1,products!$A$1:$G$1,0))</f>
        <v>14.85</v>
      </c>
      <c r="M180" s="6">
        <f t="shared" si="6"/>
        <v>89.1</v>
      </c>
      <c r="N180" t="str">
        <f t="shared" si="7"/>
        <v>Excelsa</v>
      </c>
      <c r="O180" t="str">
        <f t="shared" si="8"/>
        <v>Light</v>
      </c>
      <c r="P180" t="str">
        <f>_xlfn.XLOOKUP(Orders[[#This Row],[Customer ID]],customers!$A$1:$A$1001,customers!$I$1:$I$1001,,0)</f>
        <v>No</v>
      </c>
      <c r="Q180">
        <f>COUNTIF(Orders[Order ID],Orders[[#This Row],[Order ID]])</f>
        <v>2</v>
      </c>
      <c r="R180" s="10">
        <f>SUMIF(Orders[Order ID], Orders[[#This Row],[Order ID]],Orders[Sales])/Orders[[#This Row],[Order Frequency]]</f>
        <v>46.4925</v>
      </c>
      <c r="S180" t="str">
        <f>IF(Orders[[#This Row],[Order Frequency]]&gt;4, "More than 4", IF(AND(Orders[[#This Row],[Order Frequency]]&lt;=4,Orders[[#This Row],[Order Frequency]]&gt;=2), "Between 4 and 2", "Less than 2"))</f>
        <v>Between 4 and 2</v>
      </c>
      <c r="T180" t="str">
        <f>IF(Orders[[#This Row],[Frequency Group]]="less than 2", "Low Value", IF(Orders[[#This Row],[Frequency Group]]="between 4 and 2", "Medium Value", "High Value"))</f>
        <v>Medium Value</v>
      </c>
      <c r="U180" t="str">
        <f>IF(Orders[[#This Row],[Sales]]&lt;50, "$0-50", IF(AND(Orders[[#This Row],[Sales]]&gt;=50,Orders[[#This Row],[Sales]]&lt;=100), "$50-100", IF(AND(Orders[[#This Row],[Sales]]&gt;100,Orders[[#This Row],[Sales]]&lt;=150), "$101-150", "$150+")))</f>
        <v>$50-100</v>
      </c>
      <c r="V180" t="str">
        <f>IF(Orders[[#This Row],[Sales]]&gt;MEDIAN(M:M), "High Price", "Low Price")</f>
        <v>High Price</v>
      </c>
      <c r="W180" t="str">
        <f>IF(Orders[[#This Row],[Quantity]]&gt;MEDIAN(E:E), "High Volume", "Low Volume")</f>
        <v>High Volume</v>
      </c>
      <c r="X180" t="str">
        <f>Orders[[#This Row],[Sales Tier]] &amp; "-" &amp; Orders[[#This Row],[Quantity Tier]]</f>
        <v>High Price-High Volume</v>
      </c>
      <c r="Y180" t="str">
        <f>TEXT(Orders[[#This Row],[Order Date]], "mmmm")</f>
        <v>September</v>
      </c>
      <c r="Z18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180" t="str">
        <f>Orders[[#This Row],[Coffee Type Name]] &amp; "-" &amp; Orders[[#This Row],[Roast Type Name]]</f>
        <v>Excelsa-Light</v>
      </c>
      <c r="AB18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181" spans="1:28" x14ac:dyDescent="0.25">
      <c r="A181" s="2" t="s">
        <v>4836</v>
      </c>
      <c r="B181" s="4">
        <v>43912</v>
      </c>
      <c r="C181" s="2" t="s">
        <v>4837</v>
      </c>
      <c r="D181" t="s">
        <v>6151</v>
      </c>
      <c r="E181" s="2">
        <v>6</v>
      </c>
      <c r="F181" s="2" t="str">
        <f>_xlfn.XLOOKUP(C181,customers!$A$1:$A$1001,customers!$B$1:$B$1001,,0)</f>
        <v>Dalia Eburah</v>
      </c>
      <c r="G181" s="2" t="str">
        <f>IF(_xlfn.XLOOKUP(C181,customers!$A$1:$A$1001,customers!$C$1:$C$1001,,0)=0,"",_xlfn.XLOOKUP(C181,customers!$A$1:$A$1001,customers!$C$1:$C$1001,,0))</f>
        <v>deburahld@google.co.jp</v>
      </c>
      <c r="H181" s="2" t="str">
        <f>_xlfn.XLOOKUP(C181,customers!$A$1:$A$1001,customers!$G$1:$G$1001,,0)</f>
        <v>United Kingdom</v>
      </c>
      <c r="I181" t="str">
        <f>INDEX(products!$A$1:$G$49, MATCH(orders!$D771,products!$A$1:$A818,0), MATCH(orders!I$1,products!$A$1:$G$1,0))</f>
        <v>Rob</v>
      </c>
      <c r="J181" t="str">
        <f>INDEX(products!$A$1:$G$49, MATCH(orders!$D771,products!$A$1:$A818,0), MATCH(orders!J$1,products!$A$1:$G$1,0))</f>
        <v>M</v>
      </c>
      <c r="K181" s="5">
        <f>INDEX(products!$A$1:$G$49, MATCH(orders!$D771,products!$A$1:$A818,0), MATCH(orders!K$1,products!$A$1:$G$1,0))</f>
        <v>2.5</v>
      </c>
      <c r="L181" s="6">
        <f>INDEX(products!$A$1:$G$49, MATCH(orders!$D771,products!$A$1:$A818,0), MATCH(orders!L$1,products!$A$1:$G$1,0))</f>
        <v>22.884999999999998</v>
      </c>
      <c r="M181" s="6">
        <f t="shared" si="6"/>
        <v>137.31</v>
      </c>
      <c r="N181" t="str">
        <f t="shared" si="7"/>
        <v>Robusta</v>
      </c>
      <c r="O181" t="str">
        <f t="shared" si="8"/>
        <v>Medium</v>
      </c>
      <c r="P181" t="str">
        <f>_xlfn.XLOOKUP(Orders[[#This Row],[Customer ID]],customers!$A$1:$A$1001,customers!$I$1:$I$1001,,0)</f>
        <v>No</v>
      </c>
      <c r="Q181">
        <f>COUNTIF(Orders[Order ID],Orders[[#This Row],[Order ID]])</f>
        <v>1</v>
      </c>
      <c r="R181" s="10">
        <f>SUMIF(Orders[Order ID], Orders[[#This Row],[Order ID]],Orders[Sales])/Orders[[#This Row],[Order Frequency]]</f>
        <v>137.31</v>
      </c>
      <c r="S181" t="str">
        <f>IF(Orders[[#This Row],[Order Frequency]]&gt;4, "More than 4", IF(AND(Orders[[#This Row],[Order Frequency]]&lt;=4,Orders[[#This Row],[Order Frequency]]&gt;=2), "Between 4 and 2", "Less than 2"))</f>
        <v>Less than 2</v>
      </c>
      <c r="T181" t="str">
        <f>IF(Orders[[#This Row],[Frequency Group]]="less than 2", "Low Value", IF(Orders[[#This Row],[Frequency Group]]="between 4 and 2", "Medium Value", "High Value"))</f>
        <v>Low Value</v>
      </c>
      <c r="U181" t="str">
        <f>IF(Orders[[#This Row],[Sales]]&lt;50, "$0-50", IF(AND(Orders[[#This Row],[Sales]]&gt;=50,Orders[[#This Row],[Sales]]&lt;=100), "$50-100", IF(AND(Orders[[#This Row],[Sales]]&gt;100,Orders[[#This Row],[Sales]]&lt;=150), "$101-150", "$150+")))</f>
        <v>$101-150</v>
      </c>
      <c r="V181" t="str">
        <f>IF(Orders[[#This Row],[Sales]]&gt;MEDIAN(M:M), "High Price", "Low Price")</f>
        <v>High Price</v>
      </c>
      <c r="W181" t="str">
        <f>IF(Orders[[#This Row],[Quantity]]&gt;MEDIAN(E:E), "High Volume", "Low Volume")</f>
        <v>High Volume</v>
      </c>
      <c r="X181" t="str">
        <f>Orders[[#This Row],[Sales Tier]] &amp; "-" &amp; Orders[[#This Row],[Quantity Tier]]</f>
        <v>High Price-High Volume</v>
      </c>
      <c r="Y181" t="str">
        <f>TEXT(Orders[[#This Row],[Order Date]], "mmmm")</f>
        <v>March</v>
      </c>
      <c r="Z18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81" t="str">
        <f>Orders[[#This Row],[Coffee Type Name]] &amp; "-" &amp; Orders[[#This Row],[Roast Type Name]]</f>
        <v>Robusta-Medium</v>
      </c>
      <c r="AB18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182" spans="1:28" x14ac:dyDescent="0.25">
      <c r="A182" s="2" t="s">
        <v>2285</v>
      </c>
      <c r="B182" s="4">
        <v>44563</v>
      </c>
      <c r="C182" s="2" t="s">
        <v>2286</v>
      </c>
      <c r="D182" t="s">
        <v>6175</v>
      </c>
      <c r="E182" s="2">
        <v>2</v>
      </c>
      <c r="F182" s="2" t="str">
        <f>_xlfn.XLOOKUP(C182,customers!$A$1:$A$1001,customers!$B$1:$B$1001,,0)</f>
        <v>Tess Bennison</v>
      </c>
      <c r="G182" s="2" t="str">
        <f>IF(_xlfn.XLOOKUP(C182,customers!$A$1:$A$1001,customers!$C$1:$C$1001,,0)=0,"",_xlfn.XLOOKUP(C182,customers!$A$1:$A$1001,customers!$C$1:$C$1001,,0))</f>
        <v>tbennison8u@google.cn</v>
      </c>
      <c r="H182" s="2" t="str">
        <f>_xlfn.XLOOKUP(C182,customers!$A$1:$A$1001,customers!$G$1:$G$1001,,0)</f>
        <v>United States</v>
      </c>
      <c r="I182" t="str">
        <f>INDEX(products!$A$1:$G$49, MATCH(orders!$D320,products!$A$1:$A367,0), MATCH(orders!I$1,products!$A$1:$G$1,0))</f>
        <v>Ara</v>
      </c>
      <c r="J182" t="str">
        <f>INDEX(products!$A$1:$G$49, MATCH(orders!$D320,products!$A$1:$A367,0), MATCH(orders!J$1,products!$A$1:$G$1,0))</f>
        <v>M</v>
      </c>
      <c r="K182" s="5">
        <f>INDEX(products!$A$1:$G$49, MATCH(orders!$D320,products!$A$1:$A367,0), MATCH(orders!K$1,products!$A$1:$G$1,0))</f>
        <v>2.5</v>
      </c>
      <c r="L182" s="6">
        <f>INDEX(products!$A$1:$G$49, MATCH(orders!$D320,products!$A$1:$A367,0), MATCH(orders!L$1,products!$A$1:$G$1,0))</f>
        <v>25.874999999999996</v>
      </c>
      <c r="M182" s="6">
        <f t="shared" si="6"/>
        <v>51.749999999999993</v>
      </c>
      <c r="N182" t="str">
        <f t="shared" si="7"/>
        <v>Arabica</v>
      </c>
      <c r="O182" t="str">
        <f t="shared" si="8"/>
        <v>Medium</v>
      </c>
      <c r="P182" t="str">
        <f>_xlfn.XLOOKUP(Orders[[#This Row],[Customer ID]],customers!$A$1:$A$1001,customers!$I$1:$I$1001,,0)</f>
        <v>Yes</v>
      </c>
      <c r="Q182">
        <f>COUNTIF(Orders[Order ID],Orders[[#This Row],[Order ID]])</f>
        <v>1</v>
      </c>
      <c r="R182" s="10">
        <f>SUMIF(Orders[Order ID], Orders[[#This Row],[Order ID]],Orders[Sales])/Orders[[#This Row],[Order Frequency]]</f>
        <v>51.749999999999993</v>
      </c>
      <c r="S182" t="str">
        <f>IF(Orders[[#This Row],[Order Frequency]]&gt;4, "More than 4", IF(AND(Orders[[#This Row],[Order Frequency]]&lt;=4,Orders[[#This Row],[Order Frequency]]&gt;=2), "Between 4 and 2", "Less than 2"))</f>
        <v>Less than 2</v>
      </c>
      <c r="T182" t="str">
        <f>IF(Orders[[#This Row],[Frequency Group]]="less than 2", "Low Value", IF(Orders[[#This Row],[Frequency Group]]="between 4 and 2", "Medium Value", "High Value"))</f>
        <v>Low Value</v>
      </c>
      <c r="U182" t="str">
        <f>IF(Orders[[#This Row],[Sales]]&lt;50, "$0-50", IF(AND(Orders[[#This Row],[Sales]]&gt;=50,Orders[[#This Row],[Sales]]&lt;=100), "$50-100", IF(AND(Orders[[#This Row],[Sales]]&gt;100,Orders[[#This Row],[Sales]]&lt;=150), "$101-150", "$150+")))</f>
        <v>$50-100</v>
      </c>
      <c r="V182" t="str">
        <f>IF(Orders[[#This Row],[Sales]]&gt;MEDIAN(M:M), "High Price", "Low Price")</f>
        <v>High Price</v>
      </c>
      <c r="W182" t="str">
        <f>IF(Orders[[#This Row],[Quantity]]&gt;MEDIAN(E:E), "High Volume", "Low Volume")</f>
        <v>Low Volume</v>
      </c>
      <c r="X182" t="str">
        <f>Orders[[#This Row],[Sales Tier]] &amp; "-" &amp; Orders[[#This Row],[Quantity Tier]]</f>
        <v>High Price-Low Volume</v>
      </c>
      <c r="Y182" t="str">
        <f>TEXT(Orders[[#This Row],[Order Date]], "mmmm")</f>
        <v>January</v>
      </c>
      <c r="Z18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82" t="str">
        <f>Orders[[#This Row],[Coffee Type Name]] &amp; "-" &amp; Orders[[#This Row],[Roast Type Name]]</f>
        <v>Arabica-Medium</v>
      </c>
      <c r="AB18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83" spans="1:28" x14ac:dyDescent="0.25">
      <c r="A183" s="2" t="s">
        <v>1839</v>
      </c>
      <c r="B183" s="4">
        <v>43881</v>
      </c>
      <c r="C183" s="2" t="s">
        <v>1840</v>
      </c>
      <c r="D183" t="s">
        <v>6171</v>
      </c>
      <c r="E183" s="2">
        <v>4</v>
      </c>
      <c r="F183" s="2" t="str">
        <f>_xlfn.XLOOKUP(C183,customers!$A$1:$A$1001,customers!$B$1:$B$1001,,0)</f>
        <v>Devon Magowan</v>
      </c>
      <c r="G183" s="2" t="str">
        <f>IF(_xlfn.XLOOKUP(C183,customers!$A$1:$A$1001,customers!$C$1:$C$1001,,0)=0,"",_xlfn.XLOOKUP(C183,customers!$A$1:$A$1001,customers!$C$1:$C$1001,,0))</f>
        <v>dmagowan6n@fc2.com</v>
      </c>
      <c r="H183" s="2" t="str">
        <f>_xlfn.XLOOKUP(C183,customers!$A$1:$A$1001,customers!$G$1:$G$1001,,0)</f>
        <v>United States</v>
      </c>
      <c r="I183" t="str">
        <f>INDEX(products!$A$1:$G$49, MATCH(orders!$D241,products!$A$1:$A288,0), MATCH(orders!I$1,products!$A$1:$G$1,0))</f>
        <v>Exc</v>
      </c>
      <c r="J183" t="str">
        <f>INDEX(products!$A$1:$G$49, MATCH(orders!$D241,products!$A$1:$A288,0), MATCH(orders!J$1,products!$A$1:$G$1,0))</f>
        <v>L</v>
      </c>
      <c r="K183" s="5">
        <f>INDEX(products!$A$1:$G$49, MATCH(orders!$D241,products!$A$1:$A288,0), MATCH(orders!K$1,products!$A$1:$G$1,0))</f>
        <v>1</v>
      </c>
      <c r="L183" s="6">
        <f>INDEX(products!$A$1:$G$49, MATCH(orders!$D241,products!$A$1:$A288,0), MATCH(orders!L$1,products!$A$1:$G$1,0))</f>
        <v>14.85</v>
      </c>
      <c r="M183" s="6">
        <f t="shared" si="6"/>
        <v>59.4</v>
      </c>
      <c r="N183" t="str">
        <f t="shared" si="7"/>
        <v>Excelsa</v>
      </c>
      <c r="O183" t="str">
        <f t="shared" si="8"/>
        <v>Light</v>
      </c>
      <c r="P183" t="str">
        <f>_xlfn.XLOOKUP(Orders[[#This Row],[Customer ID]],customers!$A$1:$A$1001,customers!$I$1:$I$1001,,0)</f>
        <v>No</v>
      </c>
      <c r="Q183">
        <f>COUNTIF(Orders[Order ID],Orders[[#This Row],[Order ID]])</f>
        <v>1</v>
      </c>
      <c r="R183" s="10">
        <f>SUMIF(Orders[Order ID], Orders[[#This Row],[Order ID]],Orders[Sales])/Orders[[#This Row],[Order Frequency]]</f>
        <v>59.4</v>
      </c>
      <c r="S183" t="str">
        <f>IF(Orders[[#This Row],[Order Frequency]]&gt;4, "More than 4", IF(AND(Orders[[#This Row],[Order Frequency]]&lt;=4,Orders[[#This Row],[Order Frequency]]&gt;=2), "Between 4 and 2", "Less than 2"))</f>
        <v>Less than 2</v>
      </c>
      <c r="T183" t="str">
        <f>IF(Orders[[#This Row],[Frequency Group]]="less than 2", "Low Value", IF(Orders[[#This Row],[Frequency Group]]="between 4 and 2", "Medium Value", "High Value"))</f>
        <v>Low Value</v>
      </c>
      <c r="U183" t="str">
        <f>IF(Orders[[#This Row],[Sales]]&lt;50, "$0-50", IF(AND(Orders[[#This Row],[Sales]]&gt;=50,Orders[[#This Row],[Sales]]&lt;=100), "$50-100", IF(AND(Orders[[#This Row],[Sales]]&gt;100,Orders[[#This Row],[Sales]]&lt;=150), "$101-150", "$150+")))</f>
        <v>$50-100</v>
      </c>
      <c r="V183" t="str">
        <f>IF(Orders[[#This Row],[Sales]]&gt;MEDIAN(M:M), "High Price", "Low Price")</f>
        <v>High Price</v>
      </c>
      <c r="W183" t="str">
        <f>IF(Orders[[#This Row],[Quantity]]&gt;MEDIAN(E:E), "High Volume", "Low Volume")</f>
        <v>Low Volume</v>
      </c>
      <c r="X183" t="str">
        <f>Orders[[#This Row],[Sales Tier]] &amp; "-" &amp; Orders[[#This Row],[Quantity Tier]]</f>
        <v>High Price-Low Volume</v>
      </c>
      <c r="Y183" t="str">
        <f>TEXT(Orders[[#This Row],[Order Date]], "mmmm")</f>
        <v>February</v>
      </c>
      <c r="Z18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83" t="str">
        <f>Orders[[#This Row],[Coffee Type Name]] &amp; "-" &amp; Orders[[#This Row],[Roast Type Name]]</f>
        <v>Excelsa-Light</v>
      </c>
      <c r="AB18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84" spans="1:28" x14ac:dyDescent="0.25">
      <c r="A184" s="2" t="s">
        <v>3271</v>
      </c>
      <c r="B184" s="4">
        <v>44620</v>
      </c>
      <c r="C184" s="2" t="s">
        <v>3272</v>
      </c>
      <c r="D184" t="s">
        <v>6156</v>
      </c>
      <c r="E184" s="2">
        <v>1</v>
      </c>
      <c r="F184" s="2" t="str">
        <f>_xlfn.XLOOKUP(C184,customers!$A$1:$A$1001,customers!$B$1:$B$1001,,0)</f>
        <v>Uriah Lethbrig</v>
      </c>
      <c r="G184" s="2" t="str">
        <f>IF(_xlfn.XLOOKUP(C184,customers!$A$1:$A$1001,customers!$C$1:$C$1001,,0)=0,"",_xlfn.XLOOKUP(C184,customers!$A$1:$A$1001,customers!$C$1:$C$1001,,0))</f>
        <v>ulethbrigdo@hc360.com</v>
      </c>
      <c r="H184" s="2" t="str">
        <f>_xlfn.XLOOKUP(C184,customers!$A$1:$A$1001,customers!$G$1:$G$1001,,0)</f>
        <v>United States</v>
      </c>
      <c r="I184" t="str">
        <f>INDEX(products!$A$1:$G$49, MATCH(orders!$D494,products!$A$1:$A541,0), MATCH(orders!I$1,products!$A$1:$G$1,0))</f>
        <v>Exc</v>
      </c>
      <c r="J184" t="str">
        <f>INDEX(products!$A$1:$G$49, MATCH(orders!$D494,products!$A$1:$A541,0), MATCH(orders!J$1,products!$A$1:$G$1,0))</f>
        <v>M</v>
      </c>
      <c r="K184" s="5">
        <f>INDEX(products!$A$1:$G$49, MATCH(orders!$D494,products!$A$1:$A541,0), MATCH(orders!K$1,products!$A$1:$G$1,0))</f>
        <v>0.2</v>
      </c>
      <c r="L184" s="6">
        <f>INDEX(products!$A$1:$G$49, MATCH(orders!$D494,products!$A$1:$A541,0), MATCH(orders!L$1,products!$A$1:$G$1,0))</f>
        <v>4.125</v>
      </c>
      <c r="M184" s="6">
        <f t="shared" si="6"/>
        <v>4.125</v>
      </c>
      <c r="N184" t="str">
        <f t="shared" si="7"/>
        <v>Excelsa</v>
      </c>
      <c r="O184" t="str">
        <f t="shared" si="8"/>
        <v>Medium</v>
      </c>
      <c r="P184" t="str">
        <f>_xlfn.XLOOKUP(Orders[[#This Row],[Customer ID]],customers!$A$1:$A$1001,customers!$I$1:$I$1001,,0)</f>
        <v>Yes</v>
      </c>
      <c r="Q184">
        <f>COUNTIF(Orders[Order ID],Orders[[#This Row],[Order ID]])</f>
        <v>1</v>
      </c>
      <c r="R184" s="10">
        <f>SUMIF(Orders[Order ID], Orders[[#This Row],[Order ID]],Orders[Sales])/Orders[[#This Row],[Order Frequency]]</f>
        <v>4.125</v>
      </c>
      <c r="S184" t="str">
        <f>IF(Orders[[#This Row],[Order Frequency]]&gt;4, "More than 4", IF(AND(Orders[[#This Row],[Order Frequency]]&lt;=4,Orders[[#This Row],[Order Frequency]]&gt;=2), "Between 4 and 2", "Less than 2"))</f>
        <v>Less than 2</v>
      </c>
      <c r="T184" t="str">
        <f>IF(Orders[[#This Row],[Frequency Group]]="less than 2", "Low Value", IF(Orders[[#This Row],[Frequency Group]]="between 4 and 2", "Medium Value", "High Value"))</f>
        <v>Low Value</v>
      </c>
      <c r="U184" t="str">
        <f>IF(Orders[[#This Row],[Sales]]&lt;50, "$0-50", IF(AND(Orders[[#This Row],[Sales]]&gt;=50,Orders[[#This Row],[Sales]]&lt;=100), "$50-100", IF(AND(Orders[[#This Row],[Sales]]&gt;100,Orders[[#This Row],[Sales]]&lt;=150), "$101-150", "$150+")))</f>
        <v>$0-50</v>
      </c>
      <c r="V184" t="str">
        <f>IF(Orders[[#This Row],[Sales]]&gt;MEDIAN(M:M), "High Price", "Low Price")</f>
        <v>Low Price</v>
      </c>
      <c r="W184" t="str">
        <f>IF(Orders[[#This Row],[Quantity]]&gt;MEDIAN(E:E), "High Volume", "Low Volume")</f>
        <v>Low Volume</v>
      </c>
      <c r="X184" t="str">
        <f>Orders[[#This Row],[Sales Tier]] &amp; "-" &amp; Orders[[#This Row],[Quantity Tier]]</f>
        <v>Low Price-Low Volume</v>
      </c>
      <c r="Y184" t="str">
        <f>TEXT(Orders[[#This Row],[Order Date]], "mmmm")</f>
        <v>February</v>
      </c>
      <c r="Z18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84" t="str">
        <f>Orders[[#This Row],[Coffee Type Name]] &amp; "-" &amp; Orders[[#This Row],[Roast Type Name]]</f>
        <v>Excelsa-Medium</v>
      </c>
      <c r="AB18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85" spans="1:28" x14ac:dyDescent="0.25">
      <c r="A185" s="2" t="s">
        <v>5501</v>
      </c>
      <c r="B185" s="4">
        <v>44518</v>
      </c>
      <c r="C185" s="2" t="s">
        <v>5502</v>
      </c>
      <c r="D185" t="s">
        <v>6160</v>
      </c>
      <c r="E185" s="2">
        <v>2</v>
      </c>
      <c r="F185" s="2" t="str">
        <f>_xlfn.XLOOKUP(C185,customers!$A$1:$A$1001,customers!$B$1:$B$1001,,0)</f>
        <v>Marty Scholl</v>
      </c>
      <c r="G185" s="2" t="str">
        <f>IF(_xlfn.XLOOKUP(C185,customers!$A$1:$A$1001,customers!$C$1:$C$1001,,0)=0,"",_xlfn.XLOOKUP(C185,customers!$A$1:$A$1001,customers!$C$1:$C$1001,,0))</f>
        <v>mschollom@taobao.com</v>
      </c>
      <c r="H185" s="2" t="str">
        <f>_xlfn.XLOOKUP(C185,customers!$A$1:$A$1001,customers!$G$1:$G$1001,,0)</f>
        <v>United States</v>
      </c>
      <c r="I185" t="str">
        <f>INDEX(products!$A$1:$G$49, MATCH(orders!$D888,products!$A$1:$A935,0), MATCH(orders!I$1,products!$A$1:$G$1,0))</f>
        <v>Lib</v>
      </c>
      <c r="J185" t="str">
        <f>INDEX(products!$A$1:$G$49, MATCH(orders!$D888,products!$A$1:$A935,0), MATCH(orders!J$1,products!$A$1:$G$1,0))</f>
        <v>M</v>
      </c>
      <c r="K185" s="5">
        <f>INDEX(products!$A$1:$G$49, MATCH(orders!$D888,products!$A$1:$A935,0), MATCH(orders!K$1,products!$A$1:$G$1,0))</f>
        <v>0.5</v>
      </c>
      <c r="L185" s="6">
        <f>INDEX(products!$A$1:$G$49, MATCH(orders!$D888,products!$A$1:$A935,0), MATCH(orders!L$1,products!$A$1:$G$1,0))</f>
        <v>8.73</v>
      </c>
      <c r="M185" s="6">
        <f t="shared" si="6"/>
        <v>17.46</v>
      </c>
      <c r="N185" t="str">
        <f t="shared" si="7"/>
        <v>Liberica</v>
      </c>
      <c r="O185" t="str">
        <f t="shared" si="8"/>
        <v>Medium</v>
      </c>
      <c r="P185" t="str">
        <f>_xlfn.XLOOKUP(Orders[[#This Row],[Customer ID]],customers!$A$1:$A$1001,customers!$I$1:$I$1001,,0)</f>
        <v>No</v>
      </c>
      <c r="Q185">
        <f>COUNTIF(Orders[Order ID],Orders[[#This Row],[Order ID]])</f>
        <v>1</v>
      </c>
      <c r="R185" s="10">
        <f>SUMIF(Orders[Order ID], Orders[[#This Row],[Order ID]],Orders[Sales])/Orders[[#This Row],[Order Frequency]]</f>
        <v>17.46</v>
      </c>
      <c r="S185" t="str">
        <f>IF(Orders[[#This Row],[Order Frequency]]&gt;4, "More than 4", IF(AND(Orders[[#This Row],[Order Frequency]]&lt;=4,Orders[[#This Row],[Order Frequency]]&gt;=2), "Between 4 and 2", "Less than 2"))</f>
        <v>Less than 2</v>
      </c>
      <c r="T185" t="str">
        <f>IF(Orders[[#This Row],[Frequency Group]]="less than 2", "Low Value", IF(Orders[[#This Row],[Frequency Group]]="between 4 and 2", "Medium Value", "High Value"))</f>
        <v>Low Value</v>
      </c>
      <c r="U185" t="str">
        <f>IF(Orders[[#This Row],[Sales]]&lt;50, "$0-50", IF(AND(Orders[[#This Row],[Sales]]&gt;=50,Orders[[#This Row],[Sales]]&lt;=100), "$50-100", IF(AND(Orders[[#This Row],[Sales]]&gt;100,Orders[[#This Row],[Sales]]&lt;=150), "$101-150", "$150+")))</f>
        <v>$0-50</v>
      </c>
      <c r="V185" t="str">
        <f>IF(Orders[[#This Row],[Sales]]&gt;MEDIAN(M:M), "High Price", "Low Price")</f>
        <v>Low Price</v>
      </c>
      <c r="W185" t="str">
        <f>IF(Orders[[#This Row],[Quantity]]&gt;MEDIAN(E:E), "High Volume", "Low Volume")</f>
        <v>Low Volume</v>
      </c>
      <c r="X185" t="str">
        <f>Orders[[#This Row],[Sales Tier]] &amp; "-" &amp; Orders[[#This Row],[Quantity Tier]]</f>
        <v>Low Price-Low Volume</v>
      </c>
      <c r="Y185" t="str">
        <f>TEXT(Orders[[#This Row],[Order Date]], "mmmm")</f>
        <v>November</v>
      </c>
      <c r="Z18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185" t="str">
        <f>Orders[[#This Row],[Coffee Type Name]] &amp; "-" &amp; Orders[[#This Row],[Roast Type Name]]</f>
        <v>Liberica-Medium</v>
      </c>
      <c r="AB18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186" spans="1:28" x14ac:dyDescent="0.25">
      <c r="A186" s="2" t="s">
        <v>1395</v>
      </c>
      <c r="B186" s="4">
        <v>44207</v>
      </c>
      <c r="C186" s="2" t="s">
        <v>1396</v>
      </c>
      <c r="D186" t="s">
        <v>6180</v>
      </c>
      <c r="E186" s="2">
        <v>3</v>
      </c>
      <c r="F186" s="2" t="str">
        <f>_xlfn.XLOOKUP(C186,customers!$A$1:$A$1001,customers!$B$1:$B$1001,,0)</f>
        <v>Leontine Rubrow</v>
      </c>
      <c r="G186" s="2" t="str">
        <f>IF(_xlfn.XLOOKUP(C186,customers!$A$1:$A$1001,customers!$C$1:$C$1001,,0)=0,"",_xlfn.XLOOKUP(C186,customers!$A$1:$A$1001,customers!$C$1:$C$1001,,0))</f>
        <v>lrubrow4h@microsoft.com</v>
      </c>
      <c r="H186" s="2" t="str">
        <f>_xlfn.XLOOKUP(C186,customers!$A$1:$A$1001,customers!$G$1:$G$1001,,0)</f>
        <v>United States</v>
      </c>
      <c r="I186" t="str">
        <f>INDEX(products!$A$1:$G$49, MATCH(orders!$D163,products!$A$1:$A210,0), MATCH(orders!I$1,products!$A$1:$G$1,0))</f>
        <v>Ara</v>
      </c>
      <c r="J186" t="str">
        <f>INDEX(products!$A$1:$G$49, MATCH(orders!$D163,products!$A$1:$A210,0), MATCH(orders!J$1,products!$A$1:$G$1,0))</f>
        <v>L</v>
      </c>
      <c r="K186" s="5">
        <f>INDEX(products!$A$1:$G$49, MATCH(orders!$D163,products!$A$1:$A210,0), MATCH(orders!K$1,products!$A$1:$G$1,0))</f>
        <v>0.5</v>
      </c>
      <c r="L186" s="6">
        <f>INDEX(products!$A$1:$G$49, MATCH(orders!$D163,products!$A$1:$A210,0), MATCH(orders!L$1,products!$A$1:$G$1,0))</f>
        <v>7.77</v>
      </c>
      <c r="M186" s="6">
        <f t="shared" si="6"/>
        <v>23.31</v>
      </c>
      <c r="N186" t="str">
        <f t="shared" si="7"/>
        <v>Arabica</v>
      </c>
      <c r="O186" t="str">
        <f t="shared" si="8"/>
        <v>Light</v>
      </c>
      <c r="P186" t="str">
        <f>_xlfn.XLOOKUP(Orders[[#This Row],[Customer ID]],customers!$A$1:$A$1001,customers!$I$1:$I$1001,,0)</f>
        <v>No</v>
      </c>
      <c r="Q186">
        <f>COUNTIF(Orders[Order ID],Orders[[#This Row],[Order ID]])</f>
        <v>1</v>
      </c>
      <c r="R186" s="10">
        <f>SUMIF(Orders[Order ID], Orders[[#This Row],[Order ID]],Orders[Sales])/Orders[[#This Row],[Order Frequency]]</f>
        <v>23.31</v>
      </c>
      <c r="S186" t="str">
        <f>IF(Orders[[#This Row],[Order Frequency]]&gt;4, "More than 4", IF(AND(Orders[[#This Row],[Order Frequency]]&lt;=4,Orders[[#This Row],[Order Frequency]]&gt;=2), "Between 4 and 2", "Less than 2"))</f>
        <v>Less than 2</v>
      </c>
      <c r="T186" t="str">
        <f>IF(Orders[[#This Row],[Frequency Group]]="less than 2", "Low Value", IF(Orders[[#This Row],[Frequency Group]]="between 4 and 2", "Medium Value", "High Value"))</f>
        <v>Low Value</v>
      </c>
      <c r="U186" t="str">
        <f>IF(Orders[[#This Row],[Sales]]&lt;50, "$0-50", IF(AND(Orders[[#This Row],[Sales]]&gt;=50,Orders[[#This Row],[Sales]]&lt;=100), "$50-100", IF(AND(Orders[[#This Row],[Sales]]&gt;100,Orders[[#This Row],[Sales]]&lt;=150), "$101-150", "$150+")))</f>
        <v>$0-50</v>
      </c>
      <c r="V186" t="str">
        <f>IF(Orders[[#This Row],[Sales]]&gt;MEDIAN(M:M), "High Price", "Low Price")</f>
        <v>Low Price</v>
      </c>
      <c r="W186" t="str">
        <f>IF(Orders[[#This Row],[Quantity]]&gt;MEDIAN(E:E), "High Volume", "Low Volume")</f>
        <v>Low Volume</v>
      </c>
      <c r="X186" t="str">
        <f>Orders[[#This Row],[Sales Tier]] &amp; "-" &amp; Orders[[#This Row],[Quantity Tier]]</f>
        <v>Low Price-Low Volume</v>
      </c>
      <c r="Y186" t="str">
        <f>TEXT(Orders[[#This Row],[Order Date]], "mmmm")</f>
        <v>January</v>
      </c>
      <c r="Z18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86" t="str">
        <f>Orders[[#This Row],[Coffee Type Name]] &amp; "-" &amp; Orders[[#This Row],[Roast Type Name]]</f>
        <v>Arabica-Light</v>
      </c>
      <c r="AB18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87" spans="1:28" x14ac:dyDescent="0.25">
      <c r="A187" s="2" t="s">
        <v>1503</v>
      </c>
      <c r="B187" s="4">
        <v>43910</v>
      </c>
      <c r="C187" s="2" t="s">
        <v>1504</v>
      </c>
      <c r="D187" t="s">
        <v>6184</v>
      </c>
      <c r="E187" s="2">
        <v>5</v>
      </c>
      <c r="F187" s="2" t="str">
        <f>_xlfn.XLOOKUP(C187,customers!$A$1:$A$1001,customers!$B$1:$B$1001,,0)</f>
        <v>Abrahan Mussen</v>
      </c>
      <c r="G187" s="2" t="str">
        <f>IF(_xlfn.XLOOKUP(C187,customers!$A$1:$A$1001,customers!$C$1:$C$1001,,0)=0,"",_xlfn.XLOOKUP(C187,customers!$A$1:$A$1001,customers!$C$1:$C$1001,,0))</f>
        <v>amussen50@51.la</v>
      </c>
      <c r="H187" s="2" t="str">
        <f>_xlfn.XLOOKUP(C187,customers!$A$1:$A$1001,customers!$G$1:$G$1001,,0)</f>
        <v>United States</v>
      </c>
      <c r="I187" t="str">
        <f>INDEX(products!$A$1:$G$49, MATCH(orders!$D182,products!$A$1:$A229,0), MATCH(orders!I$1,products!$A$1:$G$1,0))</f>
        <v>Exc</v>
      </c>
      <c r="J187" t="str">
        <f>INDEX(products!$A$1:$G$49, MATCH(orders!$D182,products!$A$1:$A229,0), MATCH(orders!J$1,products!$A$1:$G$1,0))</f>
        <v>L</v>
      </c>
      <c r="K187" s="5">
        <f>INDEX(products!$A$1:$G$49, MATCH(orders!$D182,products!$A$1:$A229,0), MATCH(orders!K$1,products!$A$1:$G$1,0))</f>
        <v>0.2</v>
      </c>
      <c r="L187" s="6">
        <f>INDEX(products!$A$1:$G$49, MATCH(orders!$D182,products!$A$1:$A229,0), MATCH(orders!L$1,products!$A$1:$G$1,0))</f>
        <v>4.4550000000000001</v>
      </c>
      <c r="M187" s="6">
        <f t="shared" si="6"/>
        <v>22.274999999999999</v>
      </c>
      <c r="N187" t="str">
        <f t="shared" si="7"/>
        <v>Excelsa</v>
      </c>
      <c r="O187" t="str">
        <f t="shared" si="8"/>
        <v>Light</v>
      </c>
      <c r="P187" t="str">
        <f>_xlfn.XLOOKUP(Orders[[#This Row],[Customer ID]],customers!$A$1:$A$1001,customers!$I$1:$I$1001,,0)</f>
        <v>No</v>
      </c>
      <c r="Q187">
        <f>COUNTIF(Orders[Order ID],Orders[[#This Row],[Order ID]])</f>
        <v>2</v>
      </c>
      <c r="R187" s="10">
        <f>SUMIF(Orders[Order ID], Orders[[#This Row],[Order ID]],Orders[Sales])/Orders[[#This Row],[Order Frequency]]</f>
        <v>26.0625</v>
      </c>
      <c r="S187" t="str">
        <f>IF(Orders[[#This Row],[Order Frequency]]&gt;4, "More than 4", IF(AND(Orders[[#This Row],[Order Frequency]]&lt;=4,Orders[[#This Row],[Order Frequency]]&gt;=2), "Between 4 and 2", "Less than 2"))</f>
        <v>Between 4 and 2</v>
      </c>
      <c r="T187" t="str">
        <f>IF(Orders[[#This Row],[Frequency Group]]="less than 2", "Low Value", IF(Orders[[#This Row],[Frequency Group]]="between 4 and 2", "Medium Value", "High Value"))</f>
        <v>Medium Value</v>
      </c>
      <c r="U187" t="str">
        <f>IF(Orders[[#This Row],[Sales]]&lt;50, "$0-50", IF(AND(Orders[[#This Row],[Sales]]&gt;=50,Orders[[#This Row],[Sales]]&lt;=100), "$50-100", IF(AND(Orders[[#This Row],[Sales]]&gt;100,Orders[[#This Row],[Sales]]&lt;=150), "$101-150", "$150+")))</f>
        <v>$0-50</v>
      </c>
      <c r="V187" t="str">
        <f>IF(Orders[[#This Row],[Sales]]&gt;MEDIAN(M:M), "High Price", "Low Price")</f>
        <v>Low Price</v>
      </c>
      <c r="W187" t="str">
        <f>IF(Orders[[#This Row],[Quantity]]&gt;MEDIAN(E:E), "High Volume", "Low Volume")</f>
        <v>High Volume</v>
      </c>
      <c r="X187" t="str">
        <f>Orders[[#This Row],[Sales Tier]] &amp; "-" &amp; Orders[[#This Row],[Quantity Tier]]</f>
        <v>Low Price-High Volume</v>
      </c>
      <c r="Y187" t="str">
        <f>TEXT(Orders[[#This Row],[Order Date]], "mmmm")</f>
        <v>March</v>
      </c>
      <c r="Z18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87" t="str">
        <f>Orders[[#This Row],[Coffee Type Name]] &amp; "-" &amp; Orders[[#This Row],[Roast Type Name]]</f>
        <v>Excelsa-Light</v>
      </c>
      <c r="AB18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188" spans="1:28" x14ac:dyDescent="0.25">
      <c r="A188" s="2" t="s">
        <v>1503</v>
      </c>
      <c r="B188" s="4">
        <v>43910</v>
      </c>
      <c r="C188" s="2" t="s">
        <v>1504</v>
      </c>
      <c r="D188" t="s">
        <v>6158</v>
      </c>
      <c r="E188" s="2">
        <v>5</v>
      </c>
      <c r="F188" s="2" t="str">
        <f>_xlfn.XLOOKUP(C188,customers!$A$1:$A$1001,customers!$B$1:$B$1001,,0)</f>
        <v>Abrahan Mussen</v>
      </c>
      <c r="G188" s="2" t="str">
        <f>IF(_xlfn.XLOOKUP(C188,customers!$A$1:$A$1001,customers!$C$1:$C$1001,,0)=0,"",_xlfn.XLOOKUP(C188,customers!$A$1:$A$1001,customers!$C$1:$C$1001,,0))</f>
        <v>amussen50@51.la</v>
      </c>
      <c r="H188" s="2" t="str">
        <f>_xlfn.XLOOKUP(C188,customers!$A$1:$A$1001,customers!$G$1:$G$1001,,0)</f>
        <v>United States</v>
      </c>
      <c r="I188" t="str">
        <f>INDEX(products!$A$1:$G$49, MATCH(orders!$D183,products!$A$1:$A230,0), MATCH(orders!I$1,products!$A$1:$G$1,0))</f>
        <v>Ara</v>
      </c>
      <c r="J188" t="str">
        <f>INDEX(products!$A$1:$G$49, MATCH(orders!$D183,products!$A$1:$A230,0), MATCH(orders!J$1,products!$A$1:$G$1,0))</f>
        <v>D</v>
      </c>
      <c r="K188" s="5">
        <f>INDEX(products!$A$1:$G$49, MATCH(orders!$D183,products!$A$1:$A230,0), MATCH(orders!K$1,products!$A$1:$G$1,0))</f>
        <v>0.5</v>
      </c>
      <c r="L188" s="6">
        <f>INDEX(products!$A$1:$G$49, MATCH(orders!$D183,products!$A$1:$A230,0), MATCH(orders!L$1,products!$A$1:$G$1,0))</f>
        <v>5.97</v>
      </c>
      <c r="M188" s="6">
        <f t="shared" si="6"/>
        <v>29.849999999999998</v>
      </c>
      <c r="N188" t="str">
        <f t="shared" si="7"/>
        <v>Arabica</v>
      </c>
      <c r="O188" t="str">
        <f t="shared" si="8"/>
        <v>Dark</v>
      </c>
      <c r="P188" t="str">
        <f>_xlfn.XLOOKUP(Orders[[#This Row],[Customer ID]],customers!$A$1:$A$1001,customers!$I$1:$I$1001,,0)</f>
        <v>No</v>
      </c>
      <c r="Q188">
        <f>COUNTIF(Orders[Order ID],Orders[[#This Row],[Order ID]])</f>
        <v>2</v>
      </c>
      <c r="R188" s="10">
        <f>SUMIF(Orders[Order ID], Orders[[#This Row],[Order ID]],Orders[Sales])/Orders[[#This Row],[Order Frequency]]</f>
        <v>26.0625</v>
      </c>
      <c r="S188" t="str">
        <f>IF(Orders[[#This Row],[Order Frequency]]&gt;4, "More than 4", IF(AND(Orders[[#This Row],[Order Frequency]]&lt;=4,Orders[[#This Row],[Order Frequency]]&gt;=2), "Between 4 and 2", "Less than 2"))</f>
        <v>Between 4 and 2</v>
      </c>
      <c r="T188" t="str">
        <f>IF(Orders[[#This Row],[Frequency Group]]="less than 2", "Low Value", IF(Orders[[#This Row],[Frequency Group]]="between 4 and 2", "Medium Value", "High Value"))</f>
        <v>Medium Value</v>
      </c>
      <c r="U188" t="str">
        <f>IF(Orders[[#This Row],[Sales]]&lt;50, "$0-50", IF(AND(Orders[[#This Row],[Sales]]&gt;=50,Orders[[#This Row],[Sales]]&lt;=100), "$50-100", IF(AND(Orders[[#This Row],[Sales]]&gt;100,Orders[[#This Row],[Sales]]&lt;=150), "$101-150", "$150+")))</f>
        <v>$0-50</v>
      </c>
      <c r="V188" t="str">
        <f>IF(Orders[[#This Row],[Sales]]&gt;MEDIAN(M:M), "High Price", "Low Price")</f>
        <v>High Price</v>
      </c>
      <c r="W188" t="str">
        <f>IF(Orders[[#This Row],[Quantity]]&gt;MEDIAN(E:E), "High Volume", "Low Volume")</f>
        <v>High Volume</v>
      </c>
      <c r="X188" t="str">
        <f>Orders[[#This Row],[Sales Tier]] &amp; "-" &amp; Orders[[#This Row],[Quantity Tier]]</f>
        <v>High Price-High Volume</v>
      </c>
      <c r="Y188" t="str">
        <f>TEXT(Orders[[#This Row],[Order Date]], "mmmm")</f>
        <v>March</v>
      </c>
      <c r="Z18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88" t="str">
        <f>Orders[[#This Row],[Coffee Type Name]] &amp; "-" &amp; Orders[[#This Row],[Roast Type Name]]</f>
        <v>Arabica-Dark</v>
      </c>
      <c r="AB18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189" spans="1:28" x14ac:dyDescent="0.25">
      <c r="A189" s="2" t="s">
        <v>3058</v>
      </c>
      <c r="B189" s="4">
        <v>43841</v>
      </c>
      <c r="C189" s="2" t="s">
        <v>3059</v>
      </c>
      <c r="D189" t="s">
        <v>6145</v>
      </c>
      <c r="E189" s="2">
        <v>2</v>
      </c>
      <c r="F189" s="2" t="str">
        <f>_xlfn.XLOOKUP(C189,customers!$A$1:$A$1001,customers!$B$1:$B$1001,,0)</f>
        <v>Stan Barribal</v>
      </c>
      <c r="G189" s="2" t="str">
        <f>IF(_xlfn.XLOOKUP(C189,customers!$A$1:$A$1001,customers!$C$1:$C$1001,,0)=0,"",_xlfn.XLOOKUP(C189,customers!$A$1:$A$1001,customers!$C$1:$C$1001,,0))</f>
        <v>sbarribalcn@microsoft.com</v>
      </c>
      <c r="H189" s="2" t="str">
        <f>_xlfn.XLOOKUP(C189,customers!$A$1:$A$1001,customers!$G$1:$G$1001,,0)</f>
        <v>Ireland</v>
      </c>
      <c r="I189" t="str">
        <f>INDEX(products!$A$1:$G$49, MATCH(orders!$D457,products!$A$1:$A504,0), MATCH(orders!I$1,products!$A$1:$G$1,0))</f>
        <v>Lib</v>
      </c>
      <c r="J189" t="str">
        <f>INDEX(products!$A$1:$G$49, MATCH(orders!$D457,products!$A$1:$A504,0), MATCH(orders!J$1,products!$A$1:$G$1,0))</f>
        <v>L</v>
      </c>
      <c r="K189" s="5">
        <f>INDEX(products!$A$1:$G$49, MATCH(orders!$D457,products!$A$1:$A504,0), MATCH(orders!K$1,products!$A$1:$G$1,0))</f>
        <v>0.2</v>
      </c>
      <c r="L189" s="6">
        <f>INDEX(products!$A$1:$G$49, MATCH(orders!$D457,products!$A$1:$A504,0), MATCH(orders!L$1,products!$A$1:$G$1,0))</f>
        <v>4.7549999999999999</v>
      </c>
      <c r="M189" s="6">
        <f t="shared" si="6"/>
        <v>9.51</v>
      </c>
      <c r="N189" t="str">
        <f t="shared" si="7"/>
        <v>Liberica</v>
      </c>
      <c r="O189" t="str">
        <f t="shared" si="8"/>
        <v>Light</v>
      </c>
      <c r="P189" t="str">
        <f>_xlfn.XLOOKUP(Orders[[#This Row],[Customer ID]],customers!$A$1:$A$1001,customers!$I$1:$I$1001,,0)</f>
        <v>Yes</v>
      </c>
      <c r="Q189">
        <f>COUNTIF(Orders[Order ID],Orders[[#This Row],[Order ID]])</f>
        <v>1</v>
      </c>
      <c r="R189" s="10">
        <f>SUMIF(Orders[Order ID], Orders[[#This Row],[Order ID]],Orders[Sales])/Orders[[#This Row],[Order Frequency]]</f>
        <v>9.51</v>
      </c>
      <c r="S189" t="str">
        <f>IF(Orders[[#This Row],[Order Frequency]]&gt;4, "More than 4", IF(AND(Orders[[#This Row],[Order Frequency]]&lt;=4,Orders[[#This Row],[Order Frequency]]&gt;=2), "Between 4 and 2", "Less than 2"))</f>
        <v>Less than 2</v>
      </c>
      <c r="T189" t="str">
        <f>IF(Orders[[#This Row],[Frequency Group]]="less than 2", "Low Value", IF(Orders[[#This Row],[Frequency Group]]="between 4 and 2", "Medium Value", "High Value"))</f>
        <v>Low Value</v>
      </c>
      <c r="U189" t="str">
        <f>IF(Orders[[#This Row],[Sales]]&lt;50, "$0-50", IF(AND(Orders[[#This Row],[Sales]]&gt;=50,Orders[[#This Row],[Sales]]&lt;=100), "$50-100", IF(AND(Orders[[#This Row],[Sales]]&gt;100,Orders[[#This Row],[Sales]]&lt;=150), "$101-150", "$150+")))</f>
        <v>$0-50</v>
      </c>
      <c r="V189" t="str">
        <f>IF(Orders[[#This Row],[Sales]]&gt;MEDIAN(M:M), "High Price", "Low Price")</f>
        <v>Low Price</v>
      </c>
      <c r="W189" t="str">
        <f>IF(Orders[[#This Row],[Quantity]]&gt;MEDIAN(E:E), "High Volume", "Low Volume")</f>
        <v>Low Volume</v>
      </c>
      <c r="X189" t="str">
        <f>Orders[[#This Row],[Sales Tier]] &amp; "-" &amp; Orders[[#This Row],[Quantity Tier]]</f>
        <v>Low Price-Low Volume</v>
      </c>
      <c r="Y189" t="str">
        <f>TEXT(Orders[[#This Row],[Order Date]], "mmmm")</f>
        <v>January</v>
      </c>
      <c r="Z18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89" t="str">
        <f>Orders[[#This Row],[Coffee Type Name]] &amp; "-" &amp; Orders[[#This Row],[Roast Type Name]]</f>
        <v>Liberica-Light</v>
      </c>
      <c r="AB18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90" spans="1:28" x14ac:dyDescent="0.25">
      <c r="A190" s="2" t="s">
        <v>2666</v>
      </c>
      <c r="B190" s="4">
        <v>44083</v>
      </c>
      <c r="C190" s="2" t="s">
        <v>2667</v>
      </c>
      <c r="D190" t="s">
        <v>6154</v>
      </c>
      <c r="E190" s="2">
        <v>6</v>
      </c>
      <c r="F190" s="2" t="str">
        <f>_xlfn.XLOOKUP(C190,customers!$A$1:$A$1001,customers!$B$1:$B$1001,,0)</f>
        <v>Lenore Messenbird</v>
      </c>
      <c r="G190" s="2" t="str">
        <f>IF(_xlfn.XLOOKUP(C190,customers!$A$1:$A$1001,customers!$C$1:$C$1001,,0)=0,"",_xlfn.XLOOKUP(C190,customers!$A$1:$A$1001,customers!$C$1:$C$1001,,0))</f>
        <v/>
      </c>
      <c r="H190" s="2" t="str">
        <f>_xlfn.XLOOKUP(C190,customers!$A$1:$A$1001,customers!$G$1:$G$1001,,0)</f>
        <v>United States</v>
      </c>
      <c r="I190" t="str">
        <f>INDEX(products!$A$1:$G$49, MATCH(orders!$D388,products!$A$1:$A435,0), MATCH(orders!I$1,products!$A$1:$G$1,0))</f>
        <v>Ara</v>
      </c>
      <c r="J190" t="str">
        <f>INDEX(products!$A$1:$G$49, MATCH(orders!$D388,products!$A$1:$A435,0), MATCH(orders!J$1,products!$A$1:$G$1,0))</f>
        <v>D</v>
      </c>
      <c r="K190" s="5">
        <f>INDEX(products!$A$1:$G$49, MATCH(orders!$D388,products!$A$1:$A435,0), MATCH(orders!K$1,products!$A$1:$G$1,0))</f>
        <v>0.2</v>
      </c>
      <c r="L190" s="6">
        <f>INDEX(products!$A$1:$G$49, MATCH(orders!$D388,products!$A$1:$A435,0), MATCH(orders!L$1,products!$A$1:$G$1,0))</f>
        <v>2.9849999999999999</v>
      </c>
      <c r="M190" s="6">
        <f t="shared" si="6"/>
        <v>17.91</v>
      </c>
      <c r="N190" t="str">
        <f t="shared" si="7"/>
        <v>Arabica</v>
      </c>
      <c r="O190" t="str">
        <f t="shared" si="8"/>
        <v>Dark</v>
      </c>
      <c r="P190" t="str">
        <f>_xlfn.XLOOKUP(Orders[[#This Row],[Customer ID]],customers!$A$1:$A$1001,customers!$I$1:$I$1001,,0)</f>
        <v>Yes</v>
      </c>
      <c r="Q190">
        <f>COUNTIF(Orders[Order ID],Orders[[#This Row],[Order ID]])</f>
        <v>1</v>
      </c>
      <c r="R190" s="10">
        <f>SUMIF(Orders[Order ID], Orders[[#This Row],[Order ID]],Orders[Sales])/Orders[[#This Row],[Order Frequency]]</f>
        <v>17.91</v>
      </c>
      <c r="S190" t="str">
        <f>IF(Orders[[#This Row],[Order Frequency]]&gt;4, "More than 4", IF(AND(Orders[[#This Row],[Order Frequency]]&lt;=4,Orders[[#This Row],[Order Frequency]]&gt;=2), "Between 4 and 2", "Less than 2"))</f>
        <v>Less than 2</v>
      </c>
      <c r="T190" t="str">
        <f>IF(Orders[[#This Row],[Frequency Group]]="less than 2", "Low Value", IF(Orders[[#This Row],[Frequency Group]]="between 4 and 2", "Medium Value", "High Value"))</f>
        <v>Low Value</v>
      </c>
      <c r="U190" t="str">
        <f>IF(Orders[[#This Row],[Sales]]&lt;50, "$0-50", IF(AND(Orders[[#This Row],[Sales]]&gt;=50,Orders[[#This Row],[Sales]]&lt;=100), "$50-100", IF(AND(Orders[[#This Row],[Sales]]&gt;100,Orders[[#This Row],[Sales]]&lt;=150), "$101-150", "$150+")))</f>
        <v>$0-50</v>
      </c>
      <c r="V190" t="str">
        <f>IF(Orders[[#This Row],[Sales]]&gt;MEDIAN(M:M), "High Price", "Low Price")</f>
        <v>Low Price</v>
      </c>
      <c r="W190" t="str">
        <f>IF(Orders[[#This Row],[Quantity]]&gt;MEDIAN(E:E), "High Volume", "Low Volume")</f>
        <v>High Volume</v>
      </c>
      <c r="X190" t="str">
        <f>Orders[[#This Row],[Sales Tier]] &amp; "-" &amp; Orders[[#This Row],[Quantity Tier]]</f>
        <v>Low Price-High Volume</v>
      </c>
      <c r="Y190" t="str">
        <f>TEXT(Orders[[#This Row],[Order Date]], "mmmm")</f>
        <v>September</v>
      </c>
      <c r="Z19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190" t="str">
        <f>Orders[[#This Row],[Coffee Type Name]] &amp; "-" &amp; Orders[[#This Row],[Roast Type Name]]</f>
        <v>Arabica-Dark</v>
      </c>
      <c r="AB19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191" spans="1:28" x14ac:dyDescent="0.25">
      <c r="A191" s="2" t="s">
        <v>1532</v>
      </c>
      <c r="B191" s="4">
        <v>43483</v>
      </c>
      <c r="C191" s="2" t="s">
        <v>1533</v>
      </c>
      <c r="D191" t="s">
        <v>6144</v>
      </c>
      <c r="E191" s="2">
        <v>5</v>
      </c>
      <c r="F191" s="2" t="str">
        <f>_xlfn.XLOOKUP(C191,customers!$A$1:$A$1001,customers!$B$1:$B$1001,,0)</f>
        <v>Angie Rizzetti</v>
      </c>
      <c r="G191" s="2" t="str">
        <f>IF(_xlfn.XLOOKUP(C191,customers!$A$1:$A$1001,customers!$C$1:$C$1001,,0)=0,"",_xlfn.XLOOKUP(C191,customers!$A$1:$A$1001,customers!$C$1:$C$1001,,0))</f>
        <v>arizzetti55@naver.com</v>
      </c>
      <c r="H191" s="2" t="str">
        <f>_xlfn.XLOOKUP(C191,customers!$A$1:$A$1001,customers!$G$1:$G$1001,,0)</f>
        <v>United States</v>
      </c>
      <c r="I191" t="str">
        <f>INDEX(products!$A$1:$G$49, MATCH(orders!$D187,products!$A$1:$A234,0), MATCH(orders!I$1,products!$A$1:$G$1,0))</f>
        <v>Exc</v>
      </c>
      <c r="J191" t="str">
        <f>INDEX(products!$A$1:$G$49, MATCH(orders!$D187,products!$A$1:$A234,0), MATCH(orders!J$1,products!$A$1:$G$1,0))</f>
        <v>D</v>
      </c>
      <c r="K191" s="5">
        <f>INDEX(products!$A$1:$G$49, MATCH(orders!$D187,products!$A$1:$A234,0), MATCH(orders!K$1,products!$A$1:$G$1,0))</f>
        <v>0.5</v>
      </c>
      <c r="L191" s="6">
        <f>INDEX(products!$A$1:$G$49, MATCH(orders!$D187,products!$A$1:$A234,0), MATCH(orders!L$1,products!$A$1:$G$1,0))</f>
        <v>7.29</v>
      </c>
      <c r="M191" s="6">
        <f t="shared" si="6"/>
        <v>36.450000000000003</v>
      </c>
      <c r="N191" t="str">
        <f t="shared" si="7"/>
        <v>Excelsa</v>
      </c>
      <c r="O191" t="str">
        <f t="shared" si="8"/>
        <v>Dark</v>
      </c>
      <c r="P191" t="str">
        <f>_xlfn.XLOOKUP(Orders[[#This Row],[Customer ID]],customers!$A$1:$A$1001,customers!$I$1:$I$1001,,0)</f>
        <v>Yes</v>
      </c>
      <c r="Q191">
        <f>COUNTIF(Orders[Order ID],Orders[[#This Row],[Order ID]])</f>
        <v>1</v>
      </c>
      <c r="R191" s="10">
        <f>SUMIF(Orders[Order ID], Orders[[#This Row],[Order ID]],Orders[Sales])/Orders[[#This Row],[Order Frequency]]</f>
        <v>36.450000000000003</v>
      </c>
      <c r="S191" t="str">
        <f>IF(Orders[[#This Row],[Order Frequency]]&gt;4, "More than 4", IF(AND(Orders[[#This Row],[Order Frequency]]&lt;=4,Orders[[#This Row],[Order Frequency]]&gt;=2), "Between 4 and 2", "Less than 2"))</f>
        <v>Less than 2</v>
      </c>
      <c r="T191" t="str">
        <f>IF(Orders[[#This Row],[Frequency Group]]="less than 2", "Low Value", IF(Orders[[#This Row],[Frequency Group]]="between 4 and 2", "Medium Value", "High Value"))</f>
        <v>Low Value</v>
      </c>
      <c r="U191" t="str">
        <f>IF(Orders[[#This Row],[Sales]]&lt;50, "$0-50", IF(AND(Orders[[#This Row],[Sales]]&gt;=50,Orders[[#This Row],[Sales]]&lt;=100), "$50-100", IF(AND(Orders[[#This Row],[Sales]]&gt;100,Orders[[#This Row],[Sales]]&lt;=150), "$101-150", "$150+")))</f>
        <v>$0-50</v>
      </c>
      <c r="V191" t="str">
        <f>IF(Orders[[#This Row],[Sales]]&gt;MEDIAN(M:M), "High Price", "Low Price")</f>
        <v>High Price</v>
      </c>
      <c r="W191" t="str">
        <f>IF(Orders[[#This Row],[Quantity]]&gt;MEDIAN(E:E), "High Volume", "Low Volume")</f>
        <v>High Volume</v>
      </c>
      <c r="X191" t="str">
        <f>Orders[[#This Row],[Sales Tier]] &amp; "-" &amp; Orders[[#This Row],[Quantity Tier]]</f>
        <v>High Price-High Volume</v>
      </c>
      <c r="Y191" t="str">
        <f>TEXT(Orders[[#This Row],[Order Date]], "mmmm")</f>
        <v>January</v>
      </c>
      <c r="Z19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91" t="str">
        <f>Orders[[#This Row],[Coffee Type Name]] &amp; "-" &amp; Orders[[#This Row],[Roast Type Name]]</f>
        <v>Excelsa-Dark</v>
      </c>
      <c r="AB19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92" spans="1:28" x14ac:dyDescent="0.25">
      <c r="A192" s="2" t="s">
        <v>5757</v>
      </c>
      <c r="B192" s="4">
        <v>44117</v>
      </c>
      <c r="C192" s="2" t="s">
        <v>5758</v>
      </c>
      <c r="D192" t="s">
        <v>6141</v>
      </c>
      <c r="E192" s="2">
        <v>4</v>
      </c>
      <c r="F192" s="2" t="str">
        <f>_xlfn.XLOOKUP(C192,customers!$A$1:$A$1001,customers!$B$1:$B$1001,,0)</f>
        <v>Barnett Sillis</v>
      </c>
      <c r="G192" s="2" t="str">
        <f>IF(_xlfn.XLOOKUP(C192,customers!$A$1:$A$1001,customers!$C$1:$C$1001,,0)=0,"",_xlfn.XLOOKUP(C192,customers!$A$1:$A$1001,customers!$C$1:$C$1001,,0))</f>
        <v>bsillispw@istockphoto.com</v>
      </c>
      <c r="H192" s="2" t="str">
        <f>_xlfn.XLOOKUP(C192,customers!$A$1:$A$1001,customers!$G$1:$G$1001,,0)</f>
        <v>United States</v>
      </c>
      <c r="I192" t="str">
        <f>INDEX(products!$A$1:$G$49, MATCH(orders!$D934,products!$A$1:$A981,0), MATCH(orders!I$1,products!$A$1:$G$1,0))</f>
        <v>Exc</v>
      </c>
      <c r="J192" t="str">
        <f>INDEX(products!$A$1:$G$49, MATCH(orders!$D934,products!$A$1:$A981,0), MATCH(orders!J$1,products!$A$1:$G$1,0))</f>
        <v>M</v>
      </c>
      <c r="K192" s="5">
        <f>INDEX(products!$A$1:$G$49, MATCH(orders!$D934,products!$A$1:$A981,0), MATCH(orders!K$1,products!$A$1:$G$1,0))</f>
        <v>1</v>
      </c>
      <c r="L192" s="6">
        <f>INDEX(products!$A$1:$G$49, MATCH(orders!$D934,products!$A$1:$A981,0), MATCH(orders!L$1,products!$A$1:$G$1,0))</f>
        <v>13.75</v>
      </c>
      <c r="M192" s="6">
        <f t="shared" si="6"/>
        <v>55</v>
      </c>
      <c r="N192" t="str">
        <f t="shared" si="7"/>
        <v>Excelsa</v>
      </c>
      <c r="O192" t="str">
        <f t="shared" si="8"/>
        <v>Medium</v>
      </c>
      <c r="P192" t="str">
        <f>_xlfn.XLOOKUP(Orders[[#This Row],[Customer ID]],customers!$A$1:$A$1001,customers!$I$1:$I$1001,,0)</f>
        <v>No</v>
      </c>
      <c r="Q192">
        <f>COUNTIF(Orders[Order ID],Orders[[#This Row],[Order ID]])</f>
        <v>1</v>
      </c>
      <c r="R192" s="10">
        <f>SUMIF(Orders[Order ID], Orders[[#This Row],[Order ID]],Orders[Sales])/Orders[[#This Row],[Order Frequency]]</f>
        <v>55</v>
      </c>
      <c r="S192" t="str">
        <f>IF(Orders[[#This Row],[Order Frequency]]&gt;4, "More than 4", IF(AND(Orders[[#This Row],[Order Frequency]]&lt;=4,Orders[[#This Row],[Order Frequency]]&gt;=2), "Between 4 and 2", "Less than 2"))</f>
        <v>Less than 2</v>
      </c>
      <c r="T192" t="str">
        <f>IF(Orders[[#This Row],[Frequency Group]]="less than 2", "Low Value", IF(Orders[[#This Row],[Frequency Group]]="between 4 and 2", "Medium Value", "High Value"))</f>
        <v>Low Value</v>
      </c>
      <c r="U192" t="str">
        <f>IF(Orders[[#This Row],[Sales]]&lt;50, "$0-50", IF(AND(Orders[[#This Row],[Sales]]&gt;=50,Orders[[#This Row],[Sales]]&lt;=100), "$50-100", IF(AND(Orders[[#This Row],[Sales]]&gt;100,Orders[[#This Row],[Sales]]&lt;=150), "$101-150", "$150+")))</f>
        <v>$50-100</v>
      </c>
      <c r="V192" t="str">
        <f>IF(Orders[[#This Row],[Sales]]&gt;MEDIAN(M:M), "High Price", "Low Price")</f>
        <v>High Price</v>
      </c>
      <c r="W192" t="str">
        <f>IF(Orders[[#This Row],[Quantity]]&gt;MEDIAN(E:E), "High Volume", "Low Volume")</f>
        <v>Low Volume</v>
      </c>
      <c r="X192" t="str">
        <f>Orders[[#This Row],[Sales Tier]] &amp; "-" &amp; Orders[[#This Row],[Quantity Tier]]</f>
        <v>High Price-Low Volume</v>
      </c>
      <c r="Y192" t="str">
        <f>TEXT(Orders[[#This Row],[Order Date]], "mmmm")</f>
        <v>October</v>
      </c>
      <c r="Z19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192" t="str">
        <f>Orders[[#This Row],[Coffee Type Name]] &amp; "-" &amp; Orders[[#This Row],[Roast Type Name]]</f>
        <v>Excelsa-Medium</v>
      </c>
      <c r="AB19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193" spans="1:28" x14ac:dyDescent="0.25">
      <c r="A193" s="2" t="s">
        <v>4191</v>
      </c>
      <c r="B193" s="4">
        <v>43728</v>
      </c>
      <c r="C193" s="2" t="s">
        <v>4192</v>
      </c>
      <c r="D193" t="s">
        <v>6151</v>
      </c>
      <c r="E193" s="2">
        <v>2</v>
      </c>
      <c r="F193" s="2" t="str">
        <f>_xlfn.XLOOKUP(C193,customers!$A$1:$A$1001,customers!$B$1:$B$1001,,0)</f>
        <v>Maxim McParland</v>
      </c>
      <c r="G193" s="2" t="str">
        <f>IF(_xlfn.XLOOKUP(C193,customers!$A$1:$A$1001,customers!$C$1:$C$1001,,0)=0,"",_xlfn.XLOOKUP(C193,customers!$A$1:$A$1001,customers!$C$1:$C$1001,,0))</f>
        <v>mmcparlandi7@w3.org</v>
      </c>
      <c r="H193" s="2" t="str">
        <f>_xlfn.XLOOKUP(C193,customers!$A$1:$A$1001,customers!$G$1:$G$1001,,0)</f>
        <v>United States</v>
      </c>
      <c r="I193" t="str">
        <f>INDEX(products!$A$1:$G$49, MATCH(orders!$D657,products!$A$1:$A704,0), MATCH(orders!I$1,products!$A$1:$G$1,0))</f>
        <v>Rob</v>
      </c>
      <c r="J193" t="str">
        <f>INDEX(products!$A$1:$G$49, MATCH(orders!$D657,products!$A$1:$A704,0), MATCH(orders!J$1,products!$A$1:$G$1,0))</f>
        <v>M</v>
      </c>
      <c r="K193" s="5">
        <f>INDEX(products!$A$1:$G$49, MATCH(orders!$D657,products!$A$1:$A704,0), MATCH(orders!K$1,products!$A$1:$G$1,0))</f>
        <v>2.5</v>
      </c>
      <c r="L193" s="6">
        <f>INDEX(products!$A$1:$G$49, MATCH(orders!$D657,products!$A$1:$A704,0), MATCH(orders!L$1,products!$A$1:$G$1,0))</f>
        <v>22.884999999999998</v>
      </c>
      <c r="M193" s="6">
        <f t="shared" si="6"/>
        <v>45.769999999999996</v>
      </c>
      <c r="N193" t="str">
        <f t="shared" si="7"/>
        <v>Robusta</v>
      </c>
      <c r="O193" t="str">
        <f t="shared" si="8"/>
        <v>Medium</v>
      </c>
      <c r="P193" t="str">
        <f>_xlfn.XLOOKUP(Orders[[#This Row],[Customer ID]],customers!$A$1:$A$1001,customers!$I$1:$I$1001,,0)</f>
        <v>Yes</v>
      </c>
      <c r="Q193">
        <f>COUNTIF(Orders[Order ID],Orders[[#This Row],[Order ID]])</f>
        <v>1</v>
      </c>
      <c r="R193" s="10">
        <f>SUMIF(Orders[Order ID], Orders[[#This Row],[Order ID]],Orders[Sales])/Orders[[#This Row],[Order Frequency]]</f>
        <v>45.769999999999996</v>
      </c>
      <c r="S193" t="str">
        <f>IF(Orders[[#This Row],[Order Frequency]]&gt;4, "More than 4", IF(AND(Orders[[#This Row],[Order Frequency]]&lt;=4,Orders[[#This Row],[Order Frequency]]&gt;=2), "Between 4 and 2", "Less than 2"))</f>
        <v>Less than 2</v>
      </c>
      <c r="T193" t="str">
        <f>IF(Orders[[#This Row],[Frequency Group]]="less than 2", "Low Value", IF(Orders[[#This Row],[Frequency Group]]="between 4 and 2", "Medium Value", "High Value"))</f>
        <v>Low Value</v>
      </c>
      <c r="U193" t="str">
        <f>IF(Orders[[#This Row],[Sales]]&lt;50, "$0-50", IF(AND(Orders[[#This Row],[Sales]]&gt;=50,Orders[[#This Row],[Sales]]&lt;=100), "$50-100", IF(AND(Orders[[#This Row],[Sales]]&gt;100,Orders[[#This Row],[Sales]]&lt;=150), "$101-150", "$150+")))</f>
        <v>$0-50</v>
      </c>
      <c r="V193" t="str">
        <f>IF(Orders[[#This Row],[Sales]]&gt;MEDIAN(M:M), "High Price", "Low Price")</f>
        <v>High Price</v>
      </c>
      <c r="W193" t="str">
        <f>IF(Orders[[#This Row],[Quantity]]&gt;MEDIAN(E:E), "High Volume", "Low Volume")</f>
        <v>Low Volume</v>
      </c>
      <c r="X193" t="str">
        <f>Orders[[#This Row],[Sales Tier]] &amp; "-" &amp; Orders[[#This Row],[Quantity Tier]]</f>
        <v>High Price-Low Volume</v>
      </c>
      <c r="Y193" t="str">
        <f>TEXT(Orders[[#This Row],[Order Date]], "mmmm")</f>
        <v>September</v>
      </c>
      <c r="Z19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193" t="str">
        <f>Orders[[#This Row],[Coffee Type Name]] &amp; "-" &amp; Orders[[#This Row],[Roast Type Name]]</f>
        <v>Robusta-Medium</v>
      </c>
      <c r="AB19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194" spans="1:28" x14ac:dyDescent="0.25">
      <c r="A194" s="2" t="s">
        <v>5693</v>
      </c>
      <c r="B194" s="4">
        <v>44711</v>
      </c>
      <c r="C194" s="2" t="s">
        <v>5694</v>
      </c>
      <c r="D194" t="s">
        <v>6149</v>
      </c>
      <c r="E194" s="2">
        <v>6</v>
      </c>
      <c r="F194" s="2" t="str">
        <f>_xlfn.XLOOKUP(C194,customers!$A$1:$A$1001,customers!$B$1:$B$1001,,0)</f>
        <v>Hadley Reuven</v>
      </c>
      <c r="G194" s="2" t="str">
        <f>IF(_xlfn.XLOOKUP(C194,customers!$A$1:$A$1001,customers!$C$1:$C$1001,,0)=0,"",_xlfn.XLOOKUP(C194,customers!$A$1:$A$1001,customers!$C$1:$C$1001,,0))</f>
        <v>hreuvenpk@whitehouse.gov</v>
      </c>
      <c r="H194" s="2" t="str">
        <f>_xlfn.XLOOKUP(C194,customers!$A$1:$A$1001,customers!$G$1:$G$1001,,0)</f>
        <v>United States</v>
      </c>
      <c r="I194" t="str">
        <f>INDEX(products!$A$1:$G$49, MATCH(orders!$D922,products!$A$1:$A969,0), MATCH(orders!I$1,products!$A$1:$G$1,0))</f>
        <v>Rob</v>
      </c>
      <c r="J194" t="str">
        <f>INDEX(products!$A$1:$G$49, MATCH(orders!$D922,products!$A$1:$A969,0), MATCH(orders!J$1,products!$A$1:$G$1,0))</f>
        <v>D</v>
      </c>
      <c r="K194" s="5">
        <f>INDEX(products!$A$1:$G$49, MATCH(orders!$D922,products!$A$1:$A969,0), MATCH(orders!K$1,products!$A$1:$G$1,0))</f>
        <v>2.5</v>
      </c>
      <c r="L194" s="6">
        <f>INDEX(products!$A$1:$G$49, MATCH(orders!$D922,products!$A$1:$A969,0), MATCH(orders!L$1,products!$A$1:$G$1,0))</f>
        <v>20.584999999999997</v>
      </c>
      <c r="M194" s="6">
        <f t="shared" ref="M194:M257" si="9">L194*E194</f>
        <v>123.50999999999999</v>
      </c>
      <c r="N194" t="str">
        <f t="shared" ref="N194:N257" si="10">IF(I194="Rob", "Robusta", IF(I194="Exc", "Excelsa", IF(I194="Ara","Arabica", IF(I194="Lib", "Liberica",""))))</f>
        <v>Robusta</v>
      </c>
      <c r="O194" t="str">
        <f t="shared" ref="O194:O257" si="11">IF(J194="M", "Medium", IF(J194="L", "Light", IF(J194="D", "Dark", "")))</f>
        <v>Dark</v>
      </c>
      <c r="P194" t="str">
        <f>_xlfn.XLOOKUP(Orders[[#This Row],[Customer ID]],customers!$A$1:$A$1001,customers!$I$1:$I$1001,,0)</f>
        <v>No</v>
      </c>
      <c r="Q194">
        <f>COUNTIF(Orders[Order ID],Orders[[#This Row],[Order ID]])</f>
        <v>1</v>
      </c>
      <c r="R194" s="10">
        <f>SUMIF(Orders[Order ID], Orders[[#This Row],[Order ID]],Orders[Sales])/Orders[[#This Row],[Order Frequency]]</f>
        <v>123.50999999999999</v>
      </c>
      <c r="S194" t="str">
        <f>IF(Orders[[#This Row],[Order Frequency]]&gt;4, "More than 4", IF(AND(Orders[[#This Row],[Order Frequency]]&lt;=4,Orders[[#This Row],[Order Frequency]]&gt;=2), "Between 4 and 2", "Less than 2"))</f>
        <v>Less than 2</v>
      </c>
      <c r="T194" t="str">
        <f>IF(Orders[[#This Row],[Frequency Group]]="less than 2", "Low Value", IF(Orders[[#This Row],[Frequency Group]]="between 4 and 2", "Medium Value", "High Value"))</f>
        <v>Low Value</v>
      </c>
      <c r="U194" t="str">
        <f>IF(Orders[[#This Row],[Sales]]&lt;50, "$0-50", IF(AND(Orders[[#This Row],[Sales]]&gt;=50,Orders[[#This Row],[Sales]]&lt;=100), "$50-100", IF(AND(Orders[[#This Row],[Sales]]&gt;100,Orders[[#This Row],[Sales]]&lt;=150), "$101-150", "$150+")))</f>
        <v>$101-150</v>
      </c>
      <c r="V194" t="str">
        <f>IF(Orders[[#This Row],[Sales]]&gt;MEDIAN(M:M), "High Price", "Low Price")</f>
        <v>High Price</v>
      </c>
      <c r="W194" t="str">
        <f>IF(Orders[[#This Row],[Quantity]]&gt;MEDIAN(E:E), "High Volume", "Low Volume")</f>
        <v>High Volume</v>
      </c>
      <c r="X194" t="str">
        <f>Orders[[#This Row],[Sales Tier]] &amp; "-" &amp; Orders[[#This Row],[Quantity Tier]]</f>
        <v>High Price-High Volume</v>
      </c>
      <c r="Y194" t="str">
        <f>TEXT(Orders[[#This Row],[Order Date]], "mmmm")</f>
        <v>May</v>
      </c>
      <c r="Z19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194" t="str">
        <f>Orders[[#This Row],[Coffee Type Name]] &amp; "-" &amp; Orders[[#This Row],[Roast Type Name]]</f>
        <v>Robusta-Dark</v>
      </c>
      <c r="AB19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195" spans="1:28" x14ac:dyDescent="0.25">
      <c r="A195" s="2" t="s">
        <v>2579</v>
      </c>
      <c r="B195" s="4">
        <v>44705</v>
      </c>
      <c r="C195" s="2" t="s">
        <v>2580</v>
      </c>
      <c r="D195" t="s">
        <v>6180</v>
      </c>
      <c r="E195" s="2">
        <v>6</v>
      </c>
      <c r="F195" s="2" t="str">
        <f>_xlfn.XLOOKUP(C195,customers!$A$1:$A$1001,customers!$B$1:$B$1001,,0)</f>
        <v>Cortney Gibbonson</v>
      </c>
      <c r="G195" s="2" t="str">
        <f>IF(_xlfn.XLOOKUP(C195,customers!$A$1:$A$1001,customers!$C$1:$C$1001,,0)=0,"",_xlfn.XLOOKUP(C195,customers!$A$1:$A$1001,customers!$C$1:$C$1001,,0))</f>
        <v>cgibbonsonab@accuweather.com</v>
      </c>
      <c r="H195" s="2" t="str">
        <f>_xlfn.XLOOKUP(C195,customers!$A$1:$A$1001,customers!$G$1:$G$1001,,0)</f>
        <v>United States</v>
      </c>
      <c r="I195" t="str">
        <f>INDEX(products!$A$1:$G$49, MATCH(orders!$D373,products!$A$1:$A420,0), MATCH(orders!I$1,products!$A$1:$G$1,0))</f>
        <v>Ara</v>
      </c>
      <c r="J195" t="str">
        <f>INDEX(products!$A$1:$G$49, MATCH(orders!$D373,products!$A$1:$A420,0), MATCH(orders!J$1,products!$A$1:$G$1,0))</f>
        <v>L</v>
      </c>
      <c r="K195" s="5">
        <f>INDEX(products!$A$1:$G$49, MATCH(orders!$D373,products!$A$1:$A420,0), MATCH(orders!K$1,products!$A$1:$G$1,0))</f>
        <v>0.5</v>
      </c>
      <c r="L195" s="6">
        <f>INDEX(products!$A$1:$G$49, MATCH(orders!$D373,products!$A$1:$A420,0), MATCH(orders!L$1,products!$A$1:$G$1,0))</f>
        <v>7.77</v>
      </c>
      <c r="M195" s="6">
        <f t="shared" si="9"/>
        <v>46.62</v>
      </c>
      <c r="N195" t="str">
        <f t="shared" si="10"/>
        <v>Arabica</v>
      </c>
      <c r="O195" t="str">
        <f t="shared" si="11"/>
        <v>Light</v>
      </c>
      <c r="P195" t="str">
        <f>_xlfn.XLOOKUP(Orders[[#This Row],[Customer ID]],customers!$A$1:$A$1001,customers!$I$1:$I$1001,,0)</f>
        <v>Yes</v>
      </c>
      <c r="Q195">
        <f>COUNTIF(Orders[Order ID],Orders[[#This Row],[Order ID]])</f>
        <v>1</v>
      </c>
      <c r="R195" s="10">
        <f>SUMIF(Orders[Order ID], Orders[[#This Row],[Order ID]],Orders[Sales])/Orders[[#This Row],[Order Frequency]]</f>
        <v>46.62</v>
      </c>
      <c r="S195" t="str">
        <f>IF(Orders[[#This Row],[Order Frequency]]&gt;4, "More than 4", IF(AND(Orders[[#This Row],[Order Frequency]]&lt;=4,Orders[[#This Row],[Order Frequency]]&gt;=2), "Between 4 and 2", "Less than 2"))</f>
        <v>Less than 2</v>
      </c>
      <c r="T195" t="str">
        <f>IF(Orders[[#This Row],[Frequency Group]]="less than 2", "Low Value", IF(Orders[[#This Row],[Frequency Group]]="between 4 and 2", "Medium Value", "High Value"))</f>
        <v>Low Value</v>
      </c>
      <c r="U195" t="str">
        <f>IF(Orders[[#This Row],[Sales]]&lt;50, "$0-50", IF(AND(Orders[[#This Row],[Sales]]&gt;=50,Orders[[#This Row],[Sales]]&lt;=100), "$50-100", IF(AND(Orders[[#This Row],[Sales]]&gt;100,Orders[[#This Row],[Sales]]&lt;=150), "$101-150", "$150+")))</f>
        <v>$0-50</v>
      </c>
      <c r="V195" t="str">
        <f>IF(Orders[[#This Row],[Sales]]&gt;MEDIAN(M:M), "High Price", "Low Price")</f>
        <v>High Price</v>
      </c>
      <c r="W195" t="str">
        <f>IF(Orders[[#This Row],[Quantity]]&gt;MEDIAN(E:E), "High Volume", "Low Volume")</f>
        <v>High Volume</v>
      </c>
      <c r="X195" t="str">
        <f>Orders[[#This Row],[Sales Tier]] &amp; "-" &amp; Orders[[#This Row],[Quantity Tier]]</f>
        <v>High Price-High Volume</v>
      </c>
      <c r="Y195" t="str">
        <f>TEXT(Orders[[#This Row],[Order Date]], "mmmm")</f>
        <v>May</v>
      </c>
      <c r="Z19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195" t="str">
        <f>Orders[[#This Row],[Coffee Type Name]] &amp; "-" &amp; Orders[[#This Row],[Roast Type Name]]</f>
        <v>Arabica-Light</v>
      </c>
      <c r="AB19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196" spans="1:28" x14ac:dyDescent="0.25">
      <c r="A196" s="2" t="s">
        <v>2019</v>
      </c>
      <c r="B196" s="4">
        <v>43971</v>
      </c>
      <c r="C196" s="2" t="s">
        <v>2020</v>
      </c>
      <c r="D196" t="s">
        <v>6154</v>
      </c>
      <c r="E196" s="2">
        <v>4</v>
      </c>
      <c r="F196" s="2" t="str">
        <f>_xlfn.XLOOKUP(C196,customers!$A$1:$A$1001,customers!$B$1:$B$1001,,0)</f>
        <v>Jasper Sisneros</v>
      </c>
      <c r="G196" s="2" t="str">
        <f>IF(_xlfn.XLOOKUP(C196,customers!$A$1:$A$1001,customers!$C$1:$C$1001,,0)=0,"",_xlfn.XLOOKUP(C196,customers!$A$1:$A$1001,customers!$C$1:$C$1001,,0))</f>
        <v>jsisneros7j@a8.net</v>
      </c>
      <c r="H196" s="2" t="str">
        <f>_xlfn.XLOOKUP(C196,customers!$A$1:$A$1001,customers!$G$1:$G$1001,,0)</f>
        <v>United States</v>
      </c>
      <c r="I196" t="str">
        <f>INDEX(products!$A$1:$G$49, MATCH(orders!$D273,products!$A$1:$A320,0), MATCH(orders!I$1,products!$A$1:$G$1,0))</f>
        <v>Ara</v>
      </c>
      <c r="J196" t="str">
        <f>INDEX(products!$A$1:$G$49, MATCH(orders!$D273,products!$A$1:$A320,0), MATCH(orders!J$1,products!$A$1:$G$1,0))</f>
        <v>D</v>
      </c>
      <c r="K196" s="5">
        <f>INDEX(products!$A$1:$G$49, MATCH(orders!$D273,products!$A$1:$A320,0), MATCH(orders!K$1,products!$A$1:$G$1,0))</f>
        <v>0.2</v>
      </c>
      <c r="L196" s="6">
        <f>INDEX(products!$A$1:$G$49, MATCH(orders!$D273,products!$A$1:$A320,0), MATCH(orders!L$1,products!$A$1:$G$1,0))</f>
        <v>2.9849999999999999</v>
      </c>
      <c r="M196" s="6">
        <f t="shared" si="9"/>
        <v>11.94</v>
      </c>
      <c r="N196" t="str">
        <f t="shared" si="10"/>
        <v>Arabica</v>
      </c>
      <c r="O196" t="str">
        <f t="shared" si="11"/>
        <v>Dark</v>
      </c>
      <c r="P196" t="str">
        <f>_xlfn.XLOOKUP(Orders[[#This Row],[Customer ID]],customers!$A$1:$A$1001,customers!$I$1:$I$1001,,0)</f>
        <v>Yes</v>
      </c>
      <c r="Q196">
        <f>COUNTIF(Orders[Order ID],Orders[[#This Row],[Order ID]])</f>
        <v>1</v>
      </c>
      <c r="R196" s="10">
        <f>SUMIF(Orders[Order ID], Orders[[#This Row],[Order ID]],Orders[Sales])/Orders[[#This Row],[Order Frequency]]</f>
        <v>11.94</v>
      </c>
      <c r="S196" t="str">
        <f>IF(Orders[[#This Row],[Order Frequency]]&gt;4, "More than 4", IF(AND(Orders[[#This Row],[Order Frequency]]&lt;=4,Orders[[#This Row],[Order Frequency]]&gt;=2), "Between 4 and 2", "Less than 2"))</f>
        <v>Less than 2</v>
      </c>
      <c r="T196" t="str">
        <f>IF(Orders[[#This Row],[Frequency Group]]="less than 2", "Low Value", IF(Orders[[#This Row],[Frequency Group]]="between 4 and 2", "Medium Value", "High Value"))</f>
        <v>Low Value</v>
      </c>
      <c r="U196" t="str">
        <f>IF(Orders[[#This Row],[Sales]]&lt;50, "$0-50", IF(AND(Orders[[#This Row],[Sales]]&gt;=50,Orders[[#This Row],[Sales]]&lt;=100), "$50-100", IF(AND(Orders[[#This Row],[Sales]]&gt;100,Orders[[#This Row],[Sales]]&lt;=150), "$101-150", "$150+")))</f>
        <v>$0-50</v>
      </c>
      <c r="V196" t="str">
        <f>IF(Orders[[#This Row],[Sales]]&gt;MEDIAN(M:M), "High Price", "Low Price")</f>
        <v>Low Price</v>
      </c>
      <c r="W196" t="str">
        <f>IF(Orders[[#This Row],[Quantity]]&gt;MEDIAN(E:E), "High Volume", "Low Volume")</f>
        <v>Low Volume</v>
      </c>
      <c r="X196" t="str">
        <f>Orders[[#This Row],[Sales Tier]] &amp; "-" &amp; Orders[[#This Row],[Quantity Tier]]</f>
        <v>Low Price-Low Volume</v>
      </c>
      <c r="Y196" t="str">
        <f>TEXT(Orders[[#This Row],[Order Date]], "mmmm")</f>
        <v>May</v>
      </c>
      <c r="Z19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196" t="str">
        <f>Orders[[#This Row],[Coffee Type Name]] &amp; "-" &amp; Orders[[#This Row],[Roast Type Name]]</f>
        <v>Arabica-Dark</v>
      </c>
      <c r="AB19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197" spans="1:28" x14ac:dyDescent="0.25">
      <c r="A197" s="2" t="s">
        <v>3796</v>
      </c>
      <c r="B197" s="4">
        <v>44505</v>
      </c>
      <c r="C197" s="2" t="s">
        <v>3840</v>
      </c>
      <c r="D197" t="s">
        <v>6139</v>
      </c>
      <c r="E197" s="2">
        <v>2</v>
      </c>
      <c r="F197" s="2" t="str">
        <f>_xlfn.XLOOKUP(C197,customers!$A$1:$A$1001,customers!$B$1:$B$1001,,0)</f>
        <v>Cody Verissimo</v>
      </c>
      <c r="G197" s="2" t="str">
        <f>IF(_xlfn.XLOOKUP(C197,customers!$A$1:$A$1001,customers!$C$1:$C$1001,,0)=0,"",_xlfn.XLOOKUP(C197,customers!$A$1:$A$1001,customers!$C$1:$C$1001,,0))</f>
        <v>cverissimogh@theglobeandmail.com</v>
      </c>
      <c r="H197" s="2" t="str">
        <f>_xlfn.XLOOKUP(C197,customers!$A$1:$A$1001,customers!$G$1:$G$1001,,0)</f>
        <v>United Kingdom</v>
      </c>
      <c r="I197" t="str">
        <f>INDEX(products!$A$1:$G$49, MATCH(orders!$D587,products!$A$1:$A634,0), MATCH(orders!I$1,products!$A$1:$G$1,0))</f>
        <v>Exc</v>
      </c>
      <c r="J197" t="str">
        <f>INDEX(products!$A$1:$G$49, MATCH(orders!$D587,products!$A$1:$A634,0), MATCH(orders!J$1,products!$A$1:$G$1,0))</f>
        <v>M</v>
      </c>
      <c r="K197" s="5">
        <f>INDEX(products!$A$1:$G$49, MATCH(orders!$D587,products!$A$1:$A634,0), MATCH(orders!K$1,products!$A$1:$G$1,0))</f>
        <v>0.5</v>
      </c>
      <c r="L197" s="6">
        <f>INDEX(products!$A$1:$G$49, MATCH(orders!$D587,products!$A$1:$A634,0), MATCH(orders!L$1,products!$A$1:$G$1,0))</f>
        <v>8.25</v>
      </c>
      <c r="M197" s="6">
        <f t="shared" si="9"/>
        <v>16.5</v>
      </c>
      <c r="N197" t="str">
        <f t="shared" si="10"/>
        <v>Excelsa</v>
      </c>
      <c r="O197" t="str">
        <f t="shared" si="11"/>
        <v>Medium</v>
      </c>
      <c r="P197" t="str">
        <f>_xlfn.XLOOKUP(Orders[[#This Row],[Customer ID]],customers!$A$1:$A$1001,customers!$I$1:$I$1001,,0)</f>
        <v>Yes</v>
      </c>
      <c r="Q197">
        <f>COUNTIF(Orders[Order ID],Orders[[#This Row],[Order ID]])</f>
        <v>1</v>
      </c>
      <c r="R197" s="10">
        <f>SUMIF(Orders[Order ID], Orders[[#This Row],[Order ID]],Orders[Sales])/Orders[[#This Row],[Order Frequency]]</f>
        <v>16.5</v>
      </c>
      <c r="S197" t="str">
        <f>IF(Orders[[#This Row],[Order Frequency]]&gt;4, "More than 4", IF(AND(Orders[[#This Row],[Order Frequency]]&lt;=4,Orders[[#This Row],[Order Frequency]]&gt;=2), "Between 4 and 2", "Less than 2"))</f>
        <v>Less than 2</v>
      </c>
      <c r="T197" t="str">
        <f>IF(Orders[[#This Row],[Frequency Group]]="less than 2", "Low Value", IF(Orders[[#This Row],[Frequency Group]]="between 4 and 2", "Medium Value", "High Value"))</f>
        <v>Low Value</v>
      </c>
      <c r="U197" t="str">
        <f>IF(Orders[[#This Row],[Sales]]&lt;50, "$0-50", IF(AND(Orders[[#This Row],[Sales]]&gt;=50,Orders[[#This Row],[Sales]]&lt;=100), "$50-100", IF(AND(Orders[[#This Row],[Sales]]&gt;100,Orders[[#This Row],[Sales]]&lt;=150), "$101-150", "$150+")))</f>
        <v>$0-50</v>
      </c>
      <c r="V197" t="str">
        <f>IF(Orders[[#This Row],[Sales]]&gt;MEDIAN(M:M), "High Price", "Low Price")</f>
        <v>Low Price</v>
      </c>
      <c r="W197" t="str">
        <f>IF(Orders[[#This Row],[Quantity]]&gt;MEDIAN(E:E), "High Volume", "Low Volume")</f>
        <v>Low Volume</v>
      </c>
      <c r="X197" t="str">
        <f>Orders[[#This Row],[Sales Tier]] &amp; "-" &amp; Orders[[#This Row],[Quantity Tier]]</f>
        <v>Low Price-Low Volume</v>
      </c>
      <c r="Y197" t="str">
        <f>TEXT(Orders[[#This Row],[Order Date]], "mmmm")</f>
        <v>November</v>
      </c>
      <c r="Z19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197" t="str">
        <f>Orders[[#This Row],[Coffee Type Name]] &amp; "-" &amp; Orders[[#This Row],[Roast Type Name]]</f>
        <v>Excelsa-Medium</v>
      </c>
      <c r="AB19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198" spans="1:28" x14ac:dyDescent="0.25">
      <c r="A198" s="2" t="s">
        <v>1027</v>
      </c>
      <c r="B198" s="4">
        <v>44171</v>
      </c>
      <c r="C198" s="2" t="s">
        <v>1028</v>
      </c>
      <c r="D198" t="s">
        <v>6154</v>
      </c>
      <c r="E198" s="2">
        <v>2</v>
      </c>
      <c r="F198" s="2" t="str">
        <f>_xlfn.XLOOKUP(C198,customers!$A$1:$A$1001,customers!$B$1:$B$1001,,0)</f>
        <v>Vicki Kirdsch</v>
      </c>
      <c r="G198" s="2" t="str">
        <f>IF(_xlfn.XLOOKUP(C198,customers!$A$1:$A$1001,customers!$C$1:$C$1001,,0)=0,"",_xlfn.XLOOKUP(C198,customers!$A$1:$A$1001,customers!$C$1:$C$1001,,0))</f>
        <v>vkirdsch2o@google.fr</v>
      </c>
      <c r="H198" s="2" t="str">
        <f>_xlfn.XLOOKUP(C198,customers!$A$1:$A$1001,customers!$G$1:$G$1001,,0)</f>
        <v>United States</v>
      </c>
      <c r="I198" t="str">
        <f>INDEX(products!$A$1:$G$49, MATCH(orders!$D98,products!$A$1:$A145,0), MATCH(orders!I$1,products!$A$1:$G$1,0))</f>
        <v>Ara</v>
      </c>
      <c r="J198" t="str">
        <f>INDEX(products!$A$1:$G$49, MATCH(orders!$D98,products!$A$1:$A145,0), MATCH(orders!J$1,products!$A$1:$G$1,0))</f>
        <v>D</v>
      </c>
      <c r="K198" s="5">
        <f>INDEX(products!$A$1:$G$49, MATCH(orders!$D98,products!$A$1:$A145,0), MATCH(orders!K$1,products!$A$1:$G$1,0))</f>
        <v>0.2</v>
      </c>
      <c r="L198" s="6">
        <f>INDEX(products!$A$1:$G$49, MATCH(orders!$D98,products!$A$1:$A145,0), MATCH(orders!L$1,products!$A$1:$G$1,0))</f>
        <v>2.9849999999999999</v>
      </c>
      <c r="M198" s="6">
        <f t="shared" si="9"/>
        <v>5.97</v>
      </c>
      <c r="N198" t="str">
        <f t="shared" si="10"/>
        <v>Arabica</v>
      </c>
      <c r="O198" t="str">
        <f t="shared" si="11"/>
        <v>Dark</v>
      </c>
      <c r="P198" t="str">
        <f>_xlfn.XLOOKUP(Orders[[#This Row],[Customer ID]],customers!$A$1:$A$1001,customers!$I$1:$I$1001,,0)</f>
        <v>No</v>
      </c>
      <c r="Q198">
        <f>COUNTIF(Orders[Order ID],Orders[[#This Row],[Order ID]])</f>
        <v>1</v>
      </c>
      <c r="R198" s="10">
        <f>SUMIF(Orders[Order ID], Orders[[#This Row],[Order ID]],Orders[Sales])/Orders[[#This Row],[Order Frequency]]</f>
        <v>5.97</v>
      </c>
      <c r="S198" t="str">
        <f>IF(Orders[[#This Row],[Order Frequency]]&gt;4, "More than 4", IF(AND(Orders[[#This Row],[Order Frequency]]&lt;=4,Orders[[#This Row],[Order Frequency]]&gt;=2), "Between 4 and 2", "Less than 2"))</f>
        <v>Less than 2</v>
      </c>
      <c r="T198" t="str">
        <f>IF(Orders[[#This Row],[Frequency Group]]="less than 2", "Low Value", IF(Orders[[#This Row],[Frequency Group]]="between 4 and 2", "Medium Value", "High Value"))</f>
        <v>Low Value</v>
      </c>
      <c r="U198" t="str">
        <f>IF(Orders[[#This Row],[Sales]]&lt;50, "$0-50", IF(AND(Orders[[#This Row],[Sales]]&gt;=50,Orders[[#This Row],[Sales]]&lt;=100), "$50-100", IF(AND(Orders[[#This Row],[Sales]]&gt;100,Orders[[#This Row],[Sales]]&lt;=150), "$101-150", "$150+")))</f>
        <v>$0-50</v>
      </c>
      <c r="V198" t="str">
        <f>IF(Orders[[#This Row],[Sales]]&gt;MEDIAN(M:M), "High Price", "Low Price")</f>
        <v>Low Price</v>
      </c>
      <c r="W198" t="str">
        <f>IF(Orders[[#This Row],[Quantity]]&gt;MEDIAN(E:E), "High Volume", "Low Volume")</f>
        <v>Low Volume</v>
      </c>
      <c r="X198" t="str">
        <f>Orders[[#This Row],[Sales Tier]] &amp; "-" &amp; Orders[[#This Row],[Quantity Tier]]</f>
        <v>Low Price-Low Volume</v>
      </c>
      <c r="Y198" t="str">
        <f>TEXT(Orders[[#This Row],[Order Date]], "mmmm")</f>
        <v>December</v>
      </c>
      <c r="Z19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198" t="str">
        <f>Orders[[#This Row],[Coffee Type Name]] &amp; "-" &amp; Orders[[#This Row],[Roast Type Name]]</f>
        <v>Arabica-Dark</v>
      </c>
      <c r="AB19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99" spans="1:28" x14ac:dyDescent="0.25">
      <c r="A199" s="2" t="s">
        <v>3294</v>
      </c>
      <c r="B199" s="4">
        <v>44438</v>
      </c>
      <c r="C199" s="2" t="s">
        <v>3295</v>
      </c>
      <c r="D199" t="s">
        <v>6153</v>
      </c>
      <c r="E199" s="2">
        <v>3</v>
      </c>
      <c r="F199" s="2" t="str">
        <f>_xlfn.XLOOKUP(C199,customers!$A$1:$A$1001,customers!$B$1:$B$1001,,0)</f>
        <v>Hamlen Pallister</v>
      </c>
      <c r="G199" s="2" t="str">
        <f>IF(_xlfn.XLOOKUP(C199,customers!$A$1:$A$1001,customers!$C$1:$C$1001,,0)=0,"",_xlfn.XLOOKUP(C199,customers!$A$1:$A$1001,customers!$C$1:$C$1001,,0))</f>
        <v>hpallisterds@ning.com</v>
      </c>
      <c r="H199" s="2" t="str">
        <f>_xlfn.XLOOKUP(C199,customers!$A$1:$A$1001,customers!$G$1:$G$1001,,0)</f>
        <v>United States</v>
      </c>
      <c r="I199" t="str">
        <f>INDEX(products!$A$1:$G$49, MATCH(orders!$D498,products!$A$1:$A545,0), MATCH(orders!I$1,products!$A$1:$G$1,0))</f>
        <v>Exc</v>
      </c>
      <c r="J199" t="str">
        <f>INDEX(products!$A$1:$G$49, MATCH(orders!$D498,products!$A$1:$A545,0), MATCH(orders!J$1,products!$A$1:$G$1,0))</f>
        <v>D</v>
      </c>
      <c r="K199" s="5">
        <f>INDEX(products!$A$1:$G$49, MATCH(orders!$D498,products!$A$1:$A545,0), MATCH(orders!K$1,products!$A$1:$G$1,0))</f>
        <v>0.2</v>
      </c>
      <c r="L199" s="6">
        <f>INDEX(products!$A$1:$G$49, MATCH(orders!$D498,products!$A$1:$A545,0), MATCH(orders!L$1,products!$A$1:$G$1,0))</f>
        <v>3.645</v>
      </c>
      <c r="M199" s="6">
        <f t="shared" si="9"/>
        <v>10.935</v>
      </c>
      <c r="N199" t="str">
        <f t="shared" si="10"/>
        <v>Excelsa</v>
      </c>
      <c r="O199" t="str">
        <f t="shared" si="11"/>
        <v>Dark</v>
      </c>
      <c r="P199" t="str">
        <f>_xlfn.XLOOKUP(Orders[[#This Row],[Customer ID]],customers!$A$1:$A$1001,customers!$I$1:$I$1001,,0)</f>
        <v>No</v>
      </c>
      <c r="Q199">
        <f>COUNTIF(Orders[Order ID],Orders[[#This Row],[Order ID]])</f>
        <v>1</v>
      </c>
      <c r="R199" s="10">
        <f>SUMIF(Orders[Order ID], Orders[[#This Row],[Order ID]],Orders[Sales])/Orders[[#This Row],[Order Frequency]]</f>
        <v>10.935</v>
      </c>
      <c r="S199" t="str">
        <f>IF(Orders[[#This Row],[Order Frequency]]&gt;4, "More than 4", IF(AND(Orders[[#This Row],[Order Frequency]]&lt;=4,Orders[[#This Row],[Order Frequency]]&gt;=2), "Between 4 and 2", "Less than 2"))</f>
        <v>Less than 2</v>
      </c>
      <c r="T199" t="str">
        <f>IF(Orders[[#This Row],[Frequency Group]]="less than 2", "Low Value", IF(Orders[[#This Row],[Frequency Group]]="between 4 and 2", "Medium Value", "High Value"))</f>
        <v>Low Value</v>
      </c>
      <c r="U199" t="str">
        <f>IF(Orders[[#This Row],[Sales]]&lt;50, "$0-50", IF(AND(Orders[[#This Row],[Sales]]&gt;=50,Orders[[#This Row],[Sales]]&lt;=100), "$50-100", IF(AND(Orders[[#This Row],[Sales]]&gt;100,Orders[[#This Row],[Sales]]&lt;=150), "$101-150", "$150+")))</f>
        <v>$0-50</v>
      </c>
      <c r="V199" t="str">
        <f>IF(Orders[[#This Row],[Sales]]&gt;MEDIAN(M:M), "High Price", "Low Price")</f>
        <v>Low Price</v>
      </c>
      <c r="W199" t="str">
        <f>IF(Orders[[#This Row],[Quantity]]&gt;MEDIAN(E:E), "High Volume", "Low Volume")</f>
        <v>Low Volume</v>
      </c>
      <c r="X199" t="str">
        <f>Orders[[#This Row],[Sales Tier]] &amp; "-" &amp; Orders[[#This Row],[Quantity Tier]]</f>
        <v>Low Price-Low Volume</v>
      </c>
      <c r="Y199" t="str">
        <f>TEXT(Orders[[#This Row],[Order Date]], "mmmm")</f>
        <v>August</v>
      </c>
      <c r="Z19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199" t="str">
        <f>Orders[[#This Row],[Coffee Type Name]] &amp; "-" &amp; Orders[[#This Row],[Roast Type Name]]</f>
        <v>Excelsa-Dark</v>
      </c>
      <c r="AB19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200" spans="1:28" x14ac:dyDescent="0.25">
      <c r="A200" s="2" t="s">
        <v>637</v>
      </c>
      <c r="B200" s="4">
        <v>43516</v>
      </c>
      <c r="C200" s="2" t="s">
        <v>638</v>
      </c>
      <c r="D200" t="s">
        <v>6157</v>
      </c>
      <c r="E200" s="2">
        <v>4</v>
      </c>
      <c r="F200" s="2" t="str">
        <f>_xlfn.XLOOKUP(C200,customers!$A$1:$A$1001,customers!$B$1:$B$1001,,0)</f>
        <v>Selene Shales</v>
      </c>
      <c r="G200" s="2" t="str">
        <f>IF(_xlfn.XLOOKUP(C200,customers!$A$1:$A$1001,customers!$C$1:$C$1001,,0)=0,"",_xlfn.XLOOKUP(C200,customers!$A$1:$A$1001,customers!$C$1:$C$1001,,0))</f>
        <v>sshalesq@umich.edu</v>
      </c>
      <c r="H200" s="2" t="str">
        <f>_xlfn.XLOOKUP(C200,customers!$A$1:$A$1001,customers!$G$1:$G$1001,,0)</f>
        <v>United States</v>
      </c>
      <c r="I200" t="str">
        <f>INDEX(products!$A$1:$G$49, MATCH(orders!$D28,products!$A$1:$A75,0), MATCH(orders!I$1,products!$A$1:$G$1,0))</f>
        <v>Ara</v>
      </c>
      <c r="J200" t="str">
        <f>INDEX(products!$A$1:$G$49, MATCH(orders!$D28,products!$A$1:$A75,0), MATCH(orders!J$1,products!$A$1:$G$1,0))</f>
        <v>M</v>
      </c>
      <c r="K200" s="5">
        <f>INDEX(products!$A$1:$G$49, MATCH(orders!$D28,products!$A$1:$A75,0), MATCH(orders!K$1,products!$A$1:$G$1,0))</f>
        <v>0.5</v>
      </c>
      <c r="L200" s="6">
        <f>INDEX(products!$A$1:$G$49, MATCH(orders!$D28,products!$A$1:$A75,0), MATCH(orders!L$1,products!$A$1:$G$1,0))</f>
        <v>6.75</v>
      </c>
      <c r="M200" s="6">
        <f t="shared" si="9"/>
        <v>27</v>
      </c>
      <c r="N200" t="str">
        <f t="shared" si="10"/>
        <v>Arabica</v>
      </c>
      <c r="O200" t="str">
        <f t="shared" si="11"/>
        <v>Medium</v>
      </c>
      <c r="P200" t="str">
        <f>_xlfn.XLOOKUP(Orders[[#This Row],[Customer ID]],customers!$A$1:$A$1001,customers!$I$1:$I$1001,,0)</f>
        <v>Yes</v>
      </c>
      <c r="Q200">
        <f>COUNTIF(Orders[Order ID],Orders[[#This Row],[Order ID]])</f>
        <v>1</v>
      </c>
      <c r="R200" s="10">
        <f>SUMIF(Orders[Order ID], Orders[[#This Row],[Order ID]],Orders[Sales])/Orders[[#This Row],[Order Frequency]]</f>
        <v>27</v>
      </c>
      <c r="S200" t="str">
        <f>IF(Orders[[#This Row],[Order Frequency]]&gt;4, "More than 4", IF(AND(Orders[[#This Row],[Order Frequency]]&lt;=4,Orders[[#This Row],[Order Frequency]]&gt;=2), "Between 4 and 2", "Less than 2"))</f>
        <v>Less than 2</v>
      </c>
      <c r="T200" t="str">
        <f>IF(Orders[[#This Row],[Frequency Group]]="less than 2", "Low Value", IF(Orders[[#This Row],[Frequency Group]]="between 4 and 2", "Medium Value", "High Value"))</f>
        <v>Low Value</v>
      </c>
      <c r="U200" t="str">
        <f>IF(Orders[[#This Row],[Sales]]&lt;50, "$0-50", IF(AND(Orders[[#This Row],[Sales]]&gt;=50,Orders[[#This Row],[Sales]]&lt;=100), "$50-100", IF(AND(Orders[[#This Row],[Sales]]&gt;100,Orders[[#This Row],[Sales]]&lt;=150), "$101-150", "$150+")))</f>
        <v>$0-50</v>
      </c>
      <c r="V200" t="str">
        <f>IF(Orders[[#This Row],[Sales]]&gt;MEDIAN(M:M), "High Price", "Low Price")</f>
        <v>Low Price</v>
      </c>
      <c r="W200" t="str">
        <f>IF(Orders[[#This Row],[Quantity]]&gt;MEDIAN(E:E), "High Volume", "Low Volume")</f>
        <v>Low Volume</v>
      </c>
      <c r="X200" t="str">
        <f>Orders[[#This Row],[Sales Tier]] &amp; "-" &amp; Orders[[#This Row],[Quantity Tier]]</f>
        <v>Low Price-Low Volume</v>
      </c>
      <c r="Y200" t="str">
        <f>TEXT(Orders[[#This Row],[Order Date]], "mmmm")</f>
        <v>February</v>
      </c>
      <c r="Z20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200" t="str">
        <f>Orders[[#This Row],[Coffee Type Name]] &amp; "-" &amp; Orders[[#This Row],[Roast Type Name]]</f>
        <v>Arabica-Medium</v>
      </c>
      <c r="AB20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201" spans="1:28" x14ac:dyDescent="0.25">
      <c r="A201" s="2" t="s">
        <v>4023</v>
      </c>
      <c r="B201" s="4">
        <v>43526</v>
      </c>
      <c r="C201" s="2" t="s">
        <v>4024</v>
      </c>
      <c r="D201" t="s">
        <v>6175</v>
      </c>
      <c r="E201" s="2">
        <v>3</v>
      </c>
      <c r="F201" s="2" t="str">
        <f>_xlfn.XLOOKUP(C201,customers!$A$1:$A$1001,customers!$B$1:$B$1001,,0)</f>
        <v>Wallis Bernth</v>
      </c>
      <c r="G201" s="2" t="str">
        <f>IF(_xlfn.XLOOKUP(C201,customers!$A$1:$A$1001,customers!$C$1:$C$1001,,0)=0,"",_xlfn.XLOOKUP(C201,customers!$A$1:$A$1001,customers!$C$1:$C$1001,,0))</f>
        <v>wbernthhe@miitbeian.gov.cn</v>
      </c>
      <c r="H201" s="2" t="str">
        <f>_xlfn.XLOOKUP(C201,customers!$A$1:$A$1001,customers!$G$1:$G$1001,,0)</f>
        <v>United States</v>
      </c>
      <c r="I201" t="str">
        <f>INDEX(products!$A$1:$G$49, MATCH(orders!$D628,products!$A$1:$A675,0), MATCH(orders!I$1,products!$A$1:$G$1,0))</f>
        <v>Ara</v>
      </c>
      <c r="J201" t="str">
        <f>INDEX(products!$A$1:$G$49, MATCH(orders!$D628,products!$A$1:$A675,0), MATCH(orders!J$1,products!$A$1:$G$1,0))</f>
        <v>M</v>
      </c>
      <c r="K201" s="5">
        <f>INDEX(products!$A$1:$G$49, MATCH(orders!$D628,products!$A$1:$A675,0), MATCH(orders!K$1,products!$A$1:$G$1,0))</f>
        <v>2.5</v>
      </c>
      <c r="L201" s="6">
        <f>INDEX(products!$A$1:$G$49, MATCH(orders!$D628,products!$A$1:$A675,0), MATCH(orders!L$1,products!$A$1:$G$1,0))</f>
        <v>25.874999999999996</v>
      </c>
      <c r="M201" s="6">
        <f t="shared" si="9"/>
        <v>77.624999999999986</v>
      </c>
      <c r="N201" t="str">
        <f t="shared" si="10"/>
        <v>Arabica</v>
      </c>
      <c r="O201" t="str">
        <f t="shared" si="11"/>
        <v>Medium</v>
      </c>
      <c r="P201" t="str">
        <f>_xlfn.XLOOKUP(Orders[[#This Row],[Customer ID]],customers!$A$1:$A$1001,customers!$I$1:$I$1001,,0)</f>
        <v>No</v>
      </c>
      <c r="Q201">
        <f>COUNTIF(Orders[Order ID],Orders[[#This Row],[Order ID]])</f>
        <v>1</v>
      </c>
      <c r="R201" s="10">
        <f>SUMIF(Orders[Order ID], Orders[[#This Row],[Order ID]],Orders[Sales])/Orders[[#This Row],[Order Frequency]]</f>
        <v>77.624999999999986</v>
      </c>
      <c r="S201" t="str">
        <f>IF(Orders[[#This Row],[Order Frequency]]&gt;4, "More than 4", IF(AND(Orders[[#This Row],[Order Frequency]]&lt;=4,Orders[[#This Row],[Order Frequency]]&gt;=2), "Between 4 and 2", "Less than 2"))</f>
        <v>Less than 2</v>
      </c>
      <c r="T201" t="str">
        <f>IF(Orders[[#This Row],[Frequency Group]]="less than 2", "Low Value", IF(Orders[[#This Row],[Frequency Group]]="between 4 and 2", "Medium Value", "High Value"))</f>
        <v>Low Value</v>
      </c>
      <c r="U201" t="str">
        <f>IF(Orders[[#This Row],[Sales]]&lt;50, "$0-50", IF(AND(Orders[[#This Row],[Sales]]&gt;=50,Orders[[#This Row],[Sales]]&lt;=100), "$50-100", IF(AND(Orders[[#This Row],[Sales]]&gt;100,Orders[[#This Row],[Sales]]&lt;=150), "$101-150", "$150+")))</f>
        <v>$50-100</v>
      </c>
      <c r="V201" t="str">
        <f>IF(Orders[[#This Row],[Sales]]&gt;MEDIAN(M:M), "High Price", "Low Price")</f>
        <v>High Price</v>
      </c>
      <c r="W201" t="str">
        <f>IF(Orders[[#This Row],[Quantity]]&gt;MEDIAN(E:E), "High Volume", "Low Volume")</f>
        <v>Low Volume</v>
      </c>
      <c r="X201" t="str">
        <f>Orders[[#This Row],[Sales Tier]] &amp; "-" &amp; Orders[[#This Row],[Quantity Tier]]</f>
        <v>High Price-Low Volume</v>
      </c>
      <c r="Y201" t="str">
        <f>TEXT(Orders[[#This Row],[Order Date]], "mmmm")</f>
        <v>March</v>
      </c>
      <c r="Z20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201" t="str">
        <f>Orders[[#This Row],[Coffee Type Name]] &amp; "-" &amp; Orders[[#This Row],[Roast Type Name]]</f>
        <v>Arabica-Medium</v>
      </c>
      <c r="AB20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202" spans="1:28" x14ac:dyDescent="0.25">
      <c r="A202" s="2" t="s">
        <v>1777</v>
      </c>
      <c r="B202" s="4">
        <v>44376</v>
      </c>
      <c r="C202" s="2" t="s">
        <v>1778</v>
      </c>
      <c r="D202" t="s">
        <v>6178</v>
      </c>
      <c r="E202" s="2">
        <v>5</v>
      </c>
      <c r="F202" s="2" t="str">
        <f>_xlfn.XLOOKUP(C202,customers!$A$1:$A$1001,customers!$B$1:$B$1001,,0)</f>
        <v>Beltran Mathon</v>
      </c>
      <c r="G202" s="2" t="str">
        <f>IF(_xlfn.XLOOKUP(C202,customers!$A$1:$A$1001,customers!$C$1:$C$1001,,0)=0,"",_xlfn.XLOOKUP(C202,customers!$A$1:$A$1001,customers!$C$1:$C$1001,,0))</f>
        <v>bmathon6c@barnesandnoble.com</v>
      </c>
      <c r="H202" s="2" t="str">
        <f>_xlfn.XLOOKUP(C202,customers!$A$1:$A$1001,customers!$G$1:$G$1001,,0)</f>
        <v>United States</v>
      </c>
      <c r="I202" t="str">
        <f>INDEX(products!$A$1:$G$49, MATCH(orders!$D230,products!$A$1:$A277,0), MATCH(orders!I$1,products!$A$1:$G$1,0))</f>
        <v>Rob</v>
      </c>
      <c r="J202" t="str">
        <f>INDEX(products!$A$1:$G$49, MATCH(orders!$D230,products!$A$1:$A277,0), MATCH(orders!J$1,products!$A$1:$G$1,0))</f>
        <v>L</v>
      </c>
      <c r="K202" s="5">
        <f>INDEX(products!$A$1:$G$49, MATCH(orders!$D230,products!$A$1:$A277,0), MATCH(orders!K$1,products!$A$1:$G$1,0))</f>
        <v>0.2</v>
      </c>
      <c r="L202" s="6">
        <f>INDEX(products!$A$1:$G$49, MATCH(orders!$D230,products!$A$1:$A277,0), MATCH(orders!L$1,products!$A$1:$G$1,0))</f>
        <v>3.5849999999999995</v>
      </c>
      <c r="M202" s="6">
        <f t="shared" si="9"/>
        <v>17.924999999999997</v>
      </c>
      <c r="N202" t="str">
        <f t="shared" si="10"/>
        <v>Robusta</v>
      </c>
      <c r="O202" t="str">
        <f t="shared" si="11"/>
        <v>Light</v>
      </c>
      <c r="P202" t="str">
        <f>_xlfn.XLOOKUP(Orders[[#This Row],[Customer ID]],customers!$A$1:$A$1001,customers!$I$1:$I$1001,,0)</f>
        <v>No</v>
      </c>
      <c r="Q202">
        <f>COUNTIF(Orders[Order ID],Orders[[#This Row],[Order ID]])</f>
        <v>1</v>
      </c>
      <c r="R202" s="10">
        <f>SUMIF(Orders[Order ID], Orders[[#This Row],[Order ID]],Orders[Sales])/Orders[[#This Row],[Order Frequency]]</f>
        <v>17.924999999999997</v>
      </c>
      <c r="S202" t="str">
        <f>IF(Orders[[#This Row],[Order Frequency]]&gt;4, "More than 4", IF(AND(Orders[[#This Row],[Order Frequency]]&lt;=4,Orders[[#This Row],[Order Frequency]]&gt;=2), "Between 4 and 2", "Less than 2"))</f>
        <v>Less than 2</v>
      </c>
      <c r="T202" t="str">
        <f>IF(Orders[[#This Row],[Frequency Group]]="less than 2", "Low Value", IF(Orders[[#This Row],[Frequency Group]]="between 4 and 2", "Medium Value", "High Value"))</f>
        <v>Low Value</v>
      </c>
      <c r="U202" t="str">
        <f>IF(Orders[[#This Row],[Sales]]&lt;50, "$0-50", IF(AND(Orders[[#This Row],[Sales]]&gt;=50,Orders[[#This Row],[Sales]]&lt;=100), "$50-100", IF(AND(Orders[[#This Row],[Sales]]&gt;100,Orders[[#This Row],[Sales]]&lt;=150), "$101-150", "$150+")))</f>
        <v>$0-50</v>
      </c>
      <c r="V202" t="str">
        <f>IF(Orders[[#This Row],[Sales]]&gt;MEDIAN(M:M), "High Price", "Low Price")</f>
        <v>Low Price</v>
      </c>
      <c r="W202" t="str">
        <f>IF(Orders[[#This Row],[Quantity]]&gt;MEDIAN(E:E), "High Volume", "Low Volume")</f>
        <v>High Volume</v>
      </c>
      <c r="X202" t="str">
        <f>Orders[[#This Row],[Sales Tier]] &amp; "-" &amp; Orders[[#This Row],[Quantity Tier]]</f>
        <v>Low Price-High Volume</v>
      </c>
      <c r="Y202" t="str">
        <f>TEXT(Orders[[#This Row],[Order Date]], "mmmm")</f>
        <v>June</v>
      </c>
      <c r="Z20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02" t="str">
        <f>Orders[[#This Row],[Coffee Type Name]] &amp; "-" &amp; Orders[[#This Row],[Roast Type Name]]</f>
        <v>Robusta-Light</v>
      </c>
      <c r="AB20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203" spans="1:28" x14ac:dyDescent="0.25">
      <c r="A203" s="2" t="s">
        <v>4417</v>
      </c>
      <c r="B203" s="4">
        <v>44300</v>
      </c>
      <c r="C203" s="2" t="s">
        <v>4418</v>
      </c>
      <c r="D203" t="s">
        <v>6164</v>
      </c>
      <c r="E203" s="2">
        <v>5</v>
      </c>
      <c r="F203" s="2" t="str">
        <f>_xlfn.XLOOKUP(C203,customers!$A$1:$A$1001,customers!$B$1:$B$1001,,0)</f>
        <v>Davida Caro</v>
      </c>
      <c r="G203" s="2" t="str">
        <f>IF(_xlfn.XLOOKUP(C203,customers!$A$1:$A$1001,customers!$C$1:$C$1001,,0)=0,"",_xlfn.XLOOKUP(C203,customers!$A$1:$A$1001,customers!$C$1:$C$1001,,0))</f>
        <v>dcarojb@twitter.com</v>
      </c>
      <c r="H203" s="2" t="str">
        <f>_xlfn.XLOOKUP(C203,customers!$A$1:$A$1001,customers!$G$1:$G$1001,,0)</f>
        <v>United States</v>
      </c>
      <c r="I203" t="str">
        <f>INDEX(products!$A$1:$G$49, MATCH(orders!$D697,products!$A$1:$A744,0), MATCH(orders!I$1,products!$A$1:$G$1,0))</f>
        <v>Lib</v>
      </c>
      <c r="J203" t="str">
        <f>INDEX(products!$A$1:$G$49, MATCH(orders!$D697,products!$A$1:$A744,0), MATCH(orders!J$1,products!$A$1:$G$1,0))</f>
        <v>L</v>
      </c>
      <c r="K203" s="5">
        <f>INDEX(products!$A$1:$G$49, MATCH(orders!$D697,products!$A$1:$A744,0), MATCH(orders!K$1,products!$A$1:$G$1,0))</f>
        <v>2.5</v>
      </c>
      <c r="L203" s="6">
        <f>INDEX(products!$A$1:$G$49, MATCH(orders!$D697,products!$A$1:$A744,0), MATCH(orders!L$1,products!$A$1:$G$1,0))</f>
        <v>36.454999999999998</v>
      </c>
      <c r="M203" s="6">
        <f t="shared" si="9"/>
        <v>182.27499999999998</v>
      </c>
      <c r="N203" t="str">
        <f t="shared" si="10"/>
        <v>Liberica</v>
      </c>
      <c r="O203" t="str">
        <f t="shared" si="11"/>
        <v>Light</v>
      </c>
      <c r="P203" t="str">
        <f>_xlfn.XLOOKUP(Orders[[#This Row],[Customer ID]],customers!$A$1:$A$1001,customers!$I$1:$I$1001,,0)</f>
        <v>Yes</v>
      </c>
      <c r="Q203">
        <f>COUNTIF(Orders[Order ID],Orders[[#This Row],[Order ID]])</f>
        <v>1</v>
      </c>
      <c r="R203" s="10">
        <f>SUMIF(Orders[Order ID], Orders[[#This Row],[Order ID]],Orders[Sales])/Orders[[#This Row],[Order Frequency]]</f>
        <v>182.27499999999998</v>
      </c>
      <c r="S203" t="str">
        <f>IF(Orders[[#This Row],[Order Frequency]]&gt;4, "More than 4", IF(AND(Orders[[#This Row],[Order Frequency]]&lt;=4,Orders[[#This Row],[Order Frequency]]&gt;=2), "Between 4 and 2", "Less than 2"))</f>
        <v>Less than 2</v>
      </c>
      <c r="T203" t="str">
        <f>IF(Orders[[#This Row],[Frequency Group]]="less than 2", "Low Value", IF(Orders[[#This Row],[Frequency Group]]="between 4 and 2", "Medium Value", "High Value"))</f>
        <v>Low Value</v>
      </c>
      <c r="U203" t="str">
        <f>IF(Orders[[#This Row],[Sales]]&lt;50, "$0-50", IF(AND(Orders[[#This Row],[Sales]]&gt;=50,Orders[[#This Row],[Sales]]&lt;=100), "$50-100", IF(AND(Orders[[#This Row],[Sales]]&gt;100,Orders[[#This Row],[Sales]]&lt;=150), "$101-150", "$150+")))</f>
        <v>$150+</v>
      </c>
      <c r="V203" t="str">
        <f>IF(Orders[[#This Row],[Sales]]&gt;MEDIAN(M:M), "High Price", "Low Price")</f>
        <v>High Price</v>
      </c>
      <c r="W203" t="str">
        <f>IF(Orders[[#This Row],[Quantity]]&gt;MEDIAN(E:E), "High Volume", "Low Volume")</f>
        <v>High Volume</v>
      </c>
      <c r="X203" t="str">
        <f>Orders[[#This Row],[Sales Tier]] &amp; "-" &amp; Orders[[#This Row],[Quantity Tier]]</f>
        <v>High Price-High Volume</v>
      </c>
      <c r="Y203" t="str">
        <f>TEXT(Orders[[#This Row],[Order Date]], "mmmm")</f>
        <v>April</v>
      </c>
      <c r="Z20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03" t="str">
        <f>Orders[[#This Row],[Coffee Type Name]] &amp; "-" &amp; Orders[[#This Row],[Roast Type Name]]</f>
        <v>Liberica-Light</v>
      </c>
      <c r="AB20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204" spans="1:28" x14ac:dyDescent="0.25">
      <c r="A204" s="2" t="s">
        <v>4354</v>
      </c>
      <c r="B204" s="4">
        <v>43517</v>
      </c>
      <c r="C204" s="2" t="s">
        <v>4355</v>
      </c>
      <c r="D204" t="s">
        <v>6179</v>
      </c>
      <c r="E204" s="2">
        <v>6</v>
      </c>
      <c r="F204" s="2" t="str">
        <f>_xlfn.XLOOKUP(C204,customers!$A$1:$A$1001,customers!$B$1:$B$1001,,0)</f>
        <v>Becca Ableson</v>
      </c>
      <c r="G204" s="2" t="str">
        <f>IF(_xlfn.XLOOKUP(C204,customers!$A$1:$A$1001,customers!$C$1:$C$1001,,0)=0,"",_xlfn.XLOOKUP(C204,customers!$A$1:$A$1001,customers!$C$1:$C$1001,,0))</f>
        <v/>
      </c>
      <c r="H204" s="2" t="str">
        <f>_xlfn.XLOOKUP(C204,customers!$A$1:$A$1001,customers!$G$1:$G$1001,,0)</f>
        <v>United States</v>
      </c>
      <c r="I204" t="str">
        <f>INDEX(products!$A$1:$G$49, MATCH(orders!$D686,products!$A$1:$A733,0), MATCH(orders!I$1,products!$A$1:$G$1,0))</f>
        <v>Rob</v>
      </c>
      <c r="J204" t="str">
        <f>INDEX(products!$A$1:$G$49, MATCH(orders!$D686,products!$A$1:$A733,0), MATCH(orders!J$1,products!$A$1:$G$1,0))</f>
        <v>L</v>
      </c>
      <c r="K204" s="5">
        <f>INDEX(products!$A$1:$G$49, MATCH(orders!$D686,products!$A$1:$A733,0), MATCH(orders!K$1,products!$A$1:$G$1,0))</f>
        <v>1</v>
      </c>
      <c r="L204" s="6">
        <f>INDEX(products!$A$1:$G$49, MATCH(orders!$D686,products!$A$1:$A733,0), MATCH(orders!L$1,products!$A$1:$G$1,0))</f>
        <v>11.95</v>
      </c>
      <c r="M204" s="6">
        <f t="shared" si="9"/>
        <v>71.699999999999989</v>
      </c>
      <c r="N204" t="str">
        <f t="shared" si="10"/>
        <v>Robusta</v>
      </c>
      <c r="O204" t="str">
        <f t="shared" si="11"/>
        <v>Light</v>
      </c>
      <c r="P204" t="str">
        <f>_xlfn.XLOOKUP(Orders[[#This Row],[Customer ID]],customers!$A$1:$A$1001,customers!$I$1:$I$1001,,0)</f>
        <v>No</v>
      </c>
      <c r="Q204">
        <f>COUNTIF(Orders[Order ID],Orders[[#This Row],[Order ID]])</f>
        <v>1</v>
      </c>
      <c r="R204" s="10">
        <f>SUMIF(Orders[Order ID], Orders[[#This Row],[Order ID]],Orders[Sales])/Orders[[#This Row],[Order Frequency]]</f>
        <v>71.699999999999989</v>
      </c>
      <c r="S204" t="str">
        <f>IF(Orders[[#This Row],[Order Frequency]]&gt;4, "More than 4", IF(AND(Orders[[#This Row],[Order Frequency]]&lt;=4,Orders[[#This Row],[Order Frequency]]&gt;=2), "Between 4 and 2", "Less than 2"))</f>
        <v>Less than 2</v>
      </c>
      <c r="T204" t="str">
        <f>IF(Orders[[#This Row],[Frequency Group]]="less than 2", "Low Value", IF(Orders[[#This Row],[Frequency Group]]="between 4 and 2", "Medium Value", "High Value"))</f>
        <v>Low Value</v>
      </c>
      <c r="U204" t="str">
        <f>IF(Orders[[#This Row],[Sales]]&lt;50, "$0-50", IF(AND(Orders[[#This Row],[Sales]]&gt;=50,Orders[[#This Row],[Sales]]&lt;=100), "$50-100", IF(AND(Orders[[#This Row],[Sales]]&gt;100,Orders[[#This Row],[Sales]]&lt;=150), "$101-150", "$150+")))</f>
        <v>$50-100</v>
      </c>
      <c r="V204" t="str">
        <f>IF(Orders[[#This Row],[Sales]]&gt;MEDIAN(M:M), "High Price", "Low Price")</f>
        <v>High Price</v>
      </c>
      <c r="W204" t="str">
        <f>IF(Orders[[#This Row],[Quantity]]&gt;MEDIAN(E:E), "High Volume", "Low Volume")</f>
        <v>High Volume</v>
      </c>
      <c r="X204" t="str">
        <f>Orders[[#This Row],[Sales Tier]] &amp; "-" &amp; Orders[[#This Row],[Quantity Tier]]</f>
        <v>High Price-High Volume</v>
      </c>
      <c r="Y204" t="str">
        <f>TEXT(Orders[[#This Row],[Order Date]], "mmmm")</f>
        <v>February</v>
      </c>
      <c r="Z20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204" t="str">
        <f>Orders[[#This Row],[Coffee Type Name]] &amp; "-" &amp; Orders[[#This Row],[Roast Type Name]]</f>
        <v>Robusta-Light</v>
      </c>
      <c r="AB20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205" spans="1:28" x14ac:dyDescent="0.25">
      <c r="A205" s="2" t="s">
        <v>4308</v>
      </c>
      <c r="B205" s="4">
        <v>44217</v>
      </c>
      <c r="C205" s="2" t="s">
        <v>4309</v>
      </c>
      <c r="D205" t="s">
        <v>6161</v>
      </c>
      <c r="E205" s="2">
        <v>5</v>
      </c>
      <c r="F205" s="2" t="str">
        <f>_xlfn.XLOOKUP(C205,customers!$A$1:$A$1001,customers!$B$1:$B$1001,,0)</f>
        <v>Gabey Cogan</v>
      </c>
      <c r="G205" s="2" t="str">
        <f>IF(_xlfn.XLOOKUP(C205,customers!$A$1:$A$1001,customers!$C$1:$C$1001,,0)=0,"",_xlfn.XLOOKUP(C205,customers!$A$1:$A$1001,customers!$C$1:$C$1001,,0))</f>
        <v/>
      </c>
      <c r="H205" s="2" t="str">
        <f>_xlfn.XLOOKUP(C205,customers!$A$1:$A$1001,customers!$G$1:$G$1001,,0)</f>
        <v>United States</v>
      </c>
      <c r="I205" t="str">
        <f>INDEX(products!$A$1:$G$49, MATCH(orders!$D678,products!$A$1:$A725,0), MATCH(orders!I$1,products!$A$1:$G$1,0))</f>
        <v>Lib</v>
      </c>
      <c r="J205" t="str">
        <f>INDEX(products!$A$1:$G$49, MATCH(orders!$D678,products!$A$1:$A725,0), MATCH(orders!J$1,products!$A$1:$G$1,0))</f>
        <v>L</v>
      </c>
      <c r="K205" s="5">
        <f>INDEX(products!$A$1:$G$49, MATCH(orders!$D678,products!$A$1:$A725,0), MATCH(orders!K$1,products!$A$1:$G$1,0))</f>
        <v>0.5</v>
      </c>
      <c r="L205" s="6">
        <f>INDEX(products!$A$1:$G$49, MATCH(orders!$D678,products!$A$1:$A725,0), MATCH(orders!L$1,products!$A$1:$G$1,0))</f>
        <v>9.51</v>
      </c>
      <c r="M205" s="6">
        <f t="shared" si="9"/>
        <v>47.55</v>
      </c>
      <c r="N205" t="str">
        <f t="shared" si="10"/>
        <v>Liberica</v>
      </c>
      <c r="O205" t="str">
        <f t="shared" si="11"/>
        <v>Light</v>
      </c>
      <c r="P205" t="str">
        <f>_xlfn.XLOOKUP(Orders[[#This Row],[Customer ID]],customers!$A$1:$A$1001,customers!$I$1:$I$1001,,0)</f>
        <v>No</v>
      </c>
      <c r="Q205">
        <f>COUNTIF(Orders[Order ID],Orders[[#This Row],[Order ID]])</f>
        <v>1</v>
      </c>
      <c r="R205" s="10">
        <f>SUMIF(Orders[Order ID], Orders[[#This Row],[Order ID]],Orders[Sales])/Orders[[#This Row],[Order Frequency]]</f>
        <v>47.55</v>
      </c>
      <c r="S205" t="str">
        <f>IF(Orders[[#This Row],[Order Frequency]]&gt;4, "More than 4", IF(AND(Orders[[#This Row],[Order Frequency]]&lt;=4,Orders[[#This Row],[Order Frequency]]&gt;=2), "Between 4 and 2", "Less than 2"))</f>
        <v>Less than 2</v>
      </c>
      <c r="T205" t="str">
        <f>IF(Orders[[#This Row],[Frequency Group]]="less than 2", "Low Value", IF(Orders[[#This Row],[Frequency Group]]="between 4 and 2", "Medium Value", "High Value"))</f>
        <v>Low Value</v>
      </c>
      <c r="U205" t="str">
        <f>IF(Orders[[#This Row],[Sales]]&lt;50, "$0-50", IF(AND(Orders[[#This Row],[Sales]]&gt;=50,Orders[[#This Row],[Sales]]&lt;=100), "$50-100", IF(AND(Orders[[#This Row],[Sales]]&gt;100,Orders[[#This Row],[Sales]]&lt;=150), "$101-150", "$150+")))</f>
        <v>$0-50</v>
      </c>
      <c r="V205" t="str">
        <f>IF(Orders[[#This Row],[Sales]]&gt;MEDIAN(M:M), "High Price", "Low Price")</f>
        <v>High Price</v>
      </c>
      <c r="W205" t="str">
        <f>IF(Orders[[#This Row],[Quantity]]&gt;MEDIAN(E:E), "High Volume", "Low Volume")</f>
        <v>High Volume</v>
      </c>
      <c r="X205" t="str">
        <f>Orders[[#This Row],[Sales Tier]] &amp; "-" &amp; Orders[[#This Row],[Quantity Tier]]</f>
        <v>High Price-High Volume</v>
      </c>
      <c r="Y205" t="str">
        <f>TEXT(Orders[[#This Row],[Order Date]], "mmmm")</f>
        <v>January</v>
      </c>
      <c r="Z20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205" t="str">
        <f>Orders[[#This Row],[Coffee Type Name]] &amp; "-" &amp; Orders[[#This Row],[Roast Type Name]]</f>
        <v>Liberica-Light</v>
      </c>
      <c r="AB20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206" spans="1:28" x14ac:dyDescent="0.25">
      <c r="A206" s="2" t="s">
        <v>535</v>
      </c>
      <c r="B206" s="4">
        <v>43467</v>
      </c>
      <c r="C206" s="2" t="s">
        <v>536</v>
      </c>
      <c r="D206" t="s">
        <v>6146</v>
      </c>
      <c r="E206" s="2">
        <v>3</v>
      </c>
      <c r="F206" s="2" t="str">
        <f>_xlfn.XLOOKUP(C206,customers!$A$1:$A$1001,customers!$B$1:$B$1001,,0)</f>
        <v>Guthrey Petracci</v>
      </c>
      <c r="G206" s="2" t="str">
        <f>IF(_xlfn.XLOOKUP(C206,customers!$A$1:$A$1001,customers!$C$1:$C$1001,,0)=0,"",_xlfn.XLOOKUP(C206,customers!$A$1:$A$1001,customers!$C$1:$C$1001,,0))</f>
        <v>gpetracci8@livejournal.com</v>
      </c>
      <c r="H206" s="2" t="str">
        <f>_xlfn.XLOOKUP(C206,customers!$A$1:$A$1001,customers!$G$1:$G$1001,,0)</f>
        <v>United States</v>
      </c>
      <c r="I206" t="str">
        <f>INDEX(products!$A$1:$G$49, MATCH(orders!$D10,products!$A$1:$A57,0), MATCH(orders!I$1,products!$A$1:$G$1,0))</f>
        <v>Rob</v>
      </c>
      <c r="J206" t="str">
        <f>INDEX(products!$A$1:$G$49, MATCH(orders!$D10,products!$A$1:$A57,0), MATCH(orders!J$1,products!$A$1:$G$1,0))</f>
        <v>M</v>
      </c>
      <c r="K206" s="5">
        <f>INDEX(products!$A$1:$G$49, MATCH(orders!$D10,products!$A$1:$A57,0), MATCH(orders!K$1,products!$A$1:$G$1,0))</f>
        <v>0.5</v>
      </c>
      <c r="L206" s="6">
        <f>INDEX(products!$A$1:$G$49, MATCH(orders!$D10,products!$A$1:$A57,0), MATCH(orders!L$1,products!$A$1:$G$1,0))</f>
        <v>5.97</v>
      </c>
      <c r="M206" s="6">
        <f t="shared" si="9"/>
        <v>17.91</v>
      </c>
      <c r="N206" t="str">
        <f t="shared" si="10"/>
        <v>Robusta</v>
      </c>
      <c r="O206" t="str">
        <f t="shared" si="11"/>
        <v>Medium</v>
      </c>
      <c r="P206" t="str">
        <f>_xlfn.XLOOKUP(Orders[[#This Row],[Customer ID]],customers!$A$1:$A$1001,customers!$I$1:$I$1001,,0)</f>
        <v>No</v>
      </c>
      <c r="Q206">
        <f>COUNTIF(Orders[Order ID],Orders[[#This Row],[Order ID]])</f>
        <v>1</v>
      </c>
      <c r="R206" s="10">
        <f>SUMIF(Orders[Order ID], Orders[[#This Row],[Order ID]],Orders[Sales])/Orders[[#This Row],[Order Frequency]]</f>
        <v>17.91</v>
      </c>
      <c r="S206" t="str">
        <f>IF(Orders[[#This Row],[Order Frequency]]&gt;4, "More than 4", IF(AND(Orders[[#This Row],[Order Frequency]]&lt;=4,Orders[[#This Row],[Order Frequency]]&gt;=2), "Between 4 and 2", "Less than 2"))</f>
        <v>Less than 2</v>
      </c>
      <c r="T206" t="str">
        <f>IF(Orders[[#This Row],[Frequency Group]]="less than 2", "Low Value", IF(Orders[[#This Row],[Frequency Group]]="between 4 and 2", "Medium Value", "High Value"))</f>
        <v>Low Value</v>
      </c>
      <c r="U206" t="str">
        <f>IF(Orders[[#This Row],[Sales]]&lt;50, "$0-50", IF(AND(Orders[[#This Row],[Sales]]&gt;=50,Orders[[#This Row],[Sales]]&lt;=100), "$50-100", IF(AND(Orders[[#This Row],[Sales]]&gt;100,Orders[[#This Row],[Sales]]&lt;=150), "$101-150", "$150+")))</f>
        <v>$0-50</v>
      </c>
      <c r="V206" t="str">
        <f>IF(Orders[[#This Row],[Sales]]&gt;MEDIAN(M:M), "High Price", "Low Price")</f>
        <v>Low Price</v>
      </c>
      <c r="W206" t="str">
        <f>IF(Orders[[#This Row],[Quantity]]&gt;MEDIAN(E:E), "High Volume", "Low Volume")</f>
        <v>Low Volume</v>
      </c>
      <c r="X206" t="str">
        <f>Orders[[#This Row],[Sales Tier]] &amp; "-" &amp; Orders[[#This Row],[Quantity Tier]]</f>
        <v>Low Price-Low Volume</v>
      </c>
      <c r="Y206" t="str">
        <f>TEXT(Orders[[#This Row],[Order Date]], "mmmm")</f>
        <v>January</v>
      </c>
      <c r="Z20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206" t="str">
        <f>Orders[[#This Row],[Coffee Type Name]] &amp; "-" &amp; Orders[[#This Row],[Roast Type Name]]</f>
        <v>Robusta-Medium</v>
      </c>
      <c r="AB20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207" spans="1:28" x14ac:dyDescent="0.25">
      <c r="A207" s="2" t="s">
        <v>501</v>
      </c>
      <c r="B207" s="4">
        <v>44364</v>
      </c>
      <c r="C207" s="2" t="s">
        <v>502</v>
      </c>
      <c r="D207" t="s">
        <v>6140</v>
      </c>
      <c r="E207" s="2">
        <v>1</v>
      </c>
      <c r="F207" s="2" t="str">
        <f>_xlfn.XLOOKUP(C207,customers!$A$1:$A$1001,customers!$B$1:$B$1001,,0)</f>
        <v>Jami Redholes</v>
      </c>
      <c r="G207" s="2" t="str">
        <f>IF(_xlfn.XLOOKUP(C207,customers!$A$1:$A$1001,customers!$C$1:$C$1001,,0)=0,"",_xlfn.XLOOKUP(C207,customers!$A$1:$A$1001,customers!$C$1:$C$1001,,0))</f>
        <v>jredholes2@tmall.com</v>
      </c>
      <c r="H207" s="2" t="str">
        <f>_xlfn.XLOOKUP(C207,customers!$A$1:$A$1001,customers!$G$1:$G$1001,,0)</f>
        <v>United States</v>
      </c>
      <c r="I207" t="str">
        <f>INDEX(products!$A$1:$G$49, MATCH(orders!$D4,products!$A$1:$A51,0), MATCH(orders!I$1,products!$A$1:$G$1,0))</f>
        <v>Ara</v>
      </c>
      <c r="J207" t="str">
        <f>INDEX(products!$A$1:$G$49, MATCH(orders!$D4,products!$A$1:$A51,0), MATCH(orders!J$1,products!$A$1:$G$1,0))</f>
        <v>L</v>
      </c>
      <c r="K207" s="5">
        <f>INDEX(products!$A$1:$G$49, MATCH(orders!$D4,products!$A$1:$A51,0), MATCH(orders!K$1,products!$A$1:$G$1,0))</f>
        <v>1</v>
      </c>
      <c r="L207" s="6">
        <f>INDEX(products!$A$1:$G$49, MATCH(orders!$D4,products!$A$1:$A51,0), MATCH(orders!L$1,products!$A$1:$G$1,0))</f>
        <v>12.95</v>
      </c>
      <c r="M207" s="6">
        <f t="shared" si="9"/>
        <v>12.95</v>
      </c>
      <c r="N207" t="str">
        <f t="shared" si="10"/>
        <v>Arabica</v>
      </c>
      <c r="O207" t="str">
        <f t="shared" si="11"/>
        <v>Light</v>
      </c>
      <c r="P207" t="str">
        <f>_xlfn.XLOOKUP(Orders[[#This Row],[Customer ID]],customers!$A$1:$A$1001,customers!$I$1:$I$1001,,0)</f>
        <v>Yes</v>
      </c>
      <c r="Q207">
        <f>COUNTIF(Orders[Order ID],Orders[[#This Row],[Order ID]])</f>
        <v>1</v>
      </c>
      <c r="R207" s="10">
        <f>SUMIF(Orders[Order ID], Orders[[#This Row],[Order ID]],Orders[Sales])/Orders[[#This Row],[Order Frequency]]</f>
        <v>12.95</v>
      </c>
      <c r="S207" t="str">
        <f>IF(Orders[[#This Row],[Order Frequency]]&gt;4, "More than 4", IF(AND(Orders[[#This Row],[Order Frequency]]&lt;=4,Orders[[#This Row],[Order Frequency]]&gt;=2), "Between 4 and 2", "Less than 2"))</f>
        <v>Less than 2</v>
      </c>
      <c r="T207" t="str">
        <f>IF(Orders[[#This Row],[Frequency Group]]="less than 2", "Low Value", IF(Orders[[#This Row],[Frequency Group]]="between 4 and 2", "Medium Value", "High Value"))</f>
        <v>Low Value</v>
      </c>
      <c r="U207" t="str">
        <f>IF(Orders[[#This Row],[Sales]]&lt;50, "$0-50", IF(AND(Orders[[#This Row],[Sales]]&gt;=50,Orders[[#This Row],[Sales]]&lt;=100), "$50-100", IF(AND(Orders[[#This Row],[Sales]]&gt;100,Orders[[#This Row],[Sales]]&lt;=150), "$101-150", "$150+")))</f>
        <v>$0-50</v>
      </c>
      <c r="V207" t="str">
        <f>IF(Orders[[#This Row],[Sales]]&gt;MEDIAN(M:M), "High Price", "Low Price")</f>
        <v>Low Price</v>
      </c>
      <c r="W207" t="str">
        <f>IF(Orders[[#This Row],[Quantity]]&gt;MEDIAN(E:E), "High Volume", "Low Volume")</f>
        <v>Low Volume</v>
      </c>
      <c r="X207" t="str">
        <f>Orders[[#This Row],[Sales Tier]] &amp; "-" &amp; Orders[[#This Row],[Quantity Tier]]</f>
        <v>Low Price-Low Volume</v>
      </c>
      <c r="Y207" t="str">
        <f>TEXT(Orders[[#This Row],[Order Date]], "mmmm")</f>
        <v>June</v>
      </c>
      <c r="Z20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07" t="str">
        <f>Orders[[#This Row],[Coffee Type Name]] &amp; "-" &amp; Orders[[#This Row],[Roast Type Name]]</f>
        <v>Arabica-Light</v>
      </c>
      <c r="AB20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208" spans="1:28" x14ac:dyDescent="0.25">
      <c r="A208" s="2" t="s">
        <v>3734</v>
      </c>
      <c r="B208" s="4">
        <v>44697</v>
      </c>
      <c r="C208" s="2" t="s">
        <v>3735</v>
      </c>
      <c r="D208" t="s">
        <v>6178</v>
      </c>
      <c r="E208" s="2">
        <v>6</v>
      </c>
      <c r="F208" s="2" t="str">
        <f>_xlfn.XLOOKUP(C208,customers!$A$1:$A$1001,customers!$B$1:$B$1001,,0)</f>
        <v>Maggy Harby</v>
      </c>
      <c r="G208" s="2" t="str">
        <f>IF(_xlfn.XLOOKUP(C208,customers!$A$1:$A$1001,customers!$C$1:$C$1001,,0)=0,"",_xlfn.XLOOKUP(C208,customers!$A$1:$A$1001,customers!$C$1:$C$1001,,0))</f>
        <v>mharbyfy@163.com</v>
      </c>
      <c r="H208" s="2" t="str">
        <f>_xlfn.XLOOKUP(C208,customers!$A$1:$A$1001,customers!$G$1:$G$1001,,0)</f>
        <v>United States</v>
      </c>
      <c r="I208" t="str">
        <f>INDEX(products!$A$1:$G$49, MATCH(orders!$D576,products!$A$1:$A623,0), MATCH(orders!I$1,products!$A$1:$G$1,0))</f>
        <v>Rob</v>
      </c>
      <c r="J208" t="str">
        <f>INDEX(products!$A$1:$G$49, MATCH(orders!$D576,products!$A$1:$A623,0), MATCH(orders!J$1,products!$A$1:$G$1,0))</f>
        <v>L</v>
      </c>
      <c r="K208" s="5">
        <f>INDEX(products!$A$1:$G$49, MATCH(orders!$D576,products!$A$1:$A623,0), MATCH(orders!K$1,products!$A$1:$G$1,0))</f>
        <v>0.2</v>
      </c>
      <c r="L208" s="6">
        <f>INDEX(products!$A$1:$G$49, MATCH(orders!$D576,products!$A$1:$A623,0), MATCH(orders!L$1,products!$A$1:$G$1,0))</f>
        <v>3.5849999999999995</v>
      </c>
      <c r="M208" s="6">
        <f t="shared" si="9"/>
        <v>21.509999999999998</v>
      </c>
      <c r="N208" t="str">
        <f t="shared" si="10"/>
        <v>Robusta</v>
      </c>
      <c r="O208" t="str">
        <f t="shared" si="11"/>
        <v>Light</v>
      </c>
      <c r="P208" t="str">
        <f>_xlfn.XLOOKUP(Orders[[#This Row],[Customer ID]],customers!$A$1:$A$1001,customers!$I$1:$I$1001,,0)</f>
        <v>Yes</v>
      </c>
      <c r="Q208">
        <f>COUNTIF(Orders[Order ID],Orders[[#This Row],[Order ID]])</f>
        <v>1</v>
      </c>
      <c r="R208" s="10">
        <f>SUMIF(Orders[Order ID], Orders[[#This Row],[Order ID]],Orders[Sales])/Orders[[#This Row],[Order Frequency]]</f>
        <v>21.509999999999998</v>
      </c>
      <c r="S208" t="str">
        <f>IF(Orders[[#This Row],[Order Frequency]]&gt;4, "More than 4", IF(AND(Orders[[#This Row],[Order Frequency]]&lt;=4,Orders[[#This Row],[Order Frequency]]&gt;=2), "Between 4 and 2", "Less than 2"))</f>
        <v>Less than 2</v>
      </c>
      <c r="T208" t="str">
        <f>IF(Orders[[#This Row],[Frequency Group]]="less than 2", "Low Value", IF(Orders[[#This Row],[Frequency Group]]="between 4 and 2", "Medium Value", "High Value"))</f>
        <v>Low Value</v>
      </c>
      <c r="U208" t="str">
        <f>IF(Orders[[#This Row],[Sales]]&lt;50, "$0-50", IF(AND(Orders[[#This Row],[Sales]]&gt;=50,Orders[[#This Row],[Sales]]&lt;=100), "$50-100", IF(AND(Orders[[#This Row],[Sales]]&gt;100,Orders[[#This Row],[Sales]]&lt;=150), "$101-150", "$150+")))</f>
        <v>$0-50</v>
      </c>
      <c r="V208" t="str">
        <f>IF(Orders[[#This Row],[Sales]]&gt;MEDIAN(M:M), "High Price", "Low Price")</f>
        <v>Low Price</v>
      </c>
      <c r="W208" t="str">
        <f>IF(Orders[[#This Row],[Quantity]]&gt;MEDIAN(E:E), "High Volume", "Low Volume")</f>
        <v>High Volume</v>
      </c>
      <c r="X208" t="str">
        <f>Orders[[#This Row],[Sales Tier]] &amp; "-" &amp; Orders[[#This Row],[Quantity Tier]]</f>
        <v>Low Price-High Volume</v>
      </c>
      <c r="Y208" t="str">
        <f>TEXT(Orders[[#This Row],[Order Date]], "mmmm")</f>
        <v>May</v>
      </c>
      <c r="Z20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08" t="str">
        <f>Orders[[#This Row],[Coffee Type Name]] &amp; "-" &amp; Orders[[#This Row],[Roast Type Name]]</f>
        <v>Robusta-Light</v>
      </c>
      <c r="AB20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209" spans="1:28" x14ac:dyDescent="0.25">
      <c r="A209" s="2" t="s">
        <v>3277</v>
      </c>
      <c r="B209" s="4">
        <v>44090</v>
      </c>
      <c r="C209" s="2" t="s">
        <v>3278</v>
      </c>
      <c r="D209" t="s">
        <v>6146</v>
      </c>
      <c r="E209" s="2">
        <v>6</v>
      </c>
      <c r="F209" s="2" t="str">
        <f>_xlfn.XLOOKUP(C209,customers!$A$1:$A$1001,customers!$B$1:$B$1001,,0)</f>
        <v>Sky Farnish</v>
      </c>
      <c r="G209" s="2" t="str">
        <f>IF(_xlfn.XLOOKUP(C209,customers!$A$1:$A$1001,customers!$C$1:$C$1001,,0)=0,"",_xlfn.XLOOKUP(C209,customers!$A$1:$A$1001,customers!$C$1:$C$1001,,0))</f>
        <v>sfarnishdp@dmoz.org</v>
      </c>
      <c r="H209" s="2" t="str">
        <f>_xlfn.XLOOKUP(C209,customers!$A$1:$A$1001,customers!$G$1:$G$1001,,0)</f>
        <v>United Kingdom</v>
      </c>
      <c r="I209" t="str">
        <f>INDEX(products!$A$1:$G$49, MATCH(orders!$D495,products!$A$1:$A542,0), MATCH(orders!I$1,products!$A$1:$G$1,0))</f>
        <v>Rob</v>
      </c>
      <c r="J209" t="str">
        <f>INDEX(products!$A$1:$G$49, MATCH(orders!$D495,products!$A$1:$A542,0), MATCH(orders!J$1,products!$A$1:$G$1,0))</f>
        <v>M</v>
      </c>
      <c r="K209" s="5">
        <f>INDEX(products!$A$1:$G$49, MATCH(orders!$D495,products!$A$1:$A542,0), MATCH(orders!K$1,products!$A$1:$G$1,0))</f>
        <v>0.5</v>
      </c>
      <c r="L209" s="6">
        <f>INDEX(products!$A$1:$G$49, MATCH(orders!$D495,products!$A$1:$A542,0), MATCH(orders!L$1,products!$A$1:$G$1,0))</f>
        <v>5.97</v>
      </c>
      <c r="M209" s="6">
        <f t="shared" si="9"/>
        <v>35.82</v>
      </c>
      <c r="N209" t="str">
        <f t="shared" si="10"/>
        <v>Robusta</v>
      </c>
      <c r="O209" t="str">
        <f t="shared" si="11"/>
        <v>Medium</v>
      </c>
      <c r="P209" t="str">
        <f>_xlfn.XLOOKUP(Orders[[#This Row],[Customer ID]],customers!$A$1:$A$1001,customers!$I$1:$I$1001,,0)</f>
        <v>No</v>
      </c>
      <c r="Q209">
        <f>COUNTIF(Orders[Order ID],Orders[[#This Row],[Order ID]])</f>
        <v>1</v>
      </c>
      <c r="R209" s="10">
        <f>SUMIF(Orders[Order ID], Orders[[#This Row],[Order ID]],Orders[Sales])/Orders[[#This Row],[Order Frequency]]</f>
        <v>35.82</v>
      </c>
      <c r="S209" t="str">
        <f>IF(Orders[[#This Row],[Order Frequency]]&gt;4, "More than 4", IF(AND(Orders[[#This Row],[Order Frequency]]&lt;=4,Orders[[#This Row],[Order Frequency]]&gt;=2), "Between 4 and 2", "Less than 2"))</f>
        <v>Less than 2</v>
      </c>
      <c r="T209" t="str">
        <f>IF(Orders[[#This Row],[Frequency Group]]="less than 2", "Low Value", IF(Orders[[#This Row],[Frequency Group]]="between 4 and 2", "Medium Value", "High Value"))</f>
        <v>Low Value</v>
      </c>
      <c r="U209" t="str">
        <f>IF(Orders[[#This Row],[Sales]]&lt;50, "$0-50", IF(AND(Orders[[#This Row],[Sales]]&gt;=50,Orders[[#This Row],[Sales]]&lt;=100), "$50-100", IF(AND(Orders[[#This Row],[Sales]]&gt;100,Orders[[#This Row],[Sales]]&lt;=150), "$101-150", "$150+")))</f>
        <v>$0-50</v>
      </c>
      <c r="V209" t="str">
        <f>IF(Orders[[#This Row],[Sales]]&gt;MEDIAN(M:M), "High Price", "Low Price")</f>
        <v>High Price</v>
      </c>
      <c r="W209" t="str">
        <f>IF(Orders[[#This Row],[Quantity]]&gt;MEDIAN(E:E), "High Volume", "Low Volume")</f>
        <v>High Volume</v>
      </c>
      <c r="X209" t="str">
        <f>Orders[[#This Row],[Sales Tier]] &amp; "-" &amp; Orders[[#This Row],[Quantity Tier]]</f>
        <v>High Price-High Volume</v>
      </c>
      <c r="Y209" t="str">
        <f>TEXT(Orders[[#This Row],[Order Date]], "mmmm")</f>
        <v>September</v>
      </c>
      <c r="Z20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209" t="str">
        <f>Orders[[#This Row],[Coffee Type Name]] &amp; "-" &amp; Orders[[#This Row],[Roast Type Name]]</f>
        <v>Robusta-Medium</v>
      </c>
      <c r="AB20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210" spans="1:28" x14ac:dyDescent="0.25">
      <c r="A210" s="2" t="s">
        <v>5737</v>
      </c>
      <c r="B210" s="4">
        <v>44754</v>
      </c>
      <c r="C210" s="2" t="s">
        <v>5738</v>
      </c>
      <c r="D210" t="s">
        <v>6166</v>
      </c>
      <c r="E210" s="2">
        <v>2</v>
      </c>
      <c r="F210" s="2" t="str">
        <f>_xlfn.XLOOKUP(C210,customers!$A$1:$A$1001,customers!$B$1:$B$1001,,0)</f>
        <v>Mathilda Matiasek</v>
      </c>
      <c r="G210" s="2" t="str">
        <f>IF(_xlfn.XLOOKUP(C210,customers!$A$1:$A$1001,customers!$C$1:$C$1001,,0)=0,"",_xlfn.XLOOKUP(C210,customers!$A$1:$A$1001,customers!$C$1:$C$1001,,0))</f>
        <v>mmatiasekps@ucoz.ru</v>
      </c>
      <c r="H210" s="2" t="str">
        <f>_xlfn.XLOOKUP(C210,customers!$A$1:$A$1001,customers!$G$1:$G$1001,,0)</f>
        <v>United States</v>
      </c>
      <c r="I210" t="str">
        <f>INDEX(products!$A$1:$G$49, MATCH(orders!$D930,products!$A$1:$A977,0), MATCH(orders!I$1,products!$A$1:$G$1,0))</f>
        <v>Exc</v>
      </c>
      <c r="J210" t="str">
        <f>INDEX(products!$A$1:$G$49, MATCH(orders!$D930,products!$A$1:$A977,0), MATCH(orders!J$1,products!$A$1:$G$1,0))</f>
        <v>M</v>
      </c>
      <c r="K210" s="5">
        <f>INDEX(products!$A$1:$G$49, MATCH(orders!$D930,products!$A$1:$A977,0), MATCH(orders!K$1,products!$A$1:$G$1,0))</f>
        <v>2.5</v>
      </c>
      <c r="L210" s="6">
        <f>INDEX(products!$A$1:$G$49, MATCH(orders!$D930,products!$A$1:$A977,0), MATCH(orders!L$1,products!$A$1:$G$1,0))</f>
        <v>31.624999999999996</v>
      </c>
      <c r="M210" s="6">
        <f t="shared" si="9"/>
        <v>63.249999999999993</v>
      </c>
      <c r="N210" t="str">
        <f t="shared" si="10"/>
        <v>Excelsa</v>
      </c>
      <c r="O210" t="str">
        <f t="shared" si="11"/>
        <v>Medium</v>
      </c>
      <c r="P210" t="str">
        <f>_xlfn.XLOOKUP(Orders[[#This Row],[Customer ID]],customers!$A$1:$A$1001,customers!$I$1:$I$1001,,0)</f>
        <v>Yes</v>
      </c>
      <c r="Q210">
        <f>COUNTIF(Orders[Order ID],Orders[[#This Row],[Order ID]])</f>
        <v>1</v>
      </c>
      <c r="R210" s="10">
        <f>SUMIF(Orders[Order ID], Orders[[#This Row],[Order ID]],Orders[Sales])/Orders[[#This Row],[Order Frequency]]</f>
        <v>63.249999999999993</v>
      </c>
      <c r="S210" t="str">
        <f>IF(Orders[[#This Row],[Order Frequency]]&gt;4, "More than 4", IF(AND(Orders[[#This Row],[Order Frequency]]&lt;=4,Orders[[#This Row],[Order Frequency]]&gt;=2), "Between 4 and 2", "Less than 2"))</f>
        <v>Less than 2</v>
      </c>
      <c r="T210" t="str">
        <f>IF(Orders[[#This Row],[Frequency Group]]="less than 2", "Low Value", IF(Orders[[#This Row],[Frequency Group]]="between 4 and 2", "Medium Value", "High Value"))</f>
        <v>Low Value</v>
      </c>
      <c r="U210" t="str">
        <f>IF(Orders[[#This Row],[Sales]]&lt;50, "$0-50", IF(AND(Orders[[#This Row],[Sales]]&gt;=50,Orders[[#This Row],[Sales]]&lt;=100), "$50-100", IF(AND(Orders[[#This Row],[Sales]]&gt;100,Orders[[#This Row],[Sales]]&lt;=150), "$101-150", "$150+")))</f>
        <v>$50-100</v>
      </c>
      <c r="V210" t="str">
        <f>IF(Orders[[#This Row],[Sales]]&gt;MEDIAN(M:M), "High Price", "Low Price")</f>
        <v>High Price</v>
      </c>
      <c r="W210" t="str">
        <f>IF(Orders[[#This Row],[Quantity]]&gt;MEDIAN(E:E), "High Volume", "Low Volume")</f>
        <v>Low Volume</v>
      </c>
      <c r="X210" t="str">
        <f>Orders[[#This Row],[Sales Tier]] &amp; "-" &amp; Orders[[#This Row],[Quantity Tier]]</f>
        <v>High Price-Low Volume</v>
      </c>
      <c r="Y210" t="str">
        <f>TEXT(Orders[[#This Row],[Order Date]], "mmmm")</f>
        <v>July</v>
      </c>
      <c r="Z21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210" t="str">
        <f>Orders[[#This Row],[Coffee Type Name]] &amp; "-" &amp; Orders[[#This Row],[Roast Type Name]]</f>
        <v>Excelsa-Medium</v>
      </c>
      <c r="AB21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211" spans="1:28" x14ac:dyDescent="0.25">
      <c r="A211" s="2" t="s">
        <v>5984</v>
      </c>
      <c r="B211" s="4">
        <v>44411</v>
      </c>
      <c r="C211" s="2" t="s">
        <v>5985</v>
      </c>
      <c r="D211" t="s">
        <v>6182</v>
      </c>
      <c r="E211" s="2">
        <v>3</v>
      </c>
      <c r="F211" s="2" t="str">
        <f>_xlfn.XLOOKUP(C211,customers!$A$1:$A$1001,customers!$B$1:$B$1001,,0)</f>
        <v>Dinah Crutcher</v>
      </c>
      <c r="G211" s="2" t="str">
        <f>IF(_xlfn.XLOOKUP(C211,customers!$A$1:$A$1001,customers!$C$1:$C$1001,,0)=0,"",_xlfn.XLOOKUP(C211,customers!$A$1:$A$1001,customers!$C$1:$C$1001,,0))</f>
        <v/>
      </c>
      <c r="H211" s="2" t="str">
        <f>_xlfn.XLOOKUP(C211,customers!$A$1:$A$1001,customers!$G$1:$G$1001,,0)</f>
        <v>Ireland</v>
      </c>
      <c r="I211" t="str">
        <f>INDEX(products!$A$1:$G$49, MATCH(orders!$D974,products!$A$1:$A1021,0), MATCH(orders!I$1,products!$A$1:$G$1,0))</f>
        <v>Ara</v>
      </c>
      <c r="J211" t="str">
        <f>INDEX(products!$A$1:$G$49, MATCH(orders!$D974,products!$A$1:$A1021,0), MATCH(orders!J$1,products!$A$1:$G$1,0))</f>
        <v>L</v>
      </c>
      <c r="K211" s="5">
        <f>INDEX(products!$A$1:$G$49, MATCH(orders!$D974,products!$A$1:$A1021,0), MATCH(orders!K$1,products!$A$1:$G$1,0))</f>
        <v>2.5</v>
      </c>
      <c r="L211" s="6">
        <f>INDEX(products!$A$1:$G$49, MATCH(orders!$D974,products!$A$1:$A1021,0), MATCH(orders!L$1,products!$A$1:$G$1,0))</f>
        <v>29.784999999999997</v>
      </c>
      <c r="M211" s="6">
        <f t="shared" si="9"/>
        <v>89.35499999999999</v>
      </c>
      <c r="N211" t="str">
        <f t="shared" si="10"/>
        <v>Arabica</v>
      </c>
      <c r="O211" t="str">
        <f t="shared" si="11"/>
        <v>Light</v>
      </c>
      <c r="P211" t="str">
        <f>_xlfn.XLOOKUP(Orders[[#This Row],[Customer ID]],customers!$A$1:$A$1001,customers!$I$1:$I$1001,,0)</f>
        <v>Yes</v>
      </c>
      <c r="Q211">
        <f>COUNTIF(Orders[Order ID],Orders[[#This Row],[Order ID]])</f>
        <v>1</v>
      </c>
      <c r="R211" s="10">
        <f>SUMIF(Orders[Order ID], Orders[[#This Row],[Order ID]],Orders[Sales])/Orders[[#This Row],[Order Frequency]]</f>
        <v>89.35499999999999</v>
      </c>
      <c r="S211" t="str">
        <f>IF(Orders[[#This Row],[Order Frequency]]&gt;4, "More than 4", IF(AND(Orders[[#This Row],[Order Frequency]]&lt;=4,Orders[[#This Row],[Order Frequency]]&gt;=2), "Between 4 and 2", "Less than 2"))</f>
        <v>Less than 2</v>
      </c>
      <c r="T211" t="str">
        <f>IF(Orders[[#This Row],[Frequency Group]]="less than 2", "Low Value", IF(Orders[[#This Row],[Frequency Group]]="between 4 and 2", "Medium Value", "High Value"))</f>
        <v>Low Value</v>
      </c>
      <c r="U211" t="str">
        <f>IF(Orders[[#This Row],[Sales]]&lt;50, "$0-50", IF(AND(Orders[[#This Row],[Sales]]&gt;=50,Orders[[#This Row],[Sales]]&lt;=100), "$50-100", IF(AND(Orders[[#This Row],[Sales]]&gt;100,Orders[[#This Row],[Sales]]&lt;=150), "$101-150", "$150+")))</f>
        <v>$50-100</v>
      </c>
      <c r="V211" t="str">
        <f>IF(Orders[[#This Row],[Sales]]&gt;MEDIAN(M:M), "High Price", "Low Price")</f>
        <v>High Price</v>
      </c>
      <c r="W211" t="str">
        <f>IF(Orders[[#This Row],[Quantity]]&gt;MEDIAN(E:E), "High Volume", "Low Volume")</f>
        <v>Low Volume</v>
      </c>
      <c r="X211" t="str">
        <f>Orders[[#This Row],[Sales Tier]] &amp; "-" &amp; Orders[[#This Row],[Quantity Tier]]</f>
        <v>High Price-Low Volume</v>
      </c>
      <c r="Y211" t="str">
        <f>TEXT(Orders[[#This Row],[Order Date]], "mmmm")</f>
        <v>August</v>
      </c>
      <c r="Z21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211" t="str">
        <f>Orders[[#This Row],[Coffee Type Name]] &amp; "-" &amp; Orders[[#This Row],[Roast Type Name]]</f>
        <v>Arabica-Light</v>
      </c>
      <c r="AB21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212" spans="1:28" x14ac:dyDescent="0.25">
      <c r="A212" s="2" t="s">
        <v>2363</v>
      </c>
      <c r="B212" s="4">
        <v>43689</v>
      </c>
      <c r="C212" s="2" t="s">
        <v>2364</v>
      </c>
      <c r="D212" t="s">
        <v>6158</v>
      </c>
      <c r="E212" s="2">
        <v>3</v>
      </c>
      <c r="F212" s="2" t="str">
        <f>_xlfn.XLOOKUP(C212,customers!$A$1:$A$1001,customers!$B$1:$B$1001,,0)</f>
        <v>Quinn Parsons</v>
      </c>
      <c r="G212" s="2" t="str">
        <f>IF(_xlfn.XLOOKUP(C212,customers!$A$1:$A$1001,customers!$C$1:$C$1001,,0)=0,"",_xlfn.XLOOKUP(C212,customers!$A$1:$A$1001,customers!$C$1:$C$1001,,0))</f>
        <v>qparsons98@blogtalkradio.com</v>
      </c>
      <c r="H212" s="2" t="str">
        <f>_xlfn.XLOOKUP(C212,customers!$A$1:$A$1001,customers!$G$1:$G$1001,,0)</f>
        <v>United States</v>
      </c>
      <c r="I212" t="str">
        <f>INDEX(products!$A$1:$G$49, MATCH(orders!$D334,products!$A$1:$A381,0), MATCH(orders!I$1,products!$A$1:$G$1,0))</f>
        <v>Ara</v>
      </c>
      <c r="J212" t="str">
        <f>INDEX(products!$A$1:$G$49, MATCH(orders!$D334,products!$A$1:$A381,0), MATCH(orders!J$1,products!$A$1:$G$1,0))</f>
        <v>D</v>
      </c>
      <c r="K212" s="5">
        <f>INDEX(products!$A$1:$G$49, MATCH(orders!$D334,products!$A$1:$A381,0), MATCH(orders!K$1,products!$A$1:$G$1,0))</f>
        <v>0.5</v>
      </c>
      <c r="L212" s="6">
        <f>INDEX(products!$A$1:$G$49, MATCH(orders!$D334,products!$A$1:$A381,0), MATCH(orders!L$1,products!$A$1:$G$1,0))</f>
        <v>5.97</v>
      </c>
      <c r="M212" s="6">
        <f t="shared" si="9"/>
        <v>17.91</v>
      </c>
      <c r="N212" t="str">
        <f t="shared" si="10"/>
        <v>Arabica</v>
      </c>
      <c r="O212" t="str">
        <f t="shared" si="11"/>
        <v>Dark</v>
      </c>
      <c r="P212" t="str">
        <f>_xlfn.XLOOKUP(Orders[[#This Row],[Customer ID]],customers!$A$1:$A$1001,customers!$I$1:$I$1001,,0)</f>
        <v>Yes</v>
      </c>
      <c r="Q212">
        <f>COUNTIF(Orders[Order ID],Orders[[#This Row],[Order ID]])</f>
        <v>1</v>
      </c>
      <c r="R212" s="10">
        <f>SUMIF(Orders[Order ID], Orders[[#This Row],[Order ID]],Orders[Sales])/Orders[[#This Row],[Order Frequency]]</f>
        <v>17.91</v>
      </c>
      <c r="S212" t="str">
        <f>IF(Orders[[#This Row],[Order Frequency]]&gt;4, "More than 4", IF(AND(Orders[[#This Row],[Order Frequency]]&lt;=4,Orders[[#This Row],[Order Frequency]]&gt;=2), "Between 4 and 2", "Less than 2"))</f>
        <v>Less than 2</v>
      </c>
      <c r="T212" t="str">
        <f>IF(Orders[[#This Row],[Frequency Group]]="less than 2", "Low Value", IF(Orders[[#This Row],[Frequency Group]]="between 4 and 2", "Medium Value", "High Value"))</f>
        <v>Low Value</v>
      </c>
      <c r="U212" t="str">
        <f>IF(Orders[[#This Row],[Sales]]&lt;50, "$0-50", IF(AND(Orders[[#This Row],[Sales]]&gt;=50,Orders[[#This Row],[Sales]]&lt;=100), "$50-100", IF(AND(Orders[[#This Row],[Sales]]&gt;100,Orders[[#This Row],[Sales]]&lt;=150), "$101-150", "$150+")))</f>
        <v>$0-50</v>
      </c>
      <c r="V212" t="str">
        <f>IF(Orders[[#This Row],[Sales]]&gt;MEDIAN(M:M), "High Price", "Low Price")</f>
        <v>Low Price</v>
      </c>
      <c r="W212" t="str">
        <f>IF(Orders[[#This Row],[Quantity]]&gt;MEDIAN(E:E), "High Volume", "Low Volume")</f>
        <v>Low Volume</v>
      </c>
      <c r="X212" t="str">
        <f>Orders[[#This Row],[Sales Tier]] &amp; "-" &amp; Orders[[#This Row],[Quantity Tier]]</f>
        <v>Low Price-Low Volume</v>
      </c>
      <c r="Y212" t="str">
        <f>TEXT(Orders[[#This Row],[Order Date]], "mmmm")</f>
        <v>August</v>
      </c>
      <c r="Z21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212" t="str">
        <f>Orders[[#This Row],[Coffee Type Name]] &amp; "-" &amp; Orders[[#This Row],[Roast Type Name]]</f>
        <v>Arabica-Dark</v>
      </c>
      <c r="AB21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213" spans="1:28" x14ac:dyDescent="0.25">
      <c r="A213" s="2" t="s">
        <v>3181</v>
      </c>
      <c r="B213" s="4">
        <v>44274</v>
      </c>
      <c r="C213" s="2" t="s">
        <v>3182</v>
      </c>
      <c r="D213" t="s">
        <v>6184</v>
      </c>
      <c r="E213" s="2">
        <v>6</v>
      </c>
      <c r="F213" s="2" t="str">
        <f>_xlfn.XLOOKUP(C213,customers!$A$1:$A$1001,customers!$B$1:$B$1001,,0)</f>
        <v>Gardy Dimitriou</v>
      </c>
      <c r="G213" s="2" t="str">
        <f>IF(_xlfn.XLOOKUP(C213,customers!$A$1:$A$1001,customers!$C$1:$C$1001,,0)=0,"",_xlfn.XLOOKUP(C213,customers!$A$1:$A$1001,customers!$C$1:$C$1001,,0))</f>
        <v>gdimitrioud8@chronoengine.com</v>
      </c>
      <c r="H213" s="2" t="str">
        <f>_xlfn.XLOOKUP(C213,customers!$A$1:$A$1001,customers!$G$1:$G$1001,,0)</f>
        <v>United States</v>
      </c>
      <c r="I213" t="str">
        <f>INDEX(products!$A$1:$G$49, MATCH(orders!$D478,products!$A$1:$A525,0), MATCH(orders!I$1,products!$A$1:$G$1,0))</f>
        <v>Exc</v>
      </c>
      <c r="J213" t="str">
        <f>INDEX(products!$A$1:$G$49, MATCH(orders!$D478,products!$A$1:$A525,0), MATCH(orders!J$1,products!$A$1:$G$1,0))</f>
        <v>L</v>
      </c>
      <c r="K213" s="5">
        <f>INDEX(products!$A$1:$G$49, MATCH(orders!$D478,products!$A$1:$A525,0), MATCH(orders!K$1,products!$A$1:$G$1,0))</f>
        <v>0.2</v>
      </c>
      <c r="L213" s="6">
        <f>INDEX(products!$A$1:$G$49, MATCH(orders!$D478,products!$A$1:$A525,0), MATCH(orders!L$1,products!$A$1:$G$1,0))</f>
        <v>4.4550000000000001</v>
      </c>
      <c r="M213" s="6">
        <f t="shared" si="9"/>
        <v>26.73</v>
      </c>
      <c r="N213" t="str">
        <f t="shared" si="10"/>
        <v>Excelsa</v>
      </c>
      <c r="O213" t="str">
        <f t="shared" si="11"/>
        <v>Light</v>
      </c>
      <c r="P213" t="str">
        <f>_xlfn.XLOOKUP(Orders[[#This Row],[Customer ID]],customers!$A$1:$A$1001,customers!$I$1:$I$1001,,0)</f>
        <v>Yes</v>
      </c>
      <c r="Q213">
        <f>COUNTIF(Orders[Order ID],Orders[[#This Row],[Order ID]])</f>
        <v>1</v>
      </c>
      <c r="R213" s="10">
        <f>SUMIF(Orders[Order ID], Orders[[#This Row],[Order ID]],Orders[Sales])/Orders[[#This Row],[Order Frequency]]</f>
        <v>26.73</v>
      </c>
      <c r="S213" t="str">
        <f>IF(Orders[[#This Row],[Order Frequency]]&gt;4, "More than 4", IF(AND(Orders[[#This Row],[Order Frequency]]&lt;=4,Orders[[#This Row],[Order Frequency]]&gt;=2), "Between 4 and 2", "Less than 2"))</f>
        <v>Less than 2</v>
      </c>
      <c r="T213" t="str">
        <f>IF(Orders[[#This Row],[Frequency Group]]="less than 2", "Low Value", IF(Orders[[#This Row],[Frequency Group]]="between 4 and 2", "Medium Value", "High Value"))</f>
        <v>Low Value</v>
      </c>
      <c r="U213" t="str">
        <f>IF(Orders[[#This Row],[Sales]]&lt;50, "$0-50", IF(AND(Orders[[#This Row],[Sales]]&gt;=50,Orders[[#This Row],[Sales]]&lt;=100), "$50-100", IF(AND(Orders[[#This Row],[Sales]]&gt;100,Orders[[#This Row],[Sales]]&lt;=150), "$101-150", "$150+")))</f>
        <v>$0-50</v>
      </c>
      <c r="V213" t="str">
        <f>IF(Orders[[#This Row],[Sales]]&gt;MEDIAN(M:M), "High Price", "Low Price")</f>
        <v>Low Price</v>
      </c>
      <c r="W213" t="str">
        <f>IF(Orders[[#This Row],[Quantity]]&gt;MEDIAN(E:E), "High Volume", "Low Volume")</f>
        <v>High Volume</v>
      </c>
      <c r="X213" t="str">
        <f>Orders[[#This Row],[Sales Tier]] &amp; "-" &amp; Orders[[#This Row],[Quantity Tier]]</f>
        <v>Low Price-High Volume</v>
      </c>
      <c r="Y213" t="str">
        <f>TEXT(Orders[[#This Row],[Order Date]], "mmmm")</f>
        <v>March</v>
      </c>
      <c r="Z21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213" t="str">
        <f>Orders[[#This Row],[Coffee Type Name]] &amp; "-" &amp; Orders[[#This Row],[Roast Type Name]]</f>
        <v>Excelsa-Light</v>
      </c>
      <c r="AB21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214" spans="1:28" x14ac:dyDescent="0.25">
      <c r="A214" s="2" t="s">
        <v>620</v>
      </c>
      <c r="B214" s="4">
        <v>44603</v>
      </c>
      <c r="C214" s="2" t="s">
        <v>621</v>
      </c>
      <c r="D214" t="s">
        <v>6154</v>
      </c>
      <c r="E214" s="2">
        <v>4</v>
      </c>
      <c r="F214" s="2" t="str">
        <f>_xlfn.XLOOKUP(C214,customers!$A$1:$A$1001,customers!$B$1:$B$1001,,0)</f>
        <v>Iorgo Kleinert</v>
      </c>
      <c r="G214" s="2" t="str">
        <f>IF(_xlfn.XLOOKUP(C214,customers!$A$1:$A$1001,customers!$C$1:$C$1001,,0)=0,"",_xlfn.XLOOKUP(C214,customers!$A$1:$A$1001,customers!$C$1:$C$1001,,0))</f>
        <v>ikleinertn@timesonline.co.uk</v>
      </c>
      <c r="H214" s="2" t="str">
        <f>_xlfn.XLOOKUP(C214,customers!$A$1:$A$1001,customers!$G$1:$G$1001,,0)</f>
        <v>United States</v>
      </c>
      <c r="I214" t="str">
        <f>INDEX(products!$A$1:$G$49, MATCH(orders!$D25,products!$A$1:$A72,0), MATCH(orders!I$1,products!$A$1:$G$1,0))</f>
        <v>Ara</v>
      </c>
      <c r="J214" t="str">
        <f>INDEX(products!$A$1:$G$49, MATCH(orders!$D25,products!$A$1:$A72,0), MATCH(orders!J$1,products!$A$1:$G$1,0))</f>
        <v>D</v>
      </c>
      <c r="K214" s="5">
        <f>INDEX(products!$A$1:$G$49, MATCH(orders!$D25,products!$A$1:$A72,0), MATCH(orders!K$1,products!$A$1:$G$1,0))</f>
        <v>0.2</v>
      </c>
      <c r="L214" s="6">
        <f>INDEX(products!$A$1:$G$49, MATCH(orders!$D25,products!$A$1:$A72,0), MATCH(orders!L$1,products!$A$1:$G$1,0))</f>
        <v>2.9849999999999999</v>
      </c>
      <c r="M214" s="6">
        <f t="shared" si="9"/>
        <v>11.94</v>
      </c>
      <c r="N214" t="str">
        <f t="shared" si="10"/>
        <v>Arabica</v>
      </c>
      <c r="O214" t="str">
        <f t="shared" si="11"/>
        <v>Dark</v>
      </c>
      <c r="P214" t="str">
        <f>_xlfn.XLOOKUP(Orders[[#This Row],[Customer ID]],customers!$A$1:$A$1001,customers!$I$1:$I$1001,,0)</f>
        <v>Yes</v>
      </c>
      <c r="Q214">
        <f>COUNTIF(Orders[Order ID],Orders[[#This Row],[Order ID]])</f>
        <v>1</v>
      </c>
      <c r="R214" s="10">
        <f>SUMIF(Orders[Order ID], Orders[[#This Row],[Order ID]],Orders[Sales])/Orders[[#This Row],[Order Frequency]]</f>
        <v>11.94</v>
      </c>
      <c r="S214" t="str">
        <f>IF(Orders[[#This Row],[Order Frequency]]&gt;4, "More than 4", IF(AND(Orders[[#This Row],[Order Frequency]]&lt;=4,Orders[[#This Row],[Order Frequency]]&gt;=2), "Between 4 and 2", "Less than 2"))</f>
        <v>Less than 2</v>
      </c>
      <c r="T214" t="str">
        <f>IF(Orders[[#This Row],[Frequency Group]]="less than 2", "Low Value", IF(Orders[[#This Row],[Frequency Group]]="between 4 and 2", "Medium Value", "High Value"))</f>
        <v>Low Value</v>
      </c>
      <c r="U214" t="str">
        <f>IF(Orders[[#This Row],[Sales]]&lt;50, "$0-50", IF(AND(Orders[[#This Row],[Sales]]&gt;=50,Orders[[#This Row],[Sales]]&lt;=100), "$50-100", IF(AND(Orders[[#This Row],[Sales]]&gt;100,Orders[[#This Row],[Sales]]&lt;=150), "$101-150", "$150+")))</f>
        <v>$0-50</v>
      </c>
      <c r="V214" t="str">
        <f>IF(Orders[[#This Row],[Sales]]&gt;MEDIAN(M:M), "High Price", "Low Price")</f>
        <v>Low Price</v>
      </c>
      <c r="W214" t="str">
        <f>IF(Orders[[#This Row],[Quantity]]&gt;MEDIAN(E:E), "High Volume", "Low Volume")</f>
        <v>Low Volume</v>
      </c>
      <c r="X214" t="str">
        <f>Orders[[#This Row],[Sales Tier]] &amp; "-" &amp; Orders[[#This Row],[Quantity Tier]]</f>
        <v>Low Price-Low Volume</v>
      </c>
      <c r="Y214" t="str">
        <f>TEXT(Orders[[#This Row],[Order Date]], "mmmm")</f>
        <v>February</v>
      </c>
      <c r="Z21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214" t="str">
        <f>Orders[[#This Row],[Coffee Type Name]] &amp; "-" &amp; Orders[[#This Row],[Roast Type Name]]</f>
        <v>Arabica-Dark</v>
      </c>
      <c r="AB21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215" spans="1:28" x14ac:dyDescent="0.25">
      <c r="A215" s="2" t="s">
        <v>2515</v>
      </c>
      <c r="B215" s="4">
        <v>43563</v>
      </c>
      <c r="C215" s="2" t="s">
        <v>2516</v>
      </c>
      <c r="D215" t="s">
        <v>6178</v>
      </c>
      <c r="E215" s="2">
        <v>6</v>
      </c>
      <c r="F215" s="2" t="str">
        <f>_xlfn.XLOOKUP(C215,customers!$A$1:$A$1001,customers!$B$1:$B$1001,,0)</f>
        <v>Yuma Skipsey</v>
      </c>
      <c r="G215" s="2" t="str">
        <f>IF(_xlfn.XLOOKUP(C215,customers!$A$1:$A$1001,customers!$C$1:$C$1001,,0)=0,"",_xlfn.XLOOKUP(C215,customers!$A$1:$A$1001,customers!$C$1:$C$1001,,0))</f>
        <v>yskipsey9z@spotify.com</v>
      </c>
      <c r="H215" s="2" t="str">
        <f>_xlfn.XLOOKUP(C215,customers!$A$1:$A$1001,customers!$G$1:$G$1001,,0)</f>
        <v>United Kingdom</v>
      </c>
      <c r="I215" t="str">
        <f>INDEX(products!$A$1:$G$49, MATCH(orders!$D361,products!$A$1:$A408,0), MATCH(orders!I$1,products!$A$1:$G$1,0))</f>
        <v>Rob</v>
      </c>
      <c r="J215" t="str">
        <f>INDEX(products!$A$1:$G$49, MATCH(orders!$D361,products!$A$1:$A408,0), MATCH(orders!J$1,products!$A$1:$G$1,0))</f>
        <v>L</v>
      </c>
      <c r="K215" s="5">
        <f>INDEX(products!$A$1:$G$49, MATCH(orders!$D361,products!$A$1:$A408,0), MATCH(orders!K$1,products!$A$1:$G$1,0))</f>
        <v>0.2</v>
      </c>
      <c r="L215" s="6">
        <f>INDEX(products!$A$1:$G$49, MATCH(orders!$D361,products!$A$1:$A408,0), MATCH(orders!L$1,products!$A$1:$G$1,0))</f>
        <v>3.5849999999999995</v>
      </c>
      <c r="M215" s="6">
        <f t="shared" si="9"/>
        <v>21.509999999999998</v>
      </c>
      <c r="N215" t="str">
        <f t="shared" si="10"/>
        <v>Robusta</v>
      </c>
      <c r="O215" t="str">
        <f t="shared" si="11"/>
        <v>Light</v>
      </c>
      <c r="P215" t="str">
        <f>_xlfn.XLOOKUP(Orders[[#This Row],[Customer ID]],customers!$A$1:$A$1001,customers!$I$1:$I$1001,,0)</f>
        <v>No</v>
      </c>
      <c r="Q215">
        <f>COUNTIF(Orders[Order ID],Orders[[#This Row],[Order ID]])</f>
        <v>1</v>
      </c>
      <c r="R215" s="10">
        <f>SUMIF(Orders[Order ID], Orders[[#This Row],[Order ID]],Orders[Sales])/Orders[[#This Row],[Order Frequency]]</f>
        <v>21.509999999999998</v>
      </c>
      <c r="S215" t="str">
        <f>IF(Orders[[#This Row],[Order Frequency]]&gt;4, "More than 4", IF(AND(Orders[[#This Row],[Order Frequency]]&lt;=4,Orders[[#This Row],[Order Frequency]]&gt;=2), "Between 4 and 2", "Less than 2"))</f>
        <v>Less than 2</v>
      </c>
      <c r="T215" t="str">
        <f>IF(Orders[[#This Row],[Frequency Group]]="less than 2", "Low Value", IF(Orders[[#This Row],[Frequency Group]]="between 4 and 2", "Medium Value", "High Value"))</f>
        <v>Low Value</v>
      </c>
      <c r="U215" t="str">
        <f>IF(Orders[[#This Row],[Sales]]&lt;50, "$0-50", IF(AND(Orders[[#This Row],[Sales]]&gt;=50,Orders[[#This Row],[Sales]]&lt;=100), "$50-100", IF(AND(Orders[[#This Row],[Sales]]&gt;100,Orders[[#This Row],[Sales]]&lt;=150), "$101-150", "$150+")))</f>
        <v>$0-50</v>
      </c>
      <c r="V215" t="str">
        <f>IF(Orders[[#This Row],[Sales]]&gt;MEDIAN(M:M), "High Price", "Low Price")</f>
        <v>Low Price</v>
      </c>
      <c r="W215" t="str">
        <f>IF(Orders[[#This Row],[Quantity]]&gt;MEDIAN(E:E), "High Volume", "Low Volume")</f>
        <v>High Volume</v>
      </c>
      <c r="X215" t="str">
        <f>Orders[[#This Row],[Sales Tier]] &amp; "-" &amp; Orders[[#This Row],[Quantity Tier]]</f>
        <v>Low Price-High Volume</v>
      </c>
      <c r="Y215" t="str">
        <f>TEXT(Orders[[#This Row],[Order Date]], "mmmm")</f>
        <v>April</v>
      </c>
      <c r="Z21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15" t="str">
        <f>Orders[[#This Row],[Coffee Type Name]] &amp; "-" &amp; Orders[[#This Row],[Roast Type Name]]</f>
        <v>Robusta-Light</v>
      </c>
      <c r="AB21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216" spans="1:28" x14ac:dyDescent="0.25">
      <c r="A216" s="2" t="s">
        <v>3542</v>
      </c>
      <c r="B216" s="4">
        <v>43584</v>
      </c>
      <c r="C216" s="2" t="s">
        <v>3543</v>
      </c>
      <c r="D216" t="s">
        <v>6170</v>
      </c>
      <c r="E216" s="2">
        <v>4</v>
      </c>
      <c r="F216" s="2" t="str">
        <f>_xlfn.XLOOKUP(C216,customers!$A$1:$A$1001,customers!$B$1:$B$1001,,0)</f>
        <v>Killian Osler</v>
      </c>
      <c r="G216" s="2" t="str">
        <f>IF(_xlfn.XLOOKUP(C216,customers!$A$1:$A$1001,customers!$C$1:$C$1001,,0)=0,"",_xlfn.XLOOKUP(C216,customers!$A$1:$A$1001,customers!$C$1:$C$1001,,0))</f>
        <v>koslerf0@gmpg.org</v>
      </c>
      <c r="H216" s="2" t="str">
        <f>_xlfn.XLOOKUP(C216,customers!$A$1:$A$1001,customers!$G$1:$G$1001,,0)</f>
        <v>United States</v>
      </c>
      <c r="I216" t="str">
        <f>INDEX(products!$A$1:$G$49, MATCH(orders!$D542,products!$A$1:$A589,0), MATCH(orders!I$1,products!$A$1:$G$1,0))</f>
        <v>Lib</v>
      </c>
      <c r="J216" t="str">
        <f>INDEX(products!$A$1:$G$49, MATCH(orders!$D542,products!$A$1:$A589,0), MATCH(orders!J$1,products!$A$1:$G$1,0))</f>
        <v>L</v>
      </c>
      <c r="K216" s="5">
        <f>INDEX(products!$A$1:$G$49, MATCH(orders!$D542,products!$A$1:$A589,0), MATCH(orders!K$1,products!$A$1:$G$1,0))</f>
        <v>1</v>
      </c>
      <c r="L216" s="6">
        <f>INDEX(products!$A$1:$G$49, MATCH(orders!$D542,products!$A$1:$A589,0), MATCH(orders!L$1,products!$A$1:$G$1,0))</f>
        <v>15.85</v>
      </c>
      <c r="M216" s="6">
        <f t="shared" si="9"/>
        <v>63.4</v>
      </c>
      <c r="N216" t="str">
        <f t="shared" si="10"/>
        <v>Liberica</v>
      </c>
      <c r="O216" t="str">
        <f t="shared" si="11"/>
        <v>Light</v>
      </c>
      <c r="P216" t="str">
        <f>_xlfn.XLOOKUP(Orders[[#This Row],[Customer ID]],customers!$A$1:$A$1001,customers!$I$1:$I$1001,,0)</f>
        <v>Yes</v>
      </c>
      <c r="Q216">
        <f>COUNTIF(Orders[Order ID],Orders[[#This Row],[Order ID]])</f>
        <v>1</v>
      </c>
      <c r="R216" s="10">
        <f>SUMIF(Orders[Order ID], Orders[[#This Row],[Order ID]],Orders[Sales])/Orders[[#This Row],[Order Frequency]]</f>
        <v>63.4</v>
      </c>
      <c r="S216" t="str">
        <f>IF(Orders[[#This Row],[Order Frequency]]&gt;4, "More than 4", IF(AND(Orders[[#This Row],[Order Frequency]]&lt;=4,Orders[[#This Row],[Order Frequency]]&gt;=2), "Between 4 and 2", "Less than 2"))</f>
        <v>Less than 2</v>
      </c>
      <c r="T216" t="str">
        <f>IF(Orders[[#This Row],[Frequency Group]]="less than 2", "Low Value", IF(Orders[[#This Row],[Frequency Group]]="between 4 and 2", "Medium Value", "High Value"))</f>
        <v>Low Value</v>
      </c>
      <c r="U216" t="str">
        <f>IF(Orders[[#This Row],[Sales]]&lt;50, "$0-50", IF(AND(Orders[[#This Row],[Sales]]&gt;=50,Orders[[#This Row],[Sales]]&lt;=100), "$50-100", IF(AND(Orders[[#This Row],[Sales]]&gt;100,Orders[[#This Row],[Sales]]&lt;=150), "$101-150", "$150+")))</f>
        <v>$50-100</v>
      </c>
      <c r="V216" t="str">
        <f>IF(Orders[[#This Row],[Sales]]&gt;MEDIAN(M:M), "High Price", "Low Price")</f>
        <v>High Price</v>
      </c>
      <c r="W216" t="str">
        <f>IF(Orders[[#This Row],[Quantity]]&gt;MEDIAN(E:E), "High Volume", "Low Volume")</f>
        <v>Low Volume</v>
      </c>
      <c r="X216" t="str">
        <f>Orders[[#This Row],[Sales Tier]] &amp; "-" &amp; Orders[[#This Row],[Quantity Tier]]</f>
        <v>High Price-Low Volume</v>
      </c>
      <c r="Y216" t="str">
        <f>TEXT(Orders[[#This Row],[Order Date]], "mmmm")</f>
        <v>April</v>
      </c>
      <c r="Z21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16" t="str">
        <f>Orders[[#This Row],[Coffee Type Name]] &amp; "-" &amp; Orders[[#This Row],[Roast Type Name]]</f>
        <v>Liberica-Light</v>
      </c>
      <c r="AB21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217" spans="1:28" x14ac:dyDescent="0.25">
      <c r="A217" s="2" t="s">
        <v>5402</v>
      </c>
      <c r="B217" s="4">
        <v>43851</v>
      </c>
      <c r="C217" s="2" t="s">
        <v>5403</v>
      </c>
      <c r="D217" t="s">
        <v>6146</v>
      </c>
      <c r="E217" s="2">
        <v>3</v>
      </c>
      <c r="F217" s="2" t="str">
        <f>_xlfn.XLOOKUP(C217,customers!$A$1:$A$1001,customers!$B$1:$B$1001,,0)</f>
        <v>Alexina Randals</v>
      </c>
      <c r="G217" s="2" t="str">
        <f>IF(_xlfn.XLOOKUP(C217,customers!$A$1:$A$1001,customers!$C$1:$C$1001,,0)=0,"",_xlfn.XLOOKUP(C217,customers!$A$1:$A$1001,customers!$C$1:$C$1001,,0))</f>
        <v/>
      </c>
      <c r="H217" s="2" t="str">
        <f>_xlfn.XLOOKUP(C217,customers!$A$1:$A$1001,customers!$G$1:$G$1001,,0)</f>
        <v>United States</v>
      </c>
      <c r="I217" t="str">
        <f>INDEX(products!$A$1:$G$49, MATCH(orders!$D871,products!$A$1:$A918,0), MATCH(orders!I$1,products!$A$1:$G$1,0))</f>
        <v>Rob</v>
      </c>
      <c r="J217" t="str">
        <f>INDEX(products!$A$1:$G$49, MATCH(orders!$D871,products!$A$1:$A918,0), MATCH(orders!J$1,products!$A$1:$G$1,0))</f>
        <v>M</v>
      </c>
      <c r="K217" s="5">
        <f>INDEX(products!$A$1:$G$49, MATCH(orders!$D871,products!$A$1:$A918,0), MATCH(orders!K$1,products!$A$1:$G$1,0))</f>
        <v>0.5</v>
      </c>
      <c r="L217" s="6">
        <f>INDEX(products!$A$1:$G$49, MATCH(orders!$D871,products!$A$1:$A918,0), MATCH(orders!L$1,products!$A$1:$G$1,0))</f>
        <v>5.97</v>
      </c>
      <c r="M217" s="6">
        <f t="shared" si="9"/>
        <v>17.91</v>
      </c>
      <c r="N217" t="str">
        <f t="shared" si="10"/>
        <v>Robusta</v>
      </c>
      <c r="O217" t="str">
        <f t="shared" si="11"/>
        <v>Medium</v>
      </c>
      <c r="P217" t="str">
        <f>_xlfn.XLOOKUP(Orders[[#This Row],[Customer ID]],customers!$A$1:$A$1001,customers!$I$1:$I$1001,,0)</f>
        <v>Yes</v>
      </c>
      <c r="Q217">
        <f>COUNTIF(Orders[Order ID],Orders[[#This Row],[Order ID]])</f>
        <v>1</v>
      </c>
      <c r="R217" s="10">
        <f>SUMIF(Orders[Order ID], Orders[[#This Row],[Order ID]],Orders[Sales])/Orders[[#This Row],[Order Frequency]]</f>
        <v>17.91</v>
      </c>
      <c r="S217" t="str">
        <f>IF(Orders[[#This Row],[Order Frequency]]&gt;4, "More than 4", IF(AND(Orders[[#This Row],[Order Frequency]]&lt;=4,Orders[[#This Row],[Order Frequency]]&gt;=2), "Between 4 and 2", "Less than 2"))</f>
        <v>Less than 2</v>
      </c>
      <c r="T217" t="str">
        <f>IF(Orders[[#This Row],[Frequency Group]]="less than 2", "Low Value", IF(Orders[[#This Row],[Frequency Group]]="between 4 and 2", "Medium Value", "High Value"))</f>
        <v>Low Value</v>
      </c>
      <c r="U217" t="str">
        <f>IF(Orders[[#This Row],[Sales]]&lt;50, "$0-50", IF(AND(Orders[[#This Row],[Sales]]&gt;=50,Orders[[#This Row],[Sales]]&lt;=100), "$50-100", IF(AND(Orders[[#This Row],[Sales]]&gt;100,Orders[[#This Row],[Sales]]&lt;=150), "$101-150", "$150+")))</f>
        <v>$0-50</v>
      </c>
      <c r="V217" t="str">
        <f>IF(Orders[[#This Row],[Sales]]&gt;MEDIAN(M:M), "High Price", "Low Price")</f>
        <v>Low Price</v>
      </c>
      <c r="W217" t="str">
        <f>IF(Orders[[#This Row],[Quantity]]&gt;MEDIAN(E:E), "High Volume", "Low Volume")</f>
        <v>Low Volume</v>
      </c>
      <c r="X217" t="str">
        <f>Orders[[#This Row],[Sales Tier]] &amp; "-" &amp; Orders[[#This Row],[Quantity Tier]]</f>
        <v>Low Price-Low Volume</v>
      </c>
      <c r="Y217" t="str">
        <f>TEXT(Orders[[#This Row],[Order Date]], "mmmm")</f>
        <v>January</v>
      </c>
      <c r="Z21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217" t="str">
        <f>Orders[[#This Row],[Coffee Type Name]] &amp; "-" &amp; Orders[[#This Row],[Roast Type Name]]</f>
        <v>Robusta-Medium</v>
      </c>
      <c r="AB21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218" spans="1:28" x14ac:dyDescent="0.25">
      <c r="A218" s="2" t="s">
        <v>1048</v>
      </c>
      <c r="B218" s="4">
        <v>44291</v>
      </c>
      <c r="C218" s="2" t="s">
        <v>1049</v>
      </c>
      <c r="D218" t="s">
        <v>6167</v>
      </c>
      <c r="E218" s="2">
        <v>2</v>
      </c>
      <c r="F218" s="2" t="str">
        <f>_xlfn.XLOOKUP(C218,customers!$A$1:$A$1001,customers!$B$1:$B$1001,,0)</f>
        <v>Rudiger Di Bartolomeo</v>
      </c>
      <c r="G218" s="2" t="str">
        <f>IF(_xlfn.XLOOKUP(C218,customers!$A$1:$A$1001,customers!$C$1:$C$1001,,0)=0,"",_xlfn.XLOOKUP(C218,customers!$A$1:$A$1001,customers!$C$1:$C$1001,,0))</f>
        <v/>
      </c>
      <c r="H218" s="2" t="str">
        <f>_xlfn.XLOOKUP(C218,customers!$A$1:$A$1001,customers!$G$1:$G$1001,,0)</f>
        <v>United States</v>
      </c>
      <c r="I218" t="str">
        <f>INDEX(products!$A$1:$G$49, MATCH(orders!$D102,products!$A$1:$A149,0), MATCH(orders!I$1,products!$A$1:$G$1,0))</f>
        <v>Ara</v>
      </c>
      <c r="J218" t="str">
        <f>INDEX(products!$A$1:$G$49, MATCH(orders!$D102,products!$A$1:$A149,0), MATCH(orders!J$1,products!$A$1:$G$1,0))</f>
        <v>L</v>
      </c>
      <c r="K218" s="5">
        <f>INDEX(products!$A$1:$G$49, MATCH(orders!$D102,products!$A$1:$A149,0), MATCH(orders!K$1,products!$A$1:$G$1,0))</f>
        <v>0.2</v>
      </c>
      <c r="L218" s="6">
        <f>INDEX(products!$A$1:$G$49, MATCH(orders!$D102,products!$A$1:$A149,0), MATCH(orders!L$1,products!$A$1:$G$1,0))</f>
        <v>3.8849999999999998</v>
      </c>
      <c r="M218" s="6">
        <f t="shared" si="9"/>
        <v>7.77</v>
      </c>
      <c r="N218" t="str">
        <f t="shared" si="10"/>
        <v>Arabica</v>
      </c>
      <c r="O218" t="str">
        <f t="shared" si="11"/>
        <v>Light</v>
      </c>
      <c r="P218" t="str">
        <f>_xlfn.XLOOKUP(Orders[[#This Row],[Customer ID]],customers!$A$1:$A$1001,customers!$I$1:$I$1001,,0)</f>
        <v>Yes</v>
      </c>
      <c r="Q218">
        <f>COUNTIF(Orders[Order ID],Orders[[#This Row],[Order ID]])</f>
        <v>1</v>
      </c>
      <c r="R218" s="10">
        <f>SUMIF(Orders[Order ID], Orders[[#This Row],[Order ID]],Orders[Sales])/Orders[[#This Row],[Order Frequency]]</f>
        <v>7.77</v>
      </c>
      <c r="S218" t="str">
        <f>IF(Orders[[#This Row],[Order Frequency]]&gt;4, "More than 4", IF(AND(Orders[[#This Row],[Order Frequency]]&lt;=4,Orders[[#This Row],[Order Frequency]]&gt;=2), "Between 4 and 2", "Less than 2"))</f>
        <v>Less than 2</v>
      </c>
      <c r="T218" t="str">
        <f>IF(Orders[[#This Row],[Frequency Group]]="less than 2", "Low Value", IF(Orders[[#This Row],[Frequency Group]]="between 4 and 2", "Medium Value", "High Value"))</f>
        <v>Low Value</v>
      </c>
      <c r="U218" t="str">
        <f>IF(Orders[[#This Row],[Sales]]&lt;50, "$0-50", IF(AND(Orders[[#This Row],[Sales]]&gt;=50,Orders[[#This Row],[Sales]]&lt;=100), "$50-100", IF(AND(Orders[[#This Row],[Sales]]&gt;100,Orders[[#This Row],[Sales]]&lt;=150), "$101-150", "$150+")))</f>
        <v>$0-50</v>
      </c>
      <c r="V218" t="str">
        <f>IF(Orders[[#This Row],[Sales]]&gt;MEDIAN(M:M), "High Price", "Low Price")</f>
        <v>Low Price</v>
      </c>
      <c r="W218" t="str">
        <f>IF(Orders[[#This Row],[Quantity]]&gt;MEDIAN(E:E), "High Volume", "Low Volume")</f>
        <v>Low Volume</v>
      </c>
      <c r="X218" t="str">
        <f>Orders[[#This Row],[Sales Tier]] &amp; "-" &amp; Orders[[#This Row],[Quantity Tier]]</f>
        <v>Low Price-Low Volume</v>
      </c>
      <c r="Y218" t="str">
        <f>TEXT(Orders[[#This Row],[Order Date]], "mmmm")</f>
        <v>April</v>
      </c>
      <c r="Z21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18" t="str">
        <f>Orders[[#This Row],[Coffee Type Name]] &amp; "-" &amp; Orders[[#This Row],[Roast Type Name]]</f>
        <v>Arabica-Light</v>
      </c>
      <c r="AB21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219" spans="1:28" x14ac:dyDescent="0.25">
      <c r="A219" s="2" t="s">
        <v>4996</v>
      </c>
      <c r="B219" s="4">
        <v>44751</v>
      </c>
      <c r="C219" s="2" t="s">
        <v>4997</v>
      </c>
      <c r="D219" t="s">
        <v>6180</v>
      </c>
      <c r="E219" s="2">
        <v>4</v>
      </c>
      <c r="F219" s="2" t="str">
        <f>_xlfn.XLOOKUP(C219,customers!$A$1:$A$1001,customers!$B$1:$B$1001,,0)</f>
        <v>Jed Kennicott</v>
      </c>
      <c r="G219" s="2" t="str">
        <f>IF(_xlfn.XLOOKUP(C219,customers!$A$1:$A$1001,customers!$C$1:$C$1001,,0)=0,"",_xlfn.XLOOKUP(C219,customers!$A$1:$A$1001,customers!$C$1:$C$1001,,0))</f>
        <v>jkennicottm5@yahoo.co.jp</v>
      </c>
      <c r="H219" s="2" t="str">
        <f>_xlfn.XLOOKUP(C219,customers!$A$1:$A$1001,customers!$G$1:$G$1001,,0)</f>
        <v>United States</v>
      </c>
      <c r="I219" t="str">
        <f>INDEX(products!$A$1:$G$49, MATCH(orders!$D799,products!$A$1:$A846,0), MATCH(orders!I$1,products!$A$1:$G$1,0))</f>
        <v>Ara</v>
      </c>
      <c r="J219" t="str">
        <f>INDEX(products!$A$1:$G$49, MATCH(orders!$D799,products!$A$1:$A846,0), MATCH(orders!J$1,products!$A$1:$G$1,0))</f>
        <v>L</v>
      </c>
      <c r="K219" s="5">
        <f>INDEX(products!$A$1:$G$49, MATCH(orders!$D799,products!$A$1:$A846,0), MATCH(orders!K$1,products!$A$1:$G$1,0))</f>
        <v>0.5</v>
      </c>
      <c r="L219" s="6">
        <f>INDEX(products!$A$1:$G$49, MATCH(orders!$D799,products!$A$1:$A846,0), MATCH(orders!L$1,products!$A$1:$G$1,0))</f>
        <v>7.77</v>
      </c>
      <c r="M219" s="6">
        <f t="shared" si="9"/>
        <v>31.08</v>
      </c>
      <c r="N219" t="str">
        <f t="shared" si="10"/>
        <v>Arabica</v>
      </c>
      <c r="O219" t="str">
        <f t="shared" si="11"/>
        <v>Light</v>
      </c>
      <c r="P219" t="str">
        <f>_xlfn.XLOOKUP(Orders[[#This Row],[Customer ID]],customers!$A$1:$A$1001,customers!$I$1:$I$1001,,0)</f>
        <v>No</v>
      </c>
      <c r="Q219">
        <f>COUNTIF(Orders[Order ID],Orders[[#This Row],[Order ID]])</f>
        <v>1</v>
      </c>
      <c r="R219" s="10">
        <f>SUMIF(Orders[Order ID], Orders[[#This Row],[Order ID]],Orders[Sales])/Orders[[#This Row],[Order Frequency]]</f>
        <v>31.08</v>
      </c>
      <c r="S219" t="str">
        <f>IF(Orders[[#This Row],[Order Frequency]]&gt;4, "More than 4", IF(AND(Orders[[#This Row],[Order Frequency]]&lt;=4,Orders[[#This Row],[Order Frequency]]&gt;=2), "Between 4 and 2", "Less than 2"))</f>
        <v>Less than 2</v>
      </c>
      <c r="T219" t="str">
        <f>IF(Orders[[#This Row],[Frequency Group]]="less than 2", "Low Value", IF(Orders[[#This Row],[Frequency Group]]="between 4 and 2", "Medium Value", "High Value"))</f>
        <v>Low Value</v>
      </c>
      <c r="U219" t="str">
        <f>IF(Orders[[#This Row],[Sales]]&lt;50, "$0-50", IF(AND(Orders[[#This Row],[Sales]]&gt;=50,Orders[[#This Row],[Sales]]&lt;=100), "$50-100", IF(AND(Orders[[#This Row],[Sales]]&gt;100,Orders[[#This Row],[Sales]]&lt;=150), "$101-150", "$150+")))</f>
        <v>$0-50</v>
      </c>
      <c r="V219" t="str">
        <f>IF(Orders[[#This Row],[Sales]]&gt;MEDIAN(M:M), "High Price", "Low Price")</f>
        <v>High Price</v>
      </c>
      <c r="W219" t="str">
        <f>IF(Orders[[#This Row],[Quantity]]&gt;MEDIAN(E:E), "High Volume", "Low Volume")</f>
        <v>Low Volume</v>
      </c>
      <c r="X219" t="str">
        <f>Orders[[#This Row],[Sales Tier]] &amp; "-" &amp; Orders[[#This Row],[Quantity Tier]]</f>
        <v>High Price-Low Volume</v>
      </c>
      <c r="Y219" t="str">
        <f>TEXT(Orders[[#This Row],[Order Date]], "mmmm")</f>
        <v>July</v>
      </c>
      <c r="Z21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219" t="str">
        <f>Orders[[#This Row],[Coffee Type Name]] &amp; "-" &amp; Orders[[#This Row],[Roast Type Name]]</f>
        <v>Arabica-Light</v>
      </c>
      <c r="AB21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220" spans="1:28" x14ac:dyDescent="0.25">
      <c r="A220" s="2" t="s">
        <v>3516</v>
      </c>
      <c r="B220" s="4">
        <v>44585</v>
      </c>
      <c r="C220" s="2" t="s">
        <v>3517</v>
      </c>
      <c r="D220" t="s">
        <v>6145</v>
      </c>
      <c r="E220" s="2">
        <v>2</v>
      </c>
      <c r="F220" s="2" t="str">
        <f>_xlfn.XLOOKUP(C220,customers!$A$1:$A$1001,customers!$B$1:$B$1001,,0)</f>
        <v>Timoteo Glisane</v>
      </c>
      <c r="G220" s="2" t="str">
        <f>IF(_xlfn.XLOOKUP(C220,customers!$A$1:$A$1001,customers!$C$1:$C$1001,,0)=0,"",_xlfn.XLOOKUP(C220,customers!$A$1:$A$1001,customers!$C$1:$C$1001,,0))</f>
        <v/>
      </c>
      <c r="H220" s="2" t="str">
        <f>_xlfn.XLOOKUP(C220,customers!$A$1:$A$1001,customers!$G$1:$G$1001,,0)</f>
        <v>Ireland</v>
      </c>
      <c r="I220" t="str">
        <f>INDEX(products!$A$1:$G$49, MATCH(orders!$D537,products!$A$1:$A584,0), MATCH(orders!I$1,products!$A$1:$G$1,0))</f>
        <v>Lib</v>
      </c>
      <c r="J220" t="str">
        <f>INDEX(products!$A$1:$G$49, MATCH(orders!$D537,products!$A$1:$A584,0), MATCH(orders!J$1,products!$A$1:$G$1,0))</f>
        <v>L</v>
      </c>
      <c r="K220" s="5">
        <f>INDEX(products!$A$1:$G$49, MATCH(orders!$D537,products!$A$1:$A584,0), MATCH(orders!K$1,products!$A$1:$G$1,0))</f>
        <v>0.2</v>
      </c>
      <c r="L220" s="6">
        <f>INDEX(products!$A$1:$G$49, MATCH(orders!$D537,products!$A$1:$A584,0), MATCH(orders!L$1,products!$A$1:$G$1,0))</f>
        <v>4.7549999999999999</v>
      </c>
      <c r="M220" s="6">
        <f t="shared" si="9"/>
        <v>9.51</v>
      </c>
      <c r="N220" t="str">
        <f t="shared" si="10"/>
        <v>Liberica</v>
      </c>
      <c r="O220" t="str">
        <f t="shared" si="11"/>
        <v>Light</v>
      </c>
      <c r="P220" t="str">
        <f>_xlfn.XLOOKUP(Orders[[#This Row],[Customer ID]],customers!$A$1:$A$1001,customers!$I$1:$I$1001,,0)</f>
        <v>No</v>
      </c>
      <c r="Q220">
        <f>COUNTIF(Orders[Order ID],Orders[[#This Row],[Order ID]])</f>
        <v>1</v>
      </c>
      <c r="R220" s="10">
        <f>SUMIF(Orders[Order ID], Orders[[#This Row],[Order ID]],Orders[Sales])/Orders[[#This Row],[Order Frequency]]</f>
        <v>9.51</v>
      </c>
      <c r="S220" t="str">
        <f>IF(Orders[[#This Row],[Order Frequency]]&gt;4, "More than 4", IF(AND(Orders[[#This Row],[Order Frequency]]&lt;=4,Orders[[#This Row],[Order Frequency]]&gt;=2), "Between 4 and 2", "Less than 2"))</f>
        <v>Less than 2</v>
      </c>
      <c r="T220" t="str">
        <f>IF(Orders[[#This Row],[Frequency Group]]="less than 2", "Low Value", IF(Orders[[#This Row],[Frequency Group]]="between 4 and 2", "Medium Value", "High Value"))</f>
        <v>Low Value</v>
      </c>
      <c r="U220" t="str">
        <f>IF(Orders[[#This Row],[Sales]]&lt;50, "$0-50", IF(AND(Orders[[#This Row],[Sales]]&gt;=50,Orders[[#This Row],[Sales]]&lt;=100), "$50-100", IF(AND(Orders[[#This Row],[Sales]]&gt;100,Orders[[#This Row],[Sales]]&lt;=150), "$101-150", "$150+")))</f>
        <v>$0-50</v>
      </c>
      <c r="V220" t="str">
        <f>IF(Orders[[#This Row],[Sales]]&gt;MEDIAN(M:M), "High Price", "Low Price")</f>
        <v>Low Price</v>
      </c>
      <c r="W220" t="str">
        <f>IF(Orders[[#This Row],[Quantity]]&gt;MEDIAN(E:E), "High Volume", "Low Volume")</f>
        <v>Low Volume</v>
      </c>
      <c r="X220" t="str">
        <f>Orders[[#This Row],[Sales Tier]] &amp; "-" &amp; Orders[[#This Row],[Quantity Tier]]</f>
        <v>Low Price-Low Volume</v>
      </c>
      <c r="Y220" t="str">
        <f>TEXT(Orders[[#This Row],[Order Date]], "mmmm")</f>
        <v>January</v>
      </c>
      <c r="Z22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220" t="str">
        <f>Orders[[#This Row],[Coffee Type Name]] &amp; "-" &amp; Orders[[#This Row],[Roast Type Name]]</f>
        <v>Liberica-Light</v>
      </c>
      <c r="AB22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221" spans="1:28" x14ac:dyDescent="0.25">
      <c r="A221" s="2" t="s">
        <v>2504</v>
      </c>
      <c r="B221" s="4">
        <v>44448</v>
      </c>
      <c r="C221" s="2" t="s">
        <v>2505</v>
      </c>
      <c r="D221" t="s">
        <v>6175</v>
      </c>
      <c r="E221" s="2">
        <v>6</v>
      </c>
      <c r="F221" s="2" t="str">
        <f>_xlfn.XLOOKUP(C221,customers!$A$1:$A$1001,customers!$B$1:$B$1001,,0)</f>
        <v>Enriqueta Ixor</v>
      </c>
      <c r="G221" s="2" t="str">
        <f>IF(_xlfn.XLOOKUP(C221,customers!$A$1:$A$1001,customers!$C$1:$C$1001,,0)=0,"",_xlfn.XLOOKUP(C221,customers!$A$1:$A$1001,customers!$C$1:$C$1001,,0))</f>
        <v/>
      </c>
      <c r="H221" s="2" t="str">
        <f>_xlfn.XLOOKUP(C221,customers!$A$1:$A$1001,customers!$G$1:$G$1001,,0)</f>
        <v>United States</v>
      </c>
      <c r="I221" t="str">
        <f>INDEX(products!$A$1:$G$49, MATCH(orders!$D359,products!$A$1:$A406,0), MATCH(orders!I$1,products!$A$1:$G$1,0))</f>
        <v>Ara</v>
      </c>
      <c r="J221" t="str">
        <f>INDEX(products!$A$1:$G$49, MATCH(orders!$D359,products!$A$1:$A406,0), MATCH(orders!J$1,products!$A$1:$G$1,0))</f>
        <v>M</v>
      </c>
      <c r="K221" s="5">
        <f>INDEX(products!$A$1:$G$49, MATCH(orders!$D359,products!$A$1:$A406,0), MATCH(orders!K$1,products!$A$1:$G$1,0))</f>
        <v>2.5</v>
      </c>
      <c r="L221" s="6">
        <f>INDEX(products!$A$1:$G$49, MATCH(orders!$D359,products!$A$1:$A406,0), MATCH(orders!L$1,products!$A$1:$G$1,0))</f>
        <v>25.874999999999996</v>
      </c>
      <c r="M221" s="6">
        <f t="shared" si="9"/>
        <v>155.24999999999997</v>
      </c>
      <c r="N221" t="str">
        <f t="shared" si="10"/>
        <v>Arabica</v>
      </c>
      <c r="O221" t="str">
        <f t="shared" si="11"/>
        <v>Medium</v>
      </c>
      <c r="P221" t="str">
        <f>_xlfn.XLOOKUP(Orders[[#This Row],[Customer ID]],customers!$A$1:$A$1001,customers!$I$1:$I$1001,,0)</f>
        <v>No</v>
      </c>
      <c r="Q221">
        <f>COUNTIF(Orders[Order ID],Orders[[#This Row],[Order ID]])</f>
        <v>1</v>
      </c>
      <c r="R221" s="10">
        <f>SUMIF(Orders[Order ID], Orders[[#This Row],[Order ID]],Orders[Sales])/Orders[[#This Row],[Order Frequency]]</f>
        <v>155.24999999999997</v>
      </c>
      <c r="S221" t="str">
        <f>IF(Orders[[#This Row],[Order Frequency]]&gt;4, "More than 4", IF(AND(Orders[[#This Row],[Order Frequency]]&lt;=4,Orders[[#This Row],[Order Frequency]]&gt;=2), "Between 4 and 2", "Less than 2"))</f>
        <v>Less than 2</v>
      </c>
      <c r="T221" t="str">
        <f>IF(Orders[[#This Row],[Frequency Group]]="less than 2", "Low Value", IF(Orders[[#This Row],[Frequency Group]]="between 4 and 2", "Medium Value", "High Value"))</f>
        <v>Low Value</v>
      </c>
      <c r="U221" t="str">
        <f>IF(Orders[[#This Row],[Sales]]&lt;50, "$0-50", IF(AND(Orders[[#This Row],[Sales]]&gt;=50,Orders[[#This Row],[Sales]]&lt;=100), "$50-100", IF(AND(Orders[[#This Row],[Sales]]&gt;100,Orders[[#This Row],[Sales]]&lt;=150), "$101-150", "$150+")))</f>
        <v>$150+</v>
      </c>
      <c r="V221" t="str">
        <f>IF(Orders[[#This Row],[Sales]]&gt;MEDIAN(M:M), "High Price", "Low Price")</f>
        <v>High Price</v>
      </c>
      <c r="W221" t="str">
        <f>IF(Orders[[#This Row],[Quantity]]&gt;MEDIAN(E:E), "High Volume", "Low Volume")</f>
        <v>High Volume</v>
      </c>
      <c r="X221" t="str">
        <f>Orders[[#This Row],[Sales Tier]] &amp; "-" &amp; Orders[[#This Row],[Quantity Tier]]</f>
        <v>High Price-High Volume</v>
      </c>
      <c r="Y221" t="str">
        <f>TEXT(Orders[[#This Row],[Order Date]], "mmmm")</f>
        <v>September</v>
      </c>
      <c r="Z22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221" t="str">
        <f>Orders[[#This Row],[Coffee Type Name]] &amp; "-" &amp; Orders[[#This Row],[Roast Type Name]]</f>
        <v>Arabica-Medium</v>
      </c>
      <c r="AB22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222" spans="1:28" x14ac:dyDescent="0.25">
      <c r="A222" s="2" t="s">
        <v>1492</v>
      </c>
      <c r="B222" s="4">
        <v>43746</v>
      </c>
      <c r="C222" s="2" t="s">
        <v>1493</v>
      </c>
      <c r="D222" t="s">
        <v>6140</v>
      </c>
      <c r="E222" s="2">
        <v>2</v>
      </c>
      <c r="F222" s="2" t="str">
        <f>_xlfn.XLOOKUP(C222,customers!$A$1:$A$1001,customers!$B$1:$B$1001,,0)</f>
        <v>Katerina Melloi</v>
      </c>
      <c r="G222" s="2" t="str">
        <f>IF(_xlfn.XLOOKUP(C222,customers!$A$1:$A$1001,customers!$C$1:$C$1001,,0)=0,"",_xlfn.XLOOKUP(C222,customers!$A$1:$A$1001,customers!$C$1:$C$1001,,0))</f>
        <v>kmelloi4y@imdb.com</v>
      </c>
      <c r="H222" s="2" t="str">
        <f>_xlfn.XLOOKUP(C222,customers!$A$1:$A$1001,customers!$G$1:$G$1001,,0)</f>
        <v>United States</v>
      </c>
      <c r="I222" t="str">
        <f>INDEX(products!$A$1:$G$49, MATCH(orders!$D180,products!$A$1:$A227,0), MATCH(orders!I$1,products!$A$1:$G$1,0))</f>
        <v>Ara</v>
      </c>
      <c r="J222" t="str">
        <f>INDEX(products!$A$1:$G$49, MATCH(orders!$D180,products!$A$1:$A227,0), MATCH(orders!J$1,products!$A$1:$G$1,0))</f>
        <v>L</v>
      </c>
      <c r="K222" s="5">
        <f>INDEX(products!$A$1:$G$49, MATCH(orders!$D180,products!$A$1:$A227,0), MATCH(orders!K$1,products!$A$1:$G$1,0))</f>
        <v>1</v>
      </c>
      <c r="L222" s="6">
        <f>INDEX(products!$A$1:$G$49, MATCH(orders!$D180,products!$A$1:$A227,0), MATCH(orders!L$1,products!$A$1:$G$1,0))</f>
        <v>12.95</v>
      </c>
      <c r="M222" s="6">
        <f t="shared" si="9"/>
        <v>25.9</v>
      </c>
      <c r="N222" t="str">
        <f t="shared" si="10"/>
        <v>Arabica</v>
      </c>
      <c r="O222" t="str">
        <f t="shared" si="11"/>
        <v>Light</v>
      </c>
      <c r="P222" t="str">
        <f>_xlfn.XLOOKUP(Orders[[#This Row],[Customer ID]],customers!$A$1:$A$1001,customers!$I$1:$I$1001,,0)</f>
        <v>No</v>
      </c>
      <c r="Q222">
        <f>COUNTIF(Orders[Order ID],Orders[[#This Row],[Order ID]])</f>
        <v>1</v>
      </c>
      <c r="R222" s="10">
        <f>SUMIF(Orders[Order ID], Orders[[#This Row],[Order ID]],Orders[Sales])/Orders[[#This Row],[Order Frequency]]</f>
        <v>25.9</v>
      </c>
      <c r="S222" t="str">
        <f>IF(Orders[[#This Row],[Order Frequency]]&gt;4, "More than 4", IF(AND(Orders[[#This Row],[Order Frequency]]&lt;=4,Orders[[#This Row],[Order Frequency]]&gt;=2), "Between 4 and 2", "Less than 2"))</f>
        <v>Less than 2</v>
      </c>
      <c r="T222" t="str">
        <f>IF(Orders[[#This Row],[Frequency Group]]="less than 2", "Low Value", IF(Orders[[#This Row],[Frequency Group]]="between 4 and 2", "Medium Value", "High Value"))</f>
        <v>Low Value</v>
      </c>
      <c r="U222" t="str">
        <f>IF(Orders[[#This Row],[Sales]]&lt;50, "$0-50", IF(AND(Orders[[#This Row],[Sales]]&gt;=50,Orders[[#This Row],[Sales]]&lt;=100), "$50-100", IF(AND(Orders[[#This Row],[Sales]]&gt;100,Orders[[#This Row],[Sales]]&lt;=150), "$101-150", "$150+")))</f>
        <v>$0-50</v>
      </c>
      <c r="V222" t="str">
        <f>IF(Orders[[#This Row],[Sales]]&gt;MEDIAN(M:M), "High Price", "Low Price")</f>
        <v>Low Price</v>
      </c>
      <c r="W222" t="str">
        <f>IF(Orders[[#This Row],[Quantity]]&gt;MEDIAN(E:E), "High Volume", "Low Volume")</f>
        <v>Low Volume</v>
      </c>
      <c r="X222" t="str">
        <f>Orders[[#This Row],[Sales Tier]] &amp; "-" &amp; Orders[[#This Row],[Quantity Tier]]</f>
        <v>Low Price-Low Volume</v>
      </c>
      <c r="Y222" t="str">
        <f>TEXT(Orders[[#This Row],[Order Date]], "mmmm")</f>
        <v>October</v>
      </c>
      <c r="Z22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222" t="str">
        <f>Orders[[#This Row],[Coffee Type Name]] &amp; "-" &amp; Orders[[#This Row],[Roast Type Name]]</f>
        <v>Arabica-Light</v>
      </c>
      <c r="AB22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223" spans="1:28" x14ac:dyDescent="0.25">
      <c r="A223" s="2" t="s">
        <v>4869</v>
      </c>
      <c r="B223" s="4">
        <v>44396</v>
      </c>
      <c r="C223" s="2" t="s">
        <v>4870</v>
      </c>
      <c r="D223" t="s">
        <v>6176</v>
      </c>
      <c r="E223" s="2">
        <v>2</v>
      </c>
      <c r="F223" s="2" t="str">
        <f>_xlfn.XLOOKUP(C223,customers!$A$1:$A$1001,customers!$B$1:$B$1001,,0)</f>
        <v>Rhetta Elnaugh</v>
      </c>
      <c r="G223" s="2" t="str">
        <f>IF(_xlfn.XLOOKUP(C223,customers!$A$1:$A$1001,customers!$C$1:$C$1001,,0)=0,"",_xlfn.XLOOKUP(C223,customers!$A$1:$A$1001,customers!$C$1:$C$1001,,0))</f>
        <v>relnaughlj@comsenz.com</v>
      </c>
      <c r="H223" s="2" t="str">
        <f>_xlfn.XLOOKUP(C223,customers!$A$1:$A$1001,customers!$G$1:$G$1001,,0)</f>
        <v>United States</v>
      </c>
      <c r="I223" t="str">
        <f>INDEX(products!$A$1:$G$49, MATCH(orders!$D777,products!$A$1:$A824,0), MATCH(orders!I$1,products!$A$1:$G$1,0))</f>
        <v>Exc</v>
      </c>
      <c r="J223" t="str">
        <f>INDEX(products!$A$1:$G$49, MATCH(orders!$D777,products!$A$1:$A824,0), MATCH(orders!J$1,products!$A$1:$G$1,0))</f>
        <v>L</v>
      </c>
      <c r="K223" s="5">
        <f>INDEX(products!$A$1:$G$49, MATCH(orders!$D777,products!$A$1:$A824,0), MATCH(orders!K$1,products!$A$1:$G$1,0))</f>
        <v>0.5</v>
      </c>
      <c r="L223" s="6">
        <f>INDEX(products!$A$1:$G$49, MATCH(orders!$D777,products!$A$1:$A824,0), MATCH(orders!L$1,products!$A$1:$G$1,0))</f>
        <v>8.91</v>
      </c>
      <c r="M223" s="6">
        <f t="shared" si="9"/>
        <v>17.82</v>
      </c>
      <c r="N223" t="str">
        <f t="shared" si="10"/>
        <v>Excelsa</v>
      </c>
      <c r="O223" t="str">
        <f t="shared" si="11"/>
        <v>Light</v>
      </c>
      <c r="P223" t="str">
        <f>_xlfn.XLOOKUP(Orders[[#This Row],[Customer ID]],customers!$A$1:$A$1001,customers!$I$1:$I$1001,,0)</f>
        <v>Yes</v>
      </c>
      <c r="Q223">
        <f>COUNTIF(Orders[Order ID],Orders[[#This Row],[Order ID]])</f>
        <v>1</v>
      </c>
      <c r="R223" s="10">
        <f>SUMIF(Orders[Order ID], Orders[[#This Row],[Order ID]],Orders[Sales])/Orders[[#This Row],[Order Frequency]]</f>
        <v>17.82</v>
      </c>
      <c r="S223" t="str">
        <f>IF(Orders[[#This Row],[Order Frequency]]&gt;4, "More than 4", IF(AND(Orders[[#This Row],[Order Frequency]]&lt;=4,Orders[[#This Row],[Order Frequency]]&gt;=2), "Between 4 and 2", "Less than 2"))</f>
        <v>Less than 2</v>
      </c>
      <c r="T223" t="str">
        <f>IF(Orders[[#This Row],[Frequency Group]]="less than 2", "Low Value", IF(Orders[[#This Row],[Frequency Group]]="between 4 and 2", "Medium Value", "High Value"))</f>
        <v>Low Value</v>
      </c>
      <c r="U223" t="str">
        <f>IF(Orders[[#This Row],[Sales]]&lt;50, "$0-50", IF(AND(Orders[[#This Row],[Sales]]&gt;=50,Orders[[#This Row],[Sales]]&lt;=100), "$50-100", IF(AND(Orders[[#This Row],[Sales]]&gt;100,Orders[[#This Row],[Sales]]&lt;=150), "$101-150", "$150+")))</f>
        <v>$0-50</v>
      </c>
      <c r="V223" t="str">
        <f>IF(Orders[[#This Row],[Sales]]&gt;MEDIAN(M:M), "High Price", "Low Price")</f>
        <v>Low Price</v>
      </c>
      <c r="W223" t="str">
        <f>IF(Orders[[#This Row],[Quantity]]&gt;MEDIAN(E:E), "High Volume", "Low Volume")</f>
        <v>Low Volume</v>
      </c>
      <c r="X223" t="str">
        <f>Orders[[#This Row],[Sales Tier]] &amp; "-" &amp; Orders[[#This Row],[Quantity Tier]]</f>
        <v>Low Price-Low Volume</v>
      </c>
      <c r="Y223" t="str">
        <f>TEXT(Orders[[#This Row],[Order Date]], "mmmm")</f>
        <v>July</v>
      </c>
      <c r="Z22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223" t="str">
        <f>Orders[[#This Row],[Coffee Type Name]] &amp; "-" &amp; Orders[[#This Row],[Roast Type Name]]</f>
        <v>Excelsa-Light</v>
      </c>
      <c r="AB22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224" spans="1:28" x14ac:dyDescent="0.25">
      <c r="A224" s="2" t="s">
        <v>1940</v>
      </c>
      <c r="B224" s="4">
        <v>44676</v>
      </c>
      <c r="C224" s="2" t="s">
        <v>1941</v>
      </c>
      <c r="D224" t="s">
        <v>6185</v>
      </c>
      <c r="E224" s="2">
        <v>1</v>
      </c>
      <c r="F224" s="2" t="str">
        <f>_xlfn.XLOOKUP(C224,customers!$A$1:$A$1001,customers!$B$1:$B$1001,,0)</f>
        <v>Denyse O'Calleran</v>
      </c>
      <c r="G224" s="2" t="str">
        <f>IF(_xlfn.XLOOKUP(C224,customers!$A$1:$A$1001,customers!$C$1:$C$1001,,0)=0,"",_xlfn.XLOOKUP(C224,customers!$A$1:$A$1001,customers!$C$1:$C$1001,,0))</f>
        <v>docalleran75@ucla.edu</v>
      </c>
      <c r="H224" s="2" t="str">
        <f>_xlfn.XLOOKUP(C224,customers!$A$1:$A$1001,customers!$G$1:$G$1001,,0)</f>
        <v>United States</v>
      </c>
      <c r="I224" t="str">
        <f>INDEX(products!$A$1:$G$49, MATCH(orders!$D259,products!$A$1:$A306,0), MATCH(orders!I$1,products!$A$1:$G$1,0))</f>
        <v>Exc</v>
      </c>
      <c r="J224" t="str">
        <f>INDEX(products!$A$1:$G$49, MATCH(orders!$D259,products!$A$1:$A306,0), MATCH(orders!J$1,products!$A$1:$G$1,0))</f>
        <v>D</v>
      </c>
      <c r="K224" s="5">
        <f>INDEX(products!$A$1:$G$49, MATCH(orders!$D259,products!$A$1:$A306,0), MATCH(orders!K$1,products!$A$1:$G$1,0))</f>
        <v>2.5</v>
      </c>
      <c r="L224" s="6">
        <f>INDEX(products!$A$1:$G$49, MATCH(orders!$D259,products!$A$1:$A306,0), MATCH(orders!L$1,products!$A$1:$G$1,0))</f>
        <v>27.945</v>
      </c>
      <c r="M224" s="6">
        <f t="shared" si="9"/>
        <v>27.945</v>
      </c>
      <c r="N224" t="str">
        <f t="shared" si="10"/>
        <v>Excelsa</v>
      </c>
      <c r="O224" t="str">
        <f t="shared" si="11"/>
        <v>Dark</v>
      </c>
      <c r="P224" t="str">
        <f>_xlfn.XLOOKUP(Orders[[#This Row],[Customer ID]],customers!$A$1:$A$1001,customers!$I$1:$I$1001,,0)</f>
        <v>Yes</v>
      </c>
      <c r="Q224">
        <f>COUNTIF(Orders[Order ID],Orders[[#This Row],[Order ID]])</f>
        <v>1</v>
      </c>
      <c r="R224" s="10">
        <f>SUMIF(Orders[Order ID], Orders[[#This Row],[Order ID]],Orders[Sales])/Orders[[#This Row],[Order Frequency]]</f>
        <v>27.945</v>
      </c>
      <c r="S224" t="str">
        <f>IF(Orders[[#This Row],[Order Frequency]]&gt;4, "More than 4", IF(AND(Orders[[#This Row],[Order Frequency]]&lt;=4,Orders[[#This Row],[Order Frequency]]&gt;=2), "Between 4 and 2", "Less than 2"))</f>
        <v>Less than 2</v>
      </c>
      <c r="T224" t="str">
        <f>IF(Orders[[#This Row],[Frequency Group]]="less than 2", "Low Value", IF(Orders[[#This Row],[Frequency Group]]="between 4 and 2", "Medium Value", "High Value"))</f>
        <v>Low Value</v>
      </c>
      <c r="U224" t="str">
        <f>IF(Orders[[#This Row],[Sales]]&lt;50, "$0-50", IF(AND(Orders[[#This Row],[Sales]]&gt;=50,Orders[[#This Row],[Sales]]&lt;=100), "$50-100", IF(AND(Orders[[#This Row],[Sales]]&gt;100,Orders[[#This Row],[Sales]]&lt;=150), "$101-150", "$150+")))</f>
        <v>$0-50</v>
      </c>
      <c r="V224" t="str">
        <f>IF(Orders[[#This Row],[Sales]]&gt;MEDIAN(M:M), "High Price", "Low Price")</f>
        <v>Low Price</v>
      </c>
      <c r="W224" t="str">
        <f>IF(Orders[[#This Row],[Quantity]]&gt;MEDIAN(E:E), "High Volume", "Low Volume")</f>
        <v>Low Volume</v>
      </c>
      <c r="X224" t="str">
        <f>Orders[[#This Row],[Sales Tier]] &amp; "-" &amp; Orders[[#This Row],[Quantity Tier]]</f>
        <v>Low Price-Low Volume</v>
      </c>
      <c r="Y224" t="str">
        <f>TEXT(Orders[[#This Row],[Order Date]], "mmmm")</f>
        <v>April</v>
      </c>
      <c r="Z22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24" t="str">
        <f>Orders[[#This Row],[Coffee Type Name]] &amp; "-" &amp; Orders[[#This Row],[Roast Type Name]]</f>
        <v>Excelsa-Dark</v>
      </c>
      <c r="AB22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225" spans="1:28" x14ac:dyDescent="0.25">
      <c r="A225" s="2" t="s">
        <v>3487</v>
      </c>
      <c r="B225" s="4">
        <v>44663</v>
      </c>
      <c r="C225" s="2" t="s">
        <v>3488</v>
      </c>
      <c r="D225" t="s">
        <v>6138</v>
      </c>
      <c r="E225" s="2">
        <v>6</v>
      </c>
      <c r="F225" s="2" t="str">
        <f>_xlfn.XLOOKUP(C225,customers!$A$1:$A$1001,customers!$B$1:$B$1001,,0)</f>
        <v>Donny Fries</v>
      </c>
      <c r="G225" s="2" t="str">
        <f>IF(_xlfn.XLOOKUP(C225,customers!$A$1:$A$1001,customers!$C$1:$C$1001,,0)=0,"",_xlfn.XLOOKUP(C225,customers!$A$1:$A$1001,customers!$C$1:$C$1001,,0))</f>
        <v>dfrieseq@cargocollective.com</v>
      </c>
      <c r="H225" s="2" t="str">
        <f>_xlfn.XLOOKUP(C225,customers!$A$1:$A$1001,customers!$G$1:$G$1001,,0)</f>
        <v>United States</v>
      </c>
      <c r="I225" t="str">
        <f>INDEX(products!$A$1:$G$49, MATCH(orders!$D532,products!$A$1:$A579,0), MATCH(orders!I$1,products!$A$1:$G$1,0))</f>
        <v>Rob</v>
      </c>
      <c r="J225" t="str">
        <f>INDEX(products!$A$1:$G$49, MATCH(orders!$D532,products!$A$1:$A579,0), MATCH(orders!J$1,products!$A$1:$G$1,0))</f>
        <v>M</v>
      </c>
      <c r="K225" s="5">
        <f>INDEX(products!$A$1:$G$49, MATCH(orders!$D532,products!$A$1:$A579,0), MATCH(orders!K$1,products!$A$1:$G$1,0))</f>
        <v>1</v>
      </c>
      <c r="L225" s="6">
        <f>INDEX(products!$A$1:$G$49, MATCH(orders!$D532,products!$A$1:$A579,0), MATCH(orders!L$1,products!$A$1:$G$1,0))</f>
        <v>9.9499999999999993</v>
      </c>
      <c r="M225" s="6">
        <f t="shared" si="9"/>
        <v>59.699999999999996</v>
      </c>
      <c r="N225" t="str">
        <f t="shared" si="10"/>
        <v>Robusta</v>
      </c>
      <c r="O225" t="str">
        <f t="shared" si="11"/>
        <v>Medium</v>
      </c>
      <c r="P225" t="str">
        <f>_xlfn.XLOOKUP(Orders[[#This Row],[Customer ID]],customers!$A$1:$A$1001,customers!$I$1:$I$1001,,0)</f>
        <v>No</v>
      </c>
      <c r="Q225">
        <f>COUNTIF(Orders[Order ID],Orders[[#This Row],[Order ID]])</f>
        <v>1</v>
      </c>
      <c r="R225" s="10">
        <f>SUMIF(Orders[Order ID], Orders[[#This Row],[Order ID]],Orders[Sales])/Orders[[#This Row],[Order Frequency]]</f>
        <v>59.699999999999996</v>
      </c>
      <c r="S225" t="str">
        <f>IF(Orders[[#This Row],[Order Frequency]]&gt;4, "More than 4", IF(AND(Orders[[#This Row],[Order Frequency]]&lt;=4,Orders[[#This Row],[Order Frequency]]&gt;=2), "Between 4 and 2", "Less than 2"))</f>
        <v>Less than 2</v>
      </c>
      <c r="T225" t="str">
        <f>IF(Orders[[#This Row],[Frequency Group]]="less than 2", "Low Value", IF(Orders[[#This Row],[Frequency Group]]="between 4 and 2", "Medium Value", "High Value"))</f>
        <v>Low Value</v>
      </c>
      <c r="U225" t="str">
        <f>IF(Orders[[#This Row],[Sales]]&lt;50, "$0-50", IF(AND(Orders[[#This Row],[Sales]]&gt;=50,Orders[[#This Row],[Sales]]&lt;=100), "$50-100", IF(AND(Orders[[#This Row],[Sales]]&gt;100,Orders[[#This Row],[Sales]]&lt;=150), "$101-150", "$150+")))</f>
        <v>$50-100</v>
      </c>
      <c r="V225" t="str">
        <f>IF(Orders[[#This Row],[Sales]]&gt;MEDIAN(M:M), "High Price", "Low Price")</f>
        <v>High Price</v>
      </c>
      <c r="W225" t="str">
        <f>IF(Orders[[#This Row],[Quantity]]&gt;MEDIAN(E:E), "High Volume", "Low Volume")</f>
        <v>High Volume</v>
      </c>
      <c r="X225" t="str">
        <f>Orders[[#This Row],[Sales Tier]] &amp; "-" &amp; Orders[[#This Row],[Quantity Tier]]</f>
        <v>High Price-High Volume</v>
      </c>
      <c r="Y225" t="str">
        <f>TEXT(Orders[[#This Row],[Order Date]], "mmmm")</f>
        <v>April</v>
      </c>
      <c r="Z22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25" t="str">
        <f>Orders[[#This Row],[Coffee Type Name]] &amp; "-" &amp; Orders[[#This Row],[Roast Type Name]]</f>
        <v>Robusta-Medium</v>
      </c>
      <c r="AB22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226" spans="1:28" x14ac:dyDescent="0.25">
      <c r="A226" s="2" t="s">
        <v>2769</v>
      </c>
      <c r="B226" s="4">
        <v>43971</v>
      </c>
      <c r="C226" s="2" t="s">
        <v>2770</v>
      </c>
      <c r="D226" t="s">
        <v>6147</v>
      </c>
      <c r="E226" s="2">
        <v>4</v>
      </c>
      <c r="F226" s="2" t="str">
        <f>_xlfn.XLOOKUP(C226,customers!$A$1:$A$1001,customers!$B$1:$B$1001,,0)</f>
        <v>Tania Craggs</v>
      </c>
      <c r="G226" s="2" t="str">
        <f>IF(_xlfn.XLOOKUP(C226,customers!$A$1:$A$1001,customers!$C$1:$C$1001,,0)=0,"",_xlfn.XLOOKUP(C226,customers!$A$1:$A$1001,customers!$C$1:$C$1001,,0))</f>
        <v>tcraggsb8@house.gov</v>
      </c>
      <c r="H226" s="2" t="str">
        <f>_xlfn.XLOOKUP(C226,customers!$A$1:$A$1001,customers!$G$1:$G$1001,,0)</f>
        <v>Ireland</v>
      </c>
      <c r="I226" t="str">
        <f>INDEX(products!$A$1:$G$49, MATCH(orders!$D406,products!$A$1:$A453,0), MATCH(orders!I$1,products!$A$1:$G$1,0))</f>
        <v>Ara</v>
      </c>
      <c r="J226" t="str">
        <f>INDEX(products!$A$1:$G$49, MATCH(orders!$D406,products!$A$1:$A453,0), MATCH(orders!J$1,products!$A$1:$G$1,0))</f>
        <v>D</v>
      </c>
      <c r="K226" s="5">
        <f>INDEX(products!$A$1:$G$49, MATCH(orders!$D406,products!$A$1:$A453,0), MATCH(orders!K$1,products!$A$1:$G$1,0))</f>
        <v>1</v>
      </c>
      <c r="L226" s="6">
        <f>INDEX(products!$A$1:$G$49, MATCH(orders!$D406,products!$A$1:$A453,0), MATCH(orders!L$1,products!$A$1:$G$1,0))</f>
        <v>9.9499999999999993</v>
      </c>
      <c r="M226" s="6">
        <f t="shared" si="9"/>
        <v>39.799999999999997</v>
      </c>
      <c r="N226" t="str">
        <f t="shared" si="10"/>
        <v>Arabica</v>
      </c>
      <c r="O226" t="str">
        <f t="shared" si="11"/>
        <v>Dark</v>
      </c>
      <c r="P226" t="str">
        <f>_xlfn.XLOOKUP(Orders[[#This Row],[Customer ID]],customers!$A$1:$A$1001,customers!$I$1:$I$1001,,0)</f>
        <v>No</v>
      </c>
      <c r="Q226">
        <f>COUNTIF(Orders[Order ID],Orders[[#This Row],[Order ID]])</f>
        <v>1</v>
      </c>
      <c r="R226" s="10">
        <f>SUMIF(Orders[Order ID], Orders[[#This Row],[Order ID]],Orders[Sales])/Orders[[#This Row],[Order Frequency]]</f>
        <v>39.799999999999997</v>
      </c>
      <c r="S226" t="str">
        <f>IF(Orders[[#This Row],[Order Frequency]]&gt;4, "More than 4", IF(AND(Orders[[#This Row],[Order Frequency]]&lt;=4,Orders[[#This Row],[Order Frequency]]&gt;=2), "Between 4 and 2", "Less than 2"))</f>
        <v>Less than 2</v>
      </c>
      <c r="T226" t="str">
        <f>IF(Orders[[#This Row],[Frequency Group]]="less than 2", "Low Value", IF(Orders[[#This Row],[Frequency Group]]="between 4 and 2", "Medium Value", "High Value"))</f>
        <v>Low Value</v>
      </c>
      <c r="U226" t="str">
        <f>IF(Orders[[#This Row],[Sales]]&lt;50, "$0-50", IF(AND(Orders[[#This Row],[Sales]]&gt;=50,Orders[[#This Row],[Sales]]&lt;=100), "$50-100", IF(AND(Orders[[#This Row],[Sales]]&gt;100,Orders[[#This Row],[Sales]]&lt;=150), "$101-150", "$150+")))</f>
        <v>$0-50</v>
      </c>
      <c r="V226" t="str">
        <f>IF(Orders[[#This Row],[Sales]]&gt;MEDIAN(M:M), "High Price", "Low Price")</f>
        <v>High Price</v>
      </c>
      <c r="W226" t="str">
        <f>IF(Orders[[#This Row],[Quantity]]&gt;MEDIAN(E:E), "High Volume", "Low Volume")</f>
        <v>Low Volume</v>
      </c>
      <c r="X226" t="str">
        <f>Orders[[#This Row],[Sales Tier]] &amp; "-" &amp; Orders[[#This Row],[Quantity Tier]]</f>
        <v>High Price-Low Volume</v>
      </c>
      <c r="Y226" t="str">
        <f>TEXT(Orders[[#This Row],[Order Date]], "mmmm")</f>
        <v>May</v>
      </c>
      <c r="Z22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26" t="str">
        <f>Orders[[#This Row],[Coffee Type Name]] &amp; "-" &amp; Orders[[#This Row],[Roast Type Name]]</f>
        <v>Arabica-Dark</v>
      </c>
      <c r="AB22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227" spans="1:28" x14ac:dyDescent="0.25">
      <c r="A227" s="2" t="s">
        <v>4886</v>
      </c>
      <c r="B227" s="4">
        <v>43889</v>
      </c>
      <c r="C227" s="2" t="s">
        <v>4933</v>
      </c>
      <c r="D227" t="s">
        <v>6161</v>
      </c>
      <c r="E227" s="2">
        <v>2</v>
      </c>
      <c r="F227" s="2" t="str">
        <f>_xlfn.XLOOKUP(C227,customers!$A$1:$A$1001,customers!$B$1:$B$1001,,0)</f>
        <v>Cam Jewster</v>
      </c>
      <c r="G227" s="2" t="str">
        <f>IF(_xlfn.XLOOKUP(C227,customers!$A$1:$A$1001,customers!$C$1:$C$1001,,0)=0,"",_xlfn.XLOOKUP(C227,customers!$A$1:$A$1001,customers!$C$1:$C$1001,,0))</f>
        <v>cjewsterlu@moonfruit.com</v>
      </c>
      <c r="H227" s="2" t="str">
        <f>_xlfn.XLOOKUP(C227,customers!$A$1:$A$1001,customers!$G$1:$G$1001,,0)</f>
        <v>United States</v>
      </c>
      <c r="I227" t="str">
        <f>INDEX(products!$A$1:$G$49, MATCH(orders!$D780,products!$A$1:$A827,0), MATCH(orders!I$1,products!$A$1:$G$1,0))</f>
        <v>Lib</v>
      </c>
      <c r="J227" t="str">
        <f>INDEX(products!$A$1:$G$49, MATCH(orders!$D780,products!$A$1:$A827,0), MATCH(orders!J$1,products!$A$1:$G$1,0))</f>
        <v>L</v>
      </c>
      <c r="K227" s="5">
        <f>INDEX(products!$A$1:$G$49, MATCH(orders!$D780,products!$A$1:$A827,0), MATCH(orders!K$1,products!$A$1:$G$1,0))</f>
        <v>0.5</v>
      </c>
      <c r="L227" s="6">
        <f>INDEX(products!$A$1:$G$49, MATCH(orders!$D780,products!$A$1:$A827,0), MATCH(orders!L$1,products!$A$1:$G$1,0))</f>
        <v>9.51</v>
      </c>
      <c r="M227" s="6">
        <f t="shared" si="9"/>
        <v>19.02</v>
      </c>
      <c r="N227" t="str">
        <f t="shared" si="10"/>
        <v>Liberica</v>
      </c>
      <c r="O227" t="str">
        <f t="shared" si="11"/>
        <v>Light</v>
      </c>
      <c r="P227" t="str">
        <f>_xlfn.XLOOKUP(Orders[[#This Row],[Customer ID]],customers!$A$1:$A$1001,customers!$I$1:$I$1001,,0)</f>
        <v>Yes</v>
      </c>
      <c r="Q227">
        <f>COUNTIF(Orders[Order ID],Orders[[#This Row],[Order ID]])</f>
        <v>1</v>
      </c>
      <c r="R227" s="10">
        <f>SUMIF(Orders[Order ID], Orders[[#This Row],[Order ID]],Orders[Sales])/Orders[[#This Row],[Order Frequency]]</f>
        <v>19.02</v>
      </c>
      <c r="S227" t="str">
        <f>IF(Orders[[#This Row],[Order Frequency]]&gt;4, "More than 4", IF(AND(Orders[[#This Row],[Order Frequency]]&lt;=4,Orders[[#This Row],[Order Frequency]]&gt;=2), "Between 4 and 2", "Less than 2"))</f>
        <v>Less than 2</v>
      </c>
      <c r="T227" t="str">
        <f>IF(Orders[[#This Row],[Frequency Group]]="less than 2", "Low Value", IF(Orders[[#This Row],[Frequency Group]]="between 4 and 2", "Medium Value", "High Value"))</f>
        <v>Low Value</v>
      </c>
      <c r="U227" t="str">
        <f>IF(Orders[[#This Row],[Sales]]&lt;50, "$0-50", IF(AND(Orders[[#This Row],[Sales]]&gt;=50,Orders[[#This Row],[Sales]]&lt;=100), "$50-100", IF(AND(Orders[[#This Row],[Sales]]&gt;100,Orders[[#This Row],[Sales]]&lt;=150), "$101-150", "$150+")))</f>
        <v>$0-50</v>
      </c>
      <c r="V227" t="str">
        <f>IF(Orders[[#This Row],[Sales]]&gt;MEDIAN(M:M), "High Price", "Low Price")</f>
        <v>Low Price</v>
      </c>
      <c r="W227" t="str">
        <f>IF(Orders[[#This Row],[Quantity]]&gt;MEDIAN(E:E), "High Volume", "Low Volume")</f>
        <v>Low Volume</v>
      </c>
      <c r="X227" t="str">
        <f>Orders[[#This Row],[Sales Tier]] &amp; "-" &amp; Orders[[#This Row],[Quantity Tier]]</f>
        <v>Low Price-Low Volume</v>
      </c>
      <c r="Y227" t="str">
        <f>TEXT(Orders[[#This Row],[Order Date]], "mmmm")</f>
        <v>February</v>
      </c>
      <c r="Z22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227" t="str">
        <f>Orders[[#This Row],[Coffee Type Name]] &amp; "-" &amp; Orders[[#This Row],[Roast Type Name]]</f>
        <v>Liberica-Light</v>
      </c>
      <c r="AB22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228" spans="1:28" x14ac:dyDescent="0.25">
      <c r="A228" s="2" t="s">
        <v>1860</v>
      </c>
      <c r="B228" s="4">
        <v>44114</v>
      </c>
      <c r="C228" s="2" t="s">
        <v>1861</v>
      </c>
      <c r="D228" t="s">
        <v>6144</v>
      </c>
      <c r="E228" s="2">
        <v>4</v>
      </c>
      <c r="F228" s="2" t="str">
        <f>_xlfn.XLOOKUP(C228,customers!$A$1:$A$1001,customers!$B$1:$B$1001,,0)</f>
        <v>Tammie Drynan</v>
      </c>
      <c r="G228" s="2" t="str">
        <f>IF(_xlfn.XLOOKUP(C228,customers!$A$1:$A$1001,customers!$C$1:$C$1001,,0)=0,"",_xlfn.XLOOKUP(C228,customers!$A$1:$A$1001,customers!$C$1:$C$1001,,0))</f>
        <v>tdrynan6r@deviantart.com</v>
      </c>
      <c r="H228" s="2" t="str">
        <f>_xlfn.XLOOKUP(C228,customers!$A$1:$A$1001,customers!$G$1:$G$1001,,0)</f>
        <v>United States</v>
      </c>
      <c r="I228" t="str">
        <f>INDEX(products!$A$1:$G$49, MATCH(orders!$D245,products!$A$1:$A292,0), MATCH(orders!I$1,products!$A$1:$G$1,0))</f>
        <v>Exc</v>
      </c>
      <c r="J228" t="str">
        <f>INDEX(products!$A$1:$G$49, MATCH(orders!$D245,products!$A$1:$A292,0), MATCH(orders!J$1,products!$A$1:$G$1,0))</f>
        <v>D</v>
      </c>
      <c r="K228" s="5">
        <f>INDEX(products!$A$1:$G$49, MATCH(orders!$D245,products!$A$1:$A292,0), MATCH(orders!K$1,products!$A$1:$G$1,0))</f>
        <v>0.5</v>
      </c>
      <c r="L228" s="6">
        <f>INDEX(products!$A$1:$G$49, MATCH(orders!$D245,products!$A$1:$A292,0), MATCH(orders!L$1,products!$A$1:$G$1,0))</f>
        <v>7.29</v>
      </c>
      <c r="M228" s="6">
        <f t="shared" si="9"/>
        <v>29.16</v>
      </c>
      <c r="N228" t="str">
        <f t="shared" si="10"/>
        <v>Excelsa</v>
      </c>
      <c r="O228" t="str">
        <f t="shared" si="11"/>
        <v>Dark</v>
      </c>
      <c r="P228" t="str">
        <f>_xlfn.XLOOKUP(Orders[[#This Row],[Customer ID]],customers!$A$1:$A$1001,customers!$I$1:$I$1001,,0)</f>
        <v>Yes</v>
      </c>
      <c r="Q228">
        <f>COUNTIF(Orders[Order ID],Orders[[#This Row],[Order ID]])</f>
        <v>1</v>
      </c>
      <c r="R228" s="10">
        <f>SUMIF(Orders[Order ID], Orders[[#This Row],[Order ID]],Orders[Sales])/Orders[[#This Row],[Order Frequency]]</f>
        <v>29.16</v>
      </c>
      <c r="S228" t="str">
        <f>IF(Orders[[#This Row],[Order Frequency]]&gt;4, "More than 4", IF(AND(Orders[[#This Row],[Order Frequency]]&lt;=4,Orders[[#This Row],[Order Frequency]]&gt;=2), "Between 4 and 2", "Less than 2"))</f>
        <v>Less than 2</v>
      </c>
      <c r="T228" t="str">
        <f>IF(Orders[[#This Row],[Frequency Group]]="less than 2", "Low Value", IF(Orders[[#This Row],[Frequency Group]]="between 4 and 2", "Medium Value", "High Value"))</f>
        <v>Low Value</v>
      </c>
      <c r="U228" t="str">
        <f>IF(Orders[[#This Row],[Sales]]&lt;50, "$0-50", IF(AND(Orders[[#This Row],[Sales]]&gt;=50,Orders[[#This Row],[Sales]]&lt;=100), "$50-100", IF(AND(Orders[[#This Row],[Sales]]&gt;100,Orders[[#This Row],[Sales]]&lt;=150), "$101-150", "$150+")))</f>
        <v>$0-50</v>
      </c>
      <c r="V228" t="str">
        <f>IF(Orders[[#This Row],[Sales]]&gt;MEDIAN(M:M), "High Price", "Low Price")</f>
        <v>Low Price</v>
      </c>
      <c r="W228" t="str">
        <f>IF(Orders[[#This Row],[Quantity]]&gt;MEDIAN(E:E), "High Volume", "Low Volume")</f>
        <v>Low Volume</v>
      </c>
      <c r="X228" t="str">
        <f>Orders[[#This Row],[Sales Tier]] &amp; "-" &amp; Orders[[#This Row],[Quantity Tier]]</f>
        <v>Low Price-Low Volume</v>
      </c>
      <c r="Y228" t="str">
        <f>TEXT(Orders[[#This Row],[Order Date]], "mmmm")</f>
        <v>October</v>
      </c>
      <c r="Z22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228" t="str">
        <f>Orders[[#This Row],[Coffee Type Name]] &amp; "-" &amp; Orders[[#This Row],[Roast Type Name]]</f>
        <v>Excelsa-Dark</v>
      </c>
      <c r="AB22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229" spans="1:28" x14ac:dyDescent="0.25">
      <c r="A229" s="2" t="s">
        <v>1621</v>
      </c>
      <c r="B229" s="4">
        <v>44294</v>
      </c>
      <c r="C229" s="2" t="s">
        <v>1622</v>
      </c>
      <c r="D229" t="s">
        <v>6161</v>
      </c>
      <c r="E229" s="2">
        <v>6</v>
      </c>
      <c r="F229" s="2" t="str">
        <f>_xlfn.XLOOKUP(C229,customers!$A$1:$A$1001,customers!$B$1:$B$1001,,0)</f>
        <v>Adriana Lazarus</v>
      </c>
      <c r="G229" s="2" t="str">
        <f>IF(_xlfn.XLOOKUP(C229,customers!$A$1:$A$1001,customers!$C$1:$C$1001,,0)=0,"",_xlfn.XLOOKUP(C229,customers!$A$1:$A$1001,customers!$C$1:$C$1001,,0))</f>
        <v/>
      </c>
      <c r="H229" s="2" t="str">
        <f>_xlfn.XLOOKUP(C229,customers!$A$1:$A$1001,customers!$G$1:$G$1001,,0)</f>
        <v>United States</v>
      </c>
      <c r="I229" t="str">
        <f>INDEX(products!$A$1:$G$49, MATCH(orders!$D203,products!$A$1:$A250,0), MATCH(orders!I$1,products!$A$1:$G$1,0))</f>
        <v>Lib</v>
      </c>
      <c r="J229" t="str">
        <f>INDEX(products!$A$1:$G$49, MATCH(orders!$D203,products!$A$1:$A250,0), MATCH(orders!J$1,products!$A$1:$G$1,0))</f>
        <v>L</v>
      </c>
      <c r="K229" s="5">
        <f>INDEX(products!$A$1:$G$49, MATCH(orders!$D203,products!$A$1:$A250,0), MATCH(orders!K$1,products!$A$1:$G$1,0))</f>
        <v>0.5</v>
      </c>
      <c r="L229" s="6">
        <f>INDEX(products!$A$1:$G$49, MATCH(orders!$D203,products!$A$1:$A250,0), MATCH(orders!L$1,products!$A$1:$G$1,0))</f>
        <v>9.51</v>
      </c>
      <c r="M229" s="6">
        <f t="shared" si="9"/>
        <v>57.06</v>
      </c>
      <c r="N229" t="str">
        <f t="shared" si="10"/>
        <v>Liberica</v>
      </c>
      <c r="O229" t="str">
        <f t="shared" si="11"/>
        <v>Light</v>
      </c>
      <c r="P229" t="str">
        <f>_xlfn.XLOOKUP(Orders[[#This Row],[Customer ID]],customers!$A$1:$A$1001,customers!$I$1:$I$1001,,0)</f>
        <v>No</v>
      </c>
      <c r="Q229">
        <f>COUNTIF(Orders[Order ID],Orders[[#This Row],[Order ID]])</f>
        <v>1</v>
      </c>
      <c r="R229" s="10">
        <f>SUMIF(Orders[Order ID], Orders[[#This Row],[Order ID]],Orders[Sales])/Orders[[#This Row],[Order Frequency]]</f>
        <v>57.06</v>
      </c>
      <c r="S229" t="str">
        <f>IF(Orders[[#This Row],[Order Frequency]]&gt;4, "More than 4", IF(AND(Orders[[#This Row],[Order Frequency]]&lt;=4,Orders[[#This Row],[Order Frequency]]&gt;=2), "Between 4 and 2", "Less than 2"))</f>
        <v>Less than 2</v>
      </c>
      <c r="T229" t="str">
        <f>IF(Orders[[#This Row],[Frequency Group]]="less than 2", "Low Value", IF(Orders[[#This Row],[Frequency Group]]="between 4 and 2", "Medium Value", "High Value"))</f>
        <v>Low Value</v>
      </c>
      <c r="U229" t="str">
        <f>IF(Orders[[#This Row],[Sales]]&lt;50, "$0-50", IF(AND(Orders[[#This Row],[Sales]]&gt;=50,Orders[[#This Row],[Sales]]&lt;=100), "$50-100", IF(AND(Orders[[#This Row],[Sales]]&gt;100,Orders[[#This Row],[Sales]]&lt;=150), "$101-150", "$150+")))</f>
        <v>$50-100</v>
      </c>
      <c r="V229" t="str">
        <f>IF(Orders[[#This Row],[Sales]]&gt;MEDIAN(M:M), "High Price", "Low Price")</f>
        <v>High Price</v>
      </c>
      <c r="W229" t="str">
        <f>IF(Orders[[#This Row],[Quantity]]&gt;MEDIAN(E:E), "High Volume", "Low Volume")</f>
        <v>High Volume</v>
      </c>
      <c r="X229" t="str">
        <f>Orders[[#This Row],[Sales Tier]] &amp; "-" &amp; Orders[[#This Row],[Quantity Tier]]</f>
        <v>High Price-High Volume</v>
      </c>
      <c r="Y229" t="str">
        <f>TEXT(Orders[[#This Row],[Order Date]], "mmmm")</f>
        <v>April</v>
      </c>
      <c r="Z22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29" t="str">
        <f>Orders[[#This Row],[Coffee Type Name]] &amp; "-" &amp; Orders[[#This Row],[Roast Type Name]]</f>
        <v>Liberica-Light</v>
      </c>
      <c r="AB22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230" spans="1:28" x14ac:dyDescent="0.25">
      <c r="A230" s="2" t="s">
        <v>4898</v>
      </c>
      <c r="B230" s="4">
        <v>43883</v>
      </c>
      <c r="C230" s="2" t="s">
        <v>4899</v>
      </c>
      <c r="D230" t="s">
        <v>6141</v>
      </c>
      <c r="E230" s="2">
        <v>3</v>
      </c>
      <c r="F230" s="2" t="str">
        <f>_xlfn.XLOOKUP(C230,customers!$A$1:$A$1001,customers!$B$1:$B$1001,,0)</f>
        <v>Verne Dunkerley</v>
      </c>
      <c r="G230" s="2" t="str">
        <f>IF(_xlfn.XLOOKUP(C230,customers!$A$1:$A$1001,customers!$C$1:$C$1001,,0)=0,"",_xlfn.XLOOKUP(C230,customers!$A$1:$A$1001,customers!$C$1:$C$1001,,0))</f>
        <v/>
      </c>
      <c r="H230" s="2" t="str">
        <f>_xlfn.XLOOKUP(C230,customers!$A$1:$A$1001,customers!$G$1:$G$1001,,0)</f>
        <v>United States</v>
      </c>
      <c r="I230" t="str">
        <f>INDEX(products!$A$1:$G$49, MATCH(orders!$D782,products!$A$1:$A829,0), MATCH(orders!I$1,products!$A$1:$G$1,0))</f>
        <v>Exc</v>
      </c>
      <c r="J230" t="str">
        <f>INDEX(products!$A$1:$G$49, MATCH(orders!$D782,products!$A$1:$A829,0), MATCH(orders!J$1,products!$A$1:$G$1,0))</f>
        <v>M</v>
      </c>
      <c r="K230" s="5">
        <f>INDEX(products!$A$1:$G$49, MATCH(orders!$D782,products!$A$1:$A829,0), MATCH(orders!K$1,products!$A$1:$G$1,0))</f>
        <v>1</v>
      </c>
      <c r="L230" s="6">
        <f>INDEX(products!$A$1:$G$49, MATCH(orders!$D782,products!$A$1:$A829,0), MATCH(orders!L$1,products!$A$1:$G$1,0))</f>
        <v>13.75</v>
      </c>
      <c r="M230" s="6">
        <f t="shared" si="9"/>
        <v>41.25</v>
      </c>
      <c r="N230" t="str">
        <f t="shared" si="10"/>
        <v>Excelsa</v>
      </c>
      <c r="O230" t="str">
        <f t="shared" si="11"/>
        <v>Medium</v>
      </c>
      <c r="P230" t="str">
        <f>_xlfn.XLOOKUP(Orders[[#This Row],[Customer ID]],customers!$A$1:$A$1001,customers!$I$1:$I$1001,,0)</f>
        <v>No</v>
      </c>
      <c r="Q230">
        <f>COUNTIF(Orders[Order ID],Orders[[#This Row],[Order ID]])</f>
        <v>1</v>
      </c>
      <c r="R230" s="10">
        <f>SUMIF(Orders[Order ID], Orders[[#This Row],[Order ID]],Orders[Sales])/Orders[[#This Row],[Order Frequency]]</f>
        <v>41.25</v>
      </c>
      <c r="S230" t="str">
        <f>IF(Orders[[#This Row],[Order Frequency]]&gt;4, "More than 4", IF(AND(Orders[[#This Row],[Order Frequency]]&lt;=4,Orders[[#This Row],[Order Frequency]]&gt;=2), "Between 4 and 2", "Less than 2"))</f>
        <v>Less than 2</v>
      </c>
      <c r="T230" t="str">
        <f>IF(Orders[[#This Row],[Frequency Group]]="less than 2", "Low Value", IF(Orders[[#This Row],[Frequency Group]]="between 4 and 2", "Medium Value", "High Value"))</f>
        <v>Low Value</v>
      </c>
      <c r="U230" t="str">
        <f>IF(Orders[[#This Row],[Sales]]&lt;50, "$0-50", IF(AND(Orders[[#This Row],[Sales]]&gt;=50,Orders[[#This Row],[Sales]]&lt;=100), "$50-100", IF(AND(Orders[[#This Row],[Sales]]&gt;100,Orders[[#This Row],[Sales]]&lt;=150), "$101-150", "$150+")))</f>
        <v>$0-50</v>
      </c>
      <c r="V230" t="str">
        <f>IF(Orders[[#This Row],[Sales]]&gt;MEDIAN(M:M), "High Price", "Low Price")</f>
        <v>High Price</v>
      </c>
      <c r="W230" t="str">
        <f>IF(Orders[[#This Row],[Quantity]]&gt;MEDIAN(E:E), "High Volume", "Low Volume")</f>
        <v>Low Volume</v>
      </c>
      <c r="X230" t="str">
        <f>Orders[[#This Row],[Sales Tier]] &amp; "-" &amp; Orders[[#This Row],[Quantity Tier]]</f>
        <v>High Price-Low Volume</v>
      </c>
      <c r="Y230" t="str">
        <f>TEXT(Orders[[#This Row],[Order Date]], "mmmm")</f>
        <v>February</v>
      </c>
      <c r="Z23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230" t="str">
        <f>Orders[[#This Row],[Coffee Type Name]] &amp; "-" &amp; Orders[[#This Row],[Roast Type Name]]</f>
        <v>Excelsa-Medium</v>
      </c>
      <c r="AB23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231" spans="1:28" x14ac:dyDescent="0.25">
      <c r="A231" s="2" t="s">
        <v>2603</v>
      </c>
      <c r="B231" s="4">
        <v>44120</v>
      </c>
      <c r="C231" s="2" t="s">
        <v>2604</v>
      </c>
      <c r="D231" t="s">
        <v>6152</v>
      </c>
      <c r="E231" s="2">
        <v>2</v>
      </c>
      <c r="F231" s="2" t="str">
        <f>_xlfn.XLOOKUP(C231,customers!$A$1:$A$1001,customers!$B$1:$B$1001,,0)</f>
        <v>Waylin Hollingdale</v>
      </c>
      <c r="G231" s="2" t="str">
        <f>IF(_xlfn.XLOOKUP(C231,customers!$A$1:$A$1001,customers!$C$1:$C$1001,,0)=0,"",_xlfn.XLOOKUP(C231,customers!$A$1:$A$1001,customers!$C$1:$C$1001,,0))</f>
        <v>whollingdaleaf@about.me</v>
      </c>
      <c r="H231" s="2" t="str">
        <f>_xlfn.XLOOKUP(C231,customers!$A$1:$A$1001,customers!$G$1:$G$1001,,0)</f>
        <v>United States</v>
      </c>
      <c r="I231" t="str">
        <f>INDEX(products!$A$1:$G$49, MATCH(orders!$D377,products!$A$1:$A424,0), MATCH(orders!I$1,products!$A$1:$G$1,0))</f>
        <v>Ara</v>
      </c>
      <c r="J231" t="str">
        <f>INDEX(products!$A$1:$G$49, MATCH(orders!$D377,products!$A$1:$A424,0), MATCH(orders!J$1,products!$A$1:$G$1,0))</f>
        <v>M</v>
      </c>
      <c r="K231" s="5">
        <f>INDEX(products!$A$1:$G$49, MATCH(orders!$D377,products!$A$1:$A424,0), MATCH(orders!K$1,products!$A$1:$G$1,0))</f>
        <v>0.2</v>
      </c>
      <c r="L231" s="6">
        <f>INDEX(products!$A$1:$G$49, MATCH(orders!$D377,products!$A$1:$A424,0), MATCH(orders!L$1,products!$A$1:$G$1,0))</f>
        <v>3.375</v>
      </c>
      <c r="M231" s="6">
        <f t="shared" si="9"/>
        <v>6.75</v>
      </c>
      <c r="N231" t="str">
        <f t="shared" si="10"/>
        <v>Arabica</v>
      </c>
      <c r="O231" t="str">
        <f t="shared" si="11"/>
        <v>Medium</v>
      </c>
      <c r="P231" t="str">
        <f>_xlfn.XLOOKUP(Orders[[#This Row],[Customer ID]],customers!$A$1:$A$1001,customers!$I$1:$I$1001,,0)</f>
        <v>Yes</v>
      </c>
      <c r="Q231">
        <f>COUNTIF(Orders[Order ID],Orders[[#This Row],[Order ID]])</f>
        <v>1</v>
      </c>
      <c r="R231" s="10">
        <f>SUMIF(Orders[Order ID], Orders[[#This Row],[Order ID]],Orders[Sales])/Orders[[#This Row],[Order Frequency]]</f>
        <v>6.75</v>
      </c>
      <c r="S231" t="str">
        <f>IF(Orders[[#This Row],[Order Frequency]]&gt;4, "More than 4", IF(AND(Orders[[#This Row],[Order Frequency]]&lt;=4,Orders[[#This Row],[Order Frequency]]&gt;=2), "Between 4 and 2", "Less than 2"))</f>
        <v>Less than 2</v>
      </c>
      <c r="T231" t="str">
        <f>IF(Orders[[#This Row],[Frequency Group]]="less than 2", "Low Value", IF(Orders[[#This Row],[Frequency Group]]="between 4 and 2", "Medium Value", "High Value"))</f>
        <v>Low Value</v>
      </c>
      <c r="U231" t="str">
        <f>IF(Orders[[#This Row],[Sales]]&lt;50, "$0-50", IF(AND(Orders[[#This Row],[Sales]]&gt;=50,Orders[[#This Row],[Sales]]&lt;=100), "$50-100", IF(AND(Orders[[#This Row],[Sales]]&gt;100,Orders[[#This Row],[Sales]]&lt;=150), "$101-150", "$150+")))</f>
        <v>$0-50</v>
      </c>
      <c r="V231" t="str">
        <f>IF(Orders[[#This Row],[Sales]]&gt;MEDIAN(M:M), "High Price", "Low Price")</f>
        <v>Low Price</v>
      </c>
      <c r="W231" t="str">
        <f>IF(Orders[[#This Row],[Quantity]]&gt;MEDIAN(E:E), "High Volume", "Low Volume")</f>
        <v>Low Volume</v>
      </c>
      <c r="X231" t="str">
        <f>Orders[[#This Row],[Sales Tier]] &amp; "-" &amp; Orders[[#This Row],[Quantity Tier]]</f>
        <v>Low Price-Low Volume</v>
      </c>
      <c r="Y231" t="str">
        <f>TEXT(Orders[[#This Row],[Order Date]], "mmmm")</f>
        <v>October</v>
      </c>
      <c r="Z23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231" t="str">
        <f>Orders[[#This Row],[Coffee Type Name]] &amp; "-" &amp; Orders[[#This Row],[Roast Type Name]]</f>
        <v>Arabica-Medium</v>
      </c>
      <c r="AB23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232" spans="1:28" x14ac:dyDescent="0.25">
      <c r="A232" s="2" t="s">
        <v>2591</v>
      </c>
      <c r="B232" s="4">
        <v>44742</v>
      </c>
      <c r="C232" s="2" t="s">
        <v>2592</v>
      </c>
      <c r="D232" t="s">
        <v>6158</v>
      </c>
      <c r="E232" s="2">
        <v>3</v>
      </c>
      <c r="F232" s="2" t="str">
        <f>_xlfn.XLOOKUP(C232,customers!$A$1:$A$1001,customers!$B$1:$B$1001,,0)</f>
        <v>Corney Curme</v>
      </c>
      <c r="G232" s="2" t="str">
        <f>IF(_xlfn.XLOOKUP(C232,customers!$A$1:$A$1001,customers!$C$1:$C$1001,,0)=0,"",_xlfn.XLOOKUP(C232,customers!$A$1:$A$1001,customers!$C$1:$C$1001,,0))</f>
        <v/>
      </c>
      <c r="H232" s="2" t="str">
        <f>_xlfn.XLOOKUP(C232,customers!$A$1:$A$1001,customers!$G$1:$G$1001,,0)</f>
        <v>Ireland</v>
      </c>
      <c r="I232" t="str">
        <f>INDEX(products!$A$1:$G$49, MATCH(orders!$D375,products!$A$1:$A422,0), MATCH(orders!I$1,products!$A$1:$G$1,0))</f>
        <v>Ara</v>
      </c>
      <c r="J232" t="str">
        <f>INDEX(products!$A$1:$G$49, MATCH(orders!$D375,products!$A$1:$A422,0), MATCH(orders!J$1,products!$A$1:$G$1,0))</f>
        <v>D</v>
      </c>
      <c r="K232" s="5">
        <f>INDEX(products!$A$1:$G$49, MATCH(orders!$D375,products!$A$1:$A422,0), MATCH(orders!K$1,products!$A$1:$G$1,0))</f>
        <v>0.5</v>
      </c>
      <c r="L232" s="6">
        <f>INDEX(products!$A$1:$G$49, MATCH(orders!$D375,products!$A$1:$A422,0), MATCH(orders!L$1,products!$A$1:$G$1,0))</f>
        <v>5.97</v>
      </c>
      <c r="M232" s="6">
        <f t="shared" si="9"/>
        <v>17.91</v>
      </c>
      <c r="N232" t="str">
        <f t="shared" si="10"/>
        <v>Arabica</v>
      </c>
      <c r="O232" t="str">
        <f t="shared" si="11"/>
        <v>Dark</v>
      </c>
      <c r="P232" t="str">
        <f>_xlfn.XLOOKUP(Orders[[#This Row],[Customer ID]],customers!$A$1:$A$1001,customers!$I$1:$I$1001,,0)</f>
        <v>Yes</v>
      </c>
      <c r="Q232">
        <f>COUNTIF(Orders[Order ID],Orders[[#This Row],[Order ID]])</f>
        <v>1</v>
      </c>
      <c r="R232" s="10">
        <f>SUMIF(Orders[Order ID], Orders[[#This Row],[Order ID]],Orders[Sales])/Orders[[#This Row],[Order Frequency]]</f>
        <v>17.91</v>
      </c>
      <c r="S232" t="str">
        <f>IF(Orders[[#This Row],[Order Frequency]]&gt;4, "More than 4", IF(AND(Orders[[#This Row],[Order Frequency]]&lt;=4,Orders[[#This Row],[Order Frequency]]&gt;=2), "Between 4 and 2", "Less than 2"))</f>
        <v>Less than 2</v>
      </c>
      <c r="T232" t="str">
        <f>IF(Orders[[#This Row],[Frequency Group]]="less than 2", "Low Value", IF(Orders[[#This Row],[Frequency Group]]="between 4 and 2", "Medium Value", "High Value"))</f>
        <v>Low Value</v>
      </c>
      <c r="U232" t="str">
        <f>IF(Orders[[#This Row],[Sales]]&lt;50, "$0-50", IF(AND(Orders[[#This Row],[Sales]]&gt;=50,Orders[[#This Row],[Sales]]&lt;=100), "$50-100", IF(AND(Orders[[#This Row],[Sales]]&gt;100,Orders[[#This Row],[Sales]]&lt;=150), "$101-150", "$150+")))</f>
        <v>$0-50</v>
      </c>
      <c r="V232" t="str">
        <f>IF(Orders[[#This Row],[Sales]]&gt;MEDIAN(M:M), "High Price", "Low Price")</f>
        <v>Low Price</v>
      </c>
      <c r="W232" t="str">
        <f>IF(Orders[[#This Row],[Quantity]]&gt;MEDIAN(E:E), "High Volume", "Low Volume")</f>
        <v>Low Volume</v>
      </c>
      <c r="X232" t="str">
        <f>Orders[[#This Row],[Sales Tier]] &amp; "-" &amp; Orders[[#This Row],[Quantity Tier]]</f>
        <v>Low Price-Low Volume</v>
      </c>
      <c r="Y232" t="str">
        <f>TEXT(Orders[[#This Row],[Order Date]], "mmmm")</f>
        <v>June</v>
      </c>
      <c r="Z23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32" t="str">
        <f>Orders[[#This Row],[Coffee Type Name]] &amp; "-" &amp; Orders[[#This Row],[Roast Type Name]]</f>
        <v>Arabica-Dark</v>
      </c>
      <c r="AB23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233" spans="1:28" x14ac:dyDescent="0.25">
      <c r="A233" s="2" t="s">
        <v>4602</v>
      </c>
      <c r="B233" s="4">
        <v>44155</v>
      </c>
      <c r="C233" s="2" t="s">
        <v>4603</v>
      </c>
      <c r="D233" t="s">
        <v>6144</v>
      </c>
      <c r="E233" s="2">
        <v>3</v>
      </c>
      <c r="F233" s="2" t="str">
        <f>_xlfn.XLOOKUP(C233,customers!$A$1:$A$1001,customers!$B$1:$B$1001,,0)</f>
        <v>Rochette Huscroft</v>
      </c>
      <c r="G233" s="2" t="str">
        <f>IF(_xlfn.XLOOKUP(C233,customers!$A$1:$A$1001,customers!$C$1:$C$1001,,0)=0,"",_xlfn.XLOOKUP(C233,customers!$A$1:$A$1001,customers!$C$1:$C$1001,,0))</f>
        <v>rhuscroftk8@jimdo.com</v>
      </c>
      <c r="H233" s="2" t="str">
        <f>_xlfn.XLOOKUP(C233,customers!$A$1:$A$1001,customers!$G$1:$G$1001,,0)</f>
        <v>United States</v>
      </c>
      <c r="I233" t="str">
        <f>INDEX(products!$A$1:$G$49, MATCH(orders!$D730,products!$A$1:$A777,0), MATCH(orders!I$1,products!$A$1:$G$1,0))</f>
        <v>Exc</v>
      </c>
      <c r="J233" t="str">
        <f>INDEX(products!$A$1:$G$49, MATCH(orders!$D730,products!$A$1:$A777,0), MATCH(orders!J$1,products!$A$1:$G$1,0))</f>
        <v>D</v>
      </c>
      <c r="K233" s="5">
        <f>INDEX(products!$A$1:$G$49, MATCH(orders!$D730,products!$A$1:$A777,0), MATCH(orders!K$1,products!$A$1:$G$1,0))</f>
        <v>0.5</v>
      </c>
      <c r="L233" s="6">
        <f>INDEX(products!$A$1:$G$49, MATCH(orders!$D730,products!$A$1:$A777,0), MATCH(orders!L$1,products!$A$1:$G$1,0))</f>
        <v>7.29</v>
      </c>
      <c r="M233" s="6">
        <f t="shared" si="9"/>
        <v>21.87</v>
      </c>
      <c r="N233" t="str">
        <f t="shared" si="10"/>
        <v>Excelsa</v>
      </c>
      <c r="O233" t="str">
        <f t="shared" si="11"/>
        <v>Dark</v>
      </c>
      <c r="P233" t="str">
        <f>_xlfn.XLOOKUP(Orders[[#This Row],[Customer ID]],customers!$A$1:$A$1001,customers!$I$1:$I$1001,,0)</f>
        <v>Yes</v>
      </c>
      <c r="Q233">
        <f>COUNTIF(Orders[Order ID],Orders[[#This Row],[Order ID]])</f>
        <v>1</v>
      </c>
      <c r="R233" s="10">
        <f>SUMIF(Orders[Order ID], Orders[[#This Row],[Order ID]],Orders[Sales])/Orders[[#This Row],[Order Frequency]]</f>
        <v>21.87</v>
      </c>
      <c r="S233" t="str">
        <f>IF(Orders[[#This Row],[Order Frequency]]&gt;4, "More than 4", IF(AND(Orders[[#This Row],[Order Frequency]]&lt;=4,Orders[[#This Row],[Order Frequency]]&gt;=2), "Between 4 and 2", "Less than 2"))</f>
        <v>Less than 2</v>
      </c>
      <c r="T233" t="str">
        <f>IF(Orders[[#This Row],[Frequency Group]]="less than 2", "Low Value", IF(Orders[[#This Row],[Frequency Group]]="between 4 and 2", "Medium Value", "High Value"))</f>
        <v>Low Value</v>
      </c>
      <c r="U233" t="str">
        <f>IF(Orders[[#This Row],[Sales]]&lt;50, "$0-50", IF(AND(Orders[[#This Row],[Sales]]&gt;=50,Orders[[#This Row],[Sales]]&lt;=100), "$50-100", IF(AND(Orders[[#This Row],[Sales]]&gt;100,Orders[[#This Row],[Sales]]&lt;=150), "$101-150", "$150+")))</f>
        <v>$0-50</v>
      </c>
      <c r="V233" t="str">
        <f>IF(Orders[[#This Row],[Sales]]&gt;MEDIAN(M:M), "High Price", "Low Price")</f>
        <v>Low Price</v>
      </c>
      <c r="W233" t="str">
        <f>IF(Orders[[#This Row],[Quantity]]&gt;MEDIAN(E:E), "High Volume", "Low Volume")</f>
        <v>Low Volume</v>
      </c>
      <c r="X233" t="str">
        <f>Orders[[#This Row],[Sales Tier]] &amp; "-" &amp; Orders[[#This Row],[Quantity Tier]]</f>
        <v>Low Price-Low Volume</v>
      </c>
      <c r="Y233" t="str">
        <f>TEXT(Orders[[#This Row],[Order Date]], "mmmm")</f>
        <v>November</v>
      </c>
      <c r="Z23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233" t="str">
        <f>Orders[[#This Row],[Coffee Type Name]] &amp; "-" &amp; Orders[[#This Row],[Roast Type Name]]</f>
        <v>Excelsa-Dark</v>
      </c>
      <c r="AB23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234" spans="1:28" x14ac:dyDescent="0.25">
      <c r="A234" s="2" t="s">
        <v>5461</v>
      </c>
      <c r="B234" s="4">
        <v>43630</v>
      </c>
      <c r="C234" s="2" t="s">
        <v>5462</v>
      </c>
      <c r="D234" t="s">
        <v>6153</v>
      </c>
      <c r="E234" s="2">
        <v>3</v>
      </c>
      <c r="F234" s="2" t="str">
        <f>_xlfn.XLOOKUP(C234,customers!$A$1:$A$1001,customers!$B$1:$B$1001,,0)</f>
        <v>Brittani Thoresbie</v>
      </c>
      <c r="G234" s="2" t="str">
        <f>IF(_xlfn.XLOOKUP(C234,customers!$A$1:$A$1001,customers!$C$1:$C$1001,,0)=0,"",_xlfn.XLOOKUP(C234,customers!$A$1:$A$1001,customers!$C$1:$C$1001,,0))</f>
        <v/>
      </c>
      <c r="H234" s="2" t="str">
        <f>_xlfn.XLOOKUP(C234,customers!$A$1:$A$1001,customers!$G$1:$G$1001,,0)</f>
        <v>United States</v>
      </c>
      <c r="I234" t="str">
        <f>INDEX(products!$A$1:$G$49, MATCH(orders!$D881,products!$A$1:$A928,0), MATCH(orders!I$1,products!$A$1:$G$1,0))</f>
        <v>Exc</v>
      </c>
      <c r="J234" t="str">
        <f>INDEX(products!$A$1:$G$49, MATCH(orders!$D881,products!$A$1:$A928,0), MATCH(orders!J$1,products!$A$1:$G$1,0))</f>
        <v>D</v>
      </c>
      <c r="K234" s="5">
        <f>INDEX(products!$A$1:$G$49, MATCH(orders!$D881,products!$A$1:$A928,0), MATCH(orders!K$1,products!$A$1:$G$1,0))</f>
        <v>0.2</v>
      </c>
      <c r="L234" s="6">
        <f>INDEX(products!$A$1:$G$49, MATCH(orders!$D881,products!$A$1:$A928,0), MATCH(orders!L$1,products!$A$1:$G$1,0))</f>
        <v>3.645</v>
      </c>
      <c r="M234" s="6">
        <f t="shared" si="9"/>
        <v>10.935</v>
      </c>
      <c r="N234" t="str">
        <f t="shared" si="10"/>
        <v>Excelsa</v>
      </c>
      <c r="O234" t="str">
        <f t="shared" si="11"/>
        <v>Dark</v>
      </c>
      <c r="P234" t="str">
        <f>_xlfn.XLOOKUP(Orders[[#This Row],[Customer ID]],customers!$A$1:$A$1001,customers!$I$1:$I$1001,,0)</f>
        <v>No</v>
      </c>
      <c r="Q234">
        <f>COUNTIF(Orders[Order ID],Orders[[#This Row],[Order ID]])</f>
        <v>1</v>
      </c>
      <c r="R234" s="10">
        <f>SUMIF(Orders[Order ID], Orders[[#This Row],[Order ID]],Orders[Sales])/Orders[[#This Row],[Order Frequency]]</f>
        <v>10.935</v>
      </c>
      <c r="S234" t="str">
        <f>IF(Orders[[#This Row],[Order Frequency]]&gt;4, "More than 4", IF(AND(Orders[[#This Row],[Order Frequency]]&lt;=4,Orders[[#This Row],[Order Frequency]]&gt;=2), "Between 4 and 2", "Less than 2"))</f>
        <v>Less than 2</v>
      </c>
      <c r="T234" t="str">
        <f>IF(Orders[[#This Row],[Frequency Group]]="less than 2", "Low Value", IF(Orders[[#This Row],[Frequency Group]]="between 4 and 2", "Medium Value", "High Value"))</f>
        <v>Low Value</v>
      </c>
      <c r="U234" t="str">
        <f>IF(Orders[[#This Row],[Sales]]&lt;50, "$0-50", IF(AND(Orders[[#This Row],[Sales]]&gt;=50,Orders[[#This Row],[Sales]]&lt;=100), "$50-100", IF(AND(Orders[[#This Row],[Sales]]&gt;100,Orders[[#This Row],[Sales]]&lt;=150), "$101-150", "$150+")))</f>
        <v>$0-50</v>
      </c>
      <c r="V234" t="str">
        <f>IF(Orders[[#This Row],[Sales]]&gt;MEDIAN(M:M), "High Price", "Low Price")</f>
        <v>Low Price</v>
      </c>
      <c r="W234" t="str">
        <f>IF(Orders[[#This Row],[Quantity]]&gt;MEDIAN(E:E), "High Volume", "Low Volume")</f>
        <v>Low Volume</v>
      </c>
      <c r="X234" t="str">
        <f>Orders[[#This Row],[Sales Tier]] &amp; "-" &amp; Orders[[#This Row],[Quantity Tier]]</f>
        <v>Low Price-Low Volume</v>
      </c>
      <c r="Y234" t="str">
        <f>TEXT(Orders[[#This Row],[Order Date]], "mmmm")</f>
        <v>June</v>
      </c>
      <c r="Z23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34" t="str">
        <f>Orders[[#This Row],[Coffee Type Name]] &amp; "-" &amp; Orders[[#This Row],[Roast Type Name]]</f>
        <v>Excelsa-Dark</v>
      </c>
      <c r="AB23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235" spans="1:28" x14ac:dyDescent="0.25">
      <c r="A235" s="2" t="s">
        <v>5112</v>
      </c>
      <c r="B235" s="4">
        <v>44761</v>
      </c>
      <c r="C235" s="2" t="s">
        <v>5113</v>
      </c>
      <c r="D235" t="s">
        <v>6170</v>
      </c>
      <c r="E235" s="2">
        <v>5</v>
      </c>
      <c r="F235" s="2" t="str">
        <f>_xlfn.XLOOKUP(C235,customers!$A$1:$A$1001,customers!$B$1:$B$1001,,0)</f>
        <v>Allis Wilmore</v>
      </c>
      <c r="G235" s="2" t="str">
        <f>IF(_xlfn.XLOOKUP(C235,customers!$A$1:$A$1001,customers!$C$1:$C$1001,,0)=0,"",_xlfn.XLOOKUP(C235,customers!$A$1:$A$1001,customers!$C$1:$C$1001,,0))</f>
        <v/>
      </c>
      <c r="H235" s="2" t="str">
        <f>_xlfn.XLOOKUP(C235,customers!$A$1:$A$1001,customers!$G$1:$G$1001,,0)</f>
        <v>United States</v>
      </c>
      <c r="I235" t="str">
        <f>INDEX(products!$A$1:$G$49, MATCH(orders!$D820,products!$A$1:$A867,0), MATCH(orders!I$1,products!$A$1:$G$1,0))</f>
        <v>Lib</v>
      </c>
      <c r="J235" t="str">
        <f>INDEX(products!$A$1:$G$49, MATCH(orders!$D820,products!$A$1:$A867,0), MATCH(orders!J$1,products!$A$1:$G$1,0))</f>
        <v>L</v>
      </c>
      <c r="K235" s="5">
        <f>INDEX(products!$A$1:$G$49, MATCH(orders!$D820,products!$A$1:$A867,0), MATCH(orders!K$1,products!$A$1:$G$1,0))</f>
        <v>1</v>
      </c>
      <c r="L235" s="6">
        <f>INDEX(products!$A$1:$G$49, MATCH(orders!$D820,products!$A$1:$A867,0), MATCH(orders!L$1,products!$A$1:$G$1,0))</f>
        <v>15.85</v>
      </c>
      <c r="M235" s="6">
        <f t="shared" si="9"/>
        <v>79.25</v>
      </c>
      <c r="N235" t="str">
        <f t="shared" si="10"/>
        <v>Liberica</v>
      </c>
      <c r="O235" t="str">
        <f t="shared" si="11"/>
        <v>Light</v>
      </c>
      <c r="P235" t="str">
        <f>_xlfn.XLOOKUP(Orders[[#This Row],[Customer ID]],customers!$A$1:$A$1001,customers!$I$1:$I$1001,,0)</f>
        <v>No</v>
      </c>
      <c r="Q235">
        <f>COUNTIF(Orders[Order ID],Orders[[#This Row],[Order ID]])</f>
        <v>1</v>
      </c>
      <c r="R235" s="10">
        <f>SUMIF(Orders[Order ID], Orders[[#This Row],[Order ID]],Orders[Sales])/Orders[[#This Row],[Order Frequency]]</f>
        <v>79.25</v>
      </c>
      <c r="S235" t="str">
        <f>IF(Orders[[#This Row],[Order Frequency]]&gt;4, "More than 4", IF(AND(Orders[[#This Row],[Order Frequency]]&lt;=4,Orders[[#This Row],[Order Frequency]]&gt;=2), "Between 4 and 2", "Less than 2"))</f>
        <v>Less than 2</v>
      </c>
      <c r="T235" t="str">
        <f>IF(Orders[[#This Row],[Frequency Group]]="less than 2", "Low Value", IF(Orders[[#This Row],[Frequency Group]]="between 4 and 2", "Medium Value", "High Value"))</f>
        <v>Low Value</v>
      </c>
      <c r="U235" t="str">
        <f>IF(Orders[[#This Row],[Sales]]&lt;50, "$0-50", IF(AND(Orders[[#This Row],[Sales]]&gt;=50,Orders[[#This Row],[Sales]]&lt;=100), "$50-100", IF(AND(Orders[[#This Row],[Sales]]&gt;100,Orders[[#This Row],[Sales]]&lt;=150), "$101-150", "$150+")))</f>
        <v>$50-100</v>
      </c>
      <c r="V235" t="str">
        <f>IF(Orders[[#This Row],[Sales]]&gt;MEDIAN(M:M), "High Price", "Low Price")</f>
        <v>High Price</v>
      </c>
      <c r="W235" t="str">
        <f>IF(Orders[[#This Row],[Quantity]]&gt;MEDIAN(E:E), "High Volume", "Low Volume")</f>
        <v>High Volume</v>
      </c>
      <c r="X235" t="str">
        <f>Orders[[#This Row],[Sales Tier]] &amp; "-" &amp; Orders[[#This Row],[Quantity Tier]]</f>
        <v>High Price-High Volume</v>
      </c>
      <c r="Y235" t="str">
        <f>TEXT(Orders[[#This Row],[Order Date]], "mmmm")</f>
        <v>July</v>
      </c>
      <c r="Z23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235" t="str">
        <f>Orders[[#This Row],[Coffee Type Name]] &amp; "-" &amp; Orders[[#This Row],[Roast Type Name]]</f>
        <v>Liberica-Light</v>
      </c>
      <c r="AB23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236" spans="1:28" x14ac:dyDescent="0.25">
      <c r="A236" s="2" t="s">
        <v>4185</v>
      </c>
      <c r="B236" s="4">
        <v>43476</v>
      </c>
      <c r="C236" s="2" t="s">
        <v>4186</v>
      </c>
      <c r="D236" t="s">
        <v>6168</v>
      </c>
      <c r="E236" s="2">
        <v>3</v>
      </c>
      <c r="F236" s="2" t="str">
        <f>_xlfn.XLOOKUP(C236,customers!$A$1:$A$1001,customers!$B$1:$B$1001,,0)</f>
        <v>Marvin Malloy</v>
      </c>
      <c r="G236" s="2" t="str">
        <f>IF(_xlfn.XLOOKUP(C236,customers!$A$1:$A$1001,customers!$C$1:$C$1001,,0)=0,"",_xlfn.XLOOKUP(C236,customers!$A$1:$A$1001,customers!$C$1:$C$1001,,0))</f>
        <v>mmalloyi6@seattletimes.com</v>
      </c>
      <c r="H236" s="2" t="str">
        <f>_xlfn.XLOOKUP(C236,customers!$A$1:$A$1001,customers!$G$1:$G$1001,,0)</f>
        <v>United States</v>
      </c>
      <c r="I236" t="str">
        <f>INDEX(products!$A$1:$G$49, MATCH(orders!$D656,products!$A$1:$A703,0), MATCH(orders!I$1,products!$A$1:$G$1,0))</f>
        <v>Ara</v>
      </c>
      <c r="J236" t="str">
        <f>INDEX(products!$A$1:$G$49, MATCH(orders!$D656,products!$A$1:$A703,0), MATCH(orders!J$1,products!$A$1:$G$1,0))</f>
        <v>D</v>
      </c>
      <c r="K236" s="5">
        <f>INDEX(products!$A$1:$G$49, MATCH(orders!$D656,products!$A$1:$A703,0), MATCH(orders!K$1,products!$A$1:$G$1,0))</f>
        <v>2.5</v>
      </c>
      <c r="L236" s="6">
        <f>INDEX(products!$A$1:$G$49, MATCH(orders!$D656,products!$A$1:$A703,0), MATCH(orders!L$1,products!$A$1:$G$1,0))</f>
        <v>22.884999999999998</v>
      </c>
      <c r="M236" s="6">
        <f t="shared" si="9"/>
        <v>68.655000000000001</v>
      </c>
      <c r="N236" t="str">
        <f t="shared" si="10"/>
        <v>Arabica</v>
      </c>
      <c r="O236" t="str">
        <f t="shared" si="11"/>
        <v>Dark</v>
      </c>
      <c r="P236" t="str">
        <f>_xlfn.XLOOKUP(Orders[[#This Row],[Customer ID]],customers!$A$1:$A$1001,customers!$I$1:$I$1001,,0)</f>
        <v>No</v>
      </c>
      <c r="Q236">
        <f>COUNTIF(Orders[Order ID],Orders[[#This Row],[Order ID]])</f>
        <v>1</v>
      </c>
      <c r="R236" s="10">
        <f>SUMIF(Orders[Order ID], Orders[[#This Row],[Order ID]],Orders[Sales])/Orders[[#This Row],[Order Frequency]]</f>
        <v>68.655000000000001</v>
      </c>
      <c r="S236" t="str">
        <f>IF(Orders[[#This Row],[Order Frequency]]&gt;4, "More than 4", IF(AND(Orders[[#This Row],[Order Frequency]]&lt;=4,Orders[[#This Row],[Order Frequency]]&gt;=2), "Between 4 and 2", "Less than 2"))</f>
        <v>Less than 2</v>
      </c>
      <c r="T236" t="str">
        <f>IF(Orders[[#This Row],[Frequency Group]]="less than 2", "Low Value", IF(Orders[[#This Row],[Frequency Group]]="between 4 and 2", "Medium Value", "High Value"))</f>
        <v>Low Value</v>
      </c>
      <c r="U236" t="str">
        <f>IF(Orders[[#This Row],[Sales]]&lt;50, "$0-50", IF(AND(Orders[[#This Row],[Sales]]&gt;=50,Orders[[#This Row],[Sales]]&lt;=100), "$50-100", IF(AND(Orders[[#This Row],[Sales]]&gt;100,Orders[[#This Row],[Sales]]&lt;=150), "$101-150", "$150+")))</f>
        <v>$50-100</v>
      </c>
      <c r="V236" t="str">
        <f>IF(Orders[[#This Row],[Sales]]&gt;MEDIAN(M:M), "High Price", "Low Price")</f>
        <v>High Price</v>
      </c>
      <c r="W236" t="str">
        <f>IF(Orders[[#This Row],[Quantity]]&gt;MEDIAN(E:E), "High Volume", "Low Volume")</f>
        <v>Low Volume</v>
      </c>
      <c r="X236" t="str">
        <f>Orders[[#This Row],[Sales Tier]] &amp; "-" &amp; Orders[[#This Row],[Quantity Tier]]</f>
        <v>High Price-Low Volume</v>
      </c>
      <c r="Y236" t="str">
        <f>TEXT(Orders[[#This Row],[Order Date]], "mmmm")</f>
        <v>January</v>
      </c>
      <c r="Z23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236" t="str">
        <f>Orders[[#This Row],[Coffee Type Name]] &amp; "-" &amp; Orders[[#This Row],[Roast Type Name]]</f>
        <v>Arabica-Dark</v>
      </c>
      <c r="AB23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237" spans="1:28" x14ac:dyDescent="0.25">
      <c r="A237" s="2" t="s">
        <v>576</v>
      </c>
      <c r="B237" s="4">
        <v>44719</v>
      </c>
      <c r="C237" s="2" t="s">
        <v>577</v>
      </c>
      <c r="D237" t="s">
        <v>6151</v>
      </c>
      <c r="E237" s="2">
        <v>5</v>
      </c>
      <c r="F237" s="2" t="str">
        <f>_xlfn.XLOOKUP(C237,customers!$A$1:$A$1001,customers!$B$1:$B$1001,,0)</f>
        <v>Llywellyn Oscroft</v>
      </c>
      <c r="G237" s="2" t="str">
        <f>IF(_xlfn.XLOOKUP(C237,customers!$A$1:$A$1001,customers!$C$1:$C$1001,,0)=0,"",_xlfn.XLOOKUP(C237,customers!$A$1:$A$1001,customers!$C$1:$C$1001,,0))</f>
        <v>loscroftf@ebay.co.uk</v>
      </c>
      <c r="H237" s="2" t="str">
        <f>_xlfn.XLOOKUP(C237,customers!$A$1:$A$1001,customers!$G$1:$G$1001,,0)</f>
        <v>United States</v>
      </c>
      <c r="I237" t="str">
        <f>INDEX(products!$A$1:$G$49, MATCH(orders!$D17,products!$A$1:$A64,0), MATCH(orders!I$1,products!$A$1:$G$1,0))</f>
        <v>Rob</v>
      </c>
      <c r="J237" t="str">
        <f>INDEX(products!$A$1:$G$49, MATCH(orders!$D17,products!$A$1:$A64,0), MATCH(orders!J$1,products!$A$1:$G$1,0))</f>
        <v>M</v>
      </c>
      <c r="K237" s="5">
        <f>INDEX(products!$A$1:$G$49, MATCH(orders!$D17,products!$A$1:$A64,0), MATCH(orders!K$1,products!$A$1:$G$1,0))</f>
        <v>2.5</v>
      </c>
      <c r="L237" s="6">
        <f>INDEX(products!$A$1:$G$49, MATCH(orders!$D17,products!$A$1:$A64,0), MATCH(orders!L$1,products!$A$1:$G$1,0))</f>
        <v>22.884999999999998</v>
      </c>
      <c r="M237" s="6">
        <f t="shared" si="9"/>
        <v>114.42499999999998</v>
      </c>
      <c r="N237" t="str">
        <f t="shared" si="10"/>
        <v>Robusta</v>
      </c>
      <c r="O237" t="str">
        <f t="shared" si="11"/>
        <v>Medium</v>
      </c>
      <c r="P237" t="str">
        <f>_xlfn.XLOOKUP(Orders[[#This Row],[Customer ID]],customers!$A$1:$A$1001,customers!$I$1:$I$1001,,0)</f>
        <v>No</v>
      </c>
      <c r="Q237">
        <f>COUNTIF(Orders[Order ID],Orders[[#This Row],[Order ID]])</f>
        <v>1</v>
      </c>
      <c r="R237" s="10">
        <f>SUMIF(Orders[Order ID], Orders[[#This Row],[Order ID]],Orders[Sales])/Orders[[#This Row],[Order Frequency]]</f>
        <v>114.42499999999998</v>
      </c>
      <c r="S237" t="str">
        <f>IF(Orders[[#This Row],[Order Frequency]]&gt;4, "More than 4", IF(AND(Orders[[#This Row],[Order Frequency]]&lt;=4,Orders[[#This Row],[Order Frequency]]&gt;=2), "Between 4 and 2", "Less than 2"))</f>
        <v>Less than 2</v>
      </c>
      <c r="T237" t="str">
        <f>IF(Orders[[#This Row],[Frequency Group]]="less than 2", "Low Value", IF(Orders[[#This Row],[Frequency Group]]="between 4 and 2", "Medium Value", "High Value"))</f>
        <v>Low Value</v>
      </c>
      <c r="U237" t="str">
        <f>IF(Orders[[#This Row],[Sales]]&lt;50, "$0-50", IF(AND(Orders[[#This Row],[Sales]]&gt;=50,Orders[[#This Row],[Sales]]&lt;=100), "$50-100", IF(AND(Orders[[#This Row],[Sales]]&gt;100,Orders[[#This Row],[Sales]]&lt;=150), "$101-150", "$150+")))</f>
        <v>$101-150</v>
      </c>
      <c r="V237" t="str">
        <f>IF(Orders[[#This Row],[Sales]]&gt;MEDIAN(M:M), "High Price", "Low Price")</f>
        <v>High Price</v>
      </c>
      <c r="W237" t="str">
        <f>IF(Orders[[#This Row],[Quantity]]&gt;MEDIAN(E:E), "High Volume", "Low Volume")</f>
        <v>High Volume</v>
      </c>
      <c r="X237" t="str">
        <f>Orders[[#This Row],[Sales Tier]] &amp; "-" &amp; Orders[[#This Row],[Quantity Tier]]</f>
        <v>High Price-High Volume</v>
      </c>
      <c r="Y237" t="str">
        <f>TEXT(Orders[[#This Row],[Order Date]], "mmmm")</f>
        <v>June</v>
      </c>
      <c r="Z23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37" t="str">
        <f>Orders[[#This Row],[Coffee Type Name]] &amp; "-" &amp; Orders[[#This Row],[Roast Type Name]]</f>
        <v>Robusta-Medium</v>
      </c>
      <c r="AB23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238" spans="1:28" x14ac:dyDescent="0.25">
      <c r="A238" s="2" t="s">
        <v>2986</v>
      </c>
      <c r="B238" s="4">
        <v>44250</v>
      </c>
      <c r="C238" s="2" t="s">
        <v>2987</v>
      </c>
      <c r="D238" t="s">
        <v>6184</v>
      </c>
      <c r="E238" s="2">
        <v>5</v>
      </c>
      <c r="F238" s="2" t="str">
        <f>_xlfn.XLOOKUP(C238,customers!$A$1:$A$1001,customers!$B$1:$B$1001,,0)</f>
        <v>Theo Bowne</v>
      </c>
      <c r="G238" s="2" t="str">
        <f>IF(_xlfn.XLOOKUP(C238,customers!$A$1:$A$1001,customers!$C$1:$C$1001,,0)=0,"",_xlfn.XLOOKUP(C238,customers!$A$1:$A$1001,customers!$C$1:$C$1001,,0))</f>
        <v>tbownecb@unicef.org</v>
      </c>
      <c r="H238" s="2" t="str">
        <f>_xlfn.XLOOKUP(C238,customers!$A$1:$A$1001,customers!$G$1:$G$1001,,0)</f>
        <v>Ireland</v>
      </c>
      <c r="I238" t="str">
        <f>INDEX(products!$A$1:$G$49, MATCH(orders!$D445,products!$A$1:$A492,0), MATCH(orders!I$1,products!$A$1:$G$1,0))</f>
        <v>Exc</v>
      </c>
      <c r="J238" t="str">
        <f>INDEX(products!$A$1:$G$49, MATCH(orders!$D445,products!$A$1:$A492,0), MATCH(orders!J$1,products!$A$1:$G$1,0))</f>
        <v>L</v>
      </c>
      <c r="K238" s="5">
        <f>INDEX(products!$A$1:$G$49, MATCH(orders!$D445,products!$A$1:$A492,0), MATCH(orders!K$1,products!$A$1:$G$1,0))</f>
        <v>0.2</v>
      </c>
      <c r="L238" s="6">
        <f>INDEX(products!$A$1:$G$49, MATCH(orders!$D445,products!$A$1:$A492,0), MATCH(orders!L$1,products!$A$1:$G$1,0))</f>
        <v>4.4550000000000001</v>
      </c>
      <c r="M238" s="6">
        <f t="shared" si="9"/>
        <v>22.274999999999999</v>
      </c>
      <c r="N238" t="str">
        <f t="shared" si="10"/>
        <v>Excelsa</v>
      </c>
      <c r="O238" t="str">
        <f t="shared" si="11"/>
        <v>Light</v>
      </c>
      <c r="P238" t="str">
        <f>_xlfn.XLOOKUP(Orders[[#This Row],[Customer ID]],customers!$A$1:$A$1001,customers!$I$1:$I$1001,,0)</f>
        <v>Yes</v>
      </c>
      <c r="Q238">
        <f>COUNTIF(Orders[Order ID],Orders[[#This Row],[Order ID]])</f>
        <v>1</v>
      </c>
      <c r="R238" s="10">
        <f>SUMIF(Orders[Order ID], Orders[[#This Row],[Order ID]],Orders[Sales])/Orders[[#This Row],[Order Frequency]]</f>
        <v>22.274999999999999</v>
      </c>
      <c r="S238" t="str">
        <f>IF(Orders[[#This Row],[Order Frequency]]&gt;4, "More than 4", IF(AND(Orders[[#This Row],[Order Frequency]]&lt;=4,Orders[[#This Row],[Order Frequency]]&gt;=2), "Between 4 and 2", "Less than 2"))</f>
        <v>Less than 2</v>
      </c>
      <c r="T238" t="str">
        <f>IF(Orders[[#This Row],[Frequency Group]]="less than 2", "Low Value", IF(Orders[[#This Row],[Frequency Group]]="between 4 and 2", "Medium Value", "High Value"))</f>
        <v>Low Value</v>
      </c>
      <c r="U238" t="str">
        <f>IF(Orders[[#This Row],[Sales]]&lt;50, "$0-50", IF(AND(Orders[[#This Row],[Sales]]&gt;=50,Orders[[#This Row],[Sales]]&lt;=100), "$50-100", IF(AND(Orders[[#This Row],[Sales]]&gt;100,Orders[[#This Row],[Sales]]&lt;=150), "$101-150", "$150+")))</f>
        <v>$0-50</v>
      </c>
      <c r="V238" t="str">
        <f>IF(Orders[[#This Row],[Sales]]&gt;MEDIAN(M:M), "High Price", "Low Price")</f>
        <v>Low Price</v>
      </c>
      <c r="W238" t="str">
        <f>IF(Orders[[#This Row],[Quantity]]&gt;MEDIAN(E:E), "High Volume", "Low Volume")</f>
        <v>High Volume</v>
      </c>
      <c r="X238" t="str">
        <f>Orders[[#This Row],[Sales Tier]] &amp; "-" &amp; Orders[[#This Row],[Quantity Tier]]</f>
        <v>Low Price-High Volume</v>
      </c>
      <c r="Y238" t="str">
        <f>TEXT(Orders[[#This Row],[Order Date]], "mmmm")</f>
        <v>February</v>
      </c>
      <c r="Z23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238" t="str">
        <f>Orders[[#This Row],[Coffee Type Name]] &amp; "-" &amp; Orders[[#This Row],[Roast Type Name]]</f>
        <v>Excelsa-Light</v>
      </c>
      <c r="AB23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239" spans="1:28" x14ac:dyDescent="0.25">
      <c r="A239" s="2" t="s">
        <v>891</v>
      </c>
      <c r="B239" s="4">
        <v>44200</v>
      </c>
      <c r="C239" s="2" t="s">
        <v>892</v>
      </c>
      <c r="D239" t="s">
        <v>6145</v>
      </c>
      <c r="E239" s="2">
        <v>2</v>
      </c>
      <c r="F239" s="2" t="str">
        <f>_xlfn.XLOOKUP(C239,customers!$A$1:$A$1001,customers!$B$1:$B$1001,,0)</f>
        <v>Shirlene Edmondson</v>
      </c>
      <c r="G239" s="2" t="str">
        <f>IF(_xlfn.XLOOKUP(C239,customers!$A$1:$A$1001,customers!$C$1:$C$1001,,0)=0,"",_xlfn.XLOOKUP(C239,customers!$A$1:$A$1001,customers!$C$1:$C$1001,,0))</f>
        <v>sedmondson1z@theguardian.com</v>
      </c>
      <c r="H239" s="2" t="str">
        <f>_xlfn.XLOOKUP(C239,customers!$A$1:$A$1001,customers!$G$1:$G$1001,,0)</f>
        <v>Ireland</v>
      </c>
      <c r="I239" t="str">
        <f>INDEX(products!$A$1:$G$49, MATCH(orders!$D73,products!$A$1:$A120,0), MATCH(orders!I$1,products!$A$1:$G$1,0))</f>
        <v>Lib</v>
      </c>
      <c r="J239" t="str">
        <f>INDEX(products!$A$1:$G$49, MATCH(orders!$D73,products!$A$1:$A120,0), MATCH(orders!J$1,products!$A$1:$G$1,0))</f>
        <v>L</v>
      </c>
      <c r="K239" s="5">
        <f>INDEX(products!$A$1:$G$49, MATCH(orders!$D73,products!$A$1:$A120,0), MATCH(orders!K$1,products!$A$1:$G$1,0))</f>
        <v>0.2</v>
      </c>
      <c r="L239" s="6">
        <f>INDEX(products!$A$1:$G$49, MATCH(orders!$D73,products!$A$1:$A120,0), MATCH(orders!L$1,products!$A$1:$G$1,0))</f>
        <v>4.7549999999999999</v>
      </c>
      <c r="M239" s="6">
        <f t="shared" si="9"/>
        <v>9.51</v>
      </c>
      <c r="N239" t="str">
        <f t="shared" si="10"/>
        <v>Liberica</v>
      </c>
      <c r="O239" t="str">
        <f t="shared" si="11"/>
        <v>Light</v>
      </c>
      <c r="P239" t="str">
        <f>_xlfn.XLOOKUP(Orders[[#This Row],[Customer ID]],customers!$A$1:$A$1001,customers!$I$1:$I$1001,,0)</f>
        <v>No</v>
      </c>
      <c r="Q239">
        <f>COUNTIF(Orders[Order ID],Orders[[#This Row],[Order ID]])</f>
        <v>1</v>
      </c>
      <c r="R239" s="10">
        <f>SUMIF(Orders[Order ID], Orders[[#This Row],[Order ID]],Orders[Sales])/Orders[[#This Row],[Order Frequency]]</f>
        <v>9.51</v>
      </c>
      <c r="S239" t="str">
        <f>IF(Orders[[#This Row],[Order Frequency]]&gt;4, "More than 4", IF(AND(Orders[[#This Row],[Order Frequency]]&lt;=4,Orders[[#This Row],[Order Frequency]]&gt;=2), "Between 4 and 2", "Less than 2"))</f>
        <v>Less than 2</v>
      </c>
      <c r="T239" t="str">
        <f>IF(Orders[[#This Row],[Frequency Group]]="less than 2", "Low Value", IF(Orders[[#This Row],[Frequency Group]]="between 4 and 2", "Medium Value", "High Value"))</f>
        <v>Low Value</v>
      </c>
      <c r="U239" t="str">
        <f>IF(Orders[[#This Row],[Sales]]&lt;50, "$0-50", IF(AND(Orders[[#This Row],[Sales]]&gt;=50,Orders[[#This Row],[Sales]]&lt;=100), "$50-100", IF(AND(Orders[[#This Row],[Sales]]&gt;100,Orders[[#This Row],[Sales]]&lt;=150), "$101-150", "$150+")))</f>
        <v>$0-50</v>
      </c>
      <c r="V239" t="str">
        <f>IF(Orders[[#This Row],[Sales]]&gt;MEDIAN(M:M), "High Price", "Low Price")</f>
        <v>Low Price</v>
      </c>
      <c r="W239" t="str">
        <f>IF(Orders[[#This Row],[Quantity]]&gt;MEDIAN(E:E), "High Volume", "Low Volume")</f>
        <v>Low Volume</v>
      </c>
      <c r="X239" t="str">
        <f>Orders[[#This Row],[Sales Tier]] &amp; "-" &amp; Orders[[#This Row],[Quantity Tier]]</f>
        <v>Low Price-Low Volume</v>
      </c>
      <c r="Y239" t="str">
        <f>TEXT(Orders[[#This Row],[Order Date]], "mmmm")</f>
        <v>January</v>
      </c>
      <c r="Z23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239" t="str">
        <f>Orders[[#This Row],[Coffee Type Name]] &amp; "-" &amp; Orders[[#This Row],[Roast Type Name]]</f>
        <v>Liberica-Light</v>
      </c>
      <c r="AB23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240" spans="1:28" x14ac:dyDescent="0.25">
      <c r="A240" s="2" t="s">
        <v>6064</v>
      </c>
      <c r="B240" s="4">
        <v>43955</v>
      </c>
      <c r="C240" s="2" t="s">
        <v>6065</v>
      </c>
      <c r="D240" t="s">
        <v>6181</v>
      </c>
      <c r="E240" s="2">
        <v>1</v>
      </c>
      <c r="F240" s="2" t="str">
        <f>_xlfn.XLOOKUP(C240,customers!$A$1:$A$1001,customers!$B$1:$B$1001,,0)</f>
        <v>Claudell Ayre</v>
      </c>
      <c r="G240" s="2" t="str">
        <f>IF(_xlfn.XLOOKUP(C240,customers!$A$1:$A$1001,customers!$C$1:$C$1001,,0)=0,"",_xlfn.XLOOKUP(C240,customers!$A$1:$A$1001,customers!$C$1:$C$1001,,0))</f>
        <v>cayrere@symantec.com</v>
      </c>
      <c r="H240" s="2" t="str">
        <f>_xlfn.XLOOKUP(C240,customers!$A$1:$A$1001,customers!$G$1:$G$1001,,0)</f>
        <v>United States</v>
      </c>
      <c r="I240" t="str">
        <f>INDEX(products!$A$1:$G$49, MATCH(orders!$D988,products!$A$1:$A1035,0), MATCH(orders!I$1,products!$A$1:$G$1,0))</f>
        <v>Lib</v>
      </c>
      <c r="J240" t="str">
        <f>INDEX(products!$A$1:$G$49, MATCH(orders!$D988,products!$A$1:$A1035,0), MATCH(orders!J$1,products!$A$1:$G$1,0))</f>
        <v>M</v>
      </c>
      <c r="K240" s="5">
        <f>INDEX(products!$A$1:$G$49, MATCH(orders!$D988,products!$A$1:$A1035,0), MATCH(orders!K$1,products!$A$1:$G$1,0))</f>
        <v>2.5</v>
      </c>
      <c r="L240" s="6">
        <f>INDEX(products!$A$1:$G$49, MATCH(orders!$D988,products!$A$1:$A1035,0), MATCH(orders!L$1,products!$A$1:$G$1,0))</f>
        <v>33.464999999999996</v>
      </c>
      <c r="M240" s="6">
        <f t="shared" si="9"/>
        <v>33.464999999999996</v>
      </c>
      <c r="N240" t="str">
        <f t="shared" si="10"/>
        <v>Liberica</v>
      </c>
      <c r="O240" t="str">
        <f t="shared" si="11"/>
        <v>Medium</v>
      </c>
      <c r="P240" t="str">
        <f>_xlfn.XLOOKUP(Orders[[#This Row],[Customer ID]],customers!$A$1:$A$1001,customers!$I$1:$I$1001,,0)</f>
        <v>No</v>
      </c>
      <c r="Q240">
        <f>COUNTIF(Orders[Order ID],Orders[[#This Row],[Order ID]])</f>
        <v>1</v>
      </c>
      <c r="R240" s="10">
        <f>SUMIF(Orders[Order ID], Orders[[#This Row],[Order ID]],Orders[Sales])/Orders[[#This Row],[Order Frequency]]</f>
        <v>33.464999999999996</v>
      </c>
      <c r="S240" t="str">
        <f>IF(Orders[[#This Row],[Order Frequency]]&gt;4, "More than 4", IF(AND(Orders[[#This Row],[Order Frequency]]&lt;=4,Orders[[#This Row],[Order Frequency]]&gt;=2), "Between 4 and 2", "Less than 2"))</f>
        <v>Less than 2</v>
      </c>
      <c r="T240" t="str">
        <f>IF(Orders[[#This Row],[Frequency Group]]="less than 2", "Low Value", IF(Orders[[#This Row],[Frequency Group]]="between 4 and 2", "Medium Value", "High Value"))</f>
        <v>Low Value</v>
      </c>
      <c r="U240" t="str">
        <f>IF(Orders[[#This Row],[Sales]]&lt;50, "$0-50", IF(AND(Orders[[#This Row],[Sales]]&gt;=50,Orders[[#This Row],[Sales]]&lt;=100), "$50-100", IF(AND(Orders[[#This Row],[Sales]]&gt;100,Orders[[#This Row],[Sales]]&lt;=150), "$101-150", "$150+")))</f>
        <v>$0-50</v>
      </c>
      <c r="V240" t="str">
        <f>IF(Orders[[#This Row],[Sales]]&gt;MEDIAN(M:M), "High Price", "Low Price")</f>
        <v>High Price</v>
      </c>
      <c r="W240" t="str">
        <f>IF(Orders[[#This Row],[Quantity]]&gt;MEDIAN(E:E), "High Volume", "Low Volume")</f>
        <v>Low Volume</v>
      </c>
      <c r="X240" t="str">
        <f>Orders[[#This Row],[Sales Tier]] &amp; "-" &amp; Orders[[#This Row],[Quantity Tier]]</f>
        <v>High Price-Low Volume</v>
      </c>
      <c r="Y240" t="str">
        <f>TEXT(Orders[[#This Row],[Order Date]], "mmmm")</f>
        <v>May</v>
      </c>
      <c r="Z24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40" t="str">
        <f>Orders[[#This Row],[Coffee Type Name]] &amp; "-" &amp; Orders[[#This Row],[Roast Type Name]]</f>
        <v>Liberica-Medium</v>
      </c>
      <c r="AB24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241" spans="1:28" x14ac:dyDescent="0.25">
      <c r="A241" s="2" t="s">
        <v>3396</v>
      </c>
      <c r="B241" s="4">
        <v>44555</v>
      </c>
      <c r="C241" s="2" t="s">
        <v>3397</v>
      </c>
      <c r="D241" t="s">
        <v>6159</v>
      </c>
      <c r="E241" s="2">
        <v>6</v>
      </c>
      <c r="F241" s="2" t="str">
        <f>_xlfn.XLOOKUP(C241,customers!$A$1:$A$1001,customers!$B$1:$B$1001,,0)</f>
        <v>Pippo Witherington</v>
      </c>
      <c r="G241" s="2" t="str">
        <f>IF(_xlfn.XLOOKUP(C241,customers!$A$1:$A$1001,customers!$C$1:$C$1001,,0)=0,"",_xlfn.XLOOKUP(C241,customers!$A$1:$A$1001,customers!$C$1:$C$1001,,0))</f>
        <v>pwitheringtonea@networkadvertising.org</v>
      </c>
      <c r="H241" s="2" t="str">
        <f>_xlfn.XLOOKUP(C241,customers!$A$1:$A$1001,customers!$G$1:$G$1001,,0)</f>
        <v>United States</v>
      </c>
      <c r="I241" t="str">
        <f>INDEX(products!$A$1:$G$49, MATCH(orders!$D516,products!$A$1:$A563,0), MATCH(orders!I$1,products!$A$1:$G$1,0))</f>
        <v>Lib</v>
      </c>
      <c r="J241" t="str">
        <f>INDEX(products!$A$1:$G$49, MATCH(orders!$D516,products!$A$1:$A563,0), MATCH(orders!J$1,products!$A$1:$G$1,0))</f>
        <v>M</v>
      </c>
      <c r="K241" s="5">
        <f>INDEX(products!$A$1:$G$49, MATCH(orders!$D516,products!$A$1:$A563,0), MATCH(orders!K$1,products!$A$1:$G$1,0))</f>
        <v>0.2</v>
      </c>
      <c r="L241" s="6">
        <f>INDEX(products!$A$1:$G$49, MATCH(orders!$D516,products!$A$1:$A563,0), MATCH(orders!L$1,products!$A$1:$G$1,0))</f>
        <v>4.3650000000000002</v>
      </c>
      <c r="M241" s="6">
        <f t="shared" si="9"/>
        <v>26.19</v>
      </c>
      <c r="N241" t="str">
        <f t="shared" si="10"/>
        <v>Liberica</v>
      </c>
      <c r="O241" t="str">
        <f t="shared" si="11"/>
        <v>Medium</v>
      </c>
      <c r="P241" t="str">
        <f>_xlfn.XLOOKUP(Orders[[#This Row],[Customer ID]],customers!$A$1:$A$1001,customers!$I$1:$I$1001,,0)</f>
        <v>Yes</v>
      </c>
      <c r="Q241">
        <f>COUNTIF(Orders[Order ID],Orders[[#This Row],[Order ID]])</f>
        <v>1</v>
      </c>
      <c r="R241" s="10">
        <f>SUMIF(Orders[Order ID], Orders[[#This Row],[Order ID]],Orders[Sales])/Orders[[#This Row],[Order Frequency]]</f>
        <v>26.19</v>
      </c>
      <c r="S241" t="str">
        <f>IF(Orders[[#This Row],[Order Frequency]]&gt;4, "More than 4", IF(AND(Orders[[#This Row],[Order Frequency]]&lt;=4,Orders[[#This Row],[Order Frequency]]&gt;=2), "Between 4 and 2", "Less than 2"))</f>
        <v>Less than 2</v>
      </c>
      <c r="T241" t="str">
        <f>IF(Orders[[#This Row],[Frequency Group]]="less than 2", "Low Value", IF(Orders[[#This Row],[Frequency Group]]="between 4 and 2", "Medium Value", "High Value"))</f>
        <v>Low Value</v>
      </c>
      <c r="U241" t="str">
        <f>IF(Orders[[#This Row],[Sales]]&lt;50, "$0-50", IF(AND(Orders[[#This Row],[Sales]]&gt;=50,Orders[[#This Row],[Sales]]&lt;=100), "$50-100", IF(AND(Orders[[#This Row],[Sales]]&gt;100,Orders[[#This Row],[Sales]]&lt;=150), "$101-150", "$150+")))</f>
        <v>$0-50</v>
      </c>
      <c r="V241" t="str">
        <f>IF(Orders[[#This Row],[Sales]]&gt;MEDIAN(M:M), "High Price", "Low Price")</f>
        <v>Low Price</v>
      </c>
      <c r="W241" t="str">
        <f>IF(Orders[[#This Row],[Quantity]]&gt;MEDIAN(E:E), "High Volume", "Low Volume")</f>
        <v>High Volume</v>
      </c>
      <c r="X241" t="str">
        <f>Orders[[#This Row],[Sales Tier]] &amp; "-" &amp; Orders[[#This Row],[Quantity Tier]]</f>
        <v>Low Price-High Volume</v>
      </c>
      <c r="Y241" t="str">
        <f>TEXT(Orders[[#This Row],[Order Date]], "mmmm")</f>
        <v>December</v>
      </c>
      <c r="Z24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241" t="str">
        <f>Orders[[#This Row],[Coffee Type Name]] &amp; "-" &amp; Orders[[#This Row],[Roast Type Name]]</f>
        <v>Liberica-Medium</v>
      </c>
      <c r="AB24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242" spans="1:28" x14ac:dyDescent="0.25">
      <c r="A242" s="2" t="s">
        <v>4223</v>
      </c>
      <c r="B242" s="4">
        <v>44485</v>
      </c>
      <c r="C242" s="2" t="s">
        <v>4224</v>
      </c>
      <c r="D242" t="s">
        <v>6152</v>
      </c>
      <c r="E242" s="2">
        <v>6</v>
      </c>
      <c r="F242" s="2" t="str">
        <f>_xlfn.XLOOKUP(C242,customers!$A$1:$A$1001,customers!$B$1:$B$1001,,0)</f>
        <v>Annie Campsall</v>
      </c>
      <c r="G242" s="2" t="str">
        <f>IF(_xlfn.XLOOKUP(C242,customers!$A$1:$A$1001,customers!$C$1:$C$1001,,0)=0,"",_xlfn.XLOOKUP(C242,customers!$A$1:$A$1001,customers!$C$1:$C$1001,,0))</f>
        <v>acampsallid@zimbio.com</v>
      </c>
      <c r="H242" s="2" t="str">
        <f>_xlfn.XLOOKUP(C242,customers!$A$1:$A$1001,customers!$G$1:$G$1001,,0)</f>
        <v>United States</v>
      </c>
      <c r="I242" t="str">
        <f>INDEX(products!$A$1:$G$49, MATCH(orders!$D663,products!$A$1:$A710,0), MATCH(orders!I$1,products!$A$1:$G$1,0))</f>
        <v>Ara</v>
      </c>
      <c r="J242" t="str">
        <f>INDEX(products!$A$1:$G$49, MATCH(orders!$D663,products!$A$1:$A710,0), MATCH(orders!J$1,products!$A$1:$G$1,0))</f>
        <v>M</v>
      </c>
      <c r="K242" s="5">
        <f>INDEX(products!$A$1:$G$49, MATCH(orders!$D663,products!$A$1:$A710,0), MATCH(orders!K$1,products!$A$1:$G$1,0))</f>
        <v>0.2</v>
      </c>
      <c r="L242" s="6">
        <f>INDEX(products!$A$1:$G$49, MATCH(orders!$D663,products!$A$1:$A710,0), MATCH(orders!L$1,products!$A$1:$G$1,0))</f>
        <v>3.375</v>
      </c>
      <c r="M242" s="6">
        <f t="shared" si="9"/>
        <v>20.25</v>
      </c>
      <c r="N242" t="str">
        <f t="shared" si="10"/>
        <v>Arabica</v>
      </c>
      <c r="O242" t="str">
        <f t="shared" si="11"/>
        <v>Medium</v>
      </c>
      <c r="P242" t="str">
        <f>_xlfn.XLOOKUP(Orders[[#This Row],[Customer ID]],customers!$A$1:$A$1001,customers!$I$1:$I$1001,,0)</f>
        <v>Yes</v>
      </c>
      <c r="Q242">
        <f>COUNTIF(Orders[Order ID],Orders[[#This Row],[Order ID]])</f>
        <v>1</v>
      </c>
      <c r="R242" s="10">
        <f>SUMIF(Orders[Order ID], Orders[[#This Row],[Order ID]],Orders[Sales])/Orders[[#This Row],[Order Frequency]]</f>
        <v>20.25</v>
      </c>
      <c r="S242" t="str">
        <f>IF(Orders[[#This Row],[Order Frequency]]&gt;4, "More than 4", IF(AND(Orders[[#This Row],[Order Frequency]]&lt;=4,Orders[[#This Row],[Order Frequency]]&gt;=2), "Between 4 and 2", "Less than 2"))</f>
        <v>Less than 2</v>
      </c>
      <c r="T242" t="str">
        <f>IF(Orders[[#This Row],[Frequency Group]]="less than 2", "Low Value", IF(Orders[[#This Row],[Frequency Group]]="between 4 and 2", "Medium Value", "High Value"))</f>
        <v>Low Value</v>
      </c>
      <c r="U242" t="str">
        <f>IF(Orders[[#This Row],[Sales]]&lt;50, "$0-50", IF(AND(Orders[[#This Row],[Sales]]&gt;=50,Orders[[#This Row],[Sales]]&lt;=100), "$50-100", IF(AND(Orders[[#This Row],[Sales]]&gt;100,Orders[[#This Row],[Sales]]&lt;=150), "$101-150", "$150+")))</f>
        <v>$0-50</v>
      </c>
      <c r="V242" t="str">
        <f>IF(Orders[[#This Row],[Sales]]&gt;MEDIAN(M:M), "High Price", "Low Price")</f>
        <v>Low Price</v>
      </c>
      <c r="W242" t="str">
        <f>IF(Orders[[#This Row],[Quantity]]&gt;MEDIAN(E:E), "High Volume", "Low Volume")</f>
        <v>High Volume</v>
      </c>
      <c r="X242" t="str">
        <f>Orders[[#This Row],[Sales Tier]] &amp; "-" &amp; Orders[[#This Row],[Quantity Tier]]</f>
        <v>Low Price-High Volume</v>
      </c>
      <c r="Y242" t="str">
        <f>TEXT(Orders[[#This Row],[Order Date]], "mmmm")</f>
        <v>October</v>
      </c>
      <c r="Z24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242" t="str">
        <f>Orders[[#This Row],[Coffee Type Name]] &amp; "-" &amp; Orders[[#This Row],[Roast Type Name]]</f>
        <v>Arabica-Medium</v>
      </c>
      <c r="AB24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243" spans="1:28" x14ac:dyDescent="0.25">
      <c r="A243" s="2" t="s">
        <v>681</v>
      </c>
      <c r="B243" s="4">
        <v>44011</v>
      </c>
      <c r="C243" s="2" t="s">
        <v>682</v>
      </c>
      <c r="D243" t="s">
        <v>6161</v>
      </c>
      <c r="E243" s="2">
        <v>6</v>
      </c>
      <c r="F243" s="2" t="str">
        <f>_xlfn.XLOOKUP(C243,customers!$A$1:$A$1001,customers!$B$1:$B$1001,,0)</f>
        <v>Una Welberry</v>
      </c>
      <c r="G243" s="2" t="str">
        <f>IF(_xlfn.XLOOKUP(C243,customers!$A$1:$A$1001,customers!$C$1:$C$1001,,0)=0,"",_xlfn.XLOOKUP(C243,customers!$A$1:$A$1001,customers!$C$1:$C$1001,,0))</f>
        <v>uwelberryy@ebay.co.uk</v>
      </c>
      <c r="H243" s="2" t="str">
        <f>_xlfn.XLOOKUP(C243,customers!$A$1:$A$1001,customers!$G$1:$G$1001,,0)</f>
        <v>United Kingdom</v>
      </c>
      <c r="I243" t="str">
        <f>INDEX(products!$A$1:$G$49, MATCH(orders!$D36,products!$A$1:$A83,0), MATCH(orders!I$1,products!$A$1:$G$1,0))</f>
        <v>Lib</v>
      </c>
      <c r="J243" t="str">
        <f>INDEX(products!$A$1:$G$49, MATCH(orders!$D36,products!$A$1:$A83,0), MATCH(orders!J$1,products!$A$1:$G$1,0))</f>
        <v>L</v>
      </c>
      <c r="K243" s="5">
        <f>INDEX(products!$A$1:$G$49, MATCH(orders!$D36,products!$A$1:$A83,0), MATCH(orders!K$1,products!$A$1:$G$1,0))</f>
        <v>0.5</v>
      </c>
      <c r="L243" s="6">
        <f>INDEX(products!$A$1:$G$49, MATCH(orders!$D36,products!$A$1:$A83,0), MATCH(orders!L$1,products!$A$1:$G$1,0))</f>
        <v>9.51</v>
      </c>
      <c r="M243" s="6">
        <f t="shared" si="9"/>
        <v>57.06</v>
      </c>
      <c r="N243" t="str">
        <f t="shared" si="10"/>
        <v>Liberica</v>
      </c>
      <c r="O243" t="str">
        <f t="shared" si="11"/>
        <v>Light</v>
      </c>
      <c r="P243" t="str">
        <f>_xlfn.XLOOKUP(Orders[[#This Row],[Customer ID]],customers!$A$1:$A$1001,customers!$I$1:$I$1001,,0)</f>
        <v>Yes</v>
      </c>
      <c r="Q243">
        <f>COUNTIF(Orders[Order ID],Orders[[#This Row],[Order ID]])</f>
        <v>1</v>
      </c>
      <c r="R243" s="10">
        <f>SUMIF(Orders[Order ID], Orders[[#This Row],[Order ID]],Orders[Sales])/Orders[[#This Row],[Order Frequency]]</f>
        <v>57.06</v>
      </c>
      <c r="S243" t="str">
        <f>IF(Orders[[#This Row],[Order Frequency]]&gt;4, "More than 4", IF(AND(Orders[[#This Row],[Order Frequency]]&lt;=4,Orders[[#This Row],[Order Frequency]]&gt;=2), "Between 4 and 2", "Less than 2"))</f>
        <v>Less than 2</v>
      </c>
      <c r="T243" t="str">
        <f>IF(Orders[[#This Row],[Frequency Group]]="less than 2", "Low Value", IF(Orders[[#This Row],[Frequency Group]]="between 4 and 2", "Medium Value", "High Value"))</f>
        <v>Low Value</v>
      </c>
      <c r="U243" t="str">
        <f>IF(Orders[[#This Row],[Sales]]&lt;50, "$0-50", IF(AND(Orders[[#This Row],[Sales]]&gt;=50,Orders[[#This Row],[Sales]]&lt;=100), "$50-100", IF(AND(Orders[[#This Row],[Sales]]&gt;100,Orders[[#This Row],[Sales]]&lt;=150), "$101-150", "$150+")))</f>
        <v>$50-100</v>
      </c>
      <c r="V243" t="str">
        <f>IF(Orders[[#This Row],[Sales]]&gt;MEDIAN(M:M), "High Price", "Low Price")</f>
        <v>High Price</v>
      </c>
      <c r="W243" t="str">
        <f>IF(Orders[[#This Row],[Quantity]]&gt;MEDIAN(E:E), "High Volume", "Low Volume")</f>
        <v>High Volume</v>
      </c>
      <c r="X243" t="str">
        <f>Orders[[#This Row],[Sales Tier]] &amp; "-" &amp; Orders[[#This Row],[Quantity Tier]]</f>
        <v>High Price-High Volume</v>
      </c>
      <c r="Y243" t="str">
        <f>TEXT(Orders[[#This Row],[Order Date]], "mmmm")</f>
        <v>June</v>
      </c>
      <c r="Z24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43" t="str">
        <f>Orders[[#This Row],[Coffee Type Name]] &amp; "-" &amp; Orders[[#This Row],[Roast Type Name]]</f>
        <v>Liberica-Light</v>
      </c>
      <c r="AB24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244" spans="1:28" x14ac:dyDescent="0.25">
      <c r="A244" s="2" t="s">
        <v>1917</v>
      </c>
      <c r="B244" s="4">
        <v>44523</v>
      </c>
      <c r="C244" s="2" t="s">
        <v>1918</v>
      </c>
      <c r="D244" t="s">
        <v>6162</v>
      </c>
      <c r="E244" s="2">
        <v>4</v>
      </c>
      <c r="F244" s="2" t="str">
        <f>_xlfn.XLOOKUP(C244,customers!$A$1:$A$1001,customers!$B$1:$B$1001,,0)</f>
        <v>Leia Kernan</v>
      </c>
      <c r="G244" s="2" t="str">
        <f>IF(_xlfn.XLOOKUP(C244,customers!$A$1:$A$1001,customers!$C$1:$C$1001,,0)=0,"",_xlfn.XLOOKUP(C244,customers!$A$1:$A$1001,customers!$C$1:$C$1001,,0))</f>
        <v>lkernan71@wsj.com</v>
      </c>
      <c r="H244" s="2" t="str">
        <f>_xlfn.XLOOKUP(C244,customers!$A$1:$A$1001,customers!$G$1:$G$1001,,0)</f>
        <v>United States</v>
      </c>
      <c r="I244" t="str">
        <f>INDEX(products!$A$1:$G$49, MATCH(orders!$D255,products!$A$1:$A302,0), MATCH(orders!I$1,products!$A$1:$G$1,0))</f>
        <v>Lib</v>
      </c>
      <c r="J244" t="str">
        <f>INDEX(products!$A$1:$G$49, MATCH(orders!$D255,products!$A$1:$A302,0), MATCH(orders!J$1,products!$A$1:$G$1,0))</f>
        <v>M</v>
      </c>
      <c r="K244" s="5">
        <f>INDEX(products!$A$1:$G$49, MATCH(orders!$D255,products!$A$1:$A302,0), MATCH(orders!K$1,products!$A$1:$G$1,0))</f>
        <v>1</v>
      </c>
      <c r="L244" s="6">
        <f>INDEX(products!$A$1:$G$49, MATCH(orders!$D255,products!$A$1:$A302,0), MATCH(orders!L$1,products!$A$1:$G$1,0))</f>
        <v>14.55</v>
      </c>
      <c r="M244" s="6">
        <f t="shared" si="9"/>
        <v>58.2</v>
      </c>
      <c r="N244" t="str">
        <f t="shared" si="10"/>
        <v>Liberica</v>
      </c>
      <c r="O244" t="str">
        <f t="shared" si="11"/>
        <v>Medium</v>
      </c>
      <c r="P244" t="str">
        <f>_xlfn.XLOOKUP(Orders[[#This Row],[Customer ID]],customers!$A$1:$A$1001,customers!$I$1:$I$1001,,0)</f>
        <v>No</v>
      </c>
      <c r="Q244">
        <f>COUNTIF(Orders[Order ID],Orders[[#This Row],[Order ID]])</f>
        <v>1</v>
      </c>
      <c r="R244" s="10">
        <f>SUMIF(Orders[Order ID], Orders[[#This Row],[Order ID]],Orders[Sales])/Orders[[#This Row],[Order Frequency]]</f>
        <v>58.2</v>
      </c>
      <c r="S244" t="str">
        <f>IF(Orders[[#This Row],[Order Frequency]]&gt;4, "More than 4", IF(AND(Orders[[#This Row],[Order Frequency]]&lt;=4,Orders[[#This Row],[Order Frequency]]&gt;=2), "Between 4 and 2", "Less than 2"))</f>
        <v>Less than 2</v>
      </c>
      <c r="T244" t="str">
        <f>IF(Orders[[#This Row],[Frequency Group]]="less than 2", "Low Value", IF(Orders[[#This Row],[Frequency Group]]="between 4 and 2", "Medium Value", "High Value"))</f>
        <v>Low Value</v>
      </c>
      <c r="U244" t="str">
        <f>IF(Orders[[#This Row],[Sales]]&lt;50, "$0-50", IF(AND(Orders[[#This Row],[Sales]]&gt;=50,Orders[[#This Row],[Sales]]&lt;=100), "$50-100", IF(AND(Orders[[#This Row],[Sales]]&gt;100,Orders[[#This Row],[Sales]]&lt;=150), "$101-150", "$150+")))</f>
        <v>$50-100</v>
      </c>
      <c r="V244" t="str">
        <f>IF(Orders[[#This Row],[Sales]]&gt;MEDIAN(M:M), "High Price", "Low Price")</f>
        <v>High Price</v>
      </c>
      <c r="W244" t="str">
        <f>IF(Orders[[#This Row],[Quantity]]&gt;MEDIAN(E:E), "High Volume", "Low Volume")</f>
        <v>Low Volume</v>
      </c>
      <c r="X244" t="str">
        <f>Orders[[#This Row],[Sales Tier]] &amp; "-" &amp; Orders[[#This Row],[Quantity Tier]]</f>
        <v>High Price-Low Volume</v>
      </c>
      <c r="Y244" t="str">
        <f>TEXT(Orders[[#This Row],[Order Date]], "mmmm")</f>
        <v>November</v>
      </c>
      <c r="Z24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244" t="str">
        <f>Orders[[#This Row],[Coffee Type Name]] &amp; "-" &amp; Orders[[#This Row],[Roast Type Name]]</f>
        <v>Liberica-Medium</v>
      </c>
      <c r="AB24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245" spans="1:28" x14ac:dyDescent="0.25">
      <c r="A245" s="2" t="s">
        <v>1239</v>
      </c>
      <c r="B245" s="4">
        <v>44340</v>
      </c>
      <c r="C245" s="2" t="s">
        <v>1240</v>
      </c>
      <c r="D245" t="s">
        <v>6143</v>
      </c>
      <c r="E245" s="2">
        <v>1</v>
      </c>
      <c r="F245" s="2" t="str">
        <f>_xlfn.XLOOKUP(C245,customers!$A$1:$A$1001,customers!$B$1:$B$1001,,0)</f>
        <v>Othello Syseland</v>
      </c>
      <c r="G245" s="2" t="str">
        <f>IF(_xlfn.XLOOKUP(C245,customers!$A$1:$A$1001,customers!$C$1:$C$1001,,0)=0,"",_xlfn.XLOOKUP(C245,customers!$A$1:$A$1001,customers!$C$1:$C$1001,,0))</f>
        <v>osyseland3p@independent.co.uk</v>
      </c>
      <c r="H245" s="2" t="str">
        <f>_xlfn.XLOOKUP(C245,customers!$A$1:$A$1001,customers!$G$1:$G$1001,,0)</f>
        <v>United States</v>
      </c>
      <c r="I245" t="str">
        <f>INDEX(products!$A$1:$G$49, MATCH(orders!$D135,products!$A$1:$A182,0), MATCH(orders!I$1,products!$A$1:$G$1,0))</f>
        <v>Lib</v>
      </c>
      <c r="J245" t="str">
        <f>INDEX(products!$A$1:$G$49, MATCH(orders!$D135,products!$A$1:$A182,0), MATCH(orders!J$1,products!$A$1:$G$1,0))</f>
        <v>D</v>
      </c>
      <c r="K245" s="5">
        <f>INDEX(products!$A$1:$G$49, MATCH(orders!$D135,products!$A$1:$A182,0), MATCH(orders!K$1,products!$A$1:$G$1,0))</f>
        <v>1</v>
      </c>
      <c r="L245" s="6">
        <f>INDEX(products!$A$1:$G$49, MATCH(orders!$D135,products!$A$1:$A182,0), MATCH(orders!L$1,products!$A$1:$G$1,0))</f>
        <v>12.95</v>
      </c>
      <c r="M245" s="6">
        <f t="shared" si="9"/>
        <v>12.95</v>
      </c>
      <c r="N245" t="str">
        <f t="shared" si="10"/>
        <v>Liberica</v>
      </c>
      <c r="O245" t="str">
        <f t="shared" si="11"/>
        <v>Dark</v>
      </c>
      <c r="P245" t="str">
        <f>_xlfn.XLOOKUP(Orders[[#This Row],[Customer ID]],customers!$A$1:$A$1001,customers!$I$1:$I$1001,,0)</f>
        <v>No</v>
      </c>
      <c r="Q245">
        <f>COUNTIF(Orders[Order ID],Orders[[#This Row],[Order ID]])</f>
        <v>1</v>
      </c>
      <c r="R245" s="10">
        <f>SUMIF(Orders[Order ID], Orders[[#This Row],[Order ID]],Orders[Sales])/Orders[[#This Row],[Order Frequency]]</f>
        <v>12.95</v>
      </c>
      <c r="S245" t="str">
        <f>IF(Orders[[#This Row],[Order Frequency]]&gt;4, "More than 4", IF(AND(Orders[[#This Row],[Order Frequency]]&lt;=4,Orders[[#This Row],[Order Frequency]]&gt;=2), "Between 4 and 2", "Less than 2"))</f>
        <v>Less than 2</v>
      </c>
      <c r="T245" t="str">
        <f>IF(Orders[[#This Row],[Frequency Group]]="less than 2", "Low Value", IF(Orders[[#This Row],[Frequency Group]]="between 4 and 2", "Medium Value", "High Value"))</f>
        <v>Low Value</v>
      </c>
      <c r="U245" t="str">
        <f>IF(Orders[[#This Row],[Sales]]&lt;50, "$0-50", IF(AND(Orders[[#This Row],[Sales]]&gt;=50,Orders[[#This Row],[Sales]]&lt;=100), "$50-100", IF(AND(Orders[[#This Row],[Sales]]&gt;100,Orders[[#This Row],[Sales]]&lt;=150), "$101-150", "$150+")))</f>
        <v>$0-50</v>
      </c>
      <c r="V245" t="str">
        <f>IF(Orders[[#This Row],[Sales]]&gt;MEDIAN(M:M), "High Price", "Low Price")</f>
        <v>Low Price</v>
      </c>
      <c r="W245" t="str">
        <f>IF(Orders[[#This Row],[Quantity]]&gt;MEDIAN(E:E), "High Volume", "Low Volume")</f>
        <v>Low Volume</v>
      </c>
      <c r="X245" t="str">
        <f>Orders[[#This Row],[Sales Tier]] &amp; "-" &amp; Orders[[#This Row],[Quantity Tier]]</f>
        <v>Low Price-Low Volume</v>
      </c>
      <c r="Y245" t="str">
        <f>TEXT(Orders[[#This Row],[Order Date]], "mmmm")</f>
        <v>May</v>
      </c>
      <c r="Z24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45" t="str">
        <f>Orders[[#This Row],[Coffee Type Name]] &amp; "-" &amp; Orders[[#This Row],[Roast Type Name]]</f>
        <v>Liberica-Dark</v>
      </c>
      <c r="AB24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246" spans="1:28" x14ac:dyDescent="0.25">
      <c r="A246" s="2" t="s">
        <v>6127</v>
      </c>
      <c r="B246" s="4">
        <v>44411</v>
      </c>
      <c r="C246" s="2" t="s">
        <v>6128</v>
      </c>
      <c r="D246" t="s">
        <v>6147</v>
      </c>
      <c r="E246" s="2">
        <v>1</v>
      </c>
      <c r="F246" s="2" t="str">
        <f>_xlfn.XLOOKUP(C246,customers!$A$1:$A$1001,customers!$B$1:$B$1001,,0)</f>
        <v>Nicolina Jenny</v>
      </c>
      <c r="G246" s="2" t="str">
        <f>IF(_xlfn.XLOOKUP(C246,customers!$A$1:$A$1001,customers!$C$1:$C$1001,,0)=0,"",_xlfn.XLOOKUP(C246,customers!$A$1:$A$1001,customers!$C$1:$C$1001,,0))</f>
        <v>njennyrq@bigcartel.com</v>
      </c>
      <c r="H246" s="2" t="str">
        <f>_xlfn.XLOOKUP(C246,customers!$A$1:$A$1001,customers!$G$1:$G$1001,,0)</f>
        <v>United States</v>
      </c>
      <c r="I246" t="str">
        <f>INDEX(products!$A$1:$G$49, MATCH(orders!$D1000,products!$A$1:$A1047,0), MATCH(orders!I$1,products!$A$1:$G$1,0))</f>
        <v>Ara</v>
      </c>
      <c r="J246" t="str">
        <f>INDEX(products!$A$1:$G$49, MATCH(orders!$D1000,products!$A$1:$A1047,0), MATCH(orders!J$1,products!$A$1:$G$1,0))</f>
        <v>D</v>
      </c>
      <c r="K246" s="5">
        <f>INDEX(products!$A$1:$G$49, MATCH(orders!$D1000,products!$A$1:$A1047,0), MATCH(orders!K$1,products!$A$1:$G$1,0))</f>
        <v>1</v>
      </c>
      <c r="L246" s="6">
        <f>INDEX(products!$A$1:$G$49, MATCH(orders!$D1000,products!$A$1:$A1047,0), MATCH(orders!L$1,products!$A$1:$G$1,0))</f>
        <v>9.9499999999999993</v>
      </c>
      <c r="M246" s="6">
        <f t="shared" si="9"/>
        <v>9.9499999999999993</v>
      </c>
      <c r="N246" t="str">
        <f t="shared" si="10"/>
        <v>Arabica</v>
      </c>
      <c r="O246" t="str">
        <f t="shared" si="11"/>
        <v>Dark</v>
      </c>
      <c r="P246" t="str">
        <f>_xlfn.XLOOKUP(Orders[[#This Row],[Customer ID]],customers!$A$1:$A$1001,customers!$I$1:$I$1001,,0)</f>
        <v>No</v>
      </c>
      <c r="Q246">
        <f>COUNTIF(Orders[Order ID],Orders[[#This Row],[Order ID]])</f>
        <v>1</v>
      </c>
      <c r="R246" s="10">
        <f>SUMIF(Orders[Order ID], Orders[[#This Row],[Order ID]],Orders[Sales])/Orders[[#This Row],[Order Frequency]]</f>
        <v>9.9499999999999993</v>
      </c>
      <c r="S246" t="str">
        <f>IF(Orders[[#This Row],[Order Frequency]]&gt;4, "More than 4", IF(AND(Orders[[#This Row],[Order Frequency]]&lt;=4,Orders[[#This Row],[Order Frequency]]&gt;=2), "Between 4 and 2", "Less than 2"))</f>
        <v>Less than 2</v>
      </c>
      <c r="T246" t="str">
        <f>IF(Orders[[#This Row],[Frequency Group]]="less than 2", "Low Value", IF(Orders[[#This Row],[Frequency Group]]="between 4 and 2", "Medium Value", "High Value"))</f>
        <v>Low Value</v>
      </c>
      <c r="U246" t="str">
        <f>IF(Orders[[#This Row],[Sales]]&lt;50, "$0-50", IF(AND(Orders[[#This Row],[Sales]]&gt;=50,Orders[[#This Row],[Sales]]&lt;=100), "$50-100", IF(AND(Orders[[#This Row],[Sales]]&gt;100,Orders[[#This Row],[Sales]]&lt;=150), "$101-150", "$150+")))</f>
        <v>$0-50</v>
      </c>
      <c r="V246" t="str">
        <f>IF(Orders[[#This Row],[Sales]]&gt;MEDIAN(M:M), "High Price", "Low Price")</f>
        <v>Low Price</v>
      </c>
      <c r="W246" t="str">
        <f>IF(Orders[[#This Row],[Quantity]]&gt;MEDIAN(E:E), "High Volume", "Low Volume")</f>
        <v>Low Volume</v>
      </c>
      <c r="X246" t="str">
        <f>Orders[[#This Row],[Sales Tier]] &amp; "-" &amp; Orders[[#This Row],[Quantity Tier]]</f>
        <v>Low Price-Low Volume</v>
      </c>
      <c r="Y246" t="str">
        <f>TEXT(Orders[[#This Row],[Order Date]], "mmmm")</f>
        <v>August</v>
      </c>
      <c r="Z24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246" t="str">
        <f>Orders[[#This Row],[Coffee Type Name]] &amp; "-" &amp; Orders[[#This Row],[Roast Type Name]]</f>
        <v>Arabica-Dark</v>
      </c>
      <c r="AB24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247" spans="1:28" x14ac:dyDescent="0.25">
      <c r="A247" s="2" t="s">
        <v>2434</v>
      </c>
      <c r="B247" s="4">
        <v>43849</v>
      </c>
      <c r="C247" s="2" t="s">
        <v>2435</v>
      </c>
      <c r="D247" t="s">
        <v>6179</v>
      </c>
      <c r="E247" s="2">
        <v>5</v>
      </c>
      <c r="F247" s="2" t="str">
        <f>_xlfn.XLOOKUP(C247,customers!$A$1:$A$1001,customers!$B$1:$B$1001,,0)</f>
        <v>Ameline Snazle</v>
      </c>
      <c r="G247" s="2" t="str">
        <f>IF(_xlfn.XLOOKUP(C247,customers!$A$1:$A$1001,customers!$C$1:$C$1001,,0)=0,"",_xlfn.XLOOKUP(C247,customers!$A$1:$A$1001,customers!$C$1:$C$1001,,0))</f>
        <v>asnazle9l@oracle.com</v>
      </c>
      <c r="H247" s="2" t="str">
        <f>_xlfn.XLOOKUP(C247,customers!$A$1:$A$1001,customers!$G$1:$G$1001,,0)</f>
        <v>United States</v>
      </c>
      <c r="I247" t="str">
        <f>INDEX(products!$A$1:$G$49, MATCH(orders!$D347,products!$A$1:$A394,0), MATCH(orders!I$1,products!$A$1:$G$1,0))</f>
        <v>Rob</v>
      </c>
      <c r="J247" t="str">
        <f>INDEX(products!$A$1:$G$49, MATCH(orders!$D347,products!$A$1:$A394,0), MATCH(orders!J$1,products!$A$1:$G$1,0))</f>
        <v>L</v>
      </c>
      <c r="K247" s="5">
        <f>INDEX(products!$A$1:$G$49, MATCH(orders!$D347,products!$A$1:$A394,0), MATCH(orders!K$1,products!$A$1:$G$1,0))</f>
        <v>1</v>
      </c>
      <c r="L247" s="6">
        <f>INDEX(products!$A$1:$G$49, MATCH(orders!$D347,products!$A$1:$A394,0), MATCH(orders!L$1,products!$A$1:$G$1,0))</f>
        <v>11.95</v>
      </c>
      <c r="M247" s="6">
        <f t="shared" si="9"/>
        <v>59.75</v>
      </c>
      <c r="N247" t="str">
        <f t="shared" si="10"/>
        <v>Robusta</v>
      </c>
      <c r="O247" t="str">
        <f t="shared" si="11"/>
        <v>Light</v>
      </c>
      <c r="P247" t="str">
        <f>_xlfn.XLOOKUP(Orders[[#This Row],[Customer ID]],customers!$A$1:$A$1001,customers!$I$1:$I$1001,,0)</f>
        <v>No</v>
      </c>
      <c r="Q247">
        <f>COUNTIF(Orders[Order ID],Orders[[#This Row],[Order ID]])</f>
        <v>1</v>
      </c>
      <c r="R247" s="10">
        <f>SUMIF(Orders[Order ID], Orders[[#This Row],[Order ID]],Orders[Sales])/Orders[[#This Row],[Order Frequency]]</f>
        <v>59.75</v>
      </c>
      <c r="S247" t="str">
        <f>IF(Orders[[#This Row],[Order Frequency]]&gt;4, "More than 4", IF(AND(Orders[[#This Row],[Order Frequency]]&lt;=4,Orders[[#This Row],[Order Frequency]]&gt;=2), "Between 4 and 2", "Less than 2"))</f>
        <v>Less than 2</v>
      </c>
      <c r="T247" t="str">
        <f>IF(Orders[[#This Row],[Frequency Group]]="less than 2", "Low Value", IF(Orders[[#This Row],[Frequency Group]]="between 4 and 2", "Medium Value", "High Value"))</f>
        <v>Low Value</v>
      </c>
      <c r="U247" t="str">
        <f>IF(Orders[[#This Row],[Sales]]&lt;50, "$0-50", IF(AND(Orders[[#This Row],[Sales]]&gt;=50,Orders[[#This Row],[Sales]]&lt;=100), "$50-100", IF(AND(Orders[[#This Row],[Sales]]&gt;100,Orders[[#This Row],[Sales]]&lt;=150), "$101-150", "$150+")))</f>
        <v>$50-100</v>
      </c>
      <c r="V247" t="str">
        <f>IF(Orders[[#This Row],[Sales]]&gt;MEDIAN(M:M), "High Price", "Low Price")</f>
        <v>High Price</v>
      </c>
      <c r="W247" t="str">
        <f>IF(Orders[[#This Row],[Quantity]]&gt;MEDIAN(E:E), "High Volume", "Low Volume")</f>
        <v>High Volume</v>
      </c>
      <c r="X247" t="str">
        <f>Orders[[#This Row],[Sales Tier]] &amp; "-" &amp; Orders[[#This Row],[Quantity Tier]]</f>
        <v>High Price-High Volume</v>
      </c>
      <c r="Y247" t="str">
        <f>TEXT(Orders[[#This Row],[Order Date]], "mmmm")</f>
        <v>January</v>
      </c>
      <c r="Z24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247" t="str">
        <f>Orders[[#This Row],[Coffee Type Name]] &amp; "-" &amp; Orders[[#This Row],[Roast Type Name]]</f>
        <v>Robusta-Light</v>
      </c>
      <c r="AB24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248" spans="1:28" x14ac:dyDescent="0.25">
      <c r="A248" s="2" t="s">
        <v>2716</v>
      </c>
      <c r="B248" s="4">
        <v>44465</v>
      </c>
      <c r="C248" s="2" t="s">
        <v>2717</v>
      </c>
      <c r="D248" t="s">
        <v>6169</v>
      </c>
      <c r="E248" s="2">
        <v>6</v>
      </c>
      <c r="F248" s="2" t="str">
        <f>_xlfn.XLOOKUP(C248,customers!$A$1:$A$1001,customers!$B$1:$B$1001,,0)</f>
        <v>Gregorius Kislingbury</v>
      </c>
      <c r="G248" s="2" t="str">
        <f>IF(_xlfn.XLOOKUP(C248,customers!$A$1:$A$1001,customers!$C$1:$C$1001,,0)=0,"",_xlfn.XLOOKUP(C248,customers!$A$1:$A$1001,customers!$C$1:$C$1001,,0))</f>
        <v>gkislingburyaz@samsung.com</v>
      </c>
      <c r="H248" s="2" t="str">
        <f>_xlfn.XLOOKUP(C248,customers!$A$1:$A$1001,customers!$G$1:$G$1001,,0)</f>
        <v>United States</v>
      </c>
      <c r="I248" t="str">
        <f>INDEX(products!$A$1:$G$49, MATCH(orders!$D397,products!$A$1:$A444,0), MATCH(orders!I$1,products!$A$1:$G$1,0))</f>
        <v>Lib</v>
      </c>
      <c r="J248" t="str">
        <f>INDEX(products!$A$1:$G$49, MATCH(orders!$D397,products!$A$1:$A444,0), MATCH(orders!J$1,products!$A$1:$G$1,0))</f>
        <v>D</v>
      </c>
      <c r="K248" s="5">
        <f>INDEX(products!$A$1:$G$49, MATCH(orders!$D397,products!$A$1:$A444,0), MATCH(orders!K$1,products!$A$1:$G$1,0))</f>
        <v>0.5</v>
      </c>
      <c r="L248" s="6">
        <f>INDEX(products!$A$1:$G$49, MATCH(orders!$D397,products!$A$1:$A444,0), MATCH(orders!L$1,products!$A$1:$G$1,0))</f>
        <v>7.77</v>
      </c>
      <c r="M248" s="6">
        <f t="shared" si="9"/>
        <v>46.62</v>
      </c>
      <c r="N248" t="str">
        <f t="shared" si="10"/>
        <v>Liberica</v>
      </c>
      <c r="O248" t="str">
        <f t="shared" si="11"/>
        <v>Dark</v>
      </c>
      <c r="P248" t="str">
        <f>_xlfn.XLOOKUP(Orders[[#This Row],[Customer ID]],customers!$A$1:$A$1001,customers!$I$1:$I$1001,,0)</f>
        <v>Yes</v>
      </c>
      <c r="Q248">
        <f>COUNTIF(Orders[Order ID],Orders[[#This Row],[Order ID]])</f>
        <v>1</v>
      </c>
      <c r="R248" s="10">
        <f>SUMIF(Orders[Order ID], Orders[[#This Row],[Order ID]],Orders[Sales])/Orders[[#This Row],[Order Frequency]]</f>
        <v>46.62</v>
      </c>
      <c r="S248" t="str">
        <f>IF(Orders[[#This Row],[Order Frequency]]&gt;4, "More than 4", IF(AND(Orders[[#This Row],[Order Frequency]]&lt;=4,Orders[[#This Row],[Order Frequency]]&gt;=2), "Between 4 and 2", "Less than 2"))</f>
        <v>Less than 2</v>
      </c>
      <c r="T248" t="str">
        <f>IF(Orders[[#This Row],[Frequency Group]]="less than 2", "Low Value", IF(Orders[[#This Row],[Frequency Group]]="between 4 and 2", "Medium Value", "High Value"))</f>
        <v>Low Value</v>
      </c>
      <c r="U248" t="str">
        <f>IF(Orders[[#This Row],[Sales]]&lt;50, "$0-50", IF(AND(Orders[[#This Row],[Sales]]&gt;=50,Orders[[#This Row],[Sales]]&lt;=100), "$50-100", IF(AND(Orders[[#This Row],[Sales]]&gt;100,Orders[[#This Row],[Sales]]&lt;=150), "$101-150", "$150+")))</f>
        <v>$0-50</v>
      </c>
      <c r="V248" t="str">
        <f>IF(Orders[[#This Row],[Sales]]&gt;MEDIAN(M:M), "High Price", "Low Price")</f>
        <v>High Price</v>
      </c>
      <c r="W248" t="str">
        <f>IF(Orders[[#This Row],[Quantity]]&gt;MEDIAN(E:E), "High Volume", "Low Volume")</f>
        <v>High Volume</v>
      </c>
      <c r="X248" t="str">
        <f>Orders[[#This Row],[Sales Tier]] &amp; "-" &amp; Orders[[#This Row],[Quantity Tier]]</f>
        <v>High Price-High Volume</v>
      </c>
      <c r="Y248" t="str">
        <f>TEXT(Orders[[#This Row],[Order Date]], "mmmm")</f>
        <v>September</v>
      </c>
      <c r="Z24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248" t="str">
        <f>Orders[[#This Row],[Coffee Type Name]] &amp; "-" &amp; Orders[[#This Row],[Roast Type Name]]</f>
        <v>Liberica-Dark</v>
      </c>
      <c r="AB24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249" spans="1:28" x14ac:dyDescent="0.25">
      <c r="A249" s="2" t="s">
        <v>2112</v>
      </c>
      <c r="B249" s="4">
        <v>44697</v>
      </c>
      <c r="C249" s="2" t="s">
        <v>2113</v>
      </c>
      <c r="D249" t="s">
        <v>6178</v>
      </c>
      <c r="E249" s="2">
        <v>4</v>
      </c>
      <c r="F249" s="2" t="str">
        <f>_xlfn.XLOOKUP(C249,customers!$A$1:$A$1001,customers!$B$1:$B$1001,,0)</f>
        <v>Kerr Patise</v>
      </c>
      <c r="G249" s="2" t="str">
        <f>IF(_xlfn.XLOOKUP(C249,customers!$A$1:$A$1001,customers!$C$1:$C$1001,,0)=0,"",_xlfn.XLOOKUP(C249,customers!$A$1:$A$1001,customers!$C$1:$C$1001,,0))</f>
        <v>kpatise7z@jigsy.com</v>
      </c>
      <c r="H249" s="2" t="str">
        <f>_xlfn.XLOOKUP(C249,customers!$A$1:$A$1001,customers!$G$1:$G$1001,,0)</f>
        <v>United States</v>
      </c>
      <c r="I249" t="str">
        <f>INDEX(products!$A$1:$G$49, MATCH(orders!$D289,products!$A$1:$A336,0), MATCH(orders!I$1,products!$A$1:$G$1,0))</f>
        <v>Rob</v>
      </c>
      <c r="J249" t="str">
        <f>INDEX(products!$A$1:$G$49, MATCH(orders!$D289,products!$A$1:$A336,0), MATCH(orders!J$1,products!$A$1:$G$1,0))</f>
        <v>L</v>
      </c>
      <c r="K249" s="5">
        <f>INDEX(products!$A$1:$G$49, MATCH(orders!$D289,products!$A$1:$A336,0), MATCH(orders!K$1,products!$A$1:$G$1,0))</f>
        <v>0.2</v>
      </c>
      <c r="L249" s="6">
        <f>INDEX(products!$A$1:$G$49, MATCH(orders!$D289,products!$A$1:$A336,0), MATCH(orders!L$1,products!$A$1:$G$1,0))</f>
        <v>3.5849999999999995</v>
      </c>
      <c r="M249" s="6">
        <f t="shared" si="9"/>
        <v>14.339999999999998</v>
      </c>
      <c r="N249" t="str">
        <f t="shared" si="10"/>
        <v>Robusta</v>
      </c>
      <c r="O249" t="str">
        <f t="shared" si="11"/>
        <v>Light</v>
      </c>
      <c r="P249" t="str">
        <f>_xlfn.XLOOKUP(Orders[[#This Row],[Customer ID]],customers!$A$1:$A$1001,customers!$I$1:$I$1001,,0)</f>
        <v>No</v>
      </c>
      <c r="Q249">
        <f>COUNTIF(Orders[Order ID],Orders[[#This Row],[Order ID]])</f>
        <v>1</v>
      </c>
      <c r="R249" s="10">
        <f>SUMIF(Orders[Order ID], Orders[[#This Row],[Order ID]],Orders[Sales])/Orders[[#This Row],[Order Frequency]]</f>
        <v>14.339999999999998</v>
      </c>
      <c r="S249" t="str">
        <f>IF(Orders[[#This Row],[Order Frequency]]&gt;4, "More than 4", IF(AND(Orders[[#This Row],[Order Frequency]]&lt;=4,Orders[[#This Row],[Order Frequency]]&gt;=2), "Between 4 and 2", "Less than 2"))</f>
        <v>Less than 2</v>
      </c>
      <c r="T249" t="str">
        <f>IF(Orders[[#This Row],[Frequency Group]]="less than 2", "Low Value", IF(Orders[[#This Row],[Frequency Group]]="between 4 and 2", "Medium Value", "High Value"))</f>
        <v>Low Value</v>
      </c>
      <c r="U249" t="str">
        <f>IF(Orders[[#This Row],[Sales]]&lt;50, "$0-50", IF(AND(Orders[[#This Row],[Sales]]&gt;=50,Orders[[#This Row],[Sales]]&lt;=100), "$50-100", IF(AND(Orders[[#This Row],[Sales]]&gt;100,Orders[[#This Row],[Sales]]&lt;=150), "$101-150", "$150+")))</f>
        <v>$0-50</v>
      </c>
      <c r="V249" t="str">
        <f>IF(Orders[[#This Row],[Sales]]&gt;MEDIAN(M:M), "High Price", "Low Price")</f>
        <v>Low Price</v>
      </c>
      <c r="W249" t="str">
        <f>IF(Orders[[#This Row],[Quantity]]&gt;MEDIAN(E:E), "High Volume", "Low Volume")</f>
        <v>Low Volume</v>
      </c>
      <c r="X249" t="str">
        <f>Orders[[#This Row],[Sales Tier]] &amp; "-" &amp; Orders[[#This Row],[Quantity Tier]]</f>
        <v>Low Price-Low Volume</v>
      </c>
      <c r="Y249" t="str">
        <f>TEXT(Orders[[#This Row],[Order Date]], "mmmm")</f>
        <v>May</v>
      </c>
      <c r="Z24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49" t="str">
        <f>Orders[[#This Row],[Coffee Type Name]] &amp; "-" &amp; Orders[[#This Row],[Roast Type Name]]</f>
        <v>Robusta-Light</v>
      </c>
      <c r="AB24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250" spans="1:28" x14ac:dyDescent="0.25">
      <c r="A250" s="2" t="s">
        <v>3984</v>
      </c>
      <c r="B250" s="4">
        <v>44682</v>
      </c>
      <c r="C250" s="2" t="s">
        <v>3985</v>
      </c>
      <c r="D250" t="s">
        <v>6169</v>
      </c>
      <c r="E250" s="2">
        <v>2</v>
      </c>
      <c r="F250" s="2" t="str">
        <f>_xlfn.XLOOKUP(C250,customers!$A$1:$A$1001,customers!$B$1:$B$1001,,0)</f>
        <v>Winne Roche</v>
      </c>
      <c r="G250" s="2" t="str">
        <f>IF(_xlfn.XLOOKUP(C250,customers!$A$1:$A$1001,customers!$C$1:$C$1001,,0)=0,"",_xlfn.XLOOKUP(C250,customers!$A$1:$A$1001,customers!$C$1:$C$1001,,0))</f>
        <v>wrocheh7@xinhuanet.com</v>
      </c>
      <c r="H250" s="2" t="str">
        <f>_xlfn.XLOOKUP(C250,customers!$A$1:$A$1001,customers!$G$1:$G$1001,,0)</f>
        <v>United States</v>
      </c>
      <c r="I250" t="str">
        <f>INDEX(products!$A$1:$G$49, MATCH(orders!$D621,products!$A$1:$A668,0), MATCH(orders!I$1,products!$A$1:$G$1,0))</f>
        <v>Lib</v>
      </c>
      <c r="J250" t="str">
        <f>INDEX(products!$A$1:$G$49, MATCH(orders!$D621,products!$A$1:$A668,0), MATCH(orders!J$1,products!$A$1:$G$1,0))</f>
        <v>D</v>
      </c>
      <c r="K250" s="5">
        <f>INDEX(products!$A$1:$G$49, MATCH(orders!$D621,products!$A$1:$A668,0), MATCH(orders!K$1,products!$A$1:$G$1,0))</f>
        <v>0.5</v>
      </c>
      <c r="L250" s="6">
        <f>INDEX(products!$A$1:$G$49, MATCH(orders!$D621,products!$A$1:$A668,0), MATCH(orders!L$1,products!$A$1:$G$1,0))</f>
        <v>7.77</v>
      </c>
      <c r="M250" s="6">
        <f t="shared" si="9"/>
        <v>15.54</v>
      </c>
      <c r="N250" t="str">
        <f t="shared" si="10"/>
        <v>Liberica</v>
      </c>
      <c r="O250" t="str">
        <f t="shared" si="11"/>
        <v>Dark</v>
      </c>
      <c r="P250" t="str">
        <f>_xlfn.XLOOKUP(Orders[[#This Row],[Customer ID]],customers!$A$1:$A$1001,customers!$I$1:$I$1001,,0)</f>
        <v>Yes</v>
      </c>
      <c r="Q250">
        <f>COUNTIF(Orders[Order ID],Orders[[#This Row],[Order ID]])</f>
        <v>1</v>
      </c>
      <c r="R250" s="10">
        <f>SUMIF(Orders[Order ID], Orders[[#This Row],[Order ID]],Orders[Sales])/Orders[[#This Row],[Order Frequency]]</f>
        <v>15.54</v>
      </c>
      <c r="S250" t="str">
        <f>IF(Orders[[#This Row],[Order Frequency]]&gt;4, "More than 4", IF(AND(Orders[[#This Row],[Order Frequency]]&lt;=4,Orders[[#This Row],[Order Frequency]]&gt;=2), "Between 4 and 2", "Less than 2"))</f>
        <v>Less than 2</v>
      </c>
      <c r="T250" t="str">
        <f>IF(Orders[[#This Row],[Frequency Group]]="less than 2", "Low Value", IF(Orders[[#This Row],[Frequency Group]]="between 4 and 2", "Medium Value", "High Value"))</f>
        <v>Low Value</v>
      </c>
      <c r="U250" t="str">
        <f>IF(Orders[[#This Row],[Sales]]&lt;50, "$0-50", IF(AND(Orders[[#This Row],[Sales]]&gt;=50,Orders[[#This Row],[Sales]]&lt;=100), "$50-100", IF(AND(Orders[[#This Row],[Sales]]&gt;100,Orders[[#This Row],[Sales]]&lt;=150), "$101-150", "$150+")))</f>
        <v>$0-50</v>
      </c>
      <c r="V250" t="str">
        <f>IF(Orders[[#This Row],[Sales]]&gt;MEDIAN(M:M), "High Price", "Low Price")</f>
        <v>Low Price</v>
      </c>
      <c r="W250" t="str">
        <f>IF(Orders[[#This Row],[Quantity]]&gt;MEDIAN(E:E), "High Volume", "Low Volume")</f>
        <v>Low Volume</v>
      </c>
      <c r="X250" t="str">
        <f>Orders[[#This Row],[Sales Tier]] &amp; "-" &amp; Orders[[#This Row],[Quantity Tier]]</f>
        <v>Low Price-Low Volume</v>
      </c>
      <c r="Y250" t="str">
        <f>TEXT(Orders[[#This Row],[Order Date]], "mmmm")</f>
        <v>May</v>
      </c>
      <c r="Z25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50" t="str">
        <f>Orders[[#This Row],[Coffee Type Name]] &amp; "-" &amp; Orders[[#This Row],[Roast Type Name]]</f>
        <v>Liberica-Dark</v>
      </c>
      <c r="AB25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251" spans="1:28" x14ac:dyDescent="0.25">
      <c r="A251" s="2" t="s">
        <v>6076</v>
      </c>
      <c r="B251" s="4">
        <v>43897</v>
      </c>
      <c r="C251" s="2" t="s">
        <v>6077</v>
      </c>
      <c r="D251" t="s">
        <v>6138</v>
      </c>
      <c r="E251" s="2">
        <v>3</v>
      </c>
      <c r="F251" s="2" t="str">
        <f>_xlfn.XLOOKUP(C251,customers!$A$1:$A$1001,customers!$B$1:$B$1001,,0)</f>
        <v>Adele McFayden</v>
      </c>
      <c r="G251" s="2" t="str">
        <f>IF(_xlfn.XLOOKUP(C251,customers!$A$1:$A$1001,customers!$C$1:$C$1001,,0)=0,"",_xlfn.XLOOKUP(C251,customers!$A$1:$A$1001,customers!$C$1:$C$1001,,0))</f>
        <v/>
      </c>
      <c r="H251" s="2" t="str">
        <f>_xlfn.XLOOKUP(C251,customers!$A$1:$A$1001,customers!$G$1:$G$1001,,0)</f>
        <v>United Kingdom</v>
      </c>
      <c r="I251" t="str">
        <f>INDEX(products!$A$1:$G$49, MATCH(orders!$D990,products!$A$1:$A1037,0), MATCH(orders!I$1,products!$A$1:$G$1,0))</f>
        <v>Rob</v>
      </c>
      <c r="J251" t="str">
        <f>INDEX(products!$A$1:$G$49, MATCH(orders!$D990,products!$A$1:$A1037,0), MATCH(orders!J$1,products!$A$1:$G$1,0))</f>
        <v>M</v>
      </c>
      <c r="K251" s="5">
        <f>INDEX(products!$A$1:$G$49, MATCH(orders!$D990,products!$A$1:$A1037,0), MATCH(orders!K$1,products!$A$1:$G$1,0))</f>
        <v>1</v>
      </c>
      <c r="L251" s="6">
        <f>INDEX(products!$A$1:$G$49, MATCH(orders!$D990,products!$A$1:$A1037,0), MATCH(orders!L$1,products!$A$1:$G$1,0))</f>
        <v>9.9499999999999993</v>
      </c>
      <c r="M251" s="6">
        <f t="shared" si="9"/>
        <v>29.849999999999998</v>
      </c>
      <c r="N251" t="str">
        <f t="shared" si="10"/>
        <v>Robusta</v>
      </c>
      <c r="O251" t="str">
        <f t="shared" si="11"/>
        <v>Medium</v>
      </c>
      <c r="P251" t="str">
        <f>_xlfn.XLOOKUP(Orders[[#This Row],[Customer ID]],customers!$A$1:$A$1001,customers!$I$1:$I$1001,,0)</f>
        <v>Yes</v>
      </c>
      <c r="Q251">
        <f>COUNTIF(Orders[Order ID],Orders[[#This Row],[Order ID]])</f>
        <v>1</v>
      </c>
      <c r="R251" s="10">
        <f>SUMIF(Orders[Order ID], Orders[[#This Row],[Order ID]],Orders[Sales])/Orders[[#This Row],[Order Frequency]]</f>
        <v>29.849999999999998</v>
      </c>
      <c r="S251" t="str">
        <f>IF(Orders[[#This Row],[Order Frequency]]&gt;4, "More than 4", IF(AND(Orders[[#This Row],[Order Frequency]]&lt;=4,Orders[[#This Row],[Order Frequency]]&gt;=2), "Between 4 and 2", "Less than 2"))</f>
        <v>Less than 2</v>
      </c>
      <c r="T251" t="str">
        <f>IF(Orders[[#This Row],[Frequency Group]]="less than 2", "Low Value", IF(Orders[[#This Row],[Frequency Group]]="between 4 and 2", "Medium Value", "High Value"))</f>
        <v>Low Value</v>
      </c>
      <c r="U251" t="str">
        <f>IF(Orders[[#This Row],[Sales]]&lt;50, "$0-50", IF(AND(Orders[[#This Row],[Sales]]&gt;=50,Orders[[#This Row],[Sales]]&lt;=100), "$50-100", IF(AND(Orders[[#This Row],[Sales]]&gt;100,Orders[[#This Row],[Sales]]&lt;=150), "$101-150", "$150+")))</f>
        <v>$0-50</v>
      </c>
      <c r="V251" t="str">
        <f>IF(Orders[[#This Row],[Sales]]&gt;MEDIAN(M:M), "High Price", "Low Price")</f>
        <v>High Price</v>
      </c>
      <c r="W251" t="str">
        <f>IF(Orders[[#This Row],[Quantity]]&gt;MEDIAN(E:E), "High Volume", "Low Volume")</f>
        <v>Low Volume</v>
      </c>
      <c r="X251" t="str">
        <f>Orders[[#This Row],[Sales Tier]] &amp; "-" &amp; Orders[[#This Row],[Quantity Tier]]</f>
        <v>High Price-Low Volume</v>
      </c>
      <c r="Y251" t="str">
        <f>TEXT(Orders[[#This Row],[Order Date]], "mmmm")</f>
        <v>March</v>
      </c>
      <c r="Z25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251" t="str">
        <f>Orders[[#This Row],[Coffee Type Name]] &amp; "-" &amp; Orders[[#This Row],[Roast Type Name]]</f>
        <v>Robusta-Medium</v>
      </c>
      <c r="AB25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252" spans="1:28" x14ac:dyDescent="0.25">
      <c r="A252" s="2" t="s">
        <v>2307</v>
      </c>
      <c r="B252" s="4">
        <v>44182</v>
      </c>
      <c r="C252" s="2" t="s">
        <v>2308</v>
      </c>
      <c r="D252" t="s">
        <v>6169</v>
      </c>
      <c r="E252" s="2">
        <v>3</v>
      </c>
      <c r="F252" s="2" t="str">
        <f>_xlfn.XLOOKUP(C252,customers!$A$1:$A$1001,customers!$B$1:$B$1001,,0)</f>
        <v>Skylar Jeyness</v>
      </c>
      <c r="G252" s="2" t="str">
        <f>IF(_xlfn.XLOOKUP(C252,customers!$A$1:$A$1001,customers!$C$1:$C$1001,,0)=0,"",_xlfn.XLOOKUP(C252,customers!$A$1:$A$1001,customers!$C$1:$C$1001,,0))</f>
        <v>sjeyness8y@biglobe.ne.jp</v>
      </c>
      <c r="H252" s="2" t="str">
        <f>_xlfn.XLOOKUP(C252,customers!$A$1:$A$1001,customers!$G$1:$G$1001,,0)</f>
        <v>Ireland</v>
      </c>
      <c r="I252" t="str">
        <f>INDEX(products!$A$1:$G$49, MATCH(orders!$D324,products!$A$1:$A371,0), MATCH(orders!I$1,products!$A$1:$G$1,0))</f>
        <v>Lib</v>
      </c>
      <c r="J252" t="str">
        <f>INDEX(products!$A$1:$G$49, MATCH(orders!$D324,products!$A$1:$A371,0), MATCH(orders!J$1,products!$A$1:$G$1,0))</f>
        <v>D</v>
      </c>
      <c r="K252" s="5">
        <f>INDEX(products!$A$1:$G$49, MATCH(orders!$D324,products!$A$1:$A371,0), MATCH(orders!K$1,products!$A$1:$G$1,0))</f>
        <v>0.5</v>
      </c>
      <c r="L252" s="6">
        <f>INDEX(products!$A$1:$G$49, MATCH(orders!$D324,products!$A$1:$A371,0), MATCH(orders!L$1,products!$A$1:$G$1,0))</f>
        <v>7.77</v>
      </c>
      <c r="M252" s="6">
        <f t="shared" si="9"/>
        <v>23.31</v>
      </c>
      <c r="N252" t="str">
        <f t="shared" si="10"/>
        <v>Liberica</v>
      </c>
      <c r="O252" t="str">
        <f t="shared" si="11"/>
        <v>Dark</v>
      </c>
      <c r="P252" t="str">
        <f>_xlfn.XLOOKUP(Orders[[#This Row],[Customer ID]],customers!$A$1:$A$1001,customers!$I$1:$I$1001,,0)</f>
        <v>No</v>
      </c>
      <c r="Q252">
        <f>COUNTIF(Orders[Order ID],Orders[[#This Row],[Order ID]])</f>
        <v>1</v>
      </c>
      <c r="R252" s="10">
        <f>SUMIF(Orders[Order ID], Orders[[#This Row],[Order ID]],Orders[Sales])/Orders[[#This Row],[Order Frequency]]</f>
        <v>23.31</v>
      </c>
      <c r="S252" t="str">
        <f>IF(Orders[[#This Row],[Order Frequency]]&gt;4, "More than 4", IF(AND(Orders[[#This Row],[Order Frequency]]&lt;=4,Orders[[#This Row],[Order Frequency]]&gt;=2), "Between 4 and 2", "Less than 2"))</f>
        <v>Less than 2</v>
      </c>
      <c r="T252" t="str">
        <f>IF(Orders[[#This Row],[Frequency Group]]="less than 2", "Low Value", IF(Orders[[#This Row],[Frequency Group]]="between 4 and 2", "Medium Value", "High Value"))</f>
        <v>Low Value</v>
      </c>
      <c r="U252" t="str">
        <f>IF(Orders[[#This Row],[Sales]]&lt;50, "$0-50", IF(AND(Orders[[#This Row],[Sales]]&gt;=50,Orders[[#This Row],[Sales]]&lt;=100), "$50-100", IF(AND(Orders[[#This Row],[Sales]]&gt;100,Orders[[#This Row],[Sales]]&lt;=150), "$101-150", "$150+")))</f>
        <v>$0-50</v>
      </c>
      <c r="V252" t="str">
        <f>IF(Orders[[#This Row],[Sales]]&gt;MEDIAN(M:M), "High Price", "Low Price")</f>
        <v>Low Price</v>
      </c>
      <c r="W252" t="str">
        <f>IF(Orders[[#This Row],[Quantity]]&gt;MEDIAN(E:E), "High Volume", "Low Volume")</f>
        <v>Low Volume</v>
      </c>
      <c r="X252" t="str">
        <f>Orders[[#This Row],[Sales Tier]] &amp; "-" &amp; Orders[[#This Row],[Quantity Tier]]</f>
        <v>Low Price-Low Volume</v>
      </c>
      <c r="Y252" t="str">
        <f>TEXT(Orders[[#This Row],[Order Date]], "mmmm")</f>
        <v>December</v>
      </c>
      <c r="Z25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252" t="str">
        <f>Orders[[#This Row],[Coffee Type Name]] &amp; "-" &amp; Orders[[#This Row],[Roast Type Name]]</f>
        <v>Liberica-Dark</v>
      </c>
      <c r="AB25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253" spans="1:28" x14ac:dyDescent="0.25">
      <c r="A253" s="2" t="s">
        <v>570</v>
      </c>
      <c r="B253" s="4">
        <v>44656</v>
      </c>
      <c r="C253" s="2" t="s">
        <v>571</v>
      </c>
      <c r="D253" t="s">
        <v>6150</v>
      </c>
      <c r="E253" s="2">
        <v>3</v>
      </c>
      <c r="F253" s="2" t="str">
        <f>_xlfn.XLOOKUP(C253,customers!$A$1:$A$1001,customers!$B$1:$B$1001,,0)</f>
        <v>Patrice Trobe</v>
      </c>
      <c r="G253" s="2" t="str">
        <f>IF(_xlfn.XLOOKUP(C253,customers!$A$1:$A$1001,customers!$C$1:$C$1001,,0)=0,"",_xlfn.XLOOKUP(C253,customers!$A$1:$A$1001,customers!$C$1:$C$1001,,0))</f>
        <v>ptrobee@wunderground.com</v>
      </c>
      <c r="H253" s="2" t="str">
        <f>_xlfn.XLOOKUP(C253,customers!$A$1:$A$1001,customers!$G$1:$G$1001,,0)</f>
        <v>United States</v>
      </c>
      <c r="I253" t="str">
        <f>INDEX(products!$A$1:$G$49, MATCH(orders!$D16,products!$A$1:$A63,0), MATCH(orders!I$1,products!$A$1:$G$1,0))</f>
        <v>Lib</v>
      </c>
      <c r="J253" t="str">
        <f>INDEX(products!$A$1:$G$49, MATCH(orders!$D16,products!$A$1:$A63,0), MATCH(orders!J$1,products!$A$1:$G$1,0))</f>
        <v>D</v>
      </c>
      <c r="K253" s="5">
        <f>INDEX(products!$A$1:$G$49, MATCH(orders!$D16,products!$A$1:$A63,0), MATCH(orders!K$1,products!$A$1:$G$1,0))</f>
        <v>0.2</v>
      </c>
      <c r="L253" s="6">
        <f>INDEX(products!$A$1:$G$49, MATCH(orders!$D16,products!$A$1:$A63,0), MATCH(orders!L$1,products!$A$1:$G$1,0))</f>
        <v>3.8849999999999998</v>
      </c>
      <c r="M253" s="6">
        <f t="shared" si="9"/>
        <v>11.654999999999999</v>
      </c>
      <c r="N253" t="str">
        <f t="shared" si="10"/>
        <v>Liberica</v>
      </c>
      <c r="O253" t="str">
        <f t="shared" si="11"/>
        <v>Dark</v>
      </c>
      <c r="P253" t="str">
        <f>_xlfn.XLOOKUP(Orders[[#This Row],[Customer ID]],customers!$A$1:$A$1001,customers!$I$1:$I$1001,,0)</f>
        <v>Yes</v>
      </c>
      <c r="Q253">
        <f>COUNTIF(Orders[Order ID],Orders[[#This Row],[Order ID]])</f>
        <v>1</v>
      </c>
      <c r="R253" s="10">
        <f>SUMIF(Orders[Order ID], Orders[[#This Row],[Order ID]],Orders[Sales])/Orders[[#This Row],[Order Frequency]]</f>
        <v>11.654999999999999</v>
      </c>
      <c r="S253" t="str">
        <f>IF(Orders[[#This Row],[Order Frequency]]&gt;4, "More than 4", IF(AND(Orders[[#This Row],[Order Frequency]]&lt;=4,Orders[[#This Row],[Order Frequency]]&gt;=2), "Between 4 and 2", "Less than 2"))</f>
        <v>Less than 2</v>
      </c>
      <c r="T253" t="str">
        <f>IF(Orders[[#This Row],[Frequency Group]]="less than 2", "Low Value", IF(Orders[[#This Row],[Frequency Group]]="between 4 and 2", "Medium Value", "High Value"))</f>
        <v>Low Value</v>
      </c>
      <c r="U253" t="str">
        <f>IF(Orders[[#This Row],[Sales]]&lt;50, "$0-50", IF(AND(Orders[[#This Row],[Sales]]&gt;=50,Orders[[#This Row],[Sales]]&lt;=100), "$50-100", IF(AND(Orders[[#This Row],[Sales]]&gt;100,Orders[[#This Row],[Sales]]&lt;=150), "$101-150", "$150+")))</f>
        <v>$0-50</v>
      </c>
      <c r="V253" t="str">
        <f>IF(Orders[[#This Row],[Sales]]&gt;MEDIAN(M:M), "High Price", "Low Price")</f>
        <v>Low Price</v>
      </c>
      <c r="W253" t="str">
        <f>IF(Orders[[#This Row],[Quantity]]&gt;MEDIAN(E:E), "High Volume", "Low Volume")</f>
        <v>Low Volume</v>
      </c>
      <c r="X253" t="str">
        <f>Orders[[#This Row],[Sales Tier]] &amp; "-" &amp; Orders[[#This Row],[Quantity Tier]]</f>
        <v>Low Price-Low Volume</v>
      </c>
      <c r="Y253" t="str">
        <f>TEXT(Orders[[#This Row],[Order Date]], "mmmm")</f>
        <v>April</v>
      </c>
      <c r="Z25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53" t="str">
        <f>Orders[[#This Row],[Coffee Type Name]] &amp; "-" &amp; Orders[[#This Row],[Roast Type Name]]</f>
        <v>Liberica-Dark</v>
      </c>
      <c r="AB25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254" spans="1:28" x14ac:dyDescent="0.25">
      <c r="A254" s="2" t="s">
        <v>2199</v>
      </c>
      <c r="B254" s="4">
        <v>44412</v>
      </c>
      <c r="C254" s="2" t="s">
        <v>2200</v>
      </c>
      <c r="D254" t="s">
        <v>6185</v>
      </c>
      <c r="E254" s="2">
        <v>4</v>
      </c>
      <c r="F254" s="2" t="str">
        <f>_xlfn.XLOOKUP(C254,customers!$A$1:$A$1001,customers!$B$1:$B$1001,,0)</f>
        <v>Darrin Tingly</v>
      </c>
      <c r="G254" s="2" t="str">
        <f>IF(_xlfn.XLOOKUP(C254,customers!$A$1:$A$1001,customers!$C$1:$C$1001,,0)=0,"",_xlfn.XLOOKUP(C254,customers!$A$1:$A$1001,customers!$C$1:$C$1001,,0))</f>
        <v>dtingly8f@goo.ne.jp</v>
      </c>
      <c r="H254" s="2" t="str">
        <f>_xlfn.XLOOKUP(C254,customers!$A$1:$A$1001,customers!$G$1:$G$1001,,0)</f>
        <v>United States</v>
      </c>
      <c r="I254" t="str">
        <f>INDEX(products!$A$1:$G$49, MATCH(orders!$D305,products!$A$1:$A352,0), MATCH(orders!I$1,products!$A$1:$G$1,0))</f>
        <v>Exc</v>
      </c>
      <c r="J254" t="str">
        <f>INDEX(products!$A$1:$G$49, MATCH(orders!$D305,products!$A$1:$A352,0), MATCH(orders!J$1,products!$A$1:$G$1,0))</f>
        <v>D</v>
      </c>
      <c r="K254" s="5">
        <f>INDEX(products!$A$1:$G$49, MATCH(orders!$D305,products!$A$1:$A352,0), MATCH(orders!K$1,products!$A$1:$G$1,0))</f>
        <v>2.5</v>
      </c>
      <c r="L254" s="6">
        <f>INDEX(products!$A$1:$G$49, MATCH(orders!$D305,products!$A$1:$A352,0), MATCH(orders!L$1,products!$A$1:$G$1,0))</f>
        <v>27.945</v>
      </c>
      <c r="M254" s="6">
        <f t="shared" si="9"/>
        <v>111.78</v>
      </c>
      <c r="N254" t="str">
        <f t="shared" si="10"/>
        <v>Excelsa</v>
      </c>
      <c r="O254" t="str">
        <f t="shared" si="11"/>
        <v>Dark</v>
      </c>
      <c r="P254" t="str">
        <f>_xlfn.XLOOKUP(Orders[[#This Row],[Customer ID]],customers!$A$1:$A$1001,customers!$I$1:$I$1001,,0)</f>
        <v>Yes</v>
      </c>
      <c r="Q254">
        <f>COUNTIF(Orders[Order ID],Orders[[#This Row],[Order ID]])</f>
        <v>1</v>
      </c>
      <c r="R254" s="10">
        <f>SUMIF(Orders[Order ID], Orders[[#This Row],[Order ID]],Orders[Sales])/Orders[[#This Row],[Order Frequency]]</f>
        <v>111.78</v>
      </c>
      <c r="S254" t="str">
        <f>IF(Orders[[#This Row],[Order Frequency]]&gt;4, "More than 4", IF(AND(Orders[[#This Row],[Order Frequency]]&lt;=4,Orders[[#This Row],[Order Frequency]]&gt;=2), "Between 4 and 2", "Less than 2"))</f>
        <v>Less than 2</v>
      </c>
      <c r="T254" t="str">
        <f>IF(Orders[[#This Row],[Frequency Group]]="less than 2", "Low Value", IF(Orders[[#This Row],[Frequency Group]]="between 4 and 2", "Medium Value", "High Value"))</f>
        <v>Low Value</v>
      </c>
      <c r="U254" t="str">
        <f>IF(Orders[[#This Row],[Sales]]&lt;50, "$0-50", IF(AND(Orders[[#This Row],[Sales]]&gt;=50,Orders[[#This Row],[Sales]]&lt;=100), "$50-100", IF(AND(Orders[[#This Row],[Sales]]&gt;100,Orders[[#This Row],[Sales]]&lt;=150), "$101-150", "$150+")))</f>
        <v>$101-150</v>
      </c>
      <c r="V254" t="str">
        <f>IF(Orders[[#This Row],[Sales]]&gt;MEDIAN(M:M), "High Price", "Low Price")</f>
        <v>High Price</v>
      </c>
      <c r="W254" t="str">
        <f>IF(Orders[[#This Row],[Quantity]]&gt;MEDIAN(E:E), "High Volume", "Low Volume")</f>
        <v>Low Volume</v>
      </c>
      <c r="X254" t="str">
        <f>Orders[[#This Row],[Sales Tier]] &amp; "-" &amp; Orders[[#This Row],[Quantity Tier]]</f>
        <v>High Price-Low Volume</v>
      </c>
      <c r="Y254" t="str">
        <f>TEXT(Orders[[#This Row],[Order Date]], "mmmm")</f>
        <v>August</v>
      </c>
      <c r="Z25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254" t="str">
        <f>Orders[[#This Row],[Coffee Type Name]] &amp; "-" &amp; Orders[[#This Row],[Roast Type Name]]</f>
        <v>Excelsa-Dark</v>
      </c>
      <c r="AB25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255" spans="1:28" x14ac:dyDescent="0.25">
      <c r="A255" s="2" t="s">
        <v>1174</v>
      </c>
      <c r="B255" s="4">
        <v>44268</v>
      </c>
      <c r="C255" s="2" t="s">
        <v>1175</v>
      </c>
      <c r="D255" t="s">
        <v>6158</v>
      </c>
      <c r="E255" s="2">
        <v>4</v>
      </c>
      <c r="F255" s="2" t="str">
        <f>_xlfn.XLOOKUP(C255,customers!$A$1:$A$1001,customers!$B$1:$B$1001,,0)</f>
        <v>Mahala Ludwell</v>
      </c>
      <c r="G255" s="2" t="str">
        <f>IF(_xlfn.XLOOKUP(C255,customers!$A$1:$A$1001,customers!$C$1:$C$1001,,0)=0,"",_xlfn.XLOOKUP(C255,customers!$A$1:$A$1001,customers!$C$1:$C$1001,,0))</f>
        <v>mludwell3e@blogger.com</v>
      </c>
      <c r="H255" s="2" t="str">
        <f>_xlfn.XLOOKUP(C255,customers!$A$1:$A$1001,customers!$G$1:$G$1001,,0)</f>
        <v>United States</v>
      </c>
      <c r="I255" t="str">
        <f>INDEX(products!$A$1:$G$49, MATCH(orders!$D124,products!$A$1:$A171,0), MATCH(orders!I$1,products!$A$1:$G$1,0))</f>
        <v>Ara</v>
      </c>
      <c r="J255" t="str">
        <f>INDEX(products!$A$1:$G$49, MATCH(orders!$D124,products!$A$1:$A171,0), MATCH(orders!J$1,products!$A$1:$G$1,0))</f>
        <v>D</v>
      </c>
      <c r="K255" s="5">
        <f>INDEX(products!$A$1:$G$49, MATCH(orders!$D124,products!$A$1:$A171,0), MATCH(orders!K$1,products!$A$1:$G$1,0))</f>
        <v>0.5</v>
      </c>
      <c r="L255" s="6">
        <f>INDEX(products!$A$1:$G$49, MATCH(orders!$D124,products!$A$1:$A171,0), MATCH(orders!L$1,products!$A$1:$G$1,0))</f>
        <v>5.97</v>
      </c>
      <c r="M255" s="6">
        <f t="shared" si="9"/>
        <v>23.88</v>
      </c>
      <c r="N255" t="str">
        <f t="shared" si="10"/>
        <v>Arabica</v>
      </c>
      <c r="O255" t="str">
        <f t="shared" si="11"/>
        <v>Dark</v>
      </c>
      <c r="P255" t="str">
        <f>_xlfn.XLOOKUP(Orders[[#This Row],[Customer ID]],customers!$A$1:$A$1001,customers!$I$1:$I$1001,,0)</f>
        <v>Yes</v>
      </c>
      <c r="Q255">
        <f>COUNTIF(Orders[Order ID],Orders[[#This Row],[Order ID]])</f>
        <v>1</v>
      </c>
      <c r="R255" s="10">
        <f>SUMIF(Orders[Order ID], Orders[[#This Row],[Order ID]],Orders[Sales])/Orders[[#This Row],[Order Frequency]]</f>
        <v>23.88</v>
      </c>
      <c r="S255" t="str">
        <f>IF(Orders[[#This Row],[Order Frequency]]&gt;4, "More than 4", IF(AND(Orders[[#This Row],[Order Frequency]]&lt;=4,Orders[[#This Row],[Order Frequency]]&gt;=2), "Between 4 and 2", "Less than 2"))</f>
        <v>Less than 2</v>
      </c>
      <c r="T255" t="str">
        <f>IF(Orders[[#This Row],[Frequency Group]]="less than 2", "Low Value", IF(Orders[[#This Row],[Frequency Group]]="between 4 and 2", "Medium Value", "High Value"))</f>
        <v>Low Value</v>
      </c>
      <c r="U255" t="str">
        <f>IF(Orders[[#This Row],[Sales]]&lt;50, "$0-50", IF(AND(Orders[[#This Row],[Sales]]&gt;=50,Orders[[#This Row],[Sales]]&lt;=100), "$50-100", IF(AND(Orders[[#This Row],[Sales]]&gt;100,Orders[[#This Row],[Sales]]&lt;=150), "$101-150", "$150+")))</f>
        <v>$0-50</v>
      </c>
      <c r="V255" t="str">
        <f>IF(Orders[[#This Row],[Sales]]&gt;MEDIAN(M:M), "High Price", "Low Price")</f>
        <v>Low Price</v>
      </c>
      <c r="W255" t="str">
        <f>IF(Orders[[#This Row],[Quantity]]&gt;MEDIAN(E:E), "High Volume", "Low Volume")</f>
        <v>Low Volume</v>
      </c>
      <c r="X255" t="str">
        <f>Orders[[#This Row],[Sales Tier]] &amp; "-" &amp; Orders[[#This Row],[Quantity Tier]]</f>
        <v>Low Price-Low Volume</v>
      </c>
      <c r="Y255" t="str">
        <f>TEXT(Orders[[#This Row],[Order Date]], "mmmm")</f>
        <v>March</v>
      </c>
      <c r="Z25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255" t="str">
        <f>Orders[[#This Row],[Coffee Type Name]] &amp; "-" &amp; Orders[[#This Row],[Roast Type Name]]</f>
        <v>Arabica-Dark</v>
      </c>
      <c r="AB25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256" spans="1:28" x14ac:dyDescent="0.25">
      <c r="A256" s="2" t="s">
        <v>1198</v>
      </c>
      <c r="B256" s="4">
        <v>44026</v>
      </c>
      <c r="C256" s="2" t="s">
        <v>1199</v>
      </c>
      <c r="D256" t="s">
        <v>6155</v>
      </c>
      <c r="E256" s="2">
        <v>1</v>
      </c>
      <c r="F256" s="2" t="str">
        <f>_xlfn.XLOOKUP(C256,customers!$A$1:$A$1001,customers!$B$1:$B$1001,,0)</f>
        <v>Hewet Synnot</v>
      </c>
      <c r="G256" s="2" t="str">
        <f>IF(_xlfn.XLOOKUP(C256,customers!$A$1:$A$1001,customers!$C$1:$C$1001,,0)=0,"",_xlfn.XLOOKUP(C256,customers!$A$1:$A$1001,customers!$C$1:$C$1001,,0))</f>
        <v>hsynnot3i@about.com</v>
      </c>
      <c r="H256" s="2" t="str">
        <f>_xlfn.XLOOKUP(C256,customers!$A$1:$A$1001,customers!$G$1:$G$1001,,0)</f>
        <v>United States</v>
      </c>
      <c r="I256" t="str">
        <f>INDEX(products!$A$1:$G$49, MATCH(orders!$D128,products!$A$1:$A175,0), MATCH(orders!I$1,products!$A$1:$G$1,0))</f>
        <v>Ara</v>
      </c>
      <c r="J256" t="str">
        <f>INDEX(products!$A$1:$G$49, MATCH(orders!$D128,products!$A$1:$A175,0), MATCH(orders!J$1,products!$A$1:$G$1,0))</f>
        <v>M</v>
      </c>
      <c r="K256" s="5">
        <f>INDEX(products!$A$1:$G$49, MATCH(orders!$D128,products!$A$1:$A175,0), MATCH(orders!K$1,products!$A$1:$G$1,0))</f>
        <v>1</v>
      </c>
      <c r="L256" s="6">
        <f>INDEX(products!$A$1:$G$49, MATCH(orders!$D128,products!$A$1:$A175,0), MATCH(orders!L$1,products!$A$1:$G$1,0))</f>
        <v>11.25</v>
      </c>
      <c r="M256" s="6">
        <f t="shared" si="9"/>
        <v>11.25</v>
      </c>
      <c r="N256" t="str">
        <f t="shared" si="10"/>
        <v>Arabica</v>
      </c>
      <c r="O256" t="str">
        <f t="shared" si="11"/>
        <v>Medium</v>
      </c>
      <c r="P256" t="str">
        <f>_xlfn.XLOOKUP(Orders[[#This Row],[Customer ID]],customers!$A$1:$A$1001,customers!$I$1:$I$1001,,0)</f>
        <v>No</v>
      </c>
      <c r="Q256">
        <f>COUNTIF(Orders[Order ID],Orders[[#This Row],[Order ID]])</f>
        <v>1</v>
      </c>
      <c r="R256" s="10">
        <f>SUMIF(Orders[Order ID], Orders[[#This Row],[Order ID]],Orders[Sales])/Orders[[#This Row],[Order Frequency]]</f>
        <v>11.25</v>
      </c>
      <c r="S256" t="str">
        <f>IF(Orders[[#This Row],[Order Frequency]]&gt;4, "More than 4", IF(AND(Orders[[#This Row],[Order Frequency]]&lt;=4,Orders[[#This Row],[Order Frequency]]&gt;=2), "Between 4 and 2", "Less than 2"))</f>
        <v>Less than 2</v>
      </c>
      <c r="T256" t="str">
        <f>IF(Orders[[#This Row],[Frequency Group]]="less than 2", "Low Value", IF(Orders[[#This Row],[Frequency Group]]="between 4 and 2", "Medium Value", "High Value"))</f>
        <v>Low Value</v>
      </c>
      <c r="U256" t="str">
        <f>IF(Orders[[#This Row],[Sales]]&lt;50, "$0-50", IF(AND(Orders[[#This Row],[Sales]]&gt;=50,Orders[[#This Row],[Sales]]&lt;=100), "$50-100", IF(AND(Orders[[#This Row],[Sales]]&gt;100,Orders[[#This Row],[Sales]]&lt;=150), "$101-150", "$150+")))</f>
        <v>$0-50</v>
      </c>
      <c r="V256" t="str">
        <f>IF(Orders[[#This Row],[Sales]]&gt;MEDIAN(M:M), "High Price", "Low Price")</f>
        <v>Low Price</v>
      </c>
      <c r="W256" t="str">
        <f>IF(Orders[[#This Row],[Quantity]]&gt;MEDIAN(E:E), "High Volume", "Low Volume")</f>
        <v>Low Volume</v>
      </c>
      <c r="X256" t="str">
        <f>Orders[[#This Row],[Sales Tier]] &amp; "-" &amp; Orders[[#This Row],[Quantity Tier]]</f>
        <v>Low Price-Low Volume</v>
      </c>
      <c r="Y256" t="str">
        <f>TEXT(Orders[[#This Row],[Order Date]], "mmmm")</f>
        <v>July</v>
      </c>
      <c r="Z25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256" t="str">
        <f>Orders[[#This Row],[Coffee Type Name]] &amp; "-" &amp; Orders[[#This Row],[Roast Type Name]]</f>
        <v>Arabica-Medium</v>
      </c>
      <c r="AB25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257" spans="1:28" x14ac:dyDescent="0.25">
      <c r="A257" s="2" t="s">
        <v>1112</v>
      </c>
      <c r="B257" s="4">
        <v>43642</v>
      </c>
      <c r="C257" s="2" t="s">
        <v>1113</v>
      </c>
      <c r="D257" t="s">
        <v>6172</v>
      </c>
      <c r="E257" s="2">
        <v>5</v>
      </c>
      <c r="F257" s="2" t="str">
        <f>_xlfn.XLOOKUP(C257,customers!$A$1:$A$1001,customers!$B$1:$B$1001,,0)</f>
        <v>Betty Fominov</v>
      </c>
      <c r="G257" s="2" t="str">
        <f>IF(_xlfn.XLOOKUP(C257,customers!$A$1:$A$1001,customers!$C$1:$C$1001,,0)=0,"",_xlfn.XLOOKUP(C257,customers!$A$1:$A$1001,customers!$C$1:$C$1001,,0))</f>
        <v>bfominov33@yale.edu</v>
      </c>
      <c r="H257" s="2" t="str">
        <f>_xlfn.XLOOKUP(C257,customers!$A$1:$A$1001,customers!$G$1:$G$1001,,0)</f>
        <v>United States</v>
      </c>
      <c r="I257" t="str">
        <f>INDEX(products!$A$1:$G$49, MATCH(orders!$D113,products!$A$1:$A160,0), MATCH(orders!I$1,products!$A$1:$G$1,0))</f>
        <v>Rob</v>
      </c>
      <c r="J257" t="str">
        <f>INDEX(products!$A$1:$G$49, MATCH(orders!$D113,products!$A$1:$A160,0), MATCH(orders!J$1,products!$A$1:$G$1,0))</f>
        <v>D</v>
      </c>
      <c r="K257" s="5">
        <f>INDEX(products!$A$1:$G$49, MATCH(orders!$D113,products!$A$1:$A160,0), MATCH(orders!K$1,products!$A$1:$G$1,0))</f>
        <v>0.5</v>
      </c>
      <c r="L257" s="6">
        <f>INDEX(products!$A$1:$G$49, MATCH(orders!$D113,products!$A$1:$A160,0), MATCH(orders!L$1,products!$A$1:$G$1,0))</f>
        <v>5.3699999999999992</v>
      </c>
      <c r="M257" s="6">
        <f t="shared" si="9"/>
        <v>26.849999999999994</v>
      </c>
      <c r="N257" t="str">
        <f t="shared" si="10"/>
        <v>Robusta</v>
      </c>
      <c r="O257" t="str">
        <f t="shared" si="11"/>
        <v>Dark</v>
      </c>
      <c r="P257" t="str">
        <f>_xlfn.XLOOKUP(Orders[[#This Row],[Customer ID]],customers!$A$1:$A$1001,customers!$I$1:$I$1001,,0)</f>
        <v>No</v>
      </c>
      <c r="Q257">
        <f>COUNTIF(Orders[Order ID],Orders[[#This Row],[Order ID]])</f>
        <v>1</v>
      </c>
      <c r="R257" s="10">
        <f>SUMIF(Orders[Order ID], Orders[[#This Row],[Order ID]],Orders[Sales])/Orders[[#This Row],[Order Frequency]]</f>
        <v>26.849999999999994</v>
      </c>
      <c r="S257" t="str">
        <f>IF(Orders[[#This Row],[Order Frequency]]&gt;4, "More than 4", IF(AND(Orders[[#This Row],[Order Frequency]]&lt;=4,Orders[[#This Row],[Order Frequency]]&gt;=2), "Between 4 and 2", "Less than 2"))</f>
        <v>Less than 2</v>
      </c>
      <c r="T257" t="str">
        <f>IF(Orders[[#This Row],[Frequency Group]]="less than 2", "Low Value", IF(Orders[[#This Row],[Frequency Group]]="between 4 and 2", "Medium Value", "High Value"))</f>
        <v>Low Value</v>
      </c>
      <c r="U257" t="str">
        <f>IF(Orders[[#This Row],[Sales]]&lt;50, "$0-50", IF(AND(Orders[[#This Row],[Sales]]&gt;=50,Orders[[#This Row],[Sales]]&lt;=100), "$50-100", IF(AND(Orders[[#This Row],[Sales]]&gt;100,Orders[[#This Row],[Sales]]&lt;=150), "$101-150", "$150+")))</f>
        <v>$0-50</v>
      </c>
      <c r="V257" t="str">
        <f>IF(Orders[[#This Row],[Sales]]&gt;MEDIAN(M:M), "High Price", "Low Price")</f>
        <v>Low Price</v>
      </c>
      <c r="W257" t="str">
        <f>IF(Orders[[#This Row],[Quantity]]&gt;MEDIAN(E:E), "High Volume", "Low Volume")</f>
        <v>High Volume</v>
      </c>
      <c r="X257" t="str">
        <f>Orders[[#This Row],[Sales Tier]] &amp; "-" &amp; Orders[[#This Row],[Quantity Tier]]</f>
        <v>Low Price-High Volume</v>
      </c>
      <c r="Y257" t="str">
        <f>TEXT(Orders[[#This Row],[Order Date]], "mmmm")</f>
        <v>June</v>
      </c>
      <c r="Z25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57" t="str">
        <f>Orders[[#This Row],[Coffee Type Name]] &amp; "-" &amp; Orders[[#This Row],[Roast Type Name]]</f>
        <v>Robusta-Dark</v>
      </c>
      <c r="AB25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258" spans="1:28" x14ac:dyDescent="0.25">
      <c r="A258" s="2" t="s">
        <v>5147</v>
      </c>
      <c r="B258" s="4">
        <v>43781</v>
      </c>
      <c r="C258" s="2" t="s">
        <v>5148</v>
      </c>
      <c r="D258" t="s">
        <v>6152</v>
      </c>
      <c r="E258" s="2">
        <v>5</v>
      </c>
      <c r="F258" s="2" t="str">
        <f>_xlfn.XLOOKUP(C258,customers!$A$1:$A$1001,customers!$B$1:$B$1001,,0)</f>
        <v>Correy Bourner</v>
      </c>
      <c r="G258" s="2" t="str">
        <f>IF(_xlfn.XLOOKUP(C258,customers!$A$1:$A$1001,customers!$C$1:$C$1001,,0)=0,"",_xlfn.XLOOKUP(C258,customers!$A$1:$A$1001,customers!$C$1:$C$1001,,0))</f>
        <v>cbournermw@chronoengine.com</v>
      </c>
      <c r="H258" s="2" t="str">
        <f>_xlfn.XLOOKUP(C258,customers!$A$1:$A$1001,customers!$G$1:$G$1001,,0)</f>
        <v>United States</v>
      </c>
      <c r="I258" t="str">
        <f>INDEX(products!$A$1:$G$49, MATCH(orders!$D826,products!$A$1:$A873,0), MATCH(orders!I$1,products!$A$1:$G$1,0))</f>
        <v>Ara</v>
      </c>
      <c r="J258" t="str">
        <f>INDEX(products!$A$1:$G$49, MATCH(orders!$D826,products!$A$1:$A873,0), MATCH(orders!J$1,products!$A$1:$G$1,0))</f>
        <v>M</v>
      </c>
      <c r="K258" s="5">
        <f>INDEX(products!$A$1:$G$49, MATCH(orders!$D826,products!$A$1:$A873,0), MATCH(orders!K$1,products!$A$1:$G$1,0))</f>
        <v>0.2</v>
      </c>
      <c r="L258" s="6">
        <f>INDEX(products!$A$1:$G$49, MATCH(orders!$D826,products!$A$1:$A873,0), MATCH(orders!L$1,products!$A$1:$G$1,0))</f>
        <v>3.375</v>
      </c>
      <c r="M258" s="6">
        <f t="shared" ref="M258:M321" si="12">L258*E258</f>
        <v>16.875</v>
      </c>
      <c r="N258" t="str">
        <f t="shared" ref="N258:N321" si="13">IF(I258="Rob", "Robusta", IF(I258="Exc", "Excelsa", IF(I258="Ara","Arabica", IF(I258="Lib", "Liberica",""))))</f>
        <v>Arabica</v>
      </c>
      <c r="O258" t="str">
        <f t="shared" ref="O258:O321" si="14">IF(J258="M", "Medium", IF(J258="L", "Light", IF(J258="D", "Dark", "")))</f>
        <v>Medium</v>
      </c>
      <c r="P258" t="str">
        <f>_xlfn.XLOOKUP(Orders[[#This Row],[Customer ID]],customers!$A$1:$A$1001,customers!$I$1:$I$1001,,0)</f>
        <v>Yes</v>
      </c>
      <c r="Q258">
        <f>COUNTIF(Orders[Order ID],Orders[[#This Row],[Order ID]])</f>
        <v>1</v>
      </c>
      <c r="R258" s="10">
        <f>SUMIF(Orders[Order ID], Orders[[#This Row],[Order ID]],Orders[Sales])/Orders[[#This Row],[Order Frequency]]</f>
        <v>16.875</v>
      </c>
      <c r="S258" t="str">
        <f>IF(Orders[[#This Row],[Order Frequency]]&gt;4, "More than 4", IF(AND(Orders[[#This Row],[Order Frequency]]&lt;=4,Orders[[#This Row],[Order Frequency]]&gt;=2), "Between 4 and 2", "Less than 2"))</f>
        <v>Less than 2</v>
      </c>
      <c r="T258" t="str">
        <f>IF(Orders[[#This Row],[Frequency Group]]="less than 2", "Low Value", IF(Orders[[#This Row],[Frequency Group]]="between 4 and 2", "Medium Value", "High Value"))</f>
        <v>Low Value</v>
      </c>
      <c r="U258" t="str">
        <f>IF(Orders[[#This Row],[Sales]]&lt;50, "$0-50", IF(AND(Orders[[#This Row],[Sales]]&gt;=50,Orders[[#This Row],[Sales]]&lt;=100), "$50-100", IF(AND(Orders[[#This Row],[Sales]]&gt;100,Orders[[#This Row],[Sales]]&lt;=150), "$101-150", "$150+")))</f>
        <v>$0-50</v>
      </c>
      <c r="V258" t="str">
        <f>IF(Orders[[#This Row],[Sales]]&gt;MEDIAN(M:M), "High Price", "Low Price")</f>
        <v>Low Price</v>
      </c>
      <c r="W258" t="str">
        <f>IF(Orders[[#This Row],[Quantity]]&gt;MEDIAN(E:E), "High Volume", "Low Volume")</f>
        <v>High Volume</v>
      </c>
      <c r="X258" t="str">
        <f>Orders[[#This Row],[Sales Tier]] &amp; "-" &amp; Orders[[#This Row],[Quantity Tier]]</f>
        <v>Low Price-High Volume</v>
      </c>
      <c r="Y258" t="str">
        <f>TEXT(Orders[[#This Row],[Order Date]], "mmmm")</f>
        <v>November</v>
      </c>
      <c r="Z25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258" t="str">
        <f>Orders[[#This Row],[Coffee Type Name]] &amp; "-" &amp; Orders[[#This Row],[Roast Type Name]]</f>
        <v>Arabica-Medium</v>
      </c>
      <c r="AB25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259" spans="1:28" x14ac:dyDescent="0.25">
      <c r="A259" s="2" t="s">
        <v>2563</v>
      </c>
      <c r="B259" s="4">
        <v>44692</v>
      </c>
      <c r="C259" s="2" t="s">
        <v>2564</v>
      </c>
      <c r="D259" t="s">
        <v>6166</v>
      </c>
      <c r="E259" s="2">
        <v>2</v>
      </c>
      <c r="F259" s="2" t="str">
        <f>_xlfn.XLOOKUP(C259,customers!$A$1:$A$1001,customers!$B$1:$B$1001,,0)</f>
        <v>Leesa Flaonier</v>
      </c>
      <c r="G259" s="2" t="str">
        <f>IF(_xlfn.XLOOKUP(C259,customers!$A$1:$A$1001,customers!$C$1:$C$1001,,0)=0,"",_xlfn.XLOOKUP(C259,customers!$A$1:$A$1001,customers!$C$1:$C$1001,,0))</f>
        <v>lflaoniera8@wordpress.org</v>
      </c>
      <c r="H259" s="2" t="str">
        <f>_xlfn.XLOOKUP(C259,customers!$A$1:$A$1001,customers!$G$1:$G$1001,,0)</f>
        <v>United States</v>
      </c>
      <c r="I259" t="str">
        <f>INDEX(products!$A$1:$G$49, MATCH(orders!$D370,products!$A$1:$A417,0), MATCH(orders!I$1,products!$A$1:$G$1,0))</f>
        <v>Exc</v>
      </c>
      <c r="J259" t="str">
        <f>INDEX(products!$A$1:$G$49, MATCH(orders!$D370,products!$A$1:$A417,0), MATCH(orders!J$1,products!$A$1:$G$1,0))</f>
        <v>M</v>
      </c>
      <c r="K259" s="5">
        <f>INDEX(products!$A$1:$G$49, MATCH(orders!$D370,products!$A$1:$A417,0), MATCH(orders!K$1,products!$A$1:$G$1,0))</f>
        <v>2.5</v>
      </c>
      <c r="L259" s="6">
        <f>INDEX(products!$A$1:$G$49, MATCH(orders!$D370,products!$A$1:$A417,0), MATCH(orders!L$1,products!$A$1:$G$1,0))</f>
        <v>31.624999999999996</v>
      </c>
      <c r="M259" s="6">
        <f t="shared" si="12"/>
        <v>63.249999999999993</v>
      </c>
      <c r="N259" t="str">
        <f t="shared" si="13"/>
        <v>Excelsa</v>
      </c>
      <c r="O259" t="str">
        <f t="shared" si="14"/>
        <v>Medium</v>
      </c>
      <c r="P259" t="str">
        <f>_xlfn.XLOOKUP(Orders[[#This Row],[Customer ID]],customers!$A$1:$A$1001,customers!$I$1:$I$1001,,0)</f>
        <v>No</v>
      </c>
      <c r="Q259">
        <f>COUNTIF(Orders[Order ID],Orders[[#This Row],[Order ID]])</f>
        <v>1</v>
      </c>
      <c r="R259" s="10">
        <f>SUMIF(Orders[Order ID], Orders[[#This Row],[Order ID]],Orders[Sales])/Orders[[#This Row],[Order Frequency]]</f>
        <v>63.249999999999993</v>
      </c>
      <c r="S259" t="str">
        <f>IF(Orders[[#This Row],[Order Frequency]]&gt;4, "More than 4", IF(AND(Orders[[#This Row],[Order Frequency]]&lt;=4,Orders[[#This Row],[Order Frequency]]&gt;=2), "Between 4 and 2", "Less than 2"))</f>
        <v>Less than 2</v>
      </c>
      <c r="T259" t="str">
        <f>IF(Orders[[#This Row],[Frequency Group]]="less than 2", "Low Value", IF(Orders[[#This Row],[Frequency Group]]="between 4 and 2", "Medium Value", "High Value"))</f>
        <v>Low Value</v>
      </c>
      <c r="U259" t="str">
        <f>IF(Orders[[#This Row],[Sales]]&lt;50, "$0-50", IF(AND(Orders[[#This Row],[Sales]]&gt;=50,Orders[[#This Row],[Sales]]&lt;=100), "$50-100", IF(AND(Orders[[#This Row],[Sales]]&gt;100,Orders[[#This Row],[Sales]]&lt;=150), "$101-150", "$150+")))</f>
        <v>$50-100</v>
      </c>
      <c r="V259" t="str">
        <f>IF(Orders[[#This Row],[Sales]]&gt;MEDIAN(M:M), "High Price", "Low Price")</f>
        <v>High Price</v>
      </c>
      <c r="W259" t="str">
        <f>IF(Orders[[#This Row],[Quantity]]&gt;MEDIAN(E:E), "High Volume", "Low Volume")</f>
        <v>Low Volume</v>
      </c>
      <c r="X259" t="str">
        <f>Orders[[#This Row],[Sales Tier]] &amp; "-" &amp; Orders[[#This Row],[Quantity Tier]]</f>
        <v>High Price-Low Volume</v>
      </c>
      <c r="Y259" t="str">
        <f>TEXT(Orders[[#This Row],[Order Date]], "mmmm")</f>
        <v>May</v>
      </c>
      <c r="Z25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59" t="str">
        <f>Orders[[#This Row],[Coffee Type Name]] &amp; "-" &amp; Orders[[#This Row],[Roast Type Name]]</f>
        <v>Excelsa-Medium</v>
      </c>
      <c r="AB25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260" spans="1:28" x14ac:dyDescent="0.25">
      <c r="A260" s="2" t="s">
        <v>726</v>
      </c>
      <c r="B260" s="4">
        <v>43607</v>
      </c>
      <c r="C260" s="2" t="s">
        <v>727</v>
      </c>
      <c r="D260" t="s">
        <v>6163</v>
      </c>
      <c r="E260" s="2">
        <v>3</v>
      </c>
      <c r="F260" s="2" t="str">
        <f>_xlfn.XLOOKUP(C260,customers!$A$1:$A$1001,customers!$B$1:$B$1001,,0)</f>
        <v>Abigail Tolworthy</v>
      </c>
      <c r="G260" s="2" t="str">
        <f>IF(_xlfn.XLOOKUP(C260,customers!$A$1:$A$1001,customers!$C$1:$C$1001,,0)=0,"",_xlfn.XLOOKUP(C260,customers!$A$1:$A$1001,customers!$C$1:$C$1001,,0))</f>
        <v>atolworthy16@toplist.cz</v>
      </c>
      <c r="H260" s="2" t="str">
        <f>_xlfn.XLOOKUP(C260,customers!$A$1:$A$1001,customers!$G$1:$G$1001,,0)</f>
        <v>United States</v>
      </c>
      <c r="I260" t="str">
        <f>INDEX(products!$A$1:$G$49, MATCH(orders!$D44,products!$A$1:$A91,0), MATCH(orders!I$1,products!$A$1:$G$1,0))</f>
        <v>Rob</v>
      </c>
      <c r="J260" t="str">
        <f>INDEX(products!$A$1:$G$49, MATCH(orders!$D44,products!$A$1:$A91,0), MATCH(orders!J$1,products!$A$1:$G$1,0))</f>
        <v>D</v>
      </c>
      <c r="K260" s="5">
        <f>INDEX(products!$A$1:$G$49, MATCH(orders!$D44,products!$A$1:$A91,0), MATCH(orders!K$1,products!$A$1:$G$1,0))</f>
        <v>0.2</v>
      </c>
      <c r="L260" s="6">
        <f>INDEX(products!$A$1:$G$49, MATCH(orders!$D44,products!$A$1:$A91,0), MATCH(orders!L$1,products!$A$1:$G$1,0))</f>
        <v>2.6849999999999996</v>
      </c>
      <c r="M260" s="6">
        <f t="shared" si="12"/>
        <v>8.0549999999999997</v>
      </c>
      <c r="N260" t="str">
        <f t="shared" si="13"/>
        <v>Robusta</v>
      </c>
      <c r="O260" t="str">
        <f t="shared" si="14"/>
        <v>Dark</v>
      </c>
      <c r="P260" t="str">
        <f>_xlfn.XLOOKUP(Orders[[#This Row],[Customer ID]],customers!$A$1:$A$1001,customers!$I$1:$I$1001,,0)</f>
        <v>Yes</v>
      </c>
      <c r="Q260">
        <f>COUNTIF(Orders[Order ID],Orders[[#This Row],[Order ID]])</f>
        <v>1</v>
      </c>
      <c r="R260" s="10">
        <f>SUMIF(Orders[Order ID], Orders[[#This Row],[Order ID]],Orders[Sales])/Orders[[#This Row],[Order Frequency]]</f>
        <v>8.0549999999999997</v>
      </c>
      <c r="S260" t="str">
        <f>IF(Orders[[#This Row],[Order Frequency]]&gt;4, "More than 4", IF(AND(Orders[[#This Row],[Order Frequency]]&lt;=4,Orders[[#This Row],[Order Frequency]]&gt;=2), "Between 4 and 2", "Less than 2"))</f>
        <v>Less than 2</v>
      </c>
      <c r="T260" t="str">
        <f>IF(Orders[[#This Row],[Frequency Group]]="less than 2", "Low Value", IF(Orders[[#This Row],[Frequency Group]]="between 4 and 2", "Medium Value", "High Value"))</f>
        <v>Low Value</v>
      </c>
      <c r="U260" t="str">
        <f>IF(Orders[[#This Row],[Sales]]&lt;50, "$0-50", IF(AND(Orders[[#This Row],[Sales]]&gt;=50,Orders[[#This Row],[Sales]]&lt;=100), "$50-100", IF(AND(Orders[[#This Row],[Sales]]&gt;100,Orders[[#This Row],[Sales]]&lt;=150), "$101-150", "$150+")))</f>
        <v>$0-50</v>
      </c>
      <c r="V260" t="str">
        <f>IF(Orders[[#This Row],[Sales]]&gt;MEDIAN(M:M), "High Price", "Low Price")</f>
        <v>Low Price</v>
      </c>
      <c r="W260" t="str">
        <f>IF(Orders[[#This Row],[Quantity]]&gt;MEDIAN(E:E), "High Volume", "Low Volume")</f>
        <v>Low Volume</v>
      </c>
      <c r="X260" t="str">
        <f>Orders[[#This Row],[Sales Tier]] &amp; "-" &amp; Orders[[#This Row],[Quantity Tier]]</f>
        <v>Low Price-Low Volume</v>
      </c>
      <c r="Y260" t="str">
        <f>TEXT(Orders[[#This Row],[Order Date]], "mmmm")</f>
        <v>May</v>
      </c>
      <c r="Z26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60" t="str">
        <f>Orders[[#This Row],[Coffee Type Name]] &amp; "-" &amp; Orders[[#This Row],[Roast Type Name]]</f>
        <v>Robusta-Dark</v>
      </c>
      <c r="AB26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261" spans="1:28" x14ac:dyDescent="0.25">
      <c r="A261" s="2" t="s">
        <v>5949</v>
      </c>
      <c r="B261" s="4">
        <v>43491</v>
      </c>
      <c r="C261" s="2" t="s">
        <v>5950</v>
      </c>
      <c r="D261" t="s">
        <v>6176</v>
      </c>
      <c r="E261" s="2">
        <v>6</v>
      </c>
      <c r="F261" s="2" t="str">
        <f>_xlfn.XLOOKUP(C261,customers!$A$1:$A$1001,customers!$B$1:$B$1001,,0)</f>
        <v>Bearnard Wardell</v>
      </c>
      <c r="G261" s="2" t="str">
        <f>IF(_xlfn.XLOOKUP(C261,customers!$A$1:$A$1001,customers!$C$1:$C$1001,,0)=0,"",_xlfn.XLOOKUP(C261,customers!$A$1:$A$1001,customers!$C$1:$C$1001,,0))</f>
        <v>bwardellqu@adobe.com</v>
      </c>
      <c r="H261" s="2" t="str">
        <f>_xlfn.XLOOKUP(C261,customers!$A$1:$A$1001,customers!$G$1:$G$1001,,0)</f>
        <v>United States</v>
      </c>
      <c r="I261" t="str">
        <f>INDEX(products!$A$1:$G$49, MATCH(orders!$D968,products!$A$1:$A1015,0), MATCH(orders!I$1,products!$A$1:$G$1,0))</f>
        <v>Exc</v>
      </c>
      <c r="J261" t="str">
        <f>INDEX(products!$A$1:$G$49, MATCH(orders!$D968,products!$A$1:$A1015,0), MATCH(orders!J$1,products!$A$1:$G$1,0))</f>
        <v>L</v>
      </c>
      <c r="K261" s="5">
        <f>INDEX(products!$A$1:$G$49, MATCH(orders!$D968,products!$A$1:$A1015,0), MATCH(orders!K$1,products!$A$1:$G$1,0))</f>
        <v>0.5</v>
      </c>
      <c r="L261" s="6">
        <f>INDEX(products!$A$1:$G$49, MATCH(orders!$D968,products!$A$1:$A1015,0), MATCH(orders!L$1,products!$A$1:$G$1,0))</f>
        <v>8.91</v>
      </c>
      <c r="M261" s="6">
        <f t="shared" si="12"/>
        <v>53.46</v>
      </c>
      <c r="N261" t="str">
        <f t="shared" si="13"/>
        <v>Excelsa</v>
      </c>
      <c r="O261" t="str">
        <f t="shared" si="14"/>
        <v>Light</v>
      </c>
      <c r="P261" t="str">
        <f>_xlfn.XLOOKUP(Orders[[#This Row],[Customer ID]],customers!$A$1:$A$1001,customers!$I$1:$I$1001,,0)</f>
        <v>Yes</v>
      </c>
      <c r="Q261">
        <f>COUNTIF(Orders[Order ID],Orders[[#This Row],[Order ID]])</f>
        <v>1</v>
      </c>
      <c r="R261" s="10">
        <f>SUMIF(Orders[Order ID], Orders[[#This Row],[Order ID]],Orders[Sales])/Orders[[#This Row],[Order Frequency]]</f>
        <v>53.46</v>
      </c>
      <c r="S261" t="str">
        <f>IF(Orders[[#This Row],[Order Frequency]]&gt;4, "More than 4", IF(AND(Orders[[#This Row],[Order Frequency]]&lt;=4,Orders[[#This Row],[Order Frequency]]&gt;=2), "Between 4 and 2", "Less than 2"))</f>
        <v>Less than 2</v>
      </c>
      <c r="T261" t="str">
        <f>IF(Orders[[#This Row],[Frequency Group]]="less than 2", "Low Value", IF(Orders[[#This Row],[Frequency Group]]="between 4 and 2", "Medium Value", "High Value"))</f>
        <v>Low Value</v>
      </c>
      <c r="U261" t="str">
        <f>IF(Orders[[#This Row],[Sales]]&lt;50, "$0-50", IF(AND(Orders[[#This Row],[Sales]]&gt;=50,Orders[[#This Row],[Sales]]&lt;=100), "$50-100", IF(AND(Orders[[#This Row],[Sales]]&gt;100,Orders[[#This Row],[Sales]]&lt;=150), "$101-150", "$150+")))</f>
        <v>$50-100</v>
      </c>
      <c r="V261" t="str">
        <f>IF(Orders[[#This Row],[Sales]]&gt;MEDIAN(M:M), "High Price", "Low Price")</f>
        <v>High Price</v>
      </c>
      <c r="W261" t="str">
        <f>IF(Orders[[#This Row],[Quantity]]&gt;MEDIAN(E:E), "High Volume", "Low Volume")</f>
        <v>High Volume</v>
      </c>
      <c r="X261" t="str">
        <f>Orders[[#This Row],[Sales Tier]] &amp; "-" &amp; Orders[[#This Row],[Quantity Tier]]</f>
        <v>High Price-High Volume</v>
      </c>
      <c r="Y261" t="str">
        <f>TEXT(Orders[[#This Row],[Order Date]], "mmmm")</f>
        <v>January</v>
      </c>
      <c r="Z26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261" t="str">
        <f>Orders[[#This Row],[Coffee Type Name]] &amp; "-" &amp; Orders[[#This Row],[Roast Type Name]]</f>
        <v>Excelsa-Light</v>
      </c>
      <c r="AB26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262" spans="1:28" x14ac:dyDescent="0.25">
      <c r="A262" s="2" t="s">
        <v>5477</v>
      </c>
      <c r="B262" s="4">
        <v>43647</v>
      </c>
      <c r="C262" s="2" t="s">
        <v>5526</v>
      </c>
      <c r="D262" t="s">
        <v>6168</v>
      </c>
      <c r="E262" s="2">
        <v>5</v>
      </c>
      <c r="F262" s="2" t="str">
        <f>_xlfn.XLOOKUP(C262,customers!$A$1:$A$1001,customers!$B$1:$B$1001,,0)</f>
        <v>Kippie Marrison</v>
      </c>
      <c r="G262" s="2" t="str">
        <f>IF(_xlfn.XLOOKUP(C262,customers!$A$1:$A$1001,customers!$C$1:$C$1001,,0)=0,"",_xlfn.XLOOKUP(C262,customers!$A$1:$A$1001,customers!$C$1:$C$1001,,0))</f>
        <v>kmarrisonoq@dropbox.com</v>
      </c>
      <c r="H262" s="2" t="str">
        <f>_xlfn.XLOOKUP(C262,customers!$A$1:$A$1001,customers!$G$1:$G$1001,,0)</f>
        <v>United States</v>
      </c>
      <c r="I262" t="str">
        <f>INDEX(products!$A$1:$G$49, MATCH(orders!$D884,products!$A$1:$A931,0), MATCH(orders!I$1,products!$A$1:$G$1,0))</f>
        <v>Ara</v>
      </c>
      <c r="J262" t="str">
        <f>INDEX(products!$A$1:$G$49, MATCH(orders!$D884,products!$A$1:$A931,0), MATCH(orders!J$1,products!$A$1:$G$1,0))</f>
        <v>D</v>
      </c>
      <c r="K262" s="5">
        <f>INDEX(products!$A$1:$G$49, MATCH(orders!$D884,products!$A$1:$A931,0), MATCH(orders!K$1,products!$A$1:$G$1,0))</f>
        <v>2.5</v>
      </c>
      <c r="L262" s="6">
        <f>INDEX(products!$A$1:$G$49, MATCH(orders!$D884,products!$A$1:$A931,0), MATCH(orders!L$1,products!$A$1:$G$1,0))</f>
        <v>22.884999999999998</v>
      </c>
      <c r="M262" s="6">
        <f t="shared" si="12"/>
        <v>114.42499999999998</v>
      </c>
      <c r="N262" t="str">
        <f t="shared" si="13"/>
        <v>Arabica</v>
      </c>
      <c r="O262" t="str">
        <f t="shared" si="14"/>
        <v>Dark</v>
      </c>
      <c r="P262" t="str">
        <f>_xlfn.XLOOKUP(Orders[[#This Row],[Customer ID]],customers!$A$1:$A$1001,customers!$I$1:$I$1001,,0)</f>
        <v>Yes</v>
      </c>
      <c r="Q262">
        <f>COUNTIF(Orders[Order ID],Orders[[#This Row],[Order ID]])</f>
        <v>1</v>
      </c>
      <c r="R262" s="10">
        <f>SUMIF(Orders[Order ID], Orders[[#This Row],[Order ID]],Orders[Sales])/Orders[[#This Row],[Order Frequency]]</f>
        <v>114.42499999999998</v>
      </c>
      <c r="S262" t="str">
        <f>IF(Orders[[#This Row],[Order Frequency]]&gt;4, "More than 4", IF(AND(Orders[[#This Row],[Order Frequency]]&lt;=4,Orders[[#This Row],[Order Frequency]]&gt;=2), "Between 4 and 2", "Less than 2"))</f>
        <v>Less than 2</v>
      </c>
      <c r="T262" t="str">
        <f>IF(Orders[[#This Row],[Frequency Group]]="less than 2", "Low Value", IF(Orders[[#This Row],[Frequency Group]]="between 4 and 2", "Medium Value", "High Value"))</f>
        <v>Low Value</v>
      </c>
      <c r="U262" t="str">
        <f>IF(Orders[[#This Row],[Sales]]&lt;50, "$0-50", IF(AND(Orders[[#This Row],[Sales]]&gt;=50,Orders[[#This Row],[Sales]]&lt;=100), "$50-100", IF(AND(Orders[[#This Row],[Sales]]&gt;100,Orders[[#This Row],[Sales]]&lt;=150), "$101-150", "$150+")))</f>
        <v>$101-150</v>
      </c>
      <c r="V262" t="str">
        <f>IF(Orders[[#This Row],[Sales]]&gt;MEDIAN(M:M), "High Price", "Low Price")</f>
        <v>High Price</v>
      </c>
      <c r="W262" t="str">
        <f>IF(Orders[[#This Row],[Quantity]]&gt;MEDIAN(E:E), "High Volume", "Low Volume")</f>
        <v>High Volume</v>
      </c>
      <c r="X262" t="str">
        <f>Orders[[#This Row],[Sales Tier]] &amp; "-" &amp; Orders[[#This Row],[Quantity Tier]]</f>
        <v>High Price-High Volume</v>
      </c>
      <c r="Y262" t="str">
        <f>TEXT(Orders[[#This Row],[Order Date]], "mmmm")</f>
        <v>July</v>
      </c>
      <c r="Z26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262" t="str">
        <f>Orders[[#This Row],[Coffee Type Name]] &amp; "-" &amp; Orders[[#This Row],[Roast Type Name]]</f>
        <v>Arabica-Dark</v>
      </c>
      <c r="AB26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263" spans="1:28" x14ac:dyDescent="0.25">
      <c r="A263" s="2" t="s">
        <v>6047</v>
      </c>
      <c r="B263" s="4">
        <v>43831</v>
      </c>
      <c r="C263" s="2" t="s">
        <v>6048</v>
      </c>
      <c r="D263" t="s">
        <v>6152</v>
      </c>
      <c r="E263" s="2">
        <v>2</v>
      </c>
      <c r="F263" s="2" t="str">
        <f>_xlfn.XLOOKUP(C263,customers!$A$1:$A$1001,customers!$B$1:$B$1001,,0)</f>
        <v>Fanchette Parlot</v>
      </c>
      <c r="G263" s="2" t="str">
        <f>IF(_xlfn.XLOOKUP(C263,customers!$A$1:$A$1001,customers!$C$1:$C$1001,,0)=0,"",_xlfn.XLOOKUP(C263,customers!$A$1:$A$1001,customers!$C$1:$C$1001,,0))</f>
        <v>fparlotrb@forbes.com</v>
      </c>
      <c r="H263" s="2" t="str">
        <f>_xlfn.XLOOKUP(C263,customers!$A$1:$A$1001,customers!$G$1:$G$1001,,0)</f>
        <v>United States</v>
      </c>
      <c r="I263" t="str">
        <f>INDEX(products!$A$1:$G$49, MATCH(orders!$D985,products!$A$1:$A1032,0), MATCH(orders!I$1,products!$A$1:$G$1,0))</f>
        <v>Ara</v>
      </c>
      <c r="J263" t="str">
        <f>INDEX(products!$A$1:$G$49, MATCH(orders!$D985,products!$A$1:$A1032,0), MATCH(orders!J$1,products!$A$1:$G$1,0))</f>
        <v>M</v>
      </c>
      <c r="K263" s="5">
        <f>INDEX(products!$A$1:$G$49, MATCH(orders!$D985,products!$A$1:$A1032,0), MATCH(orders!K$1,products!$A$1:$G$1,0))</f>
        <v>0.2</v>
      </c>
      <c r="L263" s="6">
        <f>INDEX(products!$A$1:$G$49, MATCH(orders!$D985,products!$A$1:$A1032,0), MATCH(orders!L$1,products!$A$1:$G$1,0))</f>
        <v>3.375</v>
      </c>
      <c r="M263" s="6">
        <f t="shared" si="12"/>
        <v>6.75</v>
      </c>
      <c r="N263" t="str">
        <f t="shared" si="13"/>
        <v>Arabica</v>
      </c>
      <c r="O263" t="str">
        <f t="shared" si="14"/>
        <v>Medium</v>
      </c>
      <c r="P263" t="str">
        <f>_xlfn.XLOOKUP(Orders[[#This Row],[Customer ID]],customers!$A$1:$A$1001,customers!$I$1:$I$1001,,0)</f>
        <v>Yes</v>
      </c>
      <c r="Q263">
        <f>COUNTIF(Orders[Order ID],Orders[[#This Row],[Order ID]])</f>
        <v>1</v>
      </c>
      <c r="R263" s="10">
        <f>SUMIF(Orders[Order ID], Orders[[#This Row],[Order ID]],Orders[Sales])/Orders[[#This Row],[Order Frequency]]</f>
        <v>6.75</v>
      </c>
      <c r="S263" t="str">
        <f>IF(Orders[[#This Row],[Order Frequency]]&gt;4, "More than 4", IF(AND(Orders[[#This Row],[Order Frequency]]&lt;=4,Orders[[#This Row],[Order Frequency]]&gt;=2), "Between 4 and 2", "Less than 2"))</f>
        <v>Less than 2</v>
      </c>
      <c r="T263" t="str">
        <f>IF(Orders[[#This Row],[Frequency Group]]="less than 2", "Low Value", IF(Orders[[#This Row],[Frequency Group]]="between 4 and 2", "Medium Value", "High Value"))</f>
        <v>Low Value</v>
      </c>
      <c r="U263" t="str">
        <f>IF(Orders[[#This Row],[Sales]]&lt;50, "$0-50", IF(AND(Orders[[#This Row],[Sales]]&gt;=50,Orders[[#This Row],[Sales]]&lt;=100), "$50-100", IF(AND(Orders[[#This Row],[Sales]]&gt;100,Orders[[#This Row],[Sales]]&lt;=150), "$101-150", "$150+")))</f>
        <v>$0-50</v>
      </c>
      <c r="V263" t="str">
        <f>IF(Orders[[#This Row],[Sales]]&gt;MEDIAN(M:M), "High Price", "Low Price")</f>
        <v>Low Price</v>
      </c>
      <c r="W263" t="str">
        <f>IF(Orders[[#This Row],[Quantity]]&gt;MEDIAN(E:E), "High Volume", "Low Volume")</f>
        <v>Low Volume</v>
      </c>
      <c r="X263" t="str">
        <f>Orders[[#This Row],[Sales Tier]] &amp; "-" &amp; Orders[[#This Row],[Quantity Tier]]</f>
        <v>Low Price-Low Volume</v>
      </c>
      <c r="Y263" t="str">
        <f>TEXT(Orders[[#This Row],[Order Date]], "mmmm")</f>
        <v>January</v>
      </c>
      <c r="Z26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263" t="str">
        <f>Orders[[#This Row],[Coffee Type Name]] &amp; "-" &amp; Orders[[#This Row],[Roast Type Name]]</f>
        <v>Arabica-Medium</v>
      </c>
      <c r="AB26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264" spans="1:28" x14ac:dyDescent="0.25">
      <c r="A264" s="2" t="s">
        <v>3784</v>
      </c>
      <c r="B264" s="4">
        <v>43538</v>
      </c>
      <c r="C264" s="2" t="s">
        <v>3785</v>
      </c>
      <c r="D264" t="s">
        <v>6178</v>
      </c>
      <c r="E264" s="2">
        <v>1</v>
      </c>
      <c r="F264" s="2" t="str">
        <f>_xlfn.XLOOKUP(C264,customers!$A$1:$A$1001,customers!$B$1:$B$1001,,0)</f>
        <v>Sidney Gawen</v>
      </c>
      <c r="G264" s="2" t="str">
        <f>IF(_xlfn.XLOOKUP(C264,customers!$A$1:$A$1001,customers!$C$1:$C$1001,,0)=0,"",_xlfn.XLOOKUP(C264,customers!$A$1:$A$1001,customers!$C$1:$C$1001,,0))</f>
        <v>sgaweng7@creativecommons.org</v>
      </c>
      <c r="H264" s="2" t="str">
        <f>_xlfn.XLOOKUP(C264,customers!$A$1:$A$1001,customers!$G$1:$G$1001,,0)</f>
        <v>United States</v>
      </c>
      <c r="I264" t="str">
        <f>INDEX(products!$A$1:$G$49, MATCH(orders!$D585,products!$A$1:$A632,0), MATCH(orders!I$1,products!$A$1:$G$1,0))</f>
        <v>Rob</v>
      </c>
      <c r="J264" t="str">
        <f>INDEX(products!$A$1:$G$49, MATCH(orders!$D585,products!$A$1:$A632,0), MATCH(orders!J$1,products!$A$1:$G$1,0))</f>
        <v>L</v>
      </c>
      <c r="K264" s="5">
        <f>INDEX(products!$A$1:$G$49, MATCH(orders!$D585,products!$A$1:$A632,0), MATCH(orders!K$1,products!$A$1:$G$1,0))</f>
        <v>0.2</v>
      </c>
      <c r="L264" s="6">
        <f>INDEX(products!$A$1:$G$49, MATCH(orders!$D585,products!$A$1:$A632,0), MATCH(orders!L$1,products!$A$1:$G$1,0))</f>
        <v>3.5849999999999995</v>
      </c>
      <c r="M264" s="6">
        <f t="shared" si="12"/>
        <v>3.5849999999999995</v>
      </c>
      <c r="N264" t="str">
        <f t="shared" si="13"/>
        <v>Robusta</v>
      </c>
      <c r="O264" t="str">
        <f t="shared" si="14"/>
        <v>Light</v>
      </c>
      <c r="P264" t="str">
        <f>_xlfn.XLOOKUP(Orders[[#This Row],[Customer ID]],customers!$A$1:$A$1001,customers!$I$1:$I$1001,,0)</f>
        <v>Yes</v>
      </c>
      <c r="Q264">
        <f>COUNTIF(Orders[Order ID],Orders[[#This Row],[Order ID]])</f>
        <v>1</v>
      </c>
      <c r="R264" s="10">
        <f>SUMIF(Orders[Order ID], Orders[[#This Row],[Order ID]],Orders[Sales])/Orders[[#This Row],[Order Frequency]]</f>
        <v>3.5849999999999995</v>
      </c>
      <c r="S264" t="str">
        <f>IF(Orders[[#This Row],[Order Frequency]]&gt;4, "More than 4", IF(AND(Orders[[#This Row],[Order Frequency]]&lt;=4,Orders[[#This Row],[Order Frequency]]&gt;=2), "Between 4 and 2", "Less than 2"))</f>
        <v>Less than 2</v>
      </c>
      <c r="T264" t="str">
        <f>IF(Orders[[#This Row],[Frequency Group]]="less than 2", "Low Value", IF(Orders[[#This Row],[Frequency Group]]="between 4 and 2", "Medium Value", "High Value"))</f>
        <v>Low Value</v>
      </c>
      <c r="U264" t="str">
        <f>IF(Orders[[#This Row],[Sales]]&lt;50, "$0-50", IF(AND(Orders[[#This Row],[Sales]]&gt;=50,Orders[[#This Row],[Sales]]&lt;=100), "$50-100", IF(AND(Orders[[#This Row],[Sales]]&gt;100,Orders[[#This Row],[Sales]]&lt;=150), "$101-150", "$150+")))</f>
        <v>$0-50</v>
      </c>
      <c r="V264" t="str">
        <f>IF(Orders[[#This Row],[Sales]]&gt;MEDIAN(M:M), "High Price", "Low Price")</f>
        <v>Low Price</v>
      </c>
      <c r="W264" t="str">
        <f>IF(Orders[[#This Row],[Quantity]]&gt;MEDIAN(E:E), "High Volume", "Low Volume")</f>
        <v>Low Volume</v>
      </c>
      <c r="X264" t="str">
        <f>Orders[[#This Row],[Sales Tier]] &amp; "-" &amp; Orders[[#This Row],[Quantity Tier]]</f>
        <v>Low Price-Low Volume</v>
      </c>
      <c r="Y264" t="str">
        <f>TEXT(Orders[[#This Row],[Order Date]], "mmmm")</f>
        <v>March</v>
      </c>
      <c r="Z26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264" t="str">
        <f>Orders[[#This Row],[Coffee Type Name]] &amp; "-" &amp; Orders[[#This Row],[Roast Type Name]]</f>
        <v>Robusta-Light</v>
      </c>
      <c r="AB26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265" spans="1:28" x14ac:dyDescent="0.25">
      <c r="A265" s="2" t="s">
        <v>5855</v>
      </c>
      <c r="B265" s="4">
        <v>44449</v>
      </c>
      <c r="C265" s="2" t="s">
        <v>5856</v>
      </c>
      <c r="D265" t="s">
        <v>6142</v>
      </c>
      <c r="E265" s="2">
        <v>4</v>
      </c>
      <c r="F265" s="2" t="str">
        <f>_xlfn.XLOOKUP(C265,customers!$A$1:$A$1001,customers!$B$1:$B$1001,,0)</f>
        <v>Gwenni Ratt</v>
      </c>
      <c r="G265" s="2" t="str">
        <f>IF(_xlfn.XLOOKUP(C265,customers!$A$1:$A$1001,customers!$C$1:$C$1001,,0)=0,"",_xlfn.XLOOKUP(C265,customers!$A$1:$A$1001,customers!$C$1:$C$1001,,0))</f>
        <v>grattqd@phpbb.com</v>
      </c>
      <c r="H265" s="2" t="str">
        <f>_xlfn.XLOOKUP(C265,customers!$A$1:$A$1001,customers!$G$1:$G$1001,,0)</f>
        <v>Ireland</v>
      </c>
      <c r="I265" t="str">
        <f>INDEX(products!$A$1:$G$49, MATCH(orders!$D951,products!$A$1:$A998,0), MATCH(orders!I$1,products!$A$1:$G$1,0))</f>
        <v>Rob</v>
      </c>
      <c r="J265" t="str">
        <f>INDEX(products!$A$1:$G$49, MATCH(orders!$D951,products!$A$1:$A998,0), MATCH(orders!J$1,products!$A$1:$G$1,0))</f>
        <v>L</v>
      </c>
      <c r="K265" s="5">
        <f>INDEX(products!$A$1:$G$49, MATCH(orders!$D951,products!$A$1:$A998,0), MATCH(orders!K$1,products!$A$1:$G$1,0))</f>
        <v>2.5</v>
      </c>
      <c r="L265" s="6">
        <f>INDEX(products!$A$1:$G$49, MATCH(orders!$D951,products!$A$1:$A998,0), MATCH(orders!L$1,products!$A$1:$G$1,0))</f>
        <v>27.484999999999996</v>
      </c>
      <c r="M265" s="6">
        <f t="shared" si="12"/>
        <v>109.93999999999998</v>
      </c>
      <c r="N265" t="str">
        <f t="shared" si="13"/>
        <v>Robusta</v>
      </c>
      <c r="O265" t="str">
        <f t="shared" si="14"/>
        <v>Light</v>
      </c>
      <c r="P265" t="str">
        <f>_xlfn.XLOOKUP(Orders[[#This Row],[Customer ID]],customers!$A$1:$A$1001,customers!$I$1:$I$1001,,0)</f>
        <v>No</v>
      </c>
      <c r="Q265">
        <f>COUNTIF(Orders[Order ID],Orders[[#This Row],[Order ID]])</f>
        <v>1</v>
      </c>
      <c r="R265" s="10">
        <f>SUMIF(Orders[Order ID], Orders[[#This Row],[Order ID]],Orders[Sales])/Orders[[#This Row],[Order Frequency]]</f>
        <v>109.93999999999998</v>
      </c>
      <c r="S265" t="str">
        <f>IF(Orders[[#This Row],[Order Frequency]]&gt;4, "More than 4", IF(AND(Orders[[#This Row],[Order Frequency]]&lt;=4,Orders[[#This Row],[Order Frequency]]&gt;=2), "Between 4 and 2", "Less than 2"))</f>
        <v>Less than 2</v>
      </c>
      <c r="T265" t="str">
        <f>IF(Orders[[#This Row],[Frequency Group]]="less than 2", "Low Value", IF(Orders[[#This Row],[Frequency Group]]="between 4 and 2", "Medium Value", "High Value"))</f>
        <v>Low Value</v>
      </c>
      <c r="U265" t="str">
        <f>IF(Orders[[#This Row],[Sales]]&lt;50, "$0-50", IF(AND(Orders[[#This Row],[Sales]]&gt;=50,Orders[[#This Row],[Sales]]&lt;=100), "$50-100", IF(AND(Orders[[#This Row],[Sales]]&gt;100,Orders[[#This Row],[Sales]]&lt;=150), "$101-150", "$150+")))</f>
        <v>$101-150</v>
      </c>
      <c r="V265" t="str">
        <f>IF(Orders[[#This Row],[Sales]]&gt;MEDIAN(M:M), "High Price", "Low Price")</f>
        <v>High Price</v>
      </c>
      <c r="W265" t="str">
        <f>IF(Orders[[#This Row],[Quantity]]&gt;MEDIAN(E:E), "High Volume", "Low Volume")</f>
        <v>Low Volume</v>
      </c>
      <c r="X265" t="str">
        <f>Orders[[#This Row],[Sales Tier]] &amp; "-" &amp; Orders[[#This Row],[Quantity Tier]]</f>
        <v>High Price-Low Volume</v>
      </c>
      <c r="Y265" t="str">
        <f>TEXT(Orders[[#This Row],[Order Date]], "mmmm")</f>
        <v>September</v>
      </c>
      <c r="Z26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265" t="str">
        <f>Orders[[#This Row],[Coffee Type Name]] &amp; "-" &amp; Orders[[#This Row],[Roast Type Name]]</f>
        <v>Robusta-Light</v>
      </c>
      <c r="AB26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266" spans="1:28" x14ac:dyDescent="0.25">
      <c r="A266" s="2" t="s">
        <v>1969</v>
      </c>
      <c r="B266" s="4">
        <v>43693</v>
      </c>
      <c r="C266" s="2" t="s">
        <v>1970</v>
      </c>
      <c r="D266" t="s">
        <v>6141</v>
      </c>
      <c r="E266" s="2">
        <v>3</v>
      </c>
      <c r="F266" s="2" t="str">
        <f>_xlfn.XLOOKUP(C266,customers!$A$1:$A$1001,customers!$B$1:$B$1001,,0)</f>
        <v>Javier Kopke</v>
      </c>
      <c r="G266" s="2" t="str">
        <f>IF(_xlfn.XLOOKUP(C266,customers!$A$1:$A$1001,customers!$C$1:$C$1001,,0)=0,"",_xlfn.XLOOKUP(C266,customers!$A$1:$A$1001,customers!$C$1:$C$1001,,0))</f>
        <v>jkopke7a@auda.org.au</v>
      </c>
      <c r="H266" s="2" t="str">
        <f>_xlfn.XLOOKUP(C266,customers!$A$1:$A$1001,customers!$G$1:$G$1001,,0)</f>
        <v>United States</v>
      </c>
      <c r="I266" t="str">
        <f>INDEX(products!$A$1:$G$49, MATCH(orders!$D264,products!$A$1:$A311,0), MATCH(orders!I$1,products!$A$1:$G$1,0))</f>
        <v>Exc</v>
      </c>
      <c r="J266" t="str">
        <f>INDEX(products!$A$1:$G$49, MATCH(orders!$D264,products!$A$1:$A311,0), MATCH(orders!J$1,products!$A$1:$G$1,0))</f>
        <v>M</v>
      </c>
      <c r="K266" s="5">
        <f>INDEX(products!$A$1:$G$49, MATCH(orders!$D264,products!$A$1:$A311,0), MATCH(orders!K$1,products!$A$1:$G$1,0))</f>
        <v>1</v>
      </c>
      <c r="L266" s="6">
        <f>INDEX(products!$A$1:$G$49, MATCH(orders!$D264,products!$A$1:$A311,0), MATCH(orders!L$1,products!$A$1:$G$1,0))</f>
        <v>13.75</v>
      </c>
      <c r="M266" s="6">
        <f t="shared" si="12"/>
        <v>41.25</v>
      </c>
      <c r="N266" t="str">
        <f t="shared" si="13"/>
        <v>Excelsa</v>
      </c>
      <c r="O266" t="str">
        <f t="shared" si="14"/>
        <v>Medium</v>
      </c>
      <c r="P266" t="str">
        <f>_xlfn.XLOOKUP(Orders[[#This Row],[Customer ID]],customers!$A$1:$A$1001,customers!$I$1:$I$1001,,0)</f>
        <v>No</v>
      </c>
      <c r="Q266">
        <f>COUNTIF(Orders[Order ID],Orders[[#This Row],[Order ID]])</f>
        <v>1</v>
      </c>
      <c r="R266" s="10">
        <f>SUMIF(Orders[Order ID], Orders[[#This Row],[Order ID]],Orders[Sales])/Orders[[#This Row],[Order Frequency]]</f>
        <v>41.25</v>
      </c>
      <c r="S266" t="str">
        <f>IF(Orders[[#This Row],[Order Frequency]]&gt;4, "More than 4", IF(AND(Orders[[#This Row],[Order Frequency]]&lt;=4,Orders[[#This Row],[Order Frequency]]&gt;=2), "Between 4 and 2", "Less than 2"))</f>
        <v>Less than 2</v>
      </c>
      <c r="T266" t="str">
        <f>IF(Orders[[#This Row],[Frequency Group]]="less than 2", "Low Value", IF(Orders[[#This Row],[Frequency Group]]="between 4 and 2", "Medium Value", "High Value"))</f>
        <v>Low Value</v>
      </c>
      <c r="U266" t="str">
        <f>IF(Orders[[#This Row],[Sales]]&lt;50, "$0-50", IF(AND(Orders[[#This Row],[Sales]]&gt;=50,Orders[[#This Row],[Sales]]&lt;=100), "$50-100", IF(AND(Orders[[#This Row],[Sales]]&gt;100,Orders[[#This Row],[Sales]]&lt;=150), "$101-150", "$150+")))</f>
        <v>$0-50</v>
      </c>
      <c r="V266" t="str">
        <f>IF(Orders[[#This Row],[Sales]]&gt;MEDIAN(M:M), "High Price", "Low Price")</f>
        <v>High Price</v>
      </c>
      <c r="W266" t="str">
        <f>IF(Orders[[#This Row],[Quantity]]&gt;MEDIAN(E:E), "High Volume", "Low Volume")</f>
        <v>Low Volume</v>
      </c>
      <c r="X266" t="str">
        <f>Orders[[#This Row],[Sales Tier]] &amp; "-" &amp; Orders[[#This Row],[Quantity Tier]]</f>
        <v>High Price-Low Volume</v>
      </c>
      <c r="Y266" t="str">
        <f>TEXT(Orders[[#This Row],[Order Date]], "mmmm")</f>
        <v>August</v>
      </c>
      <c r="Z26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266" t="str">
        <f>Orders[[#This Row],[Coffee Type Name]] &amp; "-" &amp; Orders[[#This Row],[Roast Type Name]]</f>
        <v>Excelsa-Medium</v>
      </c>
      <c r="AB26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267" spans="1:28" x14ac:dyDescent="0.25">
      <c r="A267" s="2" t="s">
        <v>1682</v>
      </c>
      <c r="B267" s="4">
        <v>43921</v>
      </c>
      <c r="C267" s="2" t="s">
        <v>1683</v>
      </c>
      <c r="D267" t="s">
        <v>6153</v>
      </c>
      <c r="E267" s="2">
        <v>4</v>
      </c>
      <c r="F267" s="2" t="str">
        <f>_xlfn.XLOOKUP(C267,customers!$A$1:$A$1001,customers!$B$1:$B$1001,,0)</f>
        <v>Dael Camilletti</v>
      </c>
      <c r="G267" s="2" t="str">
        <f>IF(_xlfn.XLOOKUP(C267,customers!$A$1:$A$1001,customers!$C$1:$C$1001,,0)=0,"",_xlfn.XLOOKUP(C267,customers!$A$1:$A$1001,customers!$C$1:$C$1001,,0))</f>
        <v>dcamilletti5w@businesswire.com</v>
      </c>
      <c r="H267" s="2" t="str">
        <f>_xlfn.XLOOKUP(C267,customers!$A$1:$A$1001,customers!$G$1:$G$1001,,0)</f>
        <v>United States</v>
      </c>
      <c r="I267" t="str">
        <f>INDEX(products!$A$1:$G$49, MATCH(orders!$D214,products!$A$1:$A261,0), MATCH(orders!I$1,products!$A$1:$G$1,0))</f>
        <v>Exc</v>
      </c>
      <c r="J267" t="str">
        <f>INDEX(products!$A$1:$G$49, MATCH(orders!$D214,products!$A$1:$A261,0), MATCH(orders!J$1,products!$A$1:$G$1,0))</f>
        <v>D</v>
      </c>
      <c r="K267" s="5">
        <f>INDEX(products!$A$1:$G$49, MATCH(orders!$D214,products!$A$1:$A261,0), MATCH(orders!K$1,products!$A$1:$G$1,0))</f>
        <v>0.2</v>
      </c>
      <c r="L267" s="6">
        <f>INDEX(products!$A$1:$G$49, MATCH(orders!$D214,products!$A$1:$A261,0), MATCH(orders!L$1,products!$A$1:$G$1,0))</f>
        <v>3.645</v>
      </c>
      <c r="M267" s="6">
        <f t="shared" si="12"/>
        <v>14.58</v>
      </c>
      <c r="N267" t="str">
        <f t="shared" si="13"/>
        <v>Excelsa</v>
      </c>
      <c r="O267" t="str">
        <f t="shared" si="14"/>
        <v>Dark</v>
      </c>
      <c r="P267" t="str">
        <f>_xlfn.XLOOKUP(Orders[[#This Row],[Customer ID]],customers!$A$1:$A$1001,customers!$I$1:$I$1001,,0)</f>
        <v>Yes</v>
      </c>
      <c r="Q267">
        <f>COUNTIF(Orders[Order ID],Orders[[#This Row],[Order ID]])</f>
        <v>1</v>
      </c>
      <c r="R267" s="10">
        <f>SUMIF(Orders[Order ID], Orders[[#This Row],[Order ID]],Orders[Sales])/Orders[[#This Row],[Order Frequency]]</f>
        <v>14.58</v>
      </c>
      <c r="S267" t="str">
        <f>IF(Orders[[#This Row],[Order Frequency]]&gt;4, "More than 4", IF(AND(Orders[[#This Row],[Order Frequency]]&lt;=4,Orders[[#This Row],[Order Frequency]]&gt;=2), "Between 4 and 2", "Less than 2"))</f>
        <v>Less than 2</v>
      </c>
      <c r="T267" t="str">
        <f>IF(Orders[[#This Row],[Frequency Group]]="less than 2", "Low Value", IF(Orders[[#This Row],[Frequency Group]]="between 4 and 2", "Medium Value", "High Value"))</f>
        <v>Low Value</v>
      </c>
      <c r="U267" t="str">
        <f>IF(Orders[[#This Row],[Sales]]&lt;50, "$0-50", IF(AND(Orders[[#This Row],[Sales]]&gt;=50,Orders[[#This Row],[Sales]]&lt;=100), "$50-100", IF(AND(Orders[[#This Row],[Sales]]&gt;100,Orders[[#This Row],[Sales]]&lt;=150), "$101-150", "$150+")))</f>
        <v>$0-50</v>
      </c>
      <c r="V267" t="str">
        <f>IF(Orders[[#This Row],[Sales]]&gt;MEDIAN(M:M), "High Price", "Low Price")</f>
        <v>Low Price</v>
      </c>
      <c r="W267" t="str">
        <f>IF(Orders[[#This Row],[Quantity]]&gt;MEDIAN(E:E), "High Volume", "Low Volume")</f>
        <v>Low Volume</v>
      </c>
      <c r="X267" t="str">
        <f>Orders[[#This Row],[Sales Tier]] &amp; "-" &amp; Orders[[#This Row],[Quantity Tier]]</f>
        <v>Low Price-Low Volume</v>
      </c>
      <c r="Y267" t="str">
        <f>TEXT(Orders[[#This Row],[Order Date]], "mmmm")</f>
        <v>March</v>
      </c>
      <c r="Z26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267" t="str">
        <f>Orders[[#This Row],[Coffee Type Name]] &amp; "-" &amp; Orders[[#This Row],[Roast Type Name]]</f>
        <v>Excelsa-Dark</v>
      </c>
      <c r="AB26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268" spans="1:28" x14ac:dyDescent="0.25">
      <c r="A268" s="2" t="s">
        <v>3153</v>
      </c>
      <c r="B268" s="4">
        <v>44644</v>
      </c>
      <c r="C268" s="2" t="s">
        <v>3154</v>
      </c>
      <c r="D268" t="s">
        <v>6181</v>
      </c>
      <c r="E268" s="2">
        <v>4</v>
      </c>
      <c r="F268" s="2" t="str">
        <f>_xlfn.XLOOKUP(C268,customers!$A$1:$A$1001,customers!$B$1:$B$1001,,0)</f>
        <v>Lamond Gheeraert</v>
      </c>
      <c r="G268" s="2" t="str">
        <f>IF(_xlfn.XLOOKUP(C268,customers!$A$1:$A$1001,customers!$C$1:$C$1001,,0)=0,"",_xlfn.XLOOKUP(C268,customers!$A$1:$A$1001,customers!$C$1:$C$1001,,0))</f>
        <v/>
      </c>
      <c r="H268" s="2" t="str">
        <f>_xlfn.XLOOKUP(C268,customers!$A$1:$A$1001,customers!$G$1:$G$1001,,0)</f>
        <v>United States</v>
      </c>
      <c r="I268" t="str">
        <f>INDEX(products!$A$1:$G$49, MATCH(orders!$D473,products!$A$1:$A520,0), MATCH(orders!I$1,products!$A$1:$G$1,0))</f>
        <v>Lib</v>
      </c>
      <c r="J268" t="str">
        <f>INDEX(products!$A$1:$G$49, MATCH(orders!$D473,products!$A$1:$A520,0), MATCH(orders!J$1,products!$A$1:$G$1,0))</f>
        <v>M</v>
      </c>
      <c r="K268" s="5">
        <f>INDEX(products!$A$1:$G$49, MATCH(orders!$D473,products!$A$1:$A520,0), MATCH(orders!K$1,products!$A$1:$G$1,0))</f>
        <v>2.5</v>
      </c>
      <c r="L268" s="6">
        <f>INDEX(products!$A$1:$G$49, MATCH(orders!$D473,products!$A$1:$A520,0), MATCH(orders!L$1,products!$A$1:$G$1,0))</f>
        <v>33.464999999999996</v>
      </c>
      <c r="M268" s="6">
        <f t="shared" si="12"/>
        <v>133.85999999999999</v>
      </c>
      <c r="N268" t="str">
        <f t="shared" si="13"/>
        <v>Liberica</v>
      </c>
      <c r="O268" t="str">
        <f t="shared" si="14"/>
        <v>Medium</v>
      </c>
      <c r="P268" t="str">
        <f>_xlfn.XLOOKUP(Orders[[#This Row],[Customer ID]],customers!$A$1:$A$1001,customers!$I$1:$I$1001,,0)</f>
        <v>Yes</v>
      </c>
      <c r="Q268">
        <f>COUNTIF(Orders[Order ID],Orders[[#This Row],[Order ID]])</f>
        <v>1</v>
      </c>
      <c r="R268" s="10">
        <f>SUMIF(Orders[Order ID], Orders[[#This Row],[Order ID]],Orders[Sales])/Orders[[#This Row],[Order Frequency]]</f>
        <v>133.85999999999999</v>
      </c>
      <c r="S268" t="str">
        <f>IF(Orders[[#This Row],[Order Frequency]]&gt;4, "More than 4", IF(AND(Orders[[#This Row],[Order Frequency]]&lt;=4,Orders[[#This Row],[Order Frequency]]&gt;=2), "Between 4 and 2", "Less than 2"))</f>
        <v>Less than 2</v>
      </c>
      <c r="T268" t="str">
        <f>IF(Orders[[#This Row],[Frequency Group]]="less than 2", "Low Value", IF(Orders[[#This Row],[Frequency Group]]="between 4 and 2", "Medium Value", "High Value"))</f>
        <v>Low Value</v>
      </c>
      <c r="U268" t="str">
        <f>IF(Orders[[#This Row],[Sales]]&lt;50, "$0-50", IF(AND(Orders[[#This Row],[Sales]]&gt;=50,Orders[[#This Row],[Sales]]&lt;=100), "$50-100", IF(AND(Orders[[#This Row],[Sales]]&gt;100,Orders[[#This Row],[Sales]]&lt;=150), "$101-150", "$150+")))</f>
        <v>$101-150</v>
      </c>
      <c r="V268" t="str">
        <f>IF(Orders[[#This Row],[Sales]]&gt;MEDIAN(M:M), "High Price", "Low Price")</f>
        <v>High Price</v>
      </c>
      <c r="W268" t="str">
        <f>IF(Orders[[#This Row],[Quantity]]&gt;MEDIAN(E:E), "High Volume", "Low Volume")</f>
        <v>Low Volume</v>
      </c>
      <c r="X268" t="str">
        <f>Orders[[#This Row],[Sales Tier]] &amp; "-" &amp; Orders[[#This Row],[Quantity Tier]]</f>
        <v>High Price-Low Volume</v>
      </c>
      <c r="Y268" t="str">
        <f>TEXT(Orders[[#This Row],[Order Date]], "mmmm")</f>
        <v>March</v>
      </c>
      <c r="Z26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268" t="str">
        <f>Orders[[#This Row],[Coffee Type Name]] &amp; "-" &amp; Orders[[#This Row],[Roast Type Name]]</f>
        <v>Liberica-Medium</v>
      </c>
      <c r="AB26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269" spans="1:28" x14ac:dyDescent="0.25">
      <c r="A269" s="2" t="s">
        <v>4949</v>
      </c>
      <c r="B269" s="4">
        <v>43485</v>
      </c>
      <c r="C269" s="2" t="s">
        <v>4950</v>
      </c>
      <c r="D269" t="s">
        <v>6140</v>
      </c>
      <c r="E269" s="2">
        <v>6</v>
      </c>
      <c r="F269" s="2" t="str">
        <f>_xlfn.XLOOKUP(C269,customers!$A$1:$A$1001,customers!$B$1:$B$1001,,0)</f>
        <v>Nobe Buney</v>
      </c>
      <c r="G269" s="2" t="str">
        <f>IF(_xlfn.XLOOKUP(C269,customers!$A$1:$A$1001,customers!$C$1:$C$1001,,0)=0,"",_xlfn.XLOOKUP(C269,customers!$A$1:$A$1001,customers!$C$1:$C$1001,,0))</f>
        <v>nbuneylx@jugem.jp</v>
      </c>
      <c r="H269" s="2" t="str">
        <f>_xlfn.XLOOKUP(C269,customers!$A$1:$A$1001,customers!$G$1:$G$1001,,0)</f>
        <v>United States</v>
      </c>
      <c r="I269" t="str">
        <f>INDEX(products!$A$1:$G$49, MATCH(orders!$D791,products!$A$1:$A838,0), MATCH(orders!I$1,products!$A$1:$G$1,0))</f>
        <v>Ara</v>
      </c>
      <c r="J269" t="str">
        <f>INDEX(products!$A$1:$G$49, MATCH(orders!$D791,products!$A$1:$A838,0), MATCH(orders!J$1,products!$A$1:$G$1,0))</f>
        <v>L</v>
      </c>
      <c r="K269" s="5">
        <f>INDEX(products!$A$1:$G$49, MATCH(orders!$D791,products!$A$1:$A838,0), MATCH(orders!K$1,products!$A$1:$G$1,0))</f>
        <v>1</v>
      </c>
      <c r="L269" s="6">
        <f>INDEX(products!$A$1:$G$49, MATCH(orders!$D791,products!$A$1:$A838,0), MATCH(orders!L$1,products!$A$1:$G$1,0))</f>
        <v>12.95</v>
      </c>
      <c r="M269" s="6">
        <f t="shared" si="12"/>
        <v>77.699999999999989</v>
      </c>
      <c r="N269" t="str">
        <f t="shared" si="13"/>
        <v>Arabica</v>
      </c>
      <c r="O269" t="str">
        <f t="shared" si="14"/>
        <v>Light</v>
      </c>
      <c r="P269" t="str">
        <f>_xlfn.XLOOKUP(Orders[[#This Row],[Customer ID]],customers!$A$1:$A$1001,customers!$I$1:$I$1001,,0)</f>
        <v>No</v>
      </c>
      <c r="Q269">
        <f>COUNTIF(Orders[Order ID],Orders[[#This Row],[Order ID]])</f>
        <v>1</v>
      </c>
      <c r="R269" s="10">
        <f>SUMIF(Orders[Order ID], Orders[[#This Row],[Order ID]],Orders[Sales])/Orders[[#This Row],[Order Frequency]]</f>
        <v>77.699999999999989</v>
      </c>
      <c r="S269" t="str">
        <f>IF(Orders[[#This Row],[Order Frequency]]&gt;4, "More than 4", IF(AND(Orders[[#This Row],[Order Frequency]]&lt;=4,Orders[[#This Row],[Order Frequency]]&gt;=2), "Between 4 and 2", "Less than 2"))</f>
        <v>Less than 2</v>
      </c>
      <c r="T269" t="str">
        <f>IF(Orders[[#This Row],[Frequency Group]]="less than 2", "Low Value", IF(Orders[[#This Row],[Frequency Group]]="between 4 and 2", "Medium Value", "High Value"))</f>
        <v>Low Value</v>
      </c>
      <c r="U269" t="str">
        <f>IF(Orders[[#This Row],[Sales]]&lt;50, "$0-50", IF(AND(Orders[[#This Row],[Sales]]&gt;=50,Orders[[#This Row],[Sales]]&lt;=100), "$50-100", IF(AND(Orders[[#This Row],[Sales]]&gt;100,Orders[[#This Row],[Sales]]&lt;=150), "$101-150", "$150+")))</f>
        <v>$50-100</v>
      </c>
      <c r="V269" t="str">
        <f>IF(Orders[[#This Row],[Sales]]&gt;MEDIAN(M:M), "High Price", "Low Price")</f>
        <v>High Price</v>
      </c>
      <c r="W269" t="str">
        <f>IF(Orders[[#This Row],[Quantity]]&gt;MEDIAN(E:E), "High Volume", "Low Volume")</f>
        <v>High Volume</v>
      </c>
      <c r="X269" t="str">
        <f>Orders[[#This Row],[Sales Tier]] &amp; "-" &amp; Orders[[#This Row],[Quantity Tier]]</f>
        <v>High Price-High Volume</v>
      </c>
      <c r="Y269" t="str">
        <f>TEXT(Orders[[#This Row],[Order Date]], "mmmm")</f>
        <v>January</v>
      </c>
      <c r="Z26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269" t="str">
        <f>Orders[[#This Row],[Coffee Type Name]] &amp; "-" &amp; Orders[[#This Row],[Roast Type Name]]</f>
        <v>Arabica-Light</v>
      </c>
      <c r="AB26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270" spans="1:28" x14ac:dyDescent="0.25">
      <c r="A270" s="2" t="s">
        <v>5910</v>
      </c>
      <c r="B270" s="4">
        <v>44598</v>
      </c>
      <c r="C270" s="2" t="s">
        <v>5911</v>
      </c>
      <c r="D270" t="s">
        <v>6145</v>
      </c>
      <c r="E270" s="2">
        <v>5</v>
      </c>
      <c r="F270" s="2" t="str">
        <f>_xlfn.XLOOKUP(C270,customers!$A$1:$A$1001,customers!$B$1:$B$1001,,0)</f>
        <v>Rhodie Strathern</v>
      </c>
      <c r="G270" s="2" t="str">
        <f>IF(_xlfn.XLOOKUP(C270,customers!$A$1:$A$1001,customers!$C$1:$C$1001,,0)=0,"",_xlfn.XLOOKUP(C270,customers!$A$1:$A$1001,customers!$C$1:$C$1001,,0))</f>
        <v>rstrathernqn@devhub.com</v>
      </c>
      <c r="H270" s="2" t="str">
        <f>_xlfn.XLOOKUP(C270,customers!$A$1:$A$1001,customers!$G$1:$G$1001,,0)</f>
        <v>United States</v>
      </c>
      <c r="I270" t="str">
        <f>INDEX(products!$A$1:$G$49, MATCH(orders!$D961,products!$A$1:$A1008,0), MATCH(orders!I$1,products!$A$1:$G$1,0))</f>
        <v>Lib</v>
      </c>
      <c r="J270" t="str">
        <f>INDEX(products!$A$1:$G$49, MATCH(orders!$D961,products!$A$1:$A1008,0), MATCH(orders!J$1,products!$A$1:$G$1,0))</f>
        <v>L</v>
      </c>
      <c r="K270" s="5">
        <f>INDEX(products!$A$1:$G$49, MATCH(orders!$D961,products!$A$1:$A1008,0), MATCH(orders!K$1,products!$A$1:$G$1,0))</f>
        <v>0.2</v>
      </c>
      <c r="L270" s="6">
        <f>INDEX(products!$A$1:$G$49, MATCH(orders!$D961,products!$A$1:$A1008,0), MATCH(orders!L$1,products!$A$1:$G$1,0))</f>
        <v>4.7549999999999999</v>
      </c>
      <c r="M270" s="6">
        <f t="shared" si="12"/>
        <v>23.774999999999999</v>
      </c>
      <c r="N270" t="str">
        <f t="shared" si="13"/>
        <v>Liberica</v>
      </c>
      <c r="O270" t="str">
        <f t="shared" si="14"/>
        <v>Light</v>
      </c>
      <c r="P270" t="str">
        <f>_xlfn.XLOOKUP(Orders[[#This Row],[Customer ID]],customers!$A$1:$A$1001,customers!$I$1:$I$1001,,0)</f>
        <v>Yes</v>
      </c>
      <c r="Q270">
        <f>COUNTIF(Orders[Order ID],Orders[[#This Row],[Order ID]])</f>
        <v>1</v>
      </c>
      <c r="R270" s="10">
        <f>SUMIF(Orders[Order ID], Orders[[#This Row],[Order ID]],Orders[Sales])/Orders[[#This Row],[Order Frequency]]</f>
        <v>23.774999999999999</v>
      </c>
      <c r="S270" t="str">
        <f>IF(Orders[[#This Row],[Order Frequency]]&gt;4, "More than 4", IF(AND(Orders[[#This Row],[Order Frequency]]&lt;=4,Orders[[#This Row],[Order Frequency]]&gt;=2), "Between 4 and 2", "Less than 2"))</f>
        <v>Less than 2</v>
      </c>
      <c r="T270" t="str">
        <f>IF(Orders[[#This Row],[Frequency Group]]="less than 2", "Low Value", IF(Orders[[#This Row],[Frequency Group]]="between 4 and 2", "Medium Value", "High Value"))</f>
        <v>Low Value</v>
      </c>
      <c r="U270" t="str">
        <f>IF(Orders[[#This Row],[Sales]]&lt;50, "$0-50", IF(AND(Orders[[#This Row],[Sales]]&gt;=50,Orders[[#This Row],[Sales]]&lt;=100), "$50-100", IF(AND(Orders[[#This Row],[Sales]]&gt;100,Orders[[#This Row],[Sales]]&lt;=150), "$101-150", "$150+")))</f>
        <v>$0-50</v>
      </c>
      <c r="V270" t="str">
        <f>IF(Orders[[#This Row],[Sales]]&gt;MEDIAN(M:M), "High Price", "Low Price")</f>
        <v>Low Price</v>
      </c>
      <c r="W270" t="str">
        <f>IF(Orders[[#This Row],[Quantity]]&gt;MEDIAN(E:E), "High Volume", "Low Volume")</f>
        <v>High Volume</v>
      </c>
      <c r="X270" t="str">
        <f>Orders[[#This Row],[Sales Tier]] &amp; "-" &amp; Orders[[#This Row],[Quantity Tier]]</f>
        <v>Low Price-High Volume</v>
      </c>
      <c r="Y270" t="str">
        <f>TEXT(Orders[[#This Row],[Order Date]], "mmmm")</f>
        <v>February</v>
      </c>
      <c r="Z27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270" t="str">
        <f>Orders[[#This Row],[Coffee Type Name]] &amp; "-" &amp; Orders[[#This Row],[Roast Type Name]]</f>
        <v>Liberica-Light</v>
      </c>
      <c r="AB27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271" spans="1:28" x14ac:dyDescent="0.25">
      <c r="A271" s="2" t="s">
        <v>3041</v>
      </c>
      <c r="B271" s="4">
        <v>44524</v>
      </c>
      <c r="C271" s="2" t="s">
        <v>3042</v>
      </c>
      <c r="D271" t="s">
        <v>6167</v>
      </c>
      <c r="E271" s="2">
        <v>3</v>
      </c>
      <c r="F271" s="2" t="str">
        <f>_xlfn.XLOOKUP(C271,customers!$A$1:$A$1001,customers!$B$1:$B$1001,,0)</f>
        <v>Morgen Seson</v>
      </c>
      <c r="G271" s="2" t="str">
        <f>IF(_xlfn.XLOOKUP(C271,customers!$A$1:$A$1001,customers!$C$1:$C$1001,,0)=0,"",_xlfn.XLOOKUP(C271,customers!$A$1:$A$1001,customers!$C$1:$C$1001,,0))</f>
        <v>msesonck@census.gov</v>
      </c>
      <c r="H271" s="2" t="str">
        <f>_xlfn.XLOOKUP(C271,customers!$A$1:$A$1001,customers!$G$1:$G$1001,,0)</f>
        <v>United States</v>
      </c>
      <c r="I271" t="str">
        <f>INDEX(products!$A$1:$G$49, MATCH(orders!$D454,products!$A$1:$A501,0), MATCH(orders!I$1,products!$A$1:$G$1,0))</f>
        <v>Ara</v>
      </c>
      <c r="J271" t="str">
        <f>INDEX(products!$A$1:$G$49, MATCH(orders!$D454,products!$A$1:$A501,0), MATCH(orders!J$1,products!$A$1:$G$1,0))</f>
        <v>L</v>
      </c>
      <c r="K271" s="5">
        <f>INDEX(products!$A$1:$G$49, MATCH(orders!$D454,products!$A$1:$A501,0), MATCH(orders!K$1,products!$A$1:$G$1,0))</f>
        <v>0.2</v>
      </c>
      <c r="L271" s="6">
        <f>INDEX(products!$A$1:$G$49, MATCH(orders!$D454,products!$A$1:$A501,0), MATCH(orders!L$1,products!$A$1:$G$1,0))</f>
        <v>3.8849999999999998</v>
      </c>
      <c r="M271" s="6">
        <f t="shared" si="12"/>
        <v>11.654999999999999</v>
      </c>
      <c r="N271" t="str">
        <f t="shared" si="13"/>
        <v>Arabica</v>
      </c>
      <c r="O271" t="str">
        <f t="shared" si="14"/>
        <v>Light</v>
      </c>
      <c r="P271" t="str">
        <f>_xlfn.XLOOKUP(Orders[[#This Row],[Customer ID]],customers!$A$1:$A$1001,customers!$I$1:$I$1001,,0)</f>
        <v>No</v>
      </c>
      <c r="Q271">
        <f>COUNTIF(Orders[Order ID],Orders[[#This Row],[Order ID]])</f>
        <v>1</v>
      </c>
      <c r="R271" s="10">
        <f>SUMIF(Orders[Order ID], Orders[[#This Row],[Order ID]],Orders[Sales])/Orders[[#This Row],[Order Frequency]]</f>
        <v>11.654999999999999</v>
      </c>
      <c r="S271" t="str">
        <f>IF(Orders[[#This Row],[Order Frequency]]&gt;4, "More than 4", IF(AND(Orders[[#This Row],[Order Frequency]]&lt;=4,Orders[[#This Row],[Order Frequency]]&gt;=2), "Between 4 and 2", "Less than 2"))</f>
        <v>Less than 2</v>
      </c>
      <c r="T271" t="str">
        <f>IF(Orders[[#This Row],[Frequency Group]]="less than 2", "Low Value", IF(Orders[[#This Row],[Frequency Group]]="between 4 and 2", "Medium Value", "High Value"))</f>
        <v>Low Value</v>
      </c>
      <c r="U271" t="str">
        <f>IF(Orders[[#This Row],[Sales]]&lt;50, "$0-50", IF(AND(Orders[[#This Row],[Sales]]&gt;=50,Orders[[#This Row],[Sales]]&lt;=100), "$50-100", IF(AND(Orders[[#This Row],[Sales]]&gt;100,Orders[[#This Row],[Sales]]&lt;=150), "$101-150", "$150+")))</f>
        <v>$0-50</v>
      </c>
      <c r="V271" t="str">
        <f>IF(Orders[[#This Row],[Sales]]&gt;MEDIAN(M:M), "High Price", "Low Price")</f>
        <v>Low Price</v>
      </c>
      <c r="W271" t="str">
        <f>IF(Orders[[#This Row],[Quantity]]&gt;MEDIAN(E:E), "High Volume", "Low Volume")</f>
        <v>Low Volume</v>
      </c>
      <c r="X271" t="str">
        <f>Orders[[#This Row],[Sales Tier]] &amp; "-" &amp; Orders[[#This Row],[Quantity Tier]]</f>
        <v>Low Price-Low Volume</v>
      </c>
      <c r="Y271" t="str">
        <f>TEXT(Orders[[#This Row],[Order Date]], "mmmm")</f>
        <v>November</v>
      </c>
      <c r="Z27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271" t="str">
        <f>Orders[[#This Row],[Coffee Type Name]] &amp; "-" &amp; Orders[[#This Row],[Roast Type Name]]</f>
        <v>Arabica-Light</v>
      </c>
      <c r="AB27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272" spans="1:28" x14ac:dyDescent="0.25">
      <c r="A272" s="2" t="s">
        <v>4741</v>
      </c>
      <c r="B272" s="4">
        <v>43648</v>
      </c>
      <c r="C272" s="2" t="s">
        <v>4742</v>
      </c>
      <c r="D272" t="s">
        <v>6141</v>
      </c>
      <c r="E272" s="2">
        <v>2</v>
      </c>
      <c r="F272" s="2" t="str">
        <f>_xlfn.XLOOKUP(C272,customers!$A$1:$A$1001,customers!$B$1:$B$1001,,0)</f>
        <v>Bran Sterke</v>
      </c>
      <c r="G272" s="2" t="str">
        <f>IF(_xlfn.XLOOKUP(C272,customers!$A$1:$A$1001,customers!$C$1:$C$1001,,0)=0,"",_xlfn.XLOOKUP(C272,customers!$A$1:$A$1001,customers!$C$1:$C$1001,,0))</f>
        <v>bsterkekw@biblegateway.com</v>
      </c>
      <c r="H272" s="2" t="str">
        <f>_xlfn.XLOOKUP(C272,customers!$A$1:$A$1001,customers!$G$1:$G$1001,,0)</f>
        <v>United States</v>
      </c>
      <c r="I272" t="str">
        <f>INDEX(products!$A$1:$G$49, MATCH(orders!$D754,products!$A$1:$A801,0), MATCH(orders!I$1,products!$A$1:$G$1,0))</f>
        <v>Exc</v>
      </c>
      <c r="J272" t="str">
        <f>INDEX(products!$A$1:$G$49, MATCH(orders!$D754,products!$A$1:$A801,0), MATCH(orders!J$1,products!$A$1:$G$1,0))</f>
        <v>M</v>
      </c>
      <c r="K272" s="5">
        <f>INDEX(products!$A$1:$G$49, MATCH(orders!$D754,products!$A$1:$A801,0), MATCH(orders!K$1,products!$A$1:$G$1,0))</f>
        <v>1</v>
      </c>
      <c r="L272" s="6">
        <f>INDEX(products!$A$1:$G$49, MATCH(orders!$D754,products!$A$1:$A801,0), MATCH(orders!L$1,products!$A$1:$G$1,0))</f>
        <v>13.75</v>
      </c>
      <c r="M272" s="6">
        <f t="shared" si="12"/>
        <v>27.5</v>
      </c>
      <c r="N272" t="str">
        <f t="shared" si="13"/>
        <v>Excelsa</v>
      </c>
      <c r="O272" t="str">
        <f t="shared" si="14"/>
        <v>Medium</v>
      </c>
      <c r="P272" t="str">
        <f>_xlfn.XLOOKUP(Orders[[#This Row],[Customer ID]],customers!$A$1:$A$1001,customers!$I$1:$I$1001,,0)</f>
        <v>Yes</v>
      </c>
      <c r="Q272">
        <f>COUNTIF(Orders[Order ID],Orders[[#This Row],[Order ID]])</f>
        <v>1</v>
      </c>
      <c r="R272" s="10">
        <f>SUMIF(Orders[Order ID], Orders[[#This Row],[Order ID]],Orders[Sales])/Orders[[#This Row],[Order Frequency]]</f>
        <v>27.5</v>
      </c>
      <c r="S272" t="str">
        <f>IF(Orders[[#This Row],[Order Frequency]]&gt;4, "More than 4", IF(AND(Orders[[#This Row],[Order Frequency]]&lt;=4,Orders[[#This Row],[Order Frequency]]&gt;=2), "Between 4 and 2", "Less than 2"))</f>
        <v>Less than 2</v>
      </c>
      <c r="T272" t="str">
        <f>IF(Orders[[#This Row],[Frequency Group]]="less than 2", "Low Value", IF(Orders[[#This Row],[Frequency Group]]="between 4 and 2", "Medium Value", "High Value"))</f>
        <v>Low Value</v>
      </c>
      <c r="U272" t="str">
        <f>IF(Orders[[#This Row],[Sales]]&lt;50, "$0-50", IF(AND(Orders[[#This Row],[Sales]]&gt;=50,Orders[[#This Row],[Sales]]&lt;=100), "$50-100", IF(AND(Orders[[#This Row],[Sales]]&gt;100,Orders[[#This Row],[Sales]]&lt;=150), "$101-150", "$150+")))</f>
        <v>$0-50</v>
      </c>
      <c r="V272" t="str">
        <f>IF(Orders[[#This Row],[Sales]]&gt;MEDIAN(M:M), "High Price", "Low Price")</f>
        <v>Low Price</v>
      </c>
      <c r="W272" t="str">
        <f>IF(Orders[[#This Row],[Quantity]]&gt;MEDIAN(E:E), "High Volume", "Low Volume")</f>
        <v>Low Volume</v>
      </c>
      <c r="X272" t="str">
        <f>Orders[[#This Row],[Sales Tier]] &amp; "-" &amp; Orders[[#This Row],[Quantity Tier]]</f>
        <v>Low Price-Low Volume</v>
      </c>
      <c r="Y272" t="str">
        <f>TEXT(Orders[[#This Row],[Order Date]], "mmmm")</f>
        <v>July</v>
      </c>
      <c r="Z27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272" t="str">
        <f>Orders[[#This Row],[Coffee Type Name]] &amp; "-" &amp; Orders[[#This Row],[Roast Type Name]]</f>
        <v>Excelsa-Medium</v>
      </c>
      <c r="AB27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273" spans="1:28" x14ac:dyDescent="0.25">
      <c r="A273" s="2" t="s">
        <v>3300</v>
      </c>
      <c r="B273" s="4">
        <v>44351</v>
      </c>
      <c r="C273" s="2" t="s">
        <v>3301</v>
      </c>
      <c r="D273" t="s">
        <v>6147</v>
      </c>
      <c r="E273" s="2">
        <v>4</v>
      </c>
      <c r="F273" s="2" t="str">
        <f>_xlfn.XLOOKUP(C273,customers!$A$1:$A$1001,customers!$B$1:$B$1001,,0)</f>
        <v>Chantal Mersh</v>
      </c>
      <c r="G273" s="2" t="str">
        <f>IF(_xlfn.XLOOKUP(C273,customers!$A$1:$A$1001,customers!$C$1:$C$1001,,0)=0,"",_xlfn.XLOOKUP(C273,customers!$A$1:$A$1001,customers!$C$1:$C$1001,,0))</f>
        <v>cmershdt@drupal.org</v>
      </c>
      <c r="H273" s="2" t="str">
        <f>_xlfn.XLOOKUP(C273,customers!$A$1:$A$1001,customers!$G$1:$G$1001,,0)</f>
        <v>Ireland</v>
      </c>
      <c r="I273" t="str">
        <f>INDEX(products!$A$1:$G$49, MATCH(orders!$D499,products!$A$1:$A546,0), MATCH(orders!I$1,products!$A$1:$G$1,0))</f>
        <v>Ara</v>
      </c>
      <c r="J273" t="str">
        <f>INDEX(products!$A$1:$G$49, MATCH(orders!$D499,products!$A$1:$A546,0), MATCH(orders!J$1,products!$A$1:$G$1,0))</f>
        <v>D</v>
      </c>
      <c r="K273" s="5">
        <f>INDEX(products!$A$1:$G$49, MATCH(orders!$D499,products!$A$1:$A546,0), MATCH(orders!K$1,products!$A$1:$G$1,0))</f>
        <v>1</v>
      </c>
      <c r="L273" s="6">
        <f>INDEX(products!$A$1:$G$49, MATCH(orders!$D499,products!$A$1:$A546,0), MATCH(orders!L$1,products!$A$1:$G$1,0))</f>
        <v>9.9499999999999993</v>
      </c>
      <c r="M273" s="6">
        <f t="shared" si="12"/>
        <v>39.799999999999997</v>
      </c>
      <c r="N273" t="str">
        <f t="shared" si="13"/>
        <v>Arabica</v>
      </c>
      <c r="O273" t="str">
        <f t="shared" si="14"/>
        <v>Dark</v>
      </c>
      <c r="P273" t="str">
        <f>_xlfn.XLOOKUP(Orders[[#This Row],[Customer ID]],customers!$A$1:$A$1001,customers!$I$1:$I$1001,,0)</f>
        <v>No</v>
      </c>
      <c r="Q273">
        <f>COUNTIF(Orders[Order ID],Orders[[#This Row],[Order ID]])</f>
        <v>1</v>
      </c>
      <c r="R273" s="10">
        <f>SUMIF(Orders[Order ID], Orders[[#This Row],[Order ID]],Orders[Sales])/Orders[[#This Row],[Order Frequency]]</f>
        <v>39.799999999999997</v>
      </c>
      <c r="S273" t="str">
        <f>IF(Orders[[#This Row],[Order Frequency]]&gt;4, "More than 4", IF(AND(Orders[[#This Row],[Order Frequency]]&lt;=4,Orders[[#This Row],[Order Frequency]]&gt;=2), "Between 4 and 2", "Less than 2"))</f>
        <v>Less than 2</v>
      </c>
      <c r="T273" t="str">
        <f>IF(Orders[[#This Row],[Frequency Group]]="less than 2", "Low Value", IF(Orders[[#This Row],[Frequency Group]]="between 4 and 2", "Medium Value", "High Value"))</f>
        <v>Low Value</v>
      </c>
      <c r="U273" t="str">
        <f>IF(Orders[[#This Row],[Sales]]&lt;50, "$0-50", IF(AND(Orders[[#This Row],[Sales]]&gt;=50,Orders[[#This Row],[Sales]]&lt;=100), "$50-100", IF(AND(Orders[[#This Row],[Sales]]&gt;100,Orders[[#This Row],[Sales]]&lt;=150), "$101-150", "$150+")))</f>
        <v>$0-50</v>
      </c>
      <c r="V273" t="str">
        <f>IF(Orders[[#This Row],[Sales]]&gt;MEDIAN(M:M), "High Price", "Low Price")</f>
        <v>High Price</v>
      </c>
      <c r="W273" t="str">
        <f>IF(Orders[[#This Row],[Quantity]]&gt;MEDIAN(E:E), "High Volume", "Low Volume")</f>
        <v>Low Volume</v>
      </c>
      <c r="X273" t="str">
        <f>Orders[[#This Row],[Sales Tier]] &amp; "-" &amp; Orders[[#This Row],[Quantity Tier]]</f>
        <v>High Price-Low Volume</v>
      </c>
      <c r="Y273" t="str">
        <f>TEXT(Orders[[#This Row],[Order Date]], "mmmm")</f>
        <v>June</v>
      </c>
      <c r="Z27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73" t="str">
        <f>Orders[[#This Row],[Coffee Type Name]] &amp; "-" &amp; Orders[[#This Row],[Roast Type Name]]</f>
        <v>Arabica-Dark</v>
      </c>
      <c r="AB27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274" spans="1:28" x14ac:dyDescent="0.25">
      <c r="A274" s="2" t="s">
        <v>2573</v>
      </c>
      <c r="B274" s="4">
        <v>43501</v>
      </c>
      <c r="C274" s="2" t="s">
        <v>2574</v>
      </c>
      <c r="D274" t="s">
        <v>6183</v>
      </c>
      <c r="E274" s="2">
        <v>2</v>
      </c>
      <c r="F274" s="2" t="str">
        <f>_xlfn.XLOOKUP(C274,customers!$A$1:$A$1001,customers!$B$1:$B$1001,,0)</f>
        <v>Corinna Catcheside</v>
      </c>
      <c r="G274" s="2" t="str">
        <f>IF(_xlfn.XLOOKUP(C274,customers!$A$1:$A$1001,customers!$C$1:$C$1001,,0)=0,"",_xlfn.XLOOKUP(C274,customers!$A$1:$A$1001,customers!$C$1:$C$1001,,0))</f>
        <v>ccatchesideaa@macromedia.com</v>
      </c>
      <c r="H274" s="2" t="str">
        <f>_xlfn.XLOOKUP(C274,customers!$A$1:$A$1001,customers!$G$1:$G$1001,,0)</f>
        <v>United States</v>
      </c>
      <c r="I274" t="str">
        <f>INDEX(products!$A$1:$G$49, MATCH(orders!$D372,products!$A$1:$A419,0), MATCH(orders!I$1,products!$A$1:$G$1,0))</f>
        <v>Exc</v>
      </c>
      <c r="J274" t="str">
        <f>INDEX(products!$A$1:$G$49, MATCH(orders!$D372,products!$A$1:$A419,0), MATCH(orders!J$1,products!$A$1:$G$1,0))</f>
        <v>D</v>
      </c>
      <c r="K274" s="5">
        <f>INDEX(products!$A$1:$G$49, MATCH(orders!$D372,products!$A$1:$A419,0), MATCH(orders!K$1,products!$A$1:$G$1,0))</f>
        <v>1</v>
      </c>
      <c r="L274" s="6">
        <f>INDEX(products!$A$1:$G$49, MATCH(orders!$D372,products!$A$1:$A419,0), MATCH(orders!L$1,products!$A$1:$G$1,0))</f>
        <v>12.15</v>
      </c>
      <c r="M274" s="6">
        <f t="shared" si="12"/>
        <v>24.3</v>
      </c>
      <c r="N274" t="str">
        <f t="shared" si="13"/>
        <v>Excelsa</v>
      </c>
      <c r="O274" t="str">
        <f t="shared" si="14"/>
        <v>Dark</v>
      </c>
      <c r="P274" t="str">
        <f>_xlfn.XLOOKUP(Orders[[#This Row],[Customer ID]],customers!$A$1:$A$1001,customers!$I$1:$I$1001,,0)</f>
        <v>Yes</v>
      </c>
      <c r="Q274">
        <f>COUNTIF(Orders[Order ID],Orders[[#This Row],[Order ID]])</f>
        <v>1</v>
      </c>
      <c r="R274" s="10">
        <f>SUMIF(Orders[Order ID], Orders[[#This Row],[Order ID]],Orders[Sales])/Orders[[#This Row],[Order Frequency]]</f>
        <v>24.3</v>
      </c>
      <c r="S274" t="str">
        <f>IF(Orders[[#This Row],[Order Frequency]]&gt;4, "More than 4", IF(AND(Orders[[#This Row],[Order Frequency]]&lt;=4,Orders[[#This Row],[Order Frequency]]&gt;=2), "Between 4 and 2", "Less than 2"))</f>
        <v>Less than 2</v>
      </c>
      <c r="T274" t="str">
        <f>IF(Orders[[#This Row],[Frequency Group]]="less than 2", "Low Value", IF(Orders[[#This Row],[Frequency Group]]="between 4 and 2", "Medium Value", "High Value"))</f>
        <v>Low Value</v>
      </c>
      <c r="U274" t="str">
        <f>IF(Orders[[#This Row],[Sales]]&lt;50, "$0-50", IF(AND(Orders[[#This Row],[Sales]]&gt;=50,Orders[[#This Row],[Sales]]&lt;=100), "$50-100", IF(AND(Orders[[#This Row],[Sales]]&gt;100,Orders[[#This Row],[Sales]]&lt;=150), "$101-150", "$150+")))</f>
        <v>$0-50</v>
      </c>
      <c r="V274" t="str">
        <f>IF(Orders[[#This Row],[Sales]]&gt;MEDIAN(M:M), "High Price", "Low Price")</f>
        <v>Low Price</v>
      </c>
      <c r="W274" t="str">
        <f>IF(Orders[[#This Row],[Quantity]]&gt;MEDIAN(E:E), "High Volume", "Low Volume")</f>
        <v>Low Volume</v>
      </c>
      <c r="X274" t="str">
        <f>Orders[[#This Row],[Sales Tier]] &amp; "-" &amp; Orders[[#This Row],[Quantity Tier]]</f>
        <v>Low Price-Low Volume</v>
      </c>
      <c r="Y274" t="str">
        <f>TEXT(Orders[[#This Row],[Order Date]], "mmmm")</f>
        <v>February</v>
      </c>
      <c r="Z27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274" t="str">
        <f>Orders[[#This Row],[Coffee Type Name]] &amp; "-" &amp; Orders[[#This Row],[Roast Type Name]]</f>
        <v>Excelsa-Dark</v>
      </c>
      <c r="AB27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275" spans="1:28" x14ac:dyDescent="0.25">
      <c r="A275" s="2" t="s">
        <v>5062</v>
      </c>
      <c r="B275" s="4">
        <v>44235</v>
      </c>
      <c r="C275" s="2" t="s">
        <v>5063</v>
      </c>
      <c r="D275" t="s">
        <v>6163</v>
      </c>
      <c r="E275" s="2">
        <v>3</v>
      </c>
      <c r="F275" s="2" t="str">
        <f>_xlfn.XLOOKUP(C275,customers!$A$1:$A$1001,customers!$B$1:$B$1001,,0)</f>
        <v>Chaddie Bennie</v>
      </c>
      <c r="G275" s="2" t="str">
        <f>IF(_xlfn.XLOOKUP(C275,customers!$A$1:$A$1001,customers!$C$1:$C$1001,,0)=0,"",_xlfn.XLOOKUP(C275,customers!$A$1:$A$1001,customers!$C$1:$C$1001,,0))</f>
        <v/>
      </c>
      <c r="H275" s="2" t="str">
        <f>_xlfn.XLOOKUP(C275,customers!$A$1:$A$1001,customers!$G$1:$G$1001,,0)</f>
        <v>United States</v>
      </c>
      <c r="I275" t="str">
        <f>INDEX(products!$A$1:$G$49, MATCH(orders!$D811,products!$A$1:$A858,0), MATCH(orders!I$1,products!$A$1:$G$1,0))</f>
        <v>Rob</v>
      </c>
      <c r="J275" t="str">
        <f>INDEX(products!$A$1:$G$49, MATCH(orders!$D811,products!$A$1:$A858,0), MATCH(orders!J$1,products!$A$1:$G$1,0))</f>
        <v>D</v>
      </c>
      <c r="K275" s="5">
        <f>INDEX(products!$A$1:$G$49, MATCH(orders!$D811,products!$A$1:$A858,0), MATCH(orders!K$1,products!$A$1:$G$1,0))</f>
        <v>0.2</v>
      </c>
      <c r="L275" s="6">
        <f>INDEX(products!$A$1:$G$49, MATCH(orders!$D811,products!$A$1:$A858,0), MATCH(orders!L$1,products!$A$1:$G$1,0))</f>
        <v>2.6849999999999996</v>
      </c>
      <c r="M275" s="6">
        <f t="shared" si="12"/>
        <v>8.0549999999999997</v>
      </c>
      <c r="N275" t="str">
        <f t="shared" si="13"/>
        <v>Robusta</v>
      </c>
      <c r="O275" t="str">
        <f t="shared" si="14"/>
        <v>Dark</v>
      </c>
      <c r="P275" t="str">
        <f>_xlfn.XLOOKUP(Orders[[#This Row],[Customer ID]],customers!$A$1:$A$1001,customers!$I$1:$I$1001,,0)</f>
        <v>Yes</v>
      </c>
      <c r="Q275">
        <f>COUNTIF(Orders[Order ID],Orders[[#This Row],[Order ID]])</f>
        <v>1</v>
      </c>
      <c r="R275" s="10">
        <f>SUMIF(Orders[Order ID], Orders[[#This Row],[Order ID]],Orders[Sales])/Orders[[#This Row],[Order Frequency]]</f>
        <v>8.0549999999999997</v>
      </c>
      <c r="S275" t="str">
        <f>IF(Orders[[#This Row],[Order Frequency]]&gt;4, "More than 4", IF(AND(Orders[[#This Row],[Order Frequency]]&lt;=4,Orders[[#This Row],[Order Frequency]]&gt;=2), "Between 4 and 2", "Less than 2"))</f>
        <v>Less than 2</v>
      </c>
      <c r="T275" t="str">
        <f>IF(Orders[[#This Row],[Frequency Group]]="less than 2", "Low Value", IF(Orders[[#This Row],[Frequency Group]]="between 4 and 2", "Medium Value", "High Value"))</f>
        <v>Low Value</v>
      </c>
      <c r="U275" t="str">
        <f>IF(Orders[[#This Row],[Sales]]&lt;50, "$0-50", IF(AND(Orders[[#This Row],[Sales]]&gt;=50,Orders[[#This Row],[Sales]]&lt;=100), "$50-100", IF(AND(Orders[[#This Row],[Sales]]&gt;100,Orders[[#This Row],[Sales]]&lt;=150), "$101-150", "$150+")))</f>
        <v>$0-50</v>
      </c>
      <c r="V275" t="str">
        <f>IF(Orders[[#This Row],[Sales]]&gt;MEDIAN(M:M), "High Price", "Low Price")</f>
        <v>Low Price</v>
      </c>
      <c r="W275" t="str">
        <f>IF(Orders[[#This Row],[Quantity]]&gt;MEDIAN(E:E), "High Volume", "Low Volume")</f>
        <v>Low Volume</v>
      </c>
      <c r="X275" t="str">
        <f>Orders[[#This Row],[Sales Tier]] &amp; "-" &amp; Orders[[#This Row],[Quantity Tier]]</f>
        <v>Low Price-Low Volume</v>
      </c>
      <c r="Y275" t="str">
        <f>TEXT(Orders[[#This Row],[Order Date]], "mmmm")</f>
        <v>February</v>
      </c>
      <c r="Z27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275" t="str">
        <f>Orders[[#This Row],[Coffee Type Name]] &amp; "-" &amp; Orders[[#This Row],[Roast Type Name]]</f>
        <v>Robusta-Dark</v>
      </c>
      <c r="AB27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276" spans="1:28" x14ac:dyDescent="0.25">
      <c r="A276" s="2" t="s">
        <v>5666</v>
      </c>
      <c r="B276" s="4">
        <v>43955</v>
      </c>
      <c r="C276" s="2" t="s">
        <v>5667</v>
      </c>
      <c r="D276" t="s">
        <v>6185</v>
      </c>
      <c r="E276" s="2">
        <v>3</v>
      </c>
      <c r="F276" s="2" t="str">
        <f>_xlfn.XLOOKUP(C276,customers!$A$1:$A$1001,customers!$B$1:$B$1001,,0)</f>
        <v>Isis Hessel</v>
      </c>
      <c r="G276" s="2" t="str">
        <f>IF(_xlfn.XLOOKUP(C276,customers!$A$1:$A$1001,customers!$C$1:$C$1001,,0)=0,"",_xlfn.XLOOKUP(C276,customers!$A$1:$A$1001,customers!$C$1:$C$1001,,0))</f>
        <v>ihesselpf@ox.ac.uk</v>
      </c>
      <c r="H276" s="2" t="str">
        <f>_xlfn.XLOOKUP(C276,customers!$A$1:$A$1001,customers!$G$1:$G$1001,,0)</f>
        <v>United States</v>
      </c>
      <c r="I276" t="str">
        <f>INDEX(products!$A$1:$G$49, MATCH(orders!$D917,products!$A$1:$A964,0), MATCH(orders!I$1,products!$A$1:$G$1,0))</f>
        <v>Exc</v>
      </c>
      <c r="J276" t="str">
        <f>INDEX(products!$A$1:$G$49, MATCH(orders!$D917,products!$A$1:$A964,0), MATCH(orders!J$1,products!$A$1:$G$1,0))</f>
        <v>D</v>
      </c>
      <c r="K276" s="5">
        <f>INDEX(products!$A$1:$G$49, MATCH(orders!$D917,products!$A$1:$A964,0), MATCH(orders!K$1,products!$A$1:$G$1,0))</f>
        <v>2.5</v>
      </c>
      <c r="L276" s="6">
        <f>INDEX(products!$A$1:$G$49, MATCH(orders!$D917,products!$A$1:$A964,0), MATCH(orders!L$1,products!$A$1:$G$1,0))</f>
        <v>27.945</v>
      </c>
      <c r="M276" s="6">
        <f t="shared" si="12"/>
        <v>83.835000000000008</v>
      </c>
      <c r="N276" t="str">
        <f t="shared" si="13"/>
        <v>Excelsa</v>
      </c>
      <c r="O276" t="str">
        <f t="shared" si="14"/>
        <v>Dark</v>
      </c>
      <c r="P276" t="str">
        <f>_xlfn.XLOOKUP(Orders[[#This Row],[Customer ID]],customers!$A$1:$A$1001,customers!$I$1:$I$1001,,0)</f>
        <v>Yes</v>
      </c>
      <c r="Q276">
        <f>COUNTIF(Orders[Order ID],Orders[[#This Row],[Order ID]])</f>
        <v>1</v>
      </c>
      <c r="R276" s="10">
        <f>SUMIF(Orders[Order ID], Orders[[#This Row],[Order ID]],Orders[Sales])/Orders[[#This Row],[Order Frequency]]</f>
        <v>83.835000000000008</v>
      </c>
      <c r="S276" t="str">
        <f>IF(Orders[[#This Row],[Order Frequency]]&gt;4, "More than 4", IF(AND(Orders[[#This Row],[Order Frequency]]&lt;=4,Orders[[#This Row],[Order Frequency]]&gt;=2), "Between 4 and 2", "Less than 2"))</f>
        <v>Less than 2</v>
      </c>
      <c r="T276" t="str">
        <f>IF(Orders[[#This Row],[Frequency Group]]="less than 2", "Low Value", IF(Orders[[#This Row],[Frequency Group]]="between 4 and 2", "Medium Value", "High Value"))</f>
        <v>Low Value</v>
      </c>
      <c r="U276" t="str">
        <f>IF(Orders[[#This Row],[Sales]]&lt;50, "$0-50", IF(AND(Orders[[#This Row],[Sales]]&gt;=50,Orders[[#This Row],[Sales]]&lt;=100), "$50-100", IF(AND(Orders[[#This Row],[Sales]]&gt;100,Orders[[#This Row],[Sales]]&lt;=150), "$101-150", "$150+")))</f>
        <v>$50-100</v>
      </c>
      <c r="V276" t="str">
        <f>IF(Orders[[#This Row],[Sales]]&gt;MEDIAN(M:M), "High Price", "Low Price")</f>
        <v>High Price</v>
      </c>
      <c r="W276" t="str">
        <f>IF(Orders[[#This Row],[Quantity]]&gt;MEDIAN(E:E), "High Volume", "Low Volume")</f>
        <v>Low Volume</v>
      </c>
      <c r="X276" t="str">
        <f>Orders[[#This Row],[Sales Tier]] &amp; "-" &amp; Orders[[#This Row],[Quantity Tier]]</f>
        <v>High Price-Low Volume</v>
      </c>
      <c r="Y276" t="str">
        <f>TEXT(Orders[[#This Row],[Order Date]], "mmmm")</f>
        <v>May</v>
      </c>
      <c r="Z27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76" t="str">
        <f>Orders[[#This Row],[Coffee Type Name]] &amp; "-" &amp; Orders[[#This Row],[Roast Type Name]]</f>
        <v>Excelsa-Dark</v>
      </c>
      <c r="AB27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277" spans="1:28" x14ac:dyDescent="0.25">
      <c r="A277" s="2" t="s">
        <v>1430</v>
      </c>
      <c r="B277" s="4">
        <v>44777</v>
      </c>
      <c r="C277" s="2" t="s">
        <v>1431</v>
      </c>
      <c r="D277" t="s">
        <v>6139</v>
      </c>
      <c r="E277" s="2">
        <v>5</v>
      </c>
      <c r="F277" s="2" t="str">
        <f>_xlfn.XLOOKUP(C277,customers!$A$1:$A$1001,customers!$B$1:$B$1001,,0)</f>
        <v>Tamarah Fero</v>
      </c>
      <c r="G277" s="2" t="str">
        <f>IF(_xlfn.XLOOKUP(C277,customers!$A$1:$A$1001,customers!$C$1:$C$1001,,0)=0,"",_xlfn.XLOOKUP(C277,customers!$A$1:$A$1001,customers!$C$1:$C$1001,,0))</f>
        <v>tfero4n@comsenz.com</v>
      </c>
      <c r="H277" s="2" t="str">
        <f>_xlfn.XLOOKUP(C277,customers!$A$1:$A$1001,customers!$G$1:$G$1001,,0)</f>
        <v>United States</v>
      </c>
      <c r="I277" t="str">
        <f>INDEX(products!$A$1:$G$49, MATCH(orders!$D169,products!$A$1:$A216,0), MATCH(orders!I$1,products!$A$1:$G$1,0))</f>
        <v>Exc</v>
      </c>
      <c r="J277" t="str">
        <f>INDEX(products!$A$1:$G$49, MATCH(orders!$D169,products!$A$1:$A216,0), MATCH(orders!J$1,products!$A$1:$G$1,0))</f>
        <v>M</v>
      </c>
      <c r="K277" s="5">
        <f>INDEX(products!$A$1:$G$49, MATCH(orders!$D169,products!$A$1:$A216,0), MATCH(orders!K$1,products!$A$1:$G$1,0))</f>
        <v>0.5</v>
      </c>
      <c r="L277" s="6">
        <f>INDEX(products!$A$1:$G$49, MATCH(orders!$D169,products!$A$1:$A216,0), MATCH(orders!L$1,products!$A$1:$G$1,0))</f>
        <v>8.25</v>
      </c>
      <c r="M277" s="6">
        <f t="shared" si="12"/>
        <v>41.25</v>
      </c>
      <c r="N277" t="str">
        <f t="shared" si="13"/>
        <v>Excelsa</v>
      </c>
      <c r="O277" t="str">
        <f t="shared" si="14"/>
        <v>Medium</v>
      </c>
      <c r="P277" t="str">
        <f>_xlfn.XLOOKUP(Orders[[#This Row],[Customer ID]],customers!$A$1:$A$1001,customers!$I$1:$I$1001,,0)</f>
        <v>Yes</v>
      </c>
      <c r="Q277">
        <f>COUNTIF(Orders[Order ID],Orders[[#This Row],[Order ID]])</f>
        <v>1</v>
      </c>
      <c r="R277" s="10">
        <f>SUMIF(Orders[Order ID], Orders[[#This Row],[Order ID]],Orders[Sales])/Orders[[#This Row],[Order Frequency]]</f>
        <v>41.25</v>
      </c>
      <c r="S277" t="str">
        <f>IF(Orders[[#This Row],[Order Frequency]]&gt;4, "More than 4", IF(AND(Orders[[#This Row],[Order Frequency]]&lt;=4,Orders[[#This Row],[Order Frequency]]&gt;=2), "Between 4 and 2", "Less than 2"))</f>
        <v>Less than 2</v>
      </c>
      <c r="T277" t="str">
        <f>IF(Orders[[#This Row],[Frequency Group]]="less than 2", "Low Value", IF(Orders[[#This Row],[Frequency Group]]="between 4 and 2", "Medium Value", "High Value"))</f>
        <v>Low Value</v>
      </c>
      <c r="U277" t="str">
        <f>IF(Orders[[#This Row],[Sales]]&lt;50, "$0-50", IF(AND(Orders[[#This Row],[Sales]]&gt;=50,Orders[[#This Row],[Sales]]&lt;=100), "$50-100", IF(AND(Orders[[#This Row],[Sales]]&gt;100,Orders[[#This Row],[Sales]]&lt;=150), "$101-150", "$150+")))</f>
        <v>$0-50</v>
      </c>
      <c r="V277" t="str">
        <f>IF(Orders[[#This Row],[Sales]]&gt;MEDIAN(M:M), "High Price", "Low Price")</f>
        <v>High Price</v>
      </c>
      <c r="W277" t="str">
        <f>IF(Orders[[#This Row],[Quantity]]&gt;MEDIAN(E:E), "High Volume", "Low Volume")</f>
        <v>High Volume</v>
      </c>
      <c r="X277" t="str">
        <f>Orders[[#This Row],[Sales Tier]] &amp; "-" &amp; Orders[[#This Row],[Quantity Tier]]</f>
        <v>High Price-High Volume</v>
      </c>
      <c r="Y277" t="str">
        <f>TEXT(Orders[[#This Row],[Order Date]], "mmmm")</f>
        <v>August</v>
      </c>
      <c r="Z27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277" t="str">
        <f>Orders[[#This Row],[Coffee Type Name]] &amp; "-" &amp; Orders[[#This Row],[Roast Type Name]]</f>
        <v>Excelsa-Medium</v>
      </c>
      <c r="AB27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278" spans="1:28" x14ac:dyDescent="0.25">
      <c r="A278" s="2" t="s">
        <v>705</v>
      </c>
      <c r="B278" s="4">
        <v>43946</v>
      </c>
      <c r="C278" s="2" t="s">
        <v>706</v>
      </c>
      <c r="D278" t="s">
        <v>6151</v>
      </c>
      <c r="E278" s="2">
        <v>5</v>
      </c>
      <c r="F278" s="2" t="str">
        <f>_xlfn.XLOOKUP(C278,customers!$A$1:$A$1001,customers!$B$1:$B$1001,,0)</f>
        <v>Dorie de la Tremoille</v>
      </c>
      <c r="G278" s="2" t="str">
        <f>IF(_xlfn.XLOOKUP(C278,customers!$A$1:$A$1001,customers!$C$1:$C$1001,,0)=0,"",_xlfn.XLOOKUP(C278,customers!$A$1:$A$1001,customers!$C$1:$C$1001,,0))</f>
        <v>dde12@unesco.org</v>
      </c>
      <c r="H278" s="2" t="str">
        <f>_xlfn.XLOOKUP(C278,customers!$A$1:$A$1001,customers!$G$1:$G$1001,,0)</f>
        <v>United States</v>
      </c>
      <c r="I278" t="str">
        <f>INDEX(products!$A$1:$G$49, MATCH(orders!$D40,products!$A$1:$A87,0), MATCH(orders!I$1,products!$A$1:$G$1,0))</f>
        <v>Rob</v>
      </c>
      <c r="J278" t="str">
        <f>INDEX(products!$A$1:$G$49, MATCH(orders!$D40,products!$A$1:$A87,0), MATCH(orders!J$1,products!$A$1:$G$1,0))</f>
        <v>M</v>
      </c>
      <c r="K278" s="5">
        <f>INDEX(products!$A$1:$G$49, MATCH(orders!$D40,products!$A$1:$A87,0), MATCH(orders!K$1,products!$A$1:$G$1,0))</f>
        <v>2.5</v>
      </c>
      <c r="L278" s="6">
        <f>INDEX(products!$A$1:$G$49, MATCH(orders!$D40,products!$A$1:$A87,0), MATCH(orders!L$1,products!$A$1:$G$1,0))</f>
        <v>22.884999999999998</v>
      </c>
      <c r="M278" s="6">
        <f t="shared" si="12"/>
        <v>114.42499999999998</v>
      </c>
      <c r="N278" t="str">
        <f t="shared" si="13"/>
        <v>Robusta</v>
      </c>
      <c r="O278" t="str">
        <f t="shared" si="14"/>
        <v>Medium</v>
      </c>
      <c r="P278" t="str">
        <f>_xlfn.XLOOKUP(Orders[[#This Row],[Customer ID]],customers!$A$1:$A$1001,customers!$I$1:$I$1001,,0)</f>
        <v>No</v>
      </c>
      <c r="Q278">
        <f>COUNTIF(Orders[Order ID],Orders[[#This Row],[Order ID]])</f>
        <v>1</v>
      </c>
      <c r="R278" s="10">
        <f>SUMIF(Orders[Order ID], Orders[[#This Row],[Order ID]],Orders[Sales])/Orders[[#This Row],[Order Frequency]]</f>
        <v>114.42499999999998</v>
      </c>
      <c r="S278" t="str">
        <f>IF(Orders[[#This Row],[Order Frequency]]&gt;4, "More than 4", IF(AND(Orders[[#This Row],[Order Frequency]]&lt;=4,Orders[[#This Row],[Order Frequency]]&gt;=2), "Between 4 and 2", "Less than 2"))</f>
        <v>Less than 2</v>
      </c>
      <c r="T278" t="str">
        <f>IF(Orders[[#This Row],[Frequency Group]]="less than 2", "Low Value", IF(Orders[[#This Row],[Frequency Group]]="between 4 and 2", "Medium Value", "High Value"))</f>
        <v>Low Value</v>
      </c>
      <c r="U278" t="str">
        <f>IF(Orders[[#This Row],[Sales]]&lt;50, "$0-50", IF(AND(Orders[[#This Row],[Sales]]&gt;=50,Orders[[#This Row],[Sales]]&lt;=100), "$50-100", IF(AND(Orders[[#This Row],[Sales]]&gt;100,Orders[[#This Row],[Sales]]&lt;=150), "$101-150", "$150+")))</f>
        <v>$101-150</v>
      </c>
      <c r="V278" t="str">
        <f>IF(Orders[[#This Row],[Sales]]&gt;MEDIAN(M:M), "High Price", "Low Price")</f>
        <v>High Price</v>
      </c>
      <c r="W278" t="str">
        <f>IF(Orders[[#This Row],[Quantity]]&gt;MEDIAN(E:E), "High Volume", "Low Volume")</f>
        <v>High Volume</v>
      </c>
      <c r="X278" t="str">
        <f>Orders[[#This Row],[Sales Tier]] &amp; "-" &amp; Orders[[#This Row],[Quantity Tier]]</f>
        <v>High Price-High Volume</v>
      </c>
      <c r="Y278" t="str">
        <f>TEXT(Orders[[#This Row],[Order Date]], "mmmm")</f>
        <v>April</v>
      </c>
      <c r="Z27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78" t="str">
        <f>Orders[[#This Row],[Coffee Type Name]] &amp; "-" &amp; Orders[[#This Row],[Roast Type Name]]</f>
        <v>Robusta-Medium</v>
      </c>
      <c r="AB27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279" spans="1:28" x14ac:dyDescent="0.25">
      <c r="A279" s="2" t="s">
        <v>2543</v>
      </c>
      <c r="B279" s="4">
        <v>43582</v>
      </c>
      <c r="C279" s="2" t="s">
        <v>2544</v>
      </c>
      <c r="D279" t="s">
        <v>6183</v>
      </c>
      <c r="E279" s="2">
        <v>6</v>
      </c>
      <c r="F279" s="2" t="str">
        <f>_xlfn.XLOOKUP(C279,customers!$A$1:$A$1001,customers!$B$1:$B$1001,,0)</f>
        <v>Parker Tofful</v>
      </c>
      <c r="G279" s="2" t="str">
        <f>IF(_xlfn.XLOOKUP(C279,customers!$A$1:$A$1001,customers!$C$1:$C$1001,,0)=0,"",_xlfn.XLOOKUP(C279,customers!$A$1:$A$1001,customers!$C$1:$C$1001,,0))</f>
        <v>ptoffula4@posterous.com</v>
      </c>
      <c r="H279" s="2" t="str">
        <f>_xlfn.XLOOKUP(C279,customers!$A$1:$A$1001,customers!$G$1:$G$1001,,0)</f>
        <v>United States</v>
      </c>
      <c r="I279" t="str">
        <f>INDEX(products!$A$1:$G$49, MATCH(orders!$D366,products!$A$1:$A413,0), MATCH(orders!I$1,products!$A$1:$G$1,0))</f>
        <v>Exc</v>
      </c>
      <c r="J279" t="str">
        <f>INDEX(products!$A$1:$G$49, MATCH(orders!$D366,products!$A$1:$A413,0), MATCH(orders!J$1,products!$A$1:$G$1,0))</f>
        <v>D</v>
      </c>
      <c r="K279" s="5">
        <f>INDEX(products!$A$1:$G$49, MATCH(orders!$D366,products!$A$1:$A413,0), MATCH(orders!K$1,products!$A$1:$G$1,0))</f>
        <v>1</v>
      </c>
      <c r="L279" s="6">
        <f>INDEX(products!$A$1:$G$49, MATCH(orders!$D366,products!$A$1:$A413,0), MATCH(orders!L$1,products!$A$1:$G$1,0))</f>
        <v>12.15</v>
      </c>
      <c r="M279" s="6">
        <f t="shared" si="12"/>
        <v>72.900000000000006</v>
      </c>
      <c r="N279" t="str">
        <f t="shared" si="13"/>
        <v>Excelsa</v>
      </c>
      <c r="O279" t="str">
        <f t="shared" si="14"/>
        <v>Dark</v>
      </c>
      <c r="P279" t="str">
        <f>_xlfn.XLOOKUP(Orders[[#This Row],[Customer ID]],customers!$A$1:$A$1001,customers!$I$1:$I$1001,,0)</f>
        <v>Yes</v>
      </c>
      <c r="Q279">
        <f>COUNTIF(Orders[Order ID],Orders[[#This Row],[Order ID]])</f>
        <v>1</v>
      </c>
      <c r="R279" s="10">
        <f>SUMIF(Orders[Order ID], Orders[[#This Row],[Order ID]],Orders[Sales])/Orders[[#This Row],[Order Frequency]]</f>
        <v>72.900000000000006</v>
      </c>
      <c r="S279" t="str">
        <f>IF(Orders[[#This Row],[Order Frequency]]&gt;4, "More than 4", IF(AND(Orders[[#This Row],[Order Frequency]]&lt;=4,Orders[[#This Row],[Order Frequency]]&gt;=2), "Between 4 and 2", "Less than 2"))</f>
        <v>Less than 2</v>
      </c>
      <c r="T279" t="str">
        <f>IF(Orders[[#This Row],[Frequency Group]]="less than 2", "Low Value", IF(Orders[[#This Row],[Frequency Group]]="between 4 and 2", "Medium Value", "High Value"))</f>
        <v>Low Value</v>
      </c>
      <c r="U279" t="str">
        <f>IF(Orders[[#This Row],[Sales]]&lt;50, "$0-50", IF(AND(Orders[[#This Row],[Sales]]&gt;=50,Orders[[#This Row],[Sales]]&lt;=100), "$50-100", IF(AND(Orders[[#This Row],[Sales]]&gt;100,Orders[[#This Row],[Sales]]&lt;=150), "$101-150", "$150+")))</f>
        <v>$50-100</v>
      </c>
      <c r="V279" t="str">
        <f>IF(Orders[[#This Row],[Sales]]&gt;MEDIAN(M:M), "High Price", "Low Price")</f>
        <v>High Price</v>
      </c>
      <c r="W279" t="str">
        <f>IF(Orders[[#This Row],[Quantity]]&gt;MEDIAN(E:E), "High Volume", "Low Volume")</f>
        <v>High Volume</v>
      </c>
      <c r="X279" t="str">
        <f>Orders[[#This Row],[Sales Tier]] &amp; "-" &amp; Orders[[#This Row],[Quantity Tier]]</f>
        <v>High Price-High Volume</v>
      </c>
      <c r="Y279" t="str">
        <f>TEXT(Orders[[#This Row],[Order Date]], "mmmm")</f>
        <v>April</v>
      </c>
      <c r="Z27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79" t="str">
        <f>Orders[[#This Row],[Coffee Type Name]] &amp; "-" &amp; Orders[[#This Row],[Roast Type Name]]</f>
        <v>Excelsa-Dark</v>
      </c>
      <c r="AB27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280" spans="1:28" x14ac:dyDescent="0.25">
      <c r="A280" s="2" t="s">
        <v>5884</v>
      </c>
      <c r="B280" s="4">
        <v>44722</v>
      </c>
      <c r="C280" s="2" t="s">
        <v>5764</v>
      </c>
      <c r="D280" t="s">
        <v>6185</v>
      </c>
      <c r="E280" s="2">
        <v>1</v>
      </c>
      <c r="F280" s="2" t="str">
        <f>_xlfn.XLOOKUP(C280,customers!$A$1:$A$1001,customers!$B$1:$B$1001,,0)</f>
        <v>Brenn Dundredge</v>
      </c>
      <c r="G280" s="2" t="str">
        <f>IF(_xlfn.XLOOKUP(C280,customers!$A$1:$A$1001,customers!$C$1:$C$1001,,0)=0,"",_xlfn.XLOOKUP(C280,customers!$A$1:$A$1001,customers!$C$1:$C$1001,,0))</f>
        <v/>
      </c>
      <c r="H280" s="2" t="str">
        <f>_xlfn.XLOOKUP(C280,customers!$A$1:$A$1001,customers!$G$1:$G$1001,,0)</f>
        <v>United States</v>
      </c>
      <c r="I280" t="str">
        <f>INDEX(products!$A$1:$G$49, MATCH(orders!$D956,products!$A$1:$A1003,0), MATCH(orders!I$1,products!$A$1:$G$1,0))</f>
        <v>Exc</v>
      </c>
      <c r="J280" t="str">
        <f>INDEX(products!$A$1:$G$49, MATCH(orders!$D956,products!$A$1:$A1003,0), MATCH(orders!J$1,products!$A$1:$G$1,0))</f>
        <v>D</v>
      </c>
      <c r="K280" s="5">
        <f>INDEX(products!$A$1:$G$49, MATCH(orders!$D956,products!$A$1:$A1003,0), MATCH(orders!K$1,products!$A$1:$G$1,0))</f>
        <v>2.5</v>
      </c>
      <c r="L280" s="6">
        <f>INDEX(products!$A$1:$G$49, MATCH(orders!$D956,products!$A$1:$A1003,0), MATCH(orders!L$1,products!$A$1:$G$1,0))</f>
        <v>27.945</v>
      </c>
      <c r="M280" s="6">
        <f t="shared" si="12"/>
        <v>27.945</v>
      </c>
      <c r="N280" t="str">
        <f t="shared" si="13"/>
        <v>Excelsa</v>
      </c>
      <c r="O280" t="str">
        <f t="shared" si="14"/>
        <v>Dark</v>
      </c>
      <c r="P280" t="str">
        <f>_xlfn.XLOOKUP(Orders[[#This Row],[Customer ID]],customers!$A$1:$A$1001,customers!$I$1:$I$1001,,0)</f>
        <v>Yes</v>
      </c>
      <c r="Q280">
        <f>COUNTIF(Orders[Order ID],Orders[[#This Row],[Order ID]])</f>
        <v>1</v>
      </c>
      <c r="R280" s="10">
        <f>SUMIF(Orders[Order ID], Orders[[#This Row],[Order ID]],Orders[Sales])/Orders[[#This Row],[Order Frequency]]</f>
        <v>27.945</v>
      </c>
      <c r="S280" t="str">
        <f>IF(Orders[[#This Row],[Order Frequency]]&gt;4, "More than 4", IF(AND(Orders[[#This Row],[Order Frequency]]&lt;=4,Orders[[#This Row],[Order Frequency]]&gt;=2), "Between 4 and 2", "Less than 2"))</f>
        <v>Less than 2</v>
      </c>
      <c r="T280" t="str">
        <f>IF(Orders[[#This Row],[Frequency Group]]="less than 2", "Low Value", IF(Orders[[#This Row],[Frequency Group]]="between 4 and 2", "Medium Value", "High Value"))</f>
        <v>Low Value</v>
      </c>
      <c r="U280" t="str">
        <f>IF(Orders[[#This Row],[Sales]]&lt;50, "$0-50", IF(AND(Orders[[#This Row],[Sales]]&gt;=50,Orders[[#This Row],[Sales]]&lt;=100), "$50-100", IF(AND(Orders[[#This Row],[Sales]]&gt;100,Orders[[#This Row],[Sales]]&lt;=150), "$101-150", "$150+")))</f>
        <v>$0-50</v>
      </c>
      <c r="V280" t="str">
        <f>IF(Orders[[#This Row],[Sales]]&gt;MEDIAN(M:M), "High Price", "Low Price")</f>
        <v>Low Price</v>
      </c>
      <c r="W280" t="str">
        <f>IF(Orders[[#This Row],[Quantity]]&gt;MEDIAN(E:E), "High Volume", "Low Volume")</f>
        <v>Low Volume</v>
      </c>
      <c r="X280" t="str">
        <f>Orders[[#This Row],[Sales Tier]] &amp; "-" &amp; Orders[[#This Row],[Quantity Tier]]</f>
        <v>Low Price-Low Volume</v>
      </c>
      <c r="Y280" t="str">
        <f>TEXT(Orders[[#This Row],[Order Date]], "mmmm")</f>
        <v>June</v>
      </c>
      <c r="Z28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80" t="str">
        <f>Orders[[#This Row],[Coffee Type Name]] &amp; "-" &amp; Orders[[#This Row],[Roast Type Name]]</f>
        <v>Excelsa-Dark</v>
      </c>
      <c r="AB28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281" spans="1:28" x14ac:dyDescent="0.25">
      <c r="A281" s="2" t="s">
        <v>2911</v>
      </c>
      <c r="B281" s="4">
        <v>44504</v>
      </c>
      <c r="C281" s="2" t="s">
        <v>2912</v>
      </c>
      <c r="D281" t="s">
        <v>6163</v>
      </c>
      <c r="E281" s="2">
        <v>2</v>
      </c>
      <c r="F281" s="2" t="str">
        <f>_xlfn.XLOOKUP(C281,customers!$A$1:$A$1001,customers!$B$1:$B$1001,,0)</f>
        <v>Melosa Kippen</v>
      </c>
      <c r="G281" s="2" t="str">
        <f>IF(_xlfn.XLOOKUP(C281,customers!$A$1:$A$1001,customers!$C$1:$C$1001,,0)=0,"",_xlfn.XLOOKUP(C281,customers!$A$1:$A$1001,customers!$C$1:$C$1001,,0))</f>
        <v>mkippenby@dion.ne.jp</v>
      </c>
      <c r="H281" s="2" t="str">
        <f>_xlfn.XLOOKUP(C281,customers!$A$1:$A$1001,customers!$G$1:$G$1001,,0)</f>
        <v>United States</v>
      </c>
      <c r="I281" t="str">
        <f>INDEX(products!$A$1:$G$49, MATCH(orders!$D432,products!$A$1:$A479,0), MATCH(orders!I$1,products!$A$1:$G$1,0))</f>
        <v>Rob</v>
      </c>
      <c r="J281" t="str">
        <f>INDEX(products!$A$1:$G$49, MATCH(orders!$D432,products!$A$1:$A479,0), MATCH(orders!J$1,products!$A$1:$G$1,0))</f>
        <v>D</v>
      </c>
      <c r="K281" s="5">
        <f>INDEX(products!$A$1:$G$49, MATCH(orders!$D432,products!$A$1:$A479,0), MATCH(orders!K$1,products!$A$1:$G$1,0))</f>
        <v>0.2</v>
      </c>
      <c r="L281" s="6">
        <f>INDEX(products!$A$1:$G$49, MATCH(orders!$D432,products!$A$1:$A479,0), MATCH(orders!L$1,products!$A$1:$G$1,0))</f>
        <v>2.6849999999999996</v>
      </c>
      <c r="M281" s="6">
        <f t="shared" si="12"/>
        <v>5.3699999999999992</v>
      </c>
      <c r="N281" t="str">
        <f t="shared" si="13"/>
        <v>Robusta</v>
      </c>
      <c r="O281" t="str">
        <f t="shared" si="14"/>
        <v>Dark</v>
      </c>
      <c r="P281" t="str">
        <f>_xlfn.XLOOKUP(Orders[[#This Row],[Customer ID]],customers!$A$1:$A$1001,customers!$I$1:$I$1001,,0)</f>
        <v>Yes</v>
      </c>
      <c r="Q281">
        <f>COUNTIF(Orders[Order ID],Orders[[#This Row],[Order ID]])</f>
        <v>1</v>
      </c>
      <c r="R281" s="10">
        <f>SUMIF(Orders[Order ID], Orders[[#This Row],[Order ID]],Orders[Sales])/Orders[[#This Row],[Order Frequency]]</f>
        <v>5.3699999999999992</v>
      </c>
      <c r="S281" t="str">
        <f>IF(Orders[[#This Row],[Order Frequency]]&gt;4, "More than 4", IF(AND(Orders[[#This Row],[Order Frequency]]&lt;=4,Orders[[#This Row],[Order Frequency]]&gt;=2), "Between 4 and 2", "Less than 2"))</f>
        <v>Less than 2</v>
      </c>
      <c r="T281" t="str">
        <f>IF(Orders[[#This Row],[Frequency Group]]="less than 2", "Low Value", IF(Orders[[#This Row],[Frequency Group]]="between 4 and 2", "Medium Value", "High Value"))</f>
        <v>Low Value</v>
      </c>
      <c r="U281" t="str">
        <f>IF(Orders[[#This Row],[Sales]]&lt;50, "$0-50", IF(AND(Orders[[#This Row],[Sales]]&gt;=50,Orders[[#This Row],[Sales]]&lt;=100), "$50-100", IF(AND(Orders[[#This Row],[Sales]]&gt;100,Orders[[#This Row],[Sales]]&lt;=150), "$101-150", "$150+")))</f>
        <v>$0-50</v>
      </c>
      <c r="V281" t="str">
        <f>IF(Orders[[#This Row],[Sales]]&gt;MEDIAN(M:M), "High Price", "Low Price")</f>
        <v>Low Price</v>
      </c>
      <c r="W281" t="str">
        <f>IF(Orders[[#This Row],[Quantity]]&gt;MEDIAN(E:E), "High Volume", "Low Volume")</f>
        <v>Low Volume</v>
      </c>
      <c r="X281" t="str">
        <f>Orders[[#This Row],[Sales Tier]] &amp; "-" &amp; Orders[[#This Row],[Quantity Tier]]</f>
        <v>Low Price-Low Volume</v>
      </c>
      <c r="Y281" t="str">
        <f>TEXT(Orders[[#This Row],[Order Date]], "mmmm")</f>
        <v>November</v>
      </c>
      <c r="Z28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281" t="str">
        <f>Orders[[#This Row],[Coffee Type Name]] &amp; "-" &amp; Orders[[#This Row],[Roast Type Name]]</f>
        <v>Robusta-Dark</v>
      </c>
      <c r="AB28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282" spans="1:28" x14ac:dyDescent="0.25">
      <c r="A282" s="2" t="s">
        <v>5240</v>
      </c>
      <c r="B282" s="4">
        <v>44574</v>
      </c>
      <c r="C282" s="2" t="s">
        <v>5241</v>
      </c>
      <c r="D282" t="s">
        <v>6173</v>
      </c>
      <c r="E282" s="2">
        <v>4</v>
      </c>
      <c r="F282" s="2" t="str">
        <f>_xlfn.XLOOKUP(C282,customers!$A$1:$A$1001,customers!$B$1:$B$1001,,0)</f>
        <v>Janeva Edinboro</v>
      </c>
      <c r="G282" s="2" t="str">
        <f>IF(_xlfn.XLOOKUP(C282,customers!$A$1:$A$1001,customers!$C$1:$C$1001,,0)=0,"",_xlfn.XLOOKUP(C282,customers!$A$1:$A$1001,customers!$C$1:$C$1001,,0))</f>
        <v>jedinboronc@reverbnation.com</v>
      </c>
      <c r="H282" s="2" t="str">
        <f>_xlfn.XLOOKUP(C282,customers!$A$1:$A$1001,customers!$G$1:$G$1001,,0)</f>
        <v>United States</v>
      </c>
      <c r="I282" t="str">
        <f>INDEX(products!$A$1:$G$49, MATCH(orders!$D842,products!$A$1:$A889,0), MATCH(orders!I$1,products!$A$1:$G$1,0))</f>
        <v>Rob</v>
      </c>
      <c r="J282" t="str">
        <f>INDEX(products!$A$1:$G$49, MATCH(orders!$D842,products!$A$1:$A889,0), MATCH(orders!J$1,products!$A$1:$G$1,0))</f>
        <v>L</v>
      </c>
      <c r="K282" s="5">
        <f>INDEX(products!$A$1:$G$49, MATCH(orders!$D842,products!$A$1:$A889,0), MATCH(orders!K$1,products!$A$1:$G$1,0))</f>
        <v>0.5</v>
      </c>
      <c r="L282" s="6">
        <f>INDEX(products!$A$1:$G$49, MATCH(orders!$D842,products!$A$1:$A889,0), MATCH(orders!L$1,products!$A$1:$G$1,0))</f>
        <v>7.169999999999999</v>
      </c>
      <c r="M282" s="6">
        <f t="shared" si="12"/>
        <v>28.679999999999996</v>
      </c>
      <c r="N282" t="str">
        <f t="shared" si="13"/>
        <v>Robusta</v>
      </c>
      <c r="O282" t="str">
        <f t="shared" si="14"/>
        <v>Light</v>
      </c>
      <c r="P282" t="str">
        <f>_xlfn.XLOOKUP(Orders[[#This Row],[Customer ID]],customers!$A$1:$A$1001,customers!$I$1:$I$1001,,0)</f>
        <v>Yes</v>
      </c>
      <c r="Q282">
        <f>COUNTIF(Orders[Order ID],Orders[[#This Row],[Order ID]])</f>
        <v>1</v>
      </c>
      <c r="R282" s="10">
        <f>SUMIF(Orders[Order ID], Orders[[#This Row],[Order ID]],Orders[Sales])/Orders[[#This Row],[Order Frequency]]</f>
        <v>28.679999999999996</v>
      </c>
      <c r="S282" t="str">
        <f>IF(Orders[[#This Row],[Order Frequency]]&gt;4, "More than 4", IF(AND(Orders[[#This Row],[Order Frequency]]&lt;=4,Orders[[#This Row],[Order Frequency]]&gt;=2), "Between 4 and 2", "Less than 2"))</f>
        <v>Less than 2</v>
      </c>
      <c r="T282" t="str">
        <f>IF(Orders[[#This Row],[Frequency Group]]="less than 2", "Low Value", IF(Orders[[#This Row],[Frequency Group]]="between 4 and 2", "Medium Value", "High Value"))</f>
        <v>Low Value</v>
      </c>
      <c r="U282" t="str">
        <f>IF(Orders[[#This Row],[Sales]]&lt;50, "$0-50", IF(AND(Orders[[#This Row],[Sales]]&gt;=50,Orders[[#This Row],[Sales]]&lt;=100), "$50-100", IF(AND(Orders[[#This Row],[Sales]]&gt;100,Orders[[#This Row],[Sales]]&lt;=150), "$101-150", "$150+")))</f>
        <v>$0-50</v>
      </c>
      <c r="V282" t="str">
        <f>IF(Orders[[#This Row],[Sales]]&gt;MEDIAN(M:M), "High Price", "Low Price")</f>
        <v>Low Price</v>
      </c>
      <c r="W282" t="str">
        <f>IF(Orders[[#This Row],[Quantity]]&gt;MEDIAN(E:E), "High Volume", "Low Volume")</f>
        <v>Low Volume</v>
      </c>
      <c r="X282" t="str">
        <f>Orders[[#This Row],[Sales Tier]] &amp; "-" &amp; Orders[[#This Row],[Quantity Tier]]</f>
        <v>Low Price-Low Volume</v>
      </c>
      <c r="Y282" t="str">
        <f>TEXT(Orders[[#This Row],[Order Date]], "mmmm")</f>
        <v>January</v>
      </c>
      <c r="Z28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282" t="str">
        <f>Orders[[#This Row],[Coffee Type Name]] &amp; "-" &amp; Orders[[#This Row],[Roast Type Name]]</f>
        <v>Robusta-Light</v>
      </c>
      <c r="AB28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283" spans="1:28" x14ac:dyDescent="0.25">
      <c r="A283" s="2" t="s">
        <v>2385</v>
      </c>
      <c r="B283" s="4">
        <v>44434</v>
      </c>
      <c r="C283" s="2" t="s">
        <v>2386</v>
      </c>
      <c r="D283" t="s">
        <v>6155</v>
      </c>
      <c r="E283" s="2">
        <v>4</v>
      </c>
      <c r="F283" s="2" t="str">
        <f>_xlfn.XLOOKUP(C283,customers!$A$1:$A$1001,customers!$B$1:$B$1001,,0)</f>
        <v>Terencio O'Moylan</v>
      </c>
      <c r="G283" s="2" t="str">
        <f>IF(_xlfn.XLOOKUP(C283,customers!$A$1:$A$1001,customers!$C$1:$C$1001,,0)=0,"",_xlfn.XLOOKUP(C283,customers!$A$1:$A$1001,customers!$C$1:$C$1001,,0))</f>
        <v>tomoylan9c@liveinternet.ru</v>
      </c>
      <c r="H283" s="2" t="str">
        <f>_xlfn.XLOOKUP(C283,customers!$A$1:$A$1001,customers!$G$1:$G$1001,,0)</f>
        <v>United Kingdom</v>
      </c>
      <c r="I283" t="str">
        <f>INDEX(products!$A$1:$G$49, MATCH(orders!$D338,products!$A$1:$A385,0), MATCH(orders!I$1,products!$A$1:$G$1,0))</f>
        <v>Ara</v>
      </c>
      <c r="J283" t="str">
        <f>INDEX(products!$A$1:$G$49, MATCH(orders!$D338,products!$A$1:$A385,0), MATCH(orders!J$1,products!$A$1:$G$1,0))</f>
        <v>M</v>
      </c>
      <c r="K283" s="5">
        <f>INDEX(products!$A$1:$G$49, MATCH(orders!$D338,products!$A$1:$A385,0), MATCH(orders!K$1,products!$A$1:$G$1,0))</f>
        <v>1</v>
      </c>
      <c r="L283" s="6">
        <f>INDEX(products!$A$1:$G$49, MATCH(orders!$D338,products!$A$1:$A385,0), MATCH(orders!L$1,products!$A$1:$G$1,0))</f>
        <v>11.25</v>
      </c>
      <c r="M283" s="6">
        <f t="shared" si="12"/>
        <v>45</v>
      </c>
      <c r="N283" t="str">
        <f t="shared" si="13"/>
        <v>Arabica</v>
      </c>
      <c r="O283" t="str">
        <f t="shared" si="14"/>
        <v>Medium</v>
      </c>
      <c r="P283" t="str">
        <f>_xlfn.XLOOKUP(Orders[[#This Row],[Customer ID]],customers!$A$1:$A$1001,customers!$I$1:$I$1001,,0)</f>
        <v>No</v>
      </c>
      <c r="Q283">
        <f>COUNTIF(Orders[Order ID],Orders[[#This Row],[Order ID]])</f>
        <v>1</v>
      </c>
      <c r="R283" s="10">
        <f>SUMIF(Orders[Order ID], Orders[[#This Row],[Order ID]],Orders[Sales])/Orders[[#This Row],[Order Frequency]]</f>
        <v>45</v>
      </c>
      <c r="S283" t="str">
        <f>IF(Orders[[#This Row],[Order Frequency]]&gt;4, "More than 4", IF(AND(Orders[[#This Row],[Order Frequency]]&lt;=4,Orders[[#This Row],[Order Frequency]]&gt;=2), "Between 4 and 2", "Less than 2"))</f>
        <v>Less than 2</v>
      </c>
      <c r="T283" t="str">
        <f>IF(Orders[[#This Row],[Frequency Group]]="less than 2", "Low Value", IF(Orders[[#This Row],[Frequency Group]]="between 4 and 2", "Medium Value", "High Value"))</f>
        <v>Low Value</v>
      </c>
      <c r="U283" t="str">
        <f>IF(Orders[[#This Row],[Sales]]&lt;50, "$0-50", IF(AND(Orders[[#This Row],[Sales]]&gt;=50,Orders[[#This Row],[Sales]]&lt;=100), "$50-100", IF(AND(Orders[[#This Row],[Sales]]&gt;100,Orders[[#This Row],[Sales]]&lt;=150), "$101-150", "$150+")))</f>
        <v>$0-50</v>
      </c>
      <c r="V283" t="str">
        <f>IF(Orders[[#This Row],[Sales]]&gt;MEDIAN(M:M), "High Price", "Low Price")</f>
        <v>High Price</v>
      </c>
      <c r="W283" t="str">
        <f>IF(Orders[[#This Row],[Quantity]]&gt;MEDIAN(E:E), "High Volume", "Low Volume")</f>
        <v>Low Volume</v>
      </c>
      <c r="X283" t="str">
        <f>Orders[[#This Row],[Sales Tier]] &amp; "-" &amp; Orders[[#This Row],[Quantity Tier]]</f>
        <v>High Price-Low Volume</v>
      </c>
      <c r="Y283" t="str">
        <f>TEXT(Orders[[#This Row],[Order Date]], "mmmm")</f>
        <v>August</v>
      </c>
      <c r="Z28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283" t="str">
        <f>Orders[[#This Row],[Coffee Type Name]] &amp; "-" &amp; Orders[[#This Row],[Roast Type Name]]</f>
        <v>Arabica-Medium</v>
      </c>
      <c r="AB28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284" spans="1:28" x14ac:dyDescent="0.25">
      <c r="A284" s="2" t="s">
        <v>5170</v>
      </c>
      <c r="B284" s="4">
        <v>44505</v>
      </c>
      <c r="C284" s="2" t="s">
        <v>5171</v>
      </c>
      <c r="D284" t="s">
        <v>6168</v>
      </c>
      <c r="E284" s="2">
        <v>6</v>
      </c>
      <c r="F284" s="2" t="str">
        <f>_xlfn.XLOOKUP(C284,customers!$A$1:$A$1001,customers!$B$1:$B$1001,,0)</f>
        <v>Adora Roubert</v>
      </c>
      <c r="G284" s="2" t="str">
        <f>IF(_xlfn.XLOOKUP(C284,customers!$A$1:$A$1001,customers!$C$1:$C$1001,,0)=0,"",_xlfn.XLOOKUP(C284,customers!$A$1:$A$1001,customers!$C$1:$C$1001,,0))</f>
        <v>aroubertn0@tmall.com</v>
      </c>
      <c r="H284" s="2" t="str">
        <f>_xlfn.XLOOKUP(C284,customers!$A$1:$A$1001,customers!$G$1:$G$1001,,0)</f>
        <v>United States</v>
      </c>
      <c r="I284" t="str">
        <f>INDEX(products!$A$1:$G$49, MATCH(orders!$D830,products!$A$1:$A877,0), MATCH(orders!I$1,products!$A$1:$G$1,0))</f>
        <v>Ara</v>
      </c>
      <c r="J284" t="str">
        <f>INDEX(products!$A$1:$G$49, MATCH(orders!$D830,products!$A$1:$A877,0), MATCH(orders!J$1,products!$A$1:$G$1,0))</f>
        <v>D</v>
      </c>
      <c r="K284" s="5">
        <f>INDEX(products!$A$1:$G$49, MATCH(orders!$D830,products!$A$1:$A877,0), MATCH(orders!K$1,products!$A$1:$G$1,0))</f>
        <v>2.5</v>
      </c>
      <c r="L284" s="6">
        <f>INDEX(products!$A$1:$G$49, MATCH(orders!$D830,products!$A$1:$A877,0), MATCH(orders!L$1,products!$A$1:$G$1,0))</f>
        <v>22.884999999999998</v>
      </c>
      <c r="M284" s="6">
        <f t="shared" si="12"/>
        <v>137.31</v>
      </c>
      <c r="N284" t="str">
        <f t="shared" si="13"/>
        <v>Arabica</v>
      </c>
      <c r="O284" t="str">
        <f t="shared" si="14"/>
        <v>Dark</v>
      </c>
      <c r="P284" t="str">
        <f>_xlfn.XLOOKUP(Orders[[#This Row],[Customer ID]],customers!$A$1:$A$1001,customers!$I$1:$I$1001,,0)</f>
        <v>Yes</v>
      </c>
      <c r="Q284">
        <f>COUNTIF(Orders[Order ID],Orders[[#This Row],[Order ID]])</f>
        <v>1</v>
      </c>
      <c r="R284" s="10">
        <f>SUMIF(Orders[Order ID], Orders[[#This Row],[Order ID]],Orders[Sales])/Orders[[#This Row],[Order Frequency]]</f>
        <v>137.31</v>
      </c>
      <c r="S284" t="str">
        <f>IF(Orders[[#This Row],[Order Frequency]]&gt;4, "More than 4", IF(AND(Orders[[#This Row],[Order Frequency]]&lt;=4,Orders[[#This Row],[Order Frequency]]&gt;=2), "Between 4 and 2", "Less than 2"))</f>
        <v>Less than 2</v>
      </c>
      <c r="T284" t="str">
        <f>IF(Orders[[#This Row],[Frequency Group]]="less than 2", "Low Value", IF(Orders[[#This Row],[Frequency Group]]="between 4 and 2", "Medium Value", "High Value"))</f>
        <v>Low Value</v>
      </c>
      <c r="U284" t="str">
        <f>IF(Orders[[#This Row],[Sales]]&lt;50, "$0-50", IF(AND(Orders[[#This Row],[Sales]]&gt;=50,Orders[[#This Row],[Sales]]&lt;=100), "$50-100", IF(AND(Orders[[#This Row],[Sales]]&gt;100,Orders[[#This Row],[Sales]]&lt;=150), "$101-150", "$150+")))</f>
        <v>$101-150</v>
      </c>
      <c r="V284" t="str">
        <f>IF(Orders[[#This Row],[Sales]]&gt;MEDIAN(M:M), "High Price", "Low Price")</f>
        <v>High Price</v>
      </c>
      <c r="W284" t="str">
        <f>IF(Orders[[#This Row],[Quantity]]&gt;MEDIAN(E:E), "High Volume", "Low Volume")</f>
        <v>High Volume</v>
      </c>
      <c r="X284" t="str">
        <f>Orders[[#This Row],[Sales Tier]] &amp; "-" &amp; Orders[[#This Row],[Quantity Tier]]</f>
        <v>High Price-High Volume</v>
      </c>
      <c r="Y284" t="str">
        <f>TEXT(Orders[[#This Row],[Order Date]], "mmmm")</f>
        <v>November</v>
      </c>
      <c r="Z28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284" t="str">
        <f>Orders[[#This Row],[Coffee Type Name]] &amp; "-" &amp; Orders[[#This Row],[Roast Type Name]]</f>
        <v>Arabica-Dark</v>
      </c>
      <c r="AB28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285" spans="1:28" x14ac:dyDescent="0.25">
      <c r="A285" s="2" t="s">
        <v>5391</v>
      </c>
      <c r="B285" s="4">
        <v>44792</v>
      </c>
      <c r="C285" s="2" t="s">
        <v>5392</v>
      </c>
      <c r="D285" t="s">
        <v>6182</v>
      </c>
      <c r="E285" s="2">
        <v>1</v>
      </c>
      <c r="F285" s="2" t="str">
        <f>_xlfn.XLOOKUP(C285,customers!$A$1:$A$1001,customers!$B$1:$B$1001,,0)</f>
        <v>Bee Fattorini</v>
      </c>
      <c r="G285" s="2" t="str">
        <f>IF(_xlfn.XLOOKUP(C285,customers!$A$1:$A$1001,customers!$C$1:$C$1001,,0)=0,"",_xlfn.XLOOKUP(C285,customers!$A$1:$A$1001,customers!$C$1:$C$1001,,0))</f>
        <v>bfattorinio3@quantcast.com</v>
      </c>
      <c r="H285" s="2" t="str">
        <f>_xlfn.XLOOKUP(C285,customers!$A$1:$A$1001,customers!$G$1:$G$1001,,0)</f>
        <v>Ireland</v>
      </c>
      <c r="I285" t="str">
        <f>INDEX(products!$A$1:$G$49, MATCH(orders!$D869,products!$A$1:$A916,0), MATCH(orders!I$1,products!$A$1:$G$1,0))</f>
        <v>Ara</v>
      </c>
      <c r="J285" t="str">
        <f>INDEX(products!$A$1:$G$49, MATCH(orders!$D869,products!$A$1:$A916,0), MATCH(orders!J$1,products!$A$1:$G$1,0))</f>
        <v>L</v>
      </c>
      <c r="K285" s="5">
        <f>INDEX(products!$A$1:$G$49, MATCH(orders!$D869,products!$A$1:$A916,0), MATCH(orders!K$1,products!$A$1:$G$1,0))</f>
        <v>2.5</v>
      </c>
      <c r="L285" s="6">
        <f>INDEX(products!$A$1:$G$49, MATCH(orders!$D869,products!$A$1:$A916,0), MATCH(orders!L$1,products!$A$1:$G$1,0))</f>
        <v>29.784999999999997</v>
      </c>
      <c r="M285" s="6">
        <f t="shared" si="12"/>
        <v>29.784999999999997</v>
      </c>
      <c r="N285" t="str">
        <f t="shared" si="13"/>
        <v>Arabica</v>
      </c>
      <c r="O285" t="str">
        <f t="shared" si="14"/>
        <v>Light</v>
      </c>
      <c r="P285" t="str">
        <f>_xlfn.XLOOKUP(Orders[[#This Row],[Customer ID]],customers!$A$1:$A$1001,customers!$I$1:$I$1001,,0)</f>
        <v>Yes</v>
      </c>
      <c r="Q285">
        <f>COUNTIF(Orders[Order ID],Orders[[#This Row],[Order ID]])</f>
        <v>1</v>
      </c>
      <c r="R285" s="10">
        <f>SUMIF(Orders[Order ID], Orders[[#This Row],[Order ID]],Orders[Sales])/Orders[[#This Row],[Order Frequency]]</f>
        <v>29.784999999999997</v>
      </c>
      <c r="S285" t="str">
        <f>IF(Orders[[#This Row],[Order Frequency]]&gt;4, "More than 4", IF(AND(Orders[[#This Row],[Order Frequency]]&lt;=4,Orders[[#This Row],[Order Frequency]]&gt;=2), "Between 4 and 2", "Less than 2"))</f>
        <v>Less than 2</v>
      </c>
      <c r="T285" t="str">
        <f>IF(Orders[[#This Row],[Frequency Group]]="less than 2", "Low Value", IF(Orders[[#This Row],[Frequency Group]]="between 4 and 2", "Medium Value", "High Value"))</f>
        <v>Low Value</v>
      </c>
      <c r="U285" t="str">
        <f>IF(Orders[[#This Row],[Sales]]&lt;50, "$0-50", IF(AND(Orders[[#This Row],[Sales]]&gt;=50,Orders[[#This Row],[Sales]]&lt;=100), "$50-100", IF(AND(Orders[[#This Row],[Sales]]&gt;100,Orders[[#This Row],[Sales]]&lt;=150), "$101-150", "$150+")))</f>
        <v>$0-50</v>
      </c>
      <c r="V285" t="str">
        <f>IF(Orders[[#This Row],[Sales]]&gt;MEDIAN(M:M), "High Price", "Low Price")</f>
        <v>Low Price</v>
      </c>
      <c r="W285" t="str">
        <f>IF(Orders[[#This Row],[Quantity]]&gt;MEDIAN(E:E), "High Volume", "Low Volume")</f>
        <v>Low Volume</v>
      </c>
      <c r="X285" t="str">
        <f>Orders[[#This Row],[Sales Tier]] &amp; "-" &amp; Orders[[#This Row],[Quantity Tier]]</f>
        <v>Low Price-Low Volume</v>
      </c>
      <c r="Y285" t="str">
        <f>TEXT(Orders[[#This Row],[Order Date]], "mmmm")</f>
        <v>August</v>
      </c>
      <c r="Z28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285" t="str">
        <f>Orders[[#This Row],[Coffee Type Name]] &amp; "-" &amp; Orders[[#This Row],[Roast Type Name]]</f>
        <v>Arabica-Light</v>
      </c>
      <c r="AB28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286" spans="1:28" x14ac:dyDescent="0.25">
      <c r="A286" s="2" t="s">
        <v>5989</v>
      </c>
      <c r="B286" s="4">
        <v>44493</v>
      </c>
      <c r="C286" s="2" t="s">
        <v>5990</v>
      </c>
      <c r="D286" t="s">
        <v>6162</v>
      </c>
      <c r="E286" s="2">
        <v>6</v>
      </c>
      <c r="F286" s="2" t="str">
        <f>_xlfn.XLOOKUP(C286,customers!$A$1:$A$1001,customers!$B$1:$B$1001,,0)</f>
        <v>Charlean Keave</v>
      </c>
      <c r="G286" s="2" t="str">
        <f>IF(_xlfn.XLOOKUP(C286,customers!$A$1:$A$1001,customers!$C$1:$C$1001,,0)=0,"",_xlfn.XLOOKUP(C286,customers!$A$1:$A$1001,customers!$C$1:$C$1001,,0))</f>
        <v>ckeaver1@ucoz.com</v>
      </c>
      <c r="H286" s="2" t="str">
        <f>_xlfn.XLOOKUP(C286,customers!$A$1:$A$1001,customers!$G$1:$G$1001,,0)</f>
        <v>United States</v>
      </c>
      <c r="I286" t="str">
        <f>INDEX(products!$A$1:$G$49, MATCH(orders!$D975,products!$A$1:$A1022,0), MATCH(orders!I$1,products!$A$1:$G$1,0))</f>
        <v>Lib</v>
      </c>
      <c r="J286" t="str">
        <f>INDEX(products!$A$1:$G$49, MATCH(orders!$D975,products!$A$1:$A1022,0), MATCH(orders!J$1,products!$A$1:$G$1,0))</f>
        <v>M</v>
      </c>
      <c r="K286" s="5">
        <f>INDEX(products!$A$1:$G$49, MATCH(orders!$D975,products!$A$1:$A1022,0), MATCH(orders!K$1,products!$A$1:$G$1,0))</f>
        <v>1</v>
      </c>
      <c r="L286" s="6">
        <f>INDEX(products!$A$1:$G$49, MATCH(orders!$D975,products!$A$1:$A1022,0), MATCH(orders!L$1,products!$A$1:$G$1,0))</f>
        <v>14.55</v>
      </c>
      <c r="M286" s="6">
        <f t="shared" si="12"/>
        <v>87.300000000000011</v>
      </c>
      <c r="N286" t="str">
        <f t="shared" si="13"/>
        <v>Liberica</v>
      </c>
      <c r="O286" t="str">
        <f t="shared" si="14"/>
        <v>Medium</v>
      </c>
      <c r="P286" t="str">
        <f>_xlfn.XLOOKUP(Orders[[#This Row],[Customer ID]],customers!$A$1:$A$1001,customers!$I$1:$I$1001,,0)</f>
        <v>No</v>
      </c>
      <c r="Q286">
        <f>COUNTIF(Orders[Order ID],Orders[[#This Row],[Order ID]])</f>
        <v>1</v>
      </c>
      <c r="R286" s="10">
        <f>SUMIF(Orders[Order ID], Orders[[#This Row],[Order ID]],Orders[Sales])/Orders[[#This Row],[Order Frequency]]</f>
        <v>87.300000000000011</v>
      </c>
      <c r="S286" t="str">
        <f>IF(Orders[[#This Row],[Order Frequency]]&gt;4, "More than 4", IF(AND(Orders[[#This Row],[Order Frequency]]&lt;=4,Orders[[#This Row],[Order Frequency]]&gt;=2), "Between 4 and 2", "Less than 2"))</f>
        <v>Less than 2</v>
      </c>
      <c r="T286" t="str">
        <f>IF(Orders[[#This Row],[Frequency Group]]="less than 2", "Low Value", IF(Orders[[#This Row],[Frequency Group]]="between 4 and 2", "Medium Value", "High Value"))</f>
        <v>Low Value</v>
      </c>
      <c r="U286" t="str">
        <f>IF(Orders[[#This Row],[Sales]]&lt;50, "$0-50", IF(AND(Orders[[#This Row],[Sales]]&gt;=50,Orders[[#This Row],[Sales]]&lt;=100), "$50-100", IF(AND(Orders[[#This Row],[Sales]]&gt;100,Orders[[#This Row],[Sales]]&lt;=150), "$101-150", "$150+")))</f>
        <v>$50-100</v>
      </c>
      <c r="V286" t="str">
        <f>IF(Orders[[#This Row],[Sales]]&gt;MEDIAN(M:M), "High Price", "Low Price")</f>
        <v>High Price</v>
      </c>
      <c r="W286" t="str">
        <f>IF(Orders[[#This Row],[Quantity]]&gt;MEDIAN(E:E), "High Volume", "Low Volume")</f>
        <v>High Volume</v>
      </c>
      <c r="X286" t="str">
        <f>Orders[[#This Row],[Sales Tier]] &amp; "-" &amp; Orders[[#This Row],[Quantity Tier]]</f>
        <v>High Price-High Volume</v>
      </c>
      <c r="Y286" t="str">
        <f>TEXT(Orders[[#This Row],[Order Date]], "mmmm")</f>
        <v>October</v>
      </c>
      <c r="Z28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286" t="str">
        <f>Orders[[#This Row],[Coffee Type Name]] &amp; "-" &amp; Orders[[#This Row],[Roast Type Name]]</f>
        <v>Liberica-Medium</v>
      </c>
      <c r="AB28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287" spans="1:28" x14ac:dyDescent="0.25">
      <c r="A287" s="2" t="s">
        <v>3706</v>
      </c>
      <c r="B287" s="4">
        <v>43879</v>
      </c>
      <c r="C287" s="2" t="s">
        <v>3752</v>
      </c>
      <c r="D287" t="s">
        <v>6168</v>
      </c>
      <c r="E287" s="2">
        <v>6</v>
      </c>
      <c r="F287" s="2" t="str">
        <f>_xlfn.XLOOKUP(C287,customers!$A$1:$A$1001,customers!$B$1:$B$1001,,0)</f>
        <v>Don Flintiff</v>
      </c>
      <c r="G287" s="2" t="str">
        <f>IF(_xlfn.XLOOKUP(C287,customers!$A$1:$A$1001,customers!$C$1:$C$1001,,0)=0,"",_xlfn.XLOOKUP(C287,customers!$A$1:$A$1001,customers!$C$1:$C$1001,,0))</f>
        <v>dflintiffg1@e-recht24.de</v>
      </c>
      <c r="H287" s="2" t="str">
        <f>_xlfn.XLOOKUP(C287,customers!$A$1:$A$1001,customers!$G$1:$G$1001,,0)</f>
        <v>United Kingdom</v>
      </c>
      <c r="I287" t="str">
        <f>INDEX(products!$A$1:$G$49, MATCH(orders!$D571,products!$A$1:$A618,0), MATCH(orders!I$1,products!$A$1:$G$1,0))</f>
        <v>Ara</v>
      </c>
      <c r="J287" t="str">
        <f>INDEX(products!$A$1:$G$49, MATCH(orders!$D571,products!$A$1:$A618,0), MATCH(orders!J$1,products!$A$1:$G$1,0))</f>
        <v>D</v>
      </c>
      <c r="K287" s="5">
        <f>INDEX(products!$A$1:$G$49, MATCH(orders!$D571,products!$A$1:$A618,0), MATCH(orders!K$1,products!$A$1:$G$1,0))</f>
        <v>2.5</v>
      </c>
      <c r="L287" s="6">
        <f>INDEX(products!$A$1:$G$49, MATCH(orders!$D571,products!$A$1:$A618,0), MATCH(orders!L$1,products!$A$1:$G$1,0))</f>
        <v>22.884999999999998</v>
      </c>
      <c r="M287" s="6">
        <f t="shared" si="12"/>
        <v>137.31</v>
      </c>
      <c r="N287" t="str">
        <f t="shared" si="13"/>
        <v>Arabica</v>
      </c>
      <c r="O287" t="str">
        <f t="shared" si="14"/>
        <v>Dark</v>
      </c>
      <c r="P287" t="str">
        <f>_xlfn.XLOOKUP(Orders[[#This Row],[Customer ID]],customers!$A$1:$A$1001,customers!$I$1:$I$1001,,0)</f>
        <v>No</v>
      </c>
      <c r="Q287">
        <f>COUNTIF(Orders[Order ID],Orders[[#This Row],[Order ID]])</f>
        <v>1</v>
      </c>
      <c r="R287" s="10">
        <f>SUMIF(Orders[Order ID], Orders[[#This Row],[Order ID]],Orders[Sales])/Orders[[#This Row],[Order Frequency]]</f>
        <v>137.31</v>
      </c>
      <c r="S287" t="str">
        <f>IF(Orders[[#This Row],[Order Frequency]]&gt;4, "More than 4", IF(AND(Orders[[#This Row],[Order Frequency]]&lt;=4,Orders[[#This Row],[Order Frequency]]&gt;=2), "Between 4 and 2", "Less than 2"))</f>
        <v>Less than 2</v>
      </c>
      <c r="T287" t="str">
        <f>IF(Orders[[#This Row],[Frequency Group]]="less than 2", "Low Value", IF(Orders[[#This Row],[Frequency Group]]="between 4 and 2", "Medium Value", "High Value"))</f>
        <v>Low Value</v>
      </c>
      <c r="U287" t="str">
        <f>IF(Orders[[#This Row],[Sales]]&lt;50, "$0-50", IF(AND(Orders[[#This Row],[Sales]]&gt;=50,Orders[[#This Row],[Sales]]&lt;=100), "$50-100", IF(AND(Orders[[#This Row],[Sales]]&gt;100,Orders[[#This Row],[Sales]]&lt;=150), "$101-150", "$150+")))</f>
        <v>$101-150</v>
      </c>
      <c r="V287" t="str">
        <f>IF(Orders[[#This Row],[Sales]]&gt;MEDIAN(M:M), "High Price", "Low Price")</f>
        <v>High Price</v>
      </c>
      <c r="W287" t="str">
        <f>IF(Orders[[#This Row],[Quantity]]&gt;MEDIAN(E:E), "High Volume", "Low Volume")</f>
        <v>High Volume</v>
      </c>
      <c r="X287" t="str">
        <f>Orders[[#This Row],[Sales Tier]] &amp; "-" &amp; Orders[[#This Row],[Quantity Tier]]</f>
        <v>High Price-High Volume</v>
      </c>
      <c r="Y287" t="str">
        <f>TEXT(Orders[[#This Row],[Order Date]], "mmmm")</f>
        <v>February</v>
      </c>
      <c r="Z28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287" t="str">
        <f>Orders[[#This Row],[Coffee Type Name]] &amp; "-" &amp; Orders[[#This Row],[Roast Type Name]]</f>
        <v>Arabica-Dark</v>
      </c>
      <c r="AB28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288" spans="1:28" x14ac:dyDescent="0.25">
      <c r="A288" s="2" t="s">
        <v>2866</v>
      </c>
      <c r="B288" s="4">
        <v>43868</v>
      </c>
      <c r="C288" s="2" t="s">
        <v>2867</v>
      </c>
      <c r="D288" t="s">
        <v>6158</v>
      </c>
      <c r="E288" s="2">
        <v>5</v>
      </c>
      <c r="F288" s="2" t="str">
        <f>_xlfn.XLOOKUP(C288,customers!$A$1:$A$1001,customers!$B$1:$B$1001,,0)</f>
        <v>Nevins Glowacz</v>
      </c>
      <c r="G288" s="2" t="str">
        <f>IF(_xlfn.XLOOKUP(C288,customers!$A$1:$A$1001,customers!$C$1:$C$1001,,0)=0,"",_xlfn.XLOOKUP(C288,customers!$A$1:$A$1001,customers!$C$1:$C$1001,,0))</f>
        <v/>
      </c>
      <c r="H288" s="2" t="str">
        <f>_xlfn.XLOOKUP(C288,customers!$A$1:$A$1001,customers!$G$1:$G$1001,,0)</f>
        <v>United States</v>
      </c>
      <c r="I288" t="str">
        <f>INDEX(products!$A$1:$G$49, MATCH(orders!$D424,products!$A$1:$A471,0), MATCH(orders!I$1,products!$A$1:$G$1,0))</f>
        <v>Ara</v>
      </c>
      <c r="J288" t="str">
        <f>INDEX(products!$A$1:$G$49, MATCH(orders!$D424,products!$A$1:$A471,0), MATCH(orders!J$1,products!$A$1:$G$1,0))</f>
        <v>D</v>
      </c>
      <c r="K288" s="5">
        <f>INDEX(products!$A$1:$G$49, MATCH(orders!$D424,products!$A$1:$A471,0), MATCH(orders!K$1,products!$A$1:$G$1,0))</f>
        <v>0.5</v>
      </c>
      <c r="L288" s="6">
        <f>INDEX(products!$A$1:$G$49, MATCH(orders!$D424,products!$A$1:$A471,0), MATCH(orders!L$1,products!$A$1:$G$1,0))</f>
        <v>5.97</v>
      </c>
      <c r="M288" s="6">
        <f t="shared" si="12"/>
        <v>29.849999999999998</v>
      </c>
      <c r="N288" t="str">
        <f t="shared" si="13"/>
        <v>Arabica</v>
      </c>
      <c r="O288" t="str">
        <f t="shared" si="14"/>
        <v>Dark</v>
      </c>
      <c r="P288" t="str">
        <f>_xlfn.XLOOKUP(Orders[[#This Row],[Customer ID]],customers!$A$1:$A$1001,customers!$I$1:$I$1001,,0)</f>
        <v>No</v>
      </c>
      <c r="Q288">
        <f>COUNTIF(Orders[Order ID],Orders[[#This Row],[Order ID]])</f>
        <v>1</v>
      </c>
      <c r="R288" s="10">
        <f>SUMIF(Orders[Order ID], Orders[[#This Row],[Order ID]],Orders[Sales])/Orders[[#This Row],[Order Frequency]]</f>
        <v>29.849999999999998</v>
      </c>
      <c r="S288" t="str">
        <f>IF(Orders[[#This Row],[Order Frequency]]&gt;4, "More than 4", IF(AND(Orders[[#This Row],[Order Frequency]]&lt;=4,Orders[[#This Row],[Order Frequency]]&gt;=2), "Between 4 and 2", "Less than 2"))</f>
        <v>Less than 2</v>
      </c>
      <c r="T288" t="str">
        <f>IF(Orders[[#This Row],[Frequency Group]]="less than 2", "Low Value", IF(Orders[[#This Row],[Frequency Group]]="between 4 and 2", "Medium Value", "High Value"))</f>
        <v>Low Value</v>
      </c>
      <c r="U288" t="str">
        <f>IF(Orders[[#This Row],[Sales]]&lt;50, "$0-50", IF(AND(Orders[[#This Row],[Sales]]&gt;=50,Orders[[#This Row],[Sales]]&lt;=100), "$50-100", IF(AND(Orders[[#This Row],[Sales]]&gt;100,Orders[[#This Row],[Sales]]&lt;=150), "$101-150", "$150+")))</f>
        <v>$0-50</v>
      </c>
      <c r="V288" t="str">
        <f>IF(Orders[[#This Row],[Sales]]&gt;MEDIAN(M:M), "High Price", "Low Price")</f>
        <v>High Price</v>
      </c>
      <c r="W288" t="str">
        <f>IF(Orders[[#This Row],[Quantity]]&gt;MEDIAN(E:E), "High Volume", "Low Volume")</f>
        <v>High Volume</v>
      </c>
      <c r="X288" t="str">
        <f>Orders[[#This Row],[Sales Tier]] &amp; "-" &amp; Orders[[#This Row],[Quantity Tier]]</f>
        <v>High Price-High Volume</v>
      </c>
      <c r="Y288" t="str">
        <f>TEXT(Orders[[#This Row],[Order Date]], "mmmm")</f>
        <v>February</v>
      </c>
      <c r="Z28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288" t="str">
        <f>Orders[[#This Row],[Coffee Type Name]] &amp; "-" &amp; Orders[[#This Row],[Roast Type Name]]</f>
        <v>Arabica-Dark</v>
      </c>
      <c r="AB28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289" spans="1:28" x14ac:dyDescent="0.25">
      <c r="A289" s="2" t="s">
        <v>2068</v>
      </c>
      <c r="B289" s="4">
        <v>43521</v>
      </c>
      <c r="C289" s="2" t="s">
        <v>2069</v>
      </c>
      <c r="D289" t="s">
        <v>6181</v>
      </c>
      <c r="E289" s="2">
        <v>1</v>
      </c>
      <c r="F289" s="2" t="str">
        <f>_xlfn.XLOOKUP(C289,customers!$A$1:$A$1001,customers!$B$1:$B$1001,,0)</f>
        <v>Parsifal Metrick</v>
      </c>
      <c r="G289" s="2" t="str">
        <f>IF(_xlfn.XLOOKUP(C289,customers!$A$1:$A$1001,customers!$C$1:$C$1001,,0)=0,"",_xlfn.XLOOKUP(C289,customers!$A$1:$A$1001,customers!$C$1:$C$1001,,0))</f>
        <v>pmetrick7r@rakuten.co.jp</v>
      </c>
      <c r="H289" s="2" t="str">
        <f>_xlfn.XLOOKUP(C289,customers!$A$1:$A$1001,customers!$G$1:$G$1001,,0)</f>
        <v>United States</v>
      </c>
      <c r="I289" t="str">
        <f>INDEX(products!$A$1:$G$49, MATCH(orders!$D281,products!$A$1:$A328,0), MATCH(orders!I$1,products!$A$1:$G$1,0))</f>
        <v>Lib</v>
      </c>
      <c r="J289" t="str">
        <f>INDEX(products!$A$1:$G$49, MATCH(orders!$D281,products!$A$1:$A328,0), MATCH(orders!J$1,products!$A$1:$G$1,0))</f>
        <v>M</v>
      </c>
      <c r="K289" s="5">
        <f>INDEX(products!$A$1:$G$49, MATCH(orders!$D281,products!$A$1:$A328,0), MATCH(orders!K$1,products!$A$1:$G$1,0))</f>
        <v>2.5</v>
      </c>
      <c r="L289" s="6">
        <f>INDEX(products!$A$1:$G$49, MATCH(orders!$D281,products!$A$1:$A328,0), MATCH(orders!L$1,products!$A$1:$G$1,0))</f>
        <v>33.464999999999996</v>
      </c>
      <c r="M289" s="6">
        <f t="shared" si="12"/>
        <v>33.464999999999996</v>
      </c>
      <c r="N289" t="str">
        <f t="shared" si="13"/>
        <v>Liberica</v>
      </c>
      <c r="O289" t="str">
        <f t="shared" si="14"/>
        <v>Medium</v>
      </c>
      <c r="P289" t="str">
        <f>_xlfn.XLOOKUP(Orders[[#This Row],[Customer ID]],customers!$A$1:$A$1001,customers!$I$1:$I$1001,,0)</f>
        <v>Yes</v>
      </c>
      <c r="Q289">
        <f>COUNTIF(Orders[Order ID],Orders[[#This Row],[Order ID]])</f>
        <v>1</v>
      </c>
      <c r="R289" s="10">
        <f>SUMIF(Orders[Order ID], Orders[[#This Row],[Order ID]],Orders[Sales])/Orders[[#This Row],[Order Frequency]]</f>
        <v>33.464999999999996</v>
      </c>
      <c r="S289" t="str">
        <f>IF(Orders[[#This Row],[Order Frequency]]&gt;4, "More than 4", IF(AND(Orders[[#This Row],[Order Frequency]]&lt;=4,Orders[[#This Row],[Order Frequency]]&gt;=2), "Between 4 and 2", "Less than 2"))</f>
        <v>Less than 2</v>
      </c>
      <c r="T289" t="str">
        <f>IF(Orders[[#This Row],[Frequency Group]]="less than 2", "Low Value", IF(Orders[[#This Row],[Frequency Group]]="between 4 and 2", "Medium Value", "High Value"))</f>
        <v>Low Value</v>
      </c>
      <c r="U289" t="str">
        <f>IF(Orders[[#This Row],[Sales]]&lt;50, "$0-50", IF(AND(Orders[[#This Row],[Sales]]&gt;=50,Orders[[#This Row],[Sales]]&lt;=100), "$50-100", IF(AND(Orders[[#This Row],[Sales]]&gt;100,Orders[[#This Row],[Sales]]&lt;=150), "$101-150", "$150+")))</f>
        <v>$0-50</v>
      </c>
      <c r="V289" t="str">
        <f>IF(Orders[[#This Row],[Sales]]&gt;MEDIAN(M:M), "High Price", "Low Price")</f>
        <v>High Price</v>
      </c>
      <c r="W289" t="str">
        <f>IF(Orders[[#This Row],[Quantity]]&gt;MEDIAN(E:E), "High Volume", "Low Volume")</f>
        <v>Low Volume</v>
      </c>
      <c r="X289" t="str">
        <f>Orders[[#This Row],[Sales Tier]] &amp; "-" &amp; Orders[[#This Row],[Quantity Tier]]</f>
        <v>High Price-Low Volume</v>
      </c>
      <c r="Y289" t="str">
        <f>TEXT(Orders[[#This Row],[Order Date]], "mmmm")</f>
        <v>February</v>
      </c>
      <c r="Z28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289" t="str">
        <f>Orders[[#This Row],[Coffee Type Name]] &amp; "-" &amp; Orders[[#This Row],[Roast Type Name]]</f>
        <v>Liberica-Medium</v>
      </c>
      <c r="AB28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290" spans="1:28" x14ac:dyDescent="0.25">
      <c r="A290" s="2" t="s">
        <v>738</v>
      </c>
      <c r="B290" s="4">
        <v>43932</v>
      </c>
      <c r="C290" s="2" t="s">
        <v>739</v>
      </c>
      <c r="D290" t="s">
        <v>6139</v>
      </c>
      <c r="E290" s="2">
        <v>2</v>
      </c>
      <c r="F290" s="2" t="str">
        <f>_xlfn.XLOOKUP(C290,customers!$A$1:$A$1001,customers!$B$1:$B$1001,,0)</f>
        <v>Olag Baudassi</v>
      </c>
      <c r="G290" s="2" t="str">
        <f>IF(_xlfn.XLOOKUP(C290,customers!$A$1:$A$1001,customers!$C$1:$C$1001,,0)=0,"",_xlfn.XLOOKUP(C290,customers!$A$1:$A$1001,customers!$C$1:$C$1001,,0))</f>
        <v>obaudassi18@seesaa.net</v>
      </c>
      <c r="H290" s="2" t="str">
        <f>_xlfn.XLOOKUP(C290,customers!$A$1:$A$1001,customers!$G$1:$G$1001,,0)</f>
        <v>United States</v>
      </c>
      <c r="I290" t="str">
        <f>INDEX(products!$A$1:$G$49, MATCH(orders!$D46,products!$A$1:$A93,0), MATCH(orders!I$1,products!$A$1:$G$1,0))</f>
        <v>Exc</v>
      </c>
      <c r="J290" t="str">
        <f>INDEX(products!$A$1:$G$49, MATCH(orders!$D46,products!$A$1:$A93,0), MATCH(orders!J$1,products!$A$1:$G$1,0))</f>
        <v>M</v>
      </c>
      <c r="K290" s="5">
        <f>INDEX(products!$A$1:$G$49, MATCH(orders!$D46,products!$A$1:$A93,0), MATCH(orders!K$1,products!$A$1:$G$1,0))</f>
        <v>0.5</v>
      </c>
      <c r="L290" s="6">
        <f>INDEX(products!$A$1:$G$49, MATCH(orders!$D46,products!$A$1:$A93,0), MATCH(orders!L$1,products!$A$1:$G$1,0))</f>
        <v>8.25</v>
      </c>
      <c r="M290" s="6">
        <f t="shared" si="12"/>
        <v>16.5</v>
      </c>
      <c r="N290" t="str">
        <f t="shared" si="13"/>
        <v>Excelsa</v>
      </c>
      <c r="O290" t="str">
        <f t="shared" si="14"/>
        <v>Medium</v>
      </c>
      <c r="P290" t="str">
        <f>_xlfn.XLOOKUP(Orders[[#This Row],[Customer ID]],customers!$A$1:$A$1001,customers!$I$1:$I$1001,,0)</f>
        <v>Yes</v>
      </c>
      <c r="Q290">
        <f>COUNTIF(Orders[Order ID],Orders[[#This Row],[Order ID]])</f>
        <v>1</v>
      </c>
      <c r="R290" s="10">
        <f>SUMIF(Orders[Order ID], Orders[[#This Row],[Order ID]],Orders[Sales])/Orders[[#This Row],[Order Frequency]]</f>
        <v>16.5</v>
      </c>
      <c r="S290" t="str">
        <f>IF(Orders[[#This Row],[Order Frequency]]&gt;4, "More than 4", IF(AND(Orders[[#This Row],[Order Frequency]]&lt;=4,Orders[[#This Row],[Order Frequency]]&gt;=2), "Between 4 and 2", "Less than 2"))</f>
        <v>Less than 2</v>
      </c>
      <c r="T290" t="str">
        <f>IF(Orders[[#This Row],[Frequency Group]]="less than 2", "Low Value", IF(Orders[[#This Row],[Frequency Group]]="between 4 and 2", "Medium Value", "High Value"))</f>
        <v>Low Value</v>
      </c>
      <c r="U290" t="str">
        <f>IF(Orders[[#This Row],[Sales]]&lt;50, "$0-50", IF(AND(Orders[[#This Row],[Sales]]&gt;=50,Orders[[#This Row],[Sales]]&lt;=100), "$50-100", IF(AND(Orders[[#This Row],[Sales]]&gt;100,Orders[[#This Row],[Sales]]&lt;=150), "$101-150", "$150+")))</f>
        <v>$0-50</v>
      </c>
      <c r="V290" t="str">
        <f>IF(Orders[[#This Row],[Sales]]&gt;MEDIAN(M:M), "High Price", "Low Price")</f>
        <v>Low Price</v>
      </c>
      <c r="W290" t="str">
        <f>IF(Orders[[#This Row],[Quantity]]&gt;MEDIAN(E:E), "High Volume", "Low Volume")</f>
        <v>Low Volume</v>
      </c>
      <c r="X290" t="str">
        <f>Orders[[#This Row],[Sales Tier]] &amp; "-" &amp; Orders[[#This Row],[Quantity Tier]]</f>
        <v>Low Price-Low Volume</v>
      </c>
      <c r="Y290" t="str">
        <f>TEXT(Orders[[#This Row],[Order Date]], "mmmm")</f>
        <v>April</v>
      </c>
      <c r="Z29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90" t="str">
        <f>Orders[[#This Row],[Coffee Type Name]] &amp; "-" &amp; Orders[[#This Row],[Roast Type Name]]</f>
        <v>Excelsa-Medium</v>
      </c>
      <c r="AB29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291" spans="1:28" x14ac:dyDescent="0.25">
      <c r="A291" s="2" t="s">
        <v>5345</v>
      </c>
      <c r="B291" s="4">
        <v>43716</v>
      </c>
      <c r="C291" s="2" t="s">
        <v>5346</v>
      </c>
      <c r="D291" t="s">
        <v>6182</v>
      </c>
      <c r="E291" s="2">
        <v>6</v>
      </c>
      <c r="F291" s="2" t="str">
        <f>_xlfn.XLOOKUP(C291,customers!$A$1:$A$1001,customers!$B$1:$B$1001,,0)</f>
        <v>Redd Simao</v>
      </c>
      <c r="G291" s="2" t="str">
        <f>IF(_xlfn.XLOOKUP(C291,customers!$A$1:$A$1001,customers!$C$1:$C$1001,,0)=0,"",_xlfn.XLOOKUP(C291,customers!$A$1:$A$1001,customers!$C$1:$C$1001,,0))</f>
        <v>rsimaonv@simplemachines.org</v>
      </c>
      <c r="H291" s="2" t="str">
        <f>_xlfn.XLOOKUP(C291,customers!$A$1:$A$1001,customers!$G$1:$G$1001,,0)</f>
        <v>United States</v>
      </c>
      <c r="I291" t="str">
        <f>INDEX(products!$A$1:$G$49, MATCH(orders!$D861,products!$A$1:$A908,0), MATCH(orders!I$1,products!$A$1:$G$1,0))</f>
        <v>Ara</v>
      </c>
      <c r="J291" t="str">
        <f>INDEX(products!$A$1:$G$49, MATCH(orders!$D861,products!$A$1:$A908,0), MATCH(orders!J$1,products!$A$1:$G$1,0))</f>
        <v>L</v>
      </c>
      <c r="K291" s="5">
        <f>INDEX(products!$A$1:$G$49, MATCH(orders!$D861,products!$A$1:$A908,0), MATCH(orders!K$1,products!$A$1:$G$1,0))</f>
        <v>2.5</v>
      </c>
      <c r="L291" s="6">
        <f>INDEX(products!$A$1:$G$49, MATCH(orders!$D861,products!$A$1:$A908,0), MATCH(orders!L$1,products!$A$1:$G$1,0))</f>
        <v>29.784999999999997</v>
      </c>
      <c r="M291" s="6">
        <f t="shared" si="12"/>
        <v>178.70999999999998</v>
      </c>
      <c r="N291" t="str">
        <f t="shared" si="13"/>
        <v>Arabica</v>
      </c>
      <c r="O291" t="str">
        <f t="shared" si="14"/>
        <v>Light</v>
      </c>
      <c r="P291" t="str">
        <f>_xlfn.XLOOKUP(Orders[[#This Row],[Customer ID]],customers!$A$1:$A$1001,customers!$I$1:$I$1001,,0)</f>
        <v>No</v>
      </c>
      <c r="Q291">
        <f>COUNTIF(Orders[Order ID],Orders[[#This Row],[Order ID]])</f>
        <v>1</v>
      </c>
      <c r="R291" s="10">
        <f>SUMIF(Orders[Order ID], Orders[[#This Row],[Order ID]],Orders[Sales])/Orders[[#This Row],[Order Frequency]]</f>
        <v>178.70999999999998</v>
      </c>
      <c r="S291" t="str">
        <f>IF(Orders[[#This Row],[Order Frequency]]&gt;4, "More than 4", IF(AND(Orders[[#This Row],[Order Frequency]]&lt;=4,Orders[[#This Row],[Order Frequency]]&gt;=2), "Between 4 and 2", "Less than 2"))</f>
        <v>Less than 2</v>
      </c>
      <c r="T291" t="str">
        <f>IF(Orders[[#This Row],[Frequency Group]]="less than 2", "Low Value", IF(Orders[[#This Row],[Frequency Group]]="between 4 and 2", "Medium Value", "High Value"))</f>
        <v>Low Value</v>
      </c>
      <c r="U291" t="str">
        <f>IF(Orders[[#This Row],[Sales]]&lt;50, "$0-50", IF(AND(Orders[[#This Row],[Sales]]&gt;=50,Orders[[#This Row],[Sales]]&lt;=100), "$50-100", IF(AND(Orders[[#This Row],[Sales]]&gt;100,Orders[[#This Row],[Sales]]&lt;=150), "$101-150", "$150+")))</f>
        <v>$150+</v>
      </c>
      <c r="V291" t="str">
        <f>IF(Orders[[#This Row],[Sales]]&gt;MEDIAN(M:M), "High Price", "Low Price")</f>
        <v>High Price</v>
      </c>
      <c r="W291" t="str">
        <f>IF(Orders[[#This Row],[Quantity]]&gt;MEDIAN(E:E), "High Volume", "Low Volume")</f>
        <v>High Volume</v>
      </c>
      <c r="X291" t="str">
        <f>Orders[[#This Row],[Sales Tier]] &amp; "-" &amp; Orders[[#This Row],[Quantity Tier]]</f>
        <v>High Price-High Volume</v>
      </c>
      <c r="Y291" t="str">
        <f>TEXT(Orders[[#This Row],[Order Date]], "mmmm")</f>
        <v>September</v>
      </c>
      <c r="Z29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291" t="str">
        <f>Orders[[#This Row],[Coffee Type Name]] &amp; "-" &amp; Orders[[#This Row],[Roast Type Name]]</f>
        <v>Arabica-Light</v>
      </c>
      <c r="AB29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292" spans="1:28" x14ac:dyDescent="0.25">
      <c r="A292" s="2" t="s">
        <v>1053</v>
      </c>
      <c r="B292" s="4">
        <v>43891</v>
      </c>
      <c r="C292" s="2" t="s">
        <v>1054</v>
      </c>
      <c r="D292" t="s">
        <v>6165</v>
      </c>
      <c r="E292" s="2">
        <v>5</v>
      </c>
      <c r="F292" s="2" t="str">
        <f>_xlfn.XLOOKUP(C292,customers!$A$1:$A$1001,customers!$B$1:$B$1001,,0)</f>
        <v>Nickey Youles</v>
      </c>
      <c r="G292" s="2" t="str">
        <f>IF(_xlfn.XLOOKUP(C292,customers!$A$1:$A$1001,customers!$C$1:$C$1001,,0)=0,"",_xlfn.XLOOKUP(C292,customers!$A$1:$A$1001,customers!$C$1:$C$1001,,0))</f>
        <v>nyoules2t@reference.com</v>
      </c>
      <c r="H292" s="2" t="str">
        <f>_xlfn.XLOOKUP(C292,customers!$A$1:$A$1001,customers!$G$1:$G$1001,,0)</f>
        <v>Ireland</v>
      </c>
      <c r="I292" t="str">
        <f>INDEX(products!$A$1:$G$49, MATCH(orders!$D103,products!$A$1:$A150,0), MATCH(orders!I$1,products!$A$1:$G$1,0))</f>
        <v>Lib</v>
      </c>
      <c r="J292" t="str">
        <f>INDEX(products!$A$1:$G$49, MATCH(orders!$D103,products!$A$1:$A150,0), MATCH(orders!J$1,products!$A$1:$G$1,0))</f>
        <v>D</v>
      </c>
      <c r="K292" s="5">
        <f>INDEX(products!$A$1:$G$49, MATCH(orders!$D103,products!$A$1:$A150,0), MATCH(orders!K$1,products!$A$1:$G$1,0))</f>
        <v>2.5</v>
      </c>
      <c r="L292" s="6">
        <f>INDEX(products!$A$1:$G$49, MATCH(orders!$D103,products!$A$1:$A150,0), MATCH(orders!L$1,products!$A$1:$G$1,0))</f>
        <v>29.784999999999997</v>
      </c>
      <c r="M292" s="6">
        <f t="shared" si="12"/>
        <v>148.92499999999998</v>
      </c>
      <c r="N292" t="str">
        <f t="shared" si="13"/>
        <v>Liberica</v>
      </c>
      <c r="O292" t="str">
        <f t="shared" si="14"/>
        <v>Dark</v>
      </c>
      <c r="P292" t="str">
        <f>_xlfn.XLOOKUP(Orders[[#This Row],[Customer ID]],customers!$A$1:$A$1001,customers!$I$1:$I$1001,,0)</f>
        <v>Yes</v>
      </c>
      <c r="Q292">
        <f>COUNTIF(Orders[Order ID],Orders[[#This Row],[Order ID]])</f>
        <v>1</v>
      </c>
      <c r="R292" s="10">
        <f>SUMIF(Orders[Order ID], Orders[[#This Row],[Order ID]],Orders[Sales])/Orders[[#This Row],[Order Frequency]]</f>
        <v>148.92499999999998</v>
      </c>
      <c r="S292" t="str">
        <f>IF(Orders[[#This Row],[Order Frequency]]&gt;4, "More than 4", IF(AND(Orders[[#This Row],[Order Frequency]]&lt;=4,Orders[[#This Row],[Order Frequency]]&gt;=2), "Between 4 and 2", "Less than 2"))</f>
        <v>Less than 2</v>
      </c>
      <c r="T292" t="str">
        <f>IF(Orders[[#This Row],[Frequency Group]]="less than 2", "Low Value", IF(Orders[[#This Row],[Frequency Group]]="between 4 and 2", "Medium Value", "High Value"))</f>
        <v>Low Value</v>
      </c>
      <c r="U292" t="str">
        <f>IF(Orders[[#This Row],[Sales]]&lt;50, "$0-50", IF(AND(Orders[[#This Row],[Sales]]&gt;=50,Orders[[#This Row],[Sales]]&lt;=100), "$50-100", IF(AND(Orders[[#This Row],[Sales]]&gt;100,Orders[[#This Row],[Sales]]&lt;=150), "$101-150", "$150+")))</f>
        <v>$101-150</v>
      </c>
      <c r="V292" t="str">
        <f>IF(Orders[[#This Row],[Sales]]&gt;MEDIAN(M:M), "High Price", "Low Price")</f>
        <v>High Price</v>
      </c>
      <c r="W292" t="str">
        <f>IF(Orders[[#This Row],[Quantity]]&gt;MEDIAN(E:E), "High Volume", "Low Volume")</f>
        <v>High Volume</v>
      </c>
      <c r="X292" t="str">
        <f>Orders[[#This Row],[Sales Tier]] &amp; "-" &amp; Orders[[#This Row],[Quantity Tier]]</f>
        <v>High Price-High Volume</v>
      </c>
      <c r="Y292" t="str">
        <f>TEXT(Orders[[#This Row],[Order Date]], "mmmm")</f>
        <v>March</v>
      </c>
      <c r="Z29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292" t="str">
        <f>Orders[[#This Row],[Coffee Type Name]] &amp; "-" &amp; Orders[[#This Row],[Roast Type Name]]</f>
        <v>Liberica-Dark</v>
      </c>
      <c r="AB29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293" spans="1:28" x14ac:dyDescent="0.25">
      <c r="A293" s="2" t="s">
        <v>5495</v>
      </c>
      <c r="B293" s="4">
        <v>43664</v>
      </c>
      <c r="C293" s="2" t="s">
        <v>5496</v>
      </c>
      <c r="D293" t="s">
        <v>6149</v>
      </c>
      <c r="E293" s="2">
        <v>6</v>
      </c>
      <c r="F293" s="2" t="str">
        <f>_xlfn.XLOOKUP(C293,customers!$A$1:$A$1001,customers!$B$1:$B$1001,,0)</f>
        <v>Helli Petroulis</v>
      </c>
      <c r="G293" s="2" t="str">
        <f>IF(_xlfn.XLOOKUP(C293,customers!$A$1:$A$1001,customers!$C$1:$C$1001,,0)=0,"",_xlfn.XLOOKUP(C293,customers!$A$1:$A$1001,customers!$C$1:$C$1001,,0))</f>
        <v>hpetroulisol@state.tx.us</v>
      </c>
      <c r="H293" s="2" t="str">
        <f>_xlfn.XLOOKUP(C293,customers!$A$1:$A$1001,customers!$G$1:$G$1001,,0)</f>
        <v>Ireland</v>
      </c>
      <c r="I293" t="str">
        <f>INDEX(products!$A$1:$G$49, MATCH(orders!$D887,products!$A$1:$A934,0), MATCH(orders!I$1,products!$A$1:$G$1,0))</f>
        <v>Rob</v>
      </c>
      <c r="J293" t="str">
        <f>INDEX(products!$A$1:$G$49, MATCH(orders!$D887,products!$A$1:$A934,0), MATCH(orders!J$1,products!$A$1:$G$1,0))</f>
        <v>D</v>
      </c>
      <c r="K293" s="5">
        <f>INDEX(products!$A$1:$G$49, MATCH(orders!$D887,products!$A$1:$A934,0), MATCH(orders!K$1,products!$A$1:$G$1,0))</f>
        <v>2.5</v>
      </c>
      <c r="L293" s="6">
        <f>INDEX(products!$A$1:$G$49, MATCH(orders!$D887,products!$A$1:$A934,0), MATCH(orders!L$1,products!$A$1:$G$1,0))</f>
        <v>20.584999999999997</v>
      </c>
      <c r="M293" s="6">
        <f t="shared" si="12"/>
        <v>123.50999999999999</v>
      </c>
      <c r="N293" t="str">
        <f t="shared" si="13"/>
        <v>Robusta</v>
      </c>
      <c r="O293" t="str">
        <f t="shared" si="14"/>
        <v>Dark</v>
      </c>
      <c r="P293" t="str">
        <f>_xlfn.XLOOKUP(Orders[[#This Row],[Customer ID]],customers!$A$1:$A$1001,customers!$I$1:$I$1001,,0)</f>
        <v>No</v>
      </c>
      <c r="Q293">
        <f>COUNTIF(Orders[Order ID],Orders[[#This Row],[Order ID]])</f>
        <v>1</v>
      </c>
      <c r="R293" s="10">
        <f>SUMIF(Orders[Order ID], Orders[[#This Row],[Order ID]],Orders[Sales])/Orders[[#This Row],[Order Frequency]]</f>
        <v>123.50999999999999</v>
      </c>
      <c r="S293" t="str">
        <f>IF(Orders[[#This Row],[Order Frequency]]&gt;4, "More than 4", IF(AND(Orders[[#This Row],[Order Frequency]]&lt;=4,Orders[[#This Row],[Order Frequency]]&gt;=2), "Between 4 and 2", "Less than 2"))</f>
        <v>Less than 2</v>
      </c>
      <c r="T293" t="str">
        <f>IF(Orders[[#This Row],[Frequency Group]]="less than 2", "Low Value", IF(Orders[[#This Row],[Frequency Group]]="between 4 and 2", "Medium Value", "High Value"))</f>
        <v>Low Value</v>
      </c>
      <c r="U293" t="str">
        <f>IF(Orders[[#This Row],[Sales]]&lt;50, "$0-50", IF(AND(Orders[[#This Row],[Sales]]&gt;=50,Orders[[#This Row],[Sales]]&lt;=100), "$50-100", IF(AND(Orders[[#This Row],[Sales]]&gt;100,Orders[[#This Row],[Sales]]&lt;=150), "$101-150", "$150+")))</f>
        <v>$101-150</v>
      </c>
      <c r="V293" t="str">
        <f>IF(Orders[[#This Row],[Sales]]&gt;MEDIAN(M:M), "High Price", "Low Price")</f>
        <v>High Price</v>
      </c>
      <c r="W293" t="str">
        <f>IF(Orders[[#This Row],[Quantity]]&gt;MEDIAN(E:E), "High Volume", "Low Volume")</f>
        <v>High Volume</v>
      </c>
      <c r="X293" t="str">
        <f>Orders[[#This Row],[Sales Tier]] &amp; "-" &amp; Orders[[#This Row],[Quantity Tier]]</f>
        <v>High Price-High Volume</v>
      </c>
      <c r="Y293" t="str">
        <f>TEXT(Orders[[#This Row],[Order Date]], "mmmm")</f>
        <v>July</v>
      </c>
      <c r="Z29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293" t="str">
        <f>Orders[[#This Row],[Coffee Type Name]] &amp; "-" &amp; Orders[[#This Row],[Roast Type Name]]</f>
        <v>Robusta-Dark</v>
      </c>
      <c r="AB29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294" spans="1:28" x14ac:dyDescent="0.25">
      <c r="A294" s="2" t="s">
        <v>4179</v>
      </c>
      <c r="B294" s="4">
        <v>44375</v>
      </c>
      <c r="C294" s="2" t="s">
        <v>4180</v>
      </c>
      <c r="D294" t="s">
        <v>6175</v>
      </c>
      <c r="E294" s="2">
        <v>4</v>
      </c>
      <c r="F294" s="2" t="str">
        <f>_xlfn.XLOOKUP(C294,customers!$A$1:$A$1001,customers!$B$1:$B$1001,,0)</f>
        <v>Almeria Burgett</v>
      </c>
      <c r="G294" s="2" t="str">
        <f>IF(_xlfn.XLOOKUP(C294,customers!$A$1:$A$1001,customers!$C$1:$C$1001,,0)=0,"",_xlfn.XLOOKUP(C294,customers!$A$1:$A$1001,customers!$C$1:$C$1001,,0))</f>
        <v>aburgetti5@moonfruit.com</v>
      </c>
      <c r="H294" s="2" t="str">
        <f>_xlfn.XLOOKUP(C294,customers!$A$1:$A$1001,customers!$G$1:$G$1001,,0)</f>
        <v>United States</v>
      </c>
      <c r="I294" t="str">
        <f>INDEX(products!$A$1:$G$49, MATCH(orders!$D655,products!$A$1:$A702,0), MATCH(orders!I$1,products!$A$1:$G$1,0))</f>
        <v>Ara</v>
      </c>
      <c r="J294" t="str">
        <f>INDEX(products!$A$1:$G$49, MATCH(orders!$D655,products!$A$1:$A702,0), MATCH(orders!J$1,products!$A$1:$G$1,0))</f>
        <v>M</v>
      </c>
      <c r="K294" s="5">
        <f>INDEX(products!$A$1:$G$49, MATCH(orders!$D655,products!$A$1:$A702,0), MATCH(orders!K$1,products!$A$1:$G$1,0))</f>
        <v>2.5</v>
      </c>
      <c r="L294" s="6">
        <f>INDEX(products!$A$1:$G$49, MATCH(orders!$D655,products!$A$1:$A702,0), MATCH(orders!L$1,products!$A$1:$G$1,0))</f>
        <v>25.874999999999996</v>
      </c>
      <c r="M294" s="6">
        <f t="shared" si="12"/>
        <v>103.49999999999999</v>
      </c>
      <c r="N294" t="str">
        <f t="shared" si="13"/>
        <v>Arabica</v>
      </c>
      <c r="O294" t="str">
        <f t="shared" si="14"/>
        <v>Medium</v>
      </c>
      <c r="P294" t="str">
        <f>_xlfn.XLOOKUP(Orders[[#This Row],[Customer ID]],customers!$A$1:$A$1001,customers!$I$1:$I$1001,,0)</f>
        <v>No</v>
      </c>
      <c r="Q294">
        <f>COUNTIF(Orders[Order ID],Orders[[#This Row],[Order ID]])</f>
        <v>1</v>
      </c>
      <c r="R294" s="10">
        <f>SUMIF(Orders[Order ID], Orders[[#This Row],[Order ID]],Orders[Sales])/Orders[[#This Row],[Order Frequency]]</f>
        <v>103.49999999999999</v>
      </c>
      <c r="S294" t="str">
        <f>IF(Orders[[#This Row],[Order Frequency]]&gt;4, "More than 4", IF(AND(Orders[[#This Row],[Order Frequency]]&lt;=4,Orders[[#This Row],[Order Frequency]]&gt;=2), "Between 4 and 2", "Less than 2"))</f>
        <v>Less than 2</v>
      </c>
      <c r="T294" t="str">
        <f>IF(Orders[[#This Row],[Frequency Group]]="less than 2", "Low Value", IF(Orders[[#This Row],[Frequency Group]]="between 4 and 2", "Medium Value", "High Value"))</f>
        <v>Low Value</v>
      </c>
      <c r="U294" t="str">
        <f>IF(Orders[[#This Row],[Sales]]&lt;50, "$0-50", IF(AND(Orders[[#This Row],[Sales]]&gt;=50,Orders[[#This Row],[Sales]]&lt;=100), "$50-100", IF(AND(Orders[[#This Row],[Sales]]&gt;100,Orders[[#This Row],[Sales]]&lt;=150), "$101-150", "$150+")))</f>
        <v>$101-150</v>
      </c>
      <c r="V294" t="str">
        <f>IF(Orders[[#This Row],[Sales]]&gt;MEDIAN(M:M), "High Price", "Low Price")</f>
        <v>High Price</v>
      </c>
      <c r="W294" t="str">
        <f>IF(Orders[[#This Row],[Quantity]]&gt;MEDIAN(E:E), "High Volume", "Low Volume")</f>
        <v>Low Volume</v>
      </c>
      <c r="X294" t="str">
        <f>Orders[[#This Row],[Sales Tier]] &amp; "-" &amp; Orders[[#This Row],[Quantity Tier]]</f>
        <v>High Price-Low Volume</v>
      </c>
      <c r="Y294" t="str">
        <f>TEXT(Orders[[#This Row],[Order Date]], "mmmm")</f>
        <v>June</v>
      </c>
      <c r="Z29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94" t="str">
        <f>Orders[[#This Row],[Coffee Type Name]] &amp; "-" &amp; Orders[[#This Row],[Roast Type Name]]</f>
        <v>Arabica-Medium</v>
      </c>
      <c r="AB29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295" spans="1:28" x14ac:dyDescent="0.25">
      <c r="A295" s="2" t="s">
        <v>3164</v>
      </c>
      <c r="B295" s="4">
        <v>44603</v>
      </c>
      <c r="C295" s="2" t="s">
        <v>3165</v>
      </c>
      <c r="D295" t="s">
        <v>6140</v>
      </c>
      <c r="E295" s="2">
        <v>2</v>
      </c>
      <c r="F295" s="2" t="str">
        <f>_xlfn.XLOOKUP(C295,customers!$A$1:$A$1001,customers!$B$1:$B$1001,,0)</f>
        <v>Heloise Zeal</v>
      </c>
      <c r="G295" s="2" t="str">
        <f>IF(_xlfn.XLOOKUP(C295,customers!$A$1:$A$1001,customers!$C$1:$C$1001,,0)=0,"",_xlfn.XLOOKUP(C295,customers!$A$1:$A$1001,customers!$C$1:$C$1001,,0))</f>
        <v>hzeald5@google.de</v>
      </c>
      <c r="H295" s="2" t="str">
        <f>_xlfn.XLOOKUP(C295,customers!$A$1:$A$1001,customers!$G$1:$G$1001,,0)</f>
        <v>United States</v>
      </c>
      <c r="I295" t="str">
        <f>INDEX(products!$A$1:$G$49, MATCH(orders!$D475,products!$A$1:$A522,0), MATCH(orders!I$1,products!$A$1:$G$1,0))</f>
        <v>Ara</v>
      </c>
      <c r="J295" t="str">
        <f>INDEX(products!$A$1:$G$49, MATCH(orders!$D475,products!$A$1:$A522,0), MATCH(orders!J$1,products!$A$1:$G$1,0))</f>
        <v>L</v>
      </c>
      <c r="K295" s="5">
        <f>INDEX(products!$A$1:$G$49, MATCH(orders!$D475,products!$A$1:$A522,0), MATCH(orders!K$1,products!$A$1:$G$1,0))</f>
        <v>1</v>
      </c>
      <c r="L295" s="6">
        <f>INDEX(products!$A$1:$G$49, MATCH(orders!$D475,products!$A$1:$A522,0), MATCH(orders!L$1,products!$A$1:$G$1,0))</f>
        <v>12.95</v>
      </c>
      <c r="M295" s="6">
        <f t="shared" si="12"/>
        <v>25.9</v>
      </c>
      <c r="N295" t="str">
        <f t="shared" si="13"/>
        <v>Arabica</v>
      </c>
      <c r="O295" t="str">
        <f t="shared" si="14"/>
        <v>Light</v>
      </c>
      <c r="P295" t="str">
        <f>_xlfn.XLOOKUP(Orders[[#This Row],[Customer ID]],customers!$A$1:$A$1001,customers!$I$1:$I$1001,,0)</f>
        <v>No</v>
      </c>
      <c r="Q295">
        <f>COUNTIF(Orders[Order ID],Orders[[#This Row],[Order ID]])</f>
        <v>1</v>
      </c>
      <c r="R295" s="10">
        <f>SUMIF(Orders[Order ID], Orders[[#This Row],[Order ID]],Orders[Sales])/Orders[[#This Row],[Order Frequency]]</f>
        <v>25.9</v>
      </c>
      <c r="S295" t="str">
        <f>IF(Orders[[#This Row],[Order Frequency]]&gt;4, "More than 4", IF(AND(Orders[[#This Row],[Order Frequency]]&lt;=4,Orders[[#This Row],[Order Frequency]]&gt;=2), "Between 4 and 2", "Less than 2"))</f>
        <v>Less than 2</v>
      </c>
      <c r="T295" t="str">
        <f>IF(Orders[[#This Row],[Frequency Group]]="less than 2", "Low Value", IF(Orders[[#This Row],[Frequency Group]]="between 4 and 2", "Medium Value", "High Value"))</f>
        <v>Low Value</v>
      </c>
      <c r="U295" t="str">
        <f>IF(Orders[[#This Row],[Sales]]&lt;50, "$0-50", IF(AND(Orders[[#This Row],[Sales]]&gt;=50,Orders[[#This Row],[Sales]]&lt;=100), "$50-100", IF(AND(Orders[[#This Row],[Sales]]&gt;100,Orders[[#This Row],[Sales]]&lt;=150), "$101-150", "$150+")))</f>
        <v>$0-50</v>
      </c>
      <c r="V295" t="str">
        <f>IF(Orders[[#This Row],[Sales]]&gt;MEDIAN(M:M), "High Price", "Low Price")</f>
        <v>Low Price</v>
      </c>
      <c r="W295" t="str">
        <f>IF(Orders[[#This Row],[Quantity]]&gt;MEDIAN(E:E), "High Volume", "Low Volume")</f>
        <v>Low Volume</v>
      </c>
      <c r="X295" t="str">
        <f>Orders[[#This Row],[Sales Tier]] &amp; "-" &amp; Orders[[#This Row],[Quantity Tier]]</f>
        <v>Low Price-Low Volume</v>
      </c>
      <c r="Y295" t="str">
        <f>TEXT(Orders[[#This Row],[Order Date]], "mmmm")</f>
        <v>February</v>
      </c>
      <c r="Z29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295" t="str">
        <f>Orders[[#This Row],[Coffee Type Name]] &amp; "-" &amp; Orders[[#This Row],[Roast Type Name]]</f>
        <v>Arabica-Light</v>
      </c>
      <c r="AB29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296" spans="1:28" x14ac:dyDescent="0.25">
      <c r="A296" s="2" t="s">
        <v>2829</v>
      </c>
      <c r="B296" s="4">
        <v>43683</v>
      </c>
      <c r="C296" s="2" t="s">
        <v>2830</v>
      </c>
      <c r="D296" t="s">
        <v>6174</v>
      </c>
      <c r="E296" s="2">
        <v>3</v>
      </c>
      <c r="F296" s="2" t="str">
        <f>_xlfn.XLOOKUP(C296,customers!$A$1:$A$1001,customers!$B$1:$B$1001,,0)</f>
        <v>Gregg Hawkyens</v>
      </c>
      <c r="G296" s="2" t="str">
        <f>IF(_xlfn.XLOOKUP(C296,customers!$A$1:$A$1001,customers!$C$1:$C$1001,,0)=0,"",_xlfn.XLOOKUP(C296,customers!$A$1:$A$1001,customers!$C$1:$C$1001,,0))</f>
        <v>ghawkyensbj@census.gov</v>
      </c>
      <c r="H296" s="2" t="str">
        <f>_xlfn.XLOOKUP(C296,customers!$A$1:$A$1001,customers!$G$1:$G$1001,,0)</f>
        <v>United States</v>
      </c>
      <c r="I296" t="str">
        <f>INDEX(products!$A$1:$G$49, MATCH(orders!$D417,products!$A$1:$A464,0), MATCH(orders!I$1,products!$A$1:$G$1,0))</f>
        <v>Rob</v>
      </c>
      <c r="J296" t="str">
        <f>INDEX(products!$A$1:$G$49, MATCH(orders!$D417,products!$A$1:$A464,0), MATCH(orders!J$1,products!$A$1:$G$1,0))</f>
        <v>M</v>
      </c>
      <c r="K296" s="5">
        <f>INDEX(products!$A$1:$G$49, MATCH(orders!$D417,products!$A$1:$A464,0), MATCH(orders!K$1,products!$A$1:$G$1,0))</f>
        <v>0.2</v>
      </c>
      <c r="L296" s="6">
        <f>INDEX(products!$A$1:$G$49, MATCH(orders!$D417,products!$A$1:$A464,0), MATCH(orders!L$1,products!$A$1:$G$1,0))</f>
        <v>2.9849999999999999</v>
      </c>
      <c r="M296" s="6">
        <f t="shared" si="12"/>
        <v>8.9550000000000001</v>
      </c>
      <c r="N296" t="str">
        <f t="shared" si="13"/>
        <v>Robusta</v>
      </c>
      <c r="O296" t="str">
        <f t="shared" si="14"/>
        <v>Medium</v>
      </c>
      <c r="P296" t="str">
        <f>_xlfn.XLOOKUP(Orders[[#This Row],[Customer ID]],customers!$A$1:$A$1001,customers!$I$1:$I$1001,,0)</f>
        <v>No</v>
      </c>
      <c r="Q296">
        <f>COUNTIF(Orders[Order ID],Orders[[#This Row],[Order ID]])</f>
        <v>1</v>
      </c>
      <c r="R296" s="10">
        <f>SUMIF(Orders[Order ID], Orders[[#This Row],[Order ID]],Orders[Sales])/Orders[[#This Row],[Order Frequency]]</f>
        <v>8.9550000000000001</v>
      </c>
      <c r="S296" t="str">
        <f>IF(Orders[[#This Row],[Order Frequency]]&gt;4, "More than 4", IF(AND(Orders[[#This Row],[Order Frequency]]&lt;=4,Orders[[#This Row],[Order Frequency]]&gt;=2), "Between 4 and 2", "Less than 2"))</f>
        <v>Less than 2</v>
      </c>
      <c r="T296" t="str">
        <f>IF(Orders[[#This Row],[Frequency Group]]="less than 2", "Low Value", IF(Orders[[#This Row],[Frequency Group]]="between 4 and 2", "Medium Value", "High Value"))</f>
        <v>Low Value</v>
      </c>
      <c r="U296" t="str">
        <f>IF(Orders[[#This Row],[Sales]]&lt;50, "$0-50", IF(AND(Orders[[#This Row],[Sales]]&gt;=50,Orders[[#This Row],[Sales]]&lt;=100), "$50-100", IF(AND(Orders[[#This Row],[Sales]]&gt;100,Orders[[#This Row],[Sales]]&lt;=150), "$101-150", "$150+")))</f>
        <v>$0-50</v>
      </c>
      <c r="V296" t="str">
        <f>IF(Orders[[#This Row],[Sales]]&gt;MEDIAN(M:M), "High Price", "Low Price")</f>
        <v>Low Price</v>
      </c>
      <c r="W296" t="str">
        <f>IF(Orders[[#This Row],[Quantity]]&gt;MEDIAN(E:E), "High Volume", "Low Volume")</f>
        <v>Low Volume</v>
      </c>
      <c r="X296" t="str">
        <f>Orders[[#This Row],[Sales Tier]] &amp; "-" &amp; Orders[[#This Row],[Quantity Tier]]</f>
        <v>Low Price-Low Volume</v>
      </c>
      <c r="Y296" t="str">
        <f>TEXT(Orders[[#This Row],[Order Date]], "mmmm")</f>
        <v>August</v>
      </c>
      <c r="Z29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296" t="str">
        <f>Orders[[#This Row],[Coffee Type Name]] &amp; "-" &amp; Orders[[#This Row],[Roast Type Name]]</f>
        <v>Robusta-Medium</v>
      </c>
      <c r="AB29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297" spans="1:28" x14ac:dyDescent="0.25">
      <c r="A297" s="2" t="s">
        <v>5944</v>
      </c>
      <c r="B297" s="4">
        <v>43724</v>
      </c>
      <c r="C297" s="2" t="s">
        <v>5945</v>
      </c>
      <c r="D297" t="s">
        <v>6138</v>
      </c>
      <c r="E297" s="2">
        <v>3</v>
      </c>
      <c r="F297" s="2" t="str">
        <f>_xlfn.XLOOKUP(C297,customers!$A$1:$A$1001,customers!$B$1:$B$1001,,0)</f>
        <v>Joey Jefferys</v>
      </c>
      <c r="G297" s="2" t="str">
        <f>IF(_xlfn.XLOOKUP(C297,customers!$A$1:$A$1001,customers!$C$1:$C$1001,,0)=0,"",_xlfn.XLOOKUP(C297,customers!$A$1:$A$1001,customers!$C$1:$C$1001,,0))</f>
        <v>jjefferysqt@blog.com</v>
      </c>
      <c r="H297" s="2" t="str">
        <f>_xlfn.XLOOKUP(C297,customers!$A$1:$A$1001,customers!$G$1:$G$1001,,0)</f>
        <v>United States</v>
      </c>
      <c r="I297" t="str">
        <f>INDEX(products!$A$1:$G$49, MATCH(orders!$D967,products!$A$1:$A1014,0), MATCH(orders!I$1,products!$A$1:$G$1,0))</f>
        <v>Rob</v>
      </c>
      <c r="J297" t="str">
        <f>INDEX(products!$A$1:$G$49, MATCH(orders!$D967,products!$A$1:$A1014,0), MATCH(orders!J$1,products!$A$1:$G$1,0))</f>
        <v>M</v>
      </c>
      <c r="K297" s="5">
        <f>INDEX(products!$A$1:$G$49, MATCH(orders!$D967,products!$A$1:$A1014,0), MATCH(orders!K$1,products!$A$1:$G$1,0))</f>
        <v>1</v>
      </c>
      <c r="L297" s="6">
        <f>INDEX(products!$A$1:$G$49, MATCH(orders!$D967,products!$A$1:$A1014,0), MATCH(orders!L$1,products!$A$1:$G$1,0))</f>
        <v>9.9499999999999993</v>
      </c>
      <c r="M297" s="6">
        <f t="shared" si="12"/>
        <v>29.849999999999998</v>
      </c>
      <c r="N297" t="str">
        <f t="shared" si="13"/>
        <v>Robusta</v>
      </c>
      <c r="O297" t="str">
        <f t="shared" si="14"/>
        <v>Medium</v>
      </c>
      <c r="P297" t="str">
        <f>_xlfn.XLOOKUP(Orders[[#This Row],[Customer ID]],customers!$A$1:$A$1001,customers!$I$1:$I$1001,,0)</f>
        <v>Yes</v>
      </c>
      <c r="Q297">
        <f>COUNTIF(Orders[Order ID],Orders[[#This Row],[Order ID]])</f>
        <v>1</v>
      </c>
      <c r="R297" s="10">
        <f>SUMIF(Orders[Order ID], Orders[[#This Row],[Order ID]],Orders[Sales])/Orders[[#This Row],[Order Frequency]]</f>
        <v>29.849999999999998</v>
      </c>
      <c r="S297" t="str">
        <f>IF(Orders[[#This Row],[Order Frequency]]&gt;4, "More than 4", IF(AND(Orders[[#This Row],[Order Frequency]]&lt;=4,Orders[[#This Row],[Order Frequency]]&gt;=2), "Between 4 and 2", "Less than 2"))</f>
        <v>Less than 2</v>
      </c>
      <c r="T297" t="str">
        <f>IF(Orders[[#This Row],[Frequency Group]]="less than 2", "Low Value", IF(Orders[[#This Row],[Frequency Group]]="between 4 and 2", "Medium Value", "High Value"))</f>
        <v>Low Value</v>
      </c>
      <c r="U297" t="str">
        <f>IF(Orders[[#This Row],[Sales]]&lt;50, "$0-50", IF(AND(Orders[[#This Row],[Sales]]&gt;=50,Orders[[#This Row],[Sales]]&lt;=100), "$50-100", IF(AND(Orders[[#This Row],[Sales]]&gt;100,Orders[[#This Row],[Sales]]&lt;=150), "$101-150", "$150+")))</f>
        <v>$0-50</v>
      </c>
      <c r="V297" t="str">
        <f>IF(Orders[[#This Row],[Sales]]&gt;MEDIAN(M:M), "High Price", "Low Price")</f>
        <v>High Price</v>
      </c>
      <c r="W297" t="str">
        <f>IF(Orders[[#This Row],[Quantity]]&gt;MEDIAN(E:E), "High Volume", "Low Volume")</f>
        <v>Low Volume</v>
      </c>
      <c r="X297" t="str">
        <f>Orders[[#This Row],[Sales Tier]] &amp; "-" &amp; Orders[[#This Row],[Quantity Tier]]</f>
        <v>High Price-Low Volume</v>
      </c>
      <c r="Y297" t="str">
        <f>TEXT(Orders[[#This Row],[Order Date]], "mmmm")</f>
        <v>September</v>
      </c>
      <c r="Z29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297" t="str">
        <f>Orders[[#This Row],[Coffee Type Name]] &amp; "-" &amp; Orders[[#This Row],[Roast Type Name]]</f>
        <v>Robusta-Medium</v>
      </c>
      <c r="AB29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298" spans="1:28" x14ac:dyDescent="0.25">
      <c r="A298" s="2" t="s">
        <v>822</v>
      </c>
      <c r="B298" s="4">
        <v>44537</v>
      </c>
      <c r="C298" s="2" t="s">
        <v>823</v>
      </c>
      <c r="D298" t="s">
        <v>6160</v>
      </c>
      <c r="E298" s="2">
        <v>3</v>
      </c>
      <c r="F298" s="2" t="str">
        <f>_xlfn.XLOOKUP(C298,customers!$A$1:$A$1001,customers!$B$1:$B$1001,,0)</f>
        <v>Stanislaus Gilroy</v>
      </c>
      <c r="G298" s="2" t="str">
        <f>IF(_xlfn.XLOOKUP(C298,customers!$A$1:$A$1001,customers!$C$1:$C$1001,,0)=0,"",_xlfn.XLOOKUP(C298,customers!$A$1:$A$1001,customers!$C$1:$C$1001,,0))</f>
        <v>sgilroy1n@eepurl.com</v>
      </c>
      <c r="H298" s="2" t="str">
        <f>_xlfn.XLOOKUP(C298,customers!$A$1:$A$1001,customers!$G$1:$G$1001,,0)</f>
        <v>United States</v>
      </c>
      <c r="I298" t="str">
        <f>INDEX(products!$A$1:$G$49, MATCH(orders!$D61,products!$A$1:$A108,0), MATCH(orders!I$1,products!$A$1:$G$1,0))</f>
        <v>Lib</v>
      </c>
      <c r="J298" t="str">
        <f>INDEX(products!$A$1:$G$49, MATCH(orders!$D61,products!$A$1:$A108,0), MATCH(orders!J$1,products!$A$1:$G$1,0))</f>
        <v>M</v>
      </c>
      <c r="K298" s="5">
        <f>INDEX(products!$A$1:$G$49, MATCH(orders!$D61,products!$A$1:$A108,0), MATCH(orders!K$1,products!$A$1:$G$1,0))</f>
        <v>0.5</v>
      </c>
      <c r="L298" s="6">
        <f>INDEX(products!$A$1:$G$49, MATCH(orders!$D61,products!$A$1:$A108,0), MATCH(orders!L$1,products!$A$1:$G$1,0))</f>
        <v>8.73</v>
      </c>
      <c r="M298" s="6">
        <f t="shared" si="12"/>
        <v>26.19</v>
      </c>
      <c r="N298" t="str">
        <f t="shared" si="13"/>
        <v>Liberica</v>
      </c>
      <c r="O298" t="str">
        <f t="shared" si="14"/>
        <v>Medium</v>
      </c>
      <c r="P298" t="str">
        <f>_xlfn.XLOOKUP(Orders[[#This Row],[Customer ID]],customers!$A$1:$A$1001,customers!$I$1:$I$1001,,0)</f>
        <v>Yes</v>
      </c>
      <c r="Q298">
        <f>COUNTIF(Orders[Order ID],Orders[[#This Row],[Order ID]])</f>
        <v>1</v>
      </c>
      <c r="R298" s="10">
        <f>SUMIF(Orders[Order ID], Orders[[#This Row],[Order ID]],Orders[Sales])/Orders[[#This Row],[Order Frequency]]</f>
        <v>26.19</v>
      </c>
      <c r="S298" t="str">
        <f>IF(Orders[[#This Row],[Order Frequency]]&gt;4, "More than 4", IF(AND(Orders[[#This Row],[Order Frequency]]&lt;=4,Orders[[#This Row],[Order Frequency]]&gt;=2), "Between 4 and 2", "Less than 2"))</f>
        <v>Less than 2</v>
      </c>
      <c r="T298" t="str">
        <f>IF(Orders[[#This Row],[Frequency Group]]="less than 2", "Low Value", IF(Orders[[#This Row],[Frequency Group]]="between 4 and 2", "Medium Value", "High Value"))</f>
        <v>Low Value</v>
      </c>
      <c r="U298" t="str">
        <f>IF(Orders[[#This Row],[Sales]]&lt;50, "$0-50", IF(AND(Orders[[#This Row],[Sales]]&gt;=50,Orders[[#This Row],[Sales]]&lt;=100), "$50-100", IF(AND(Orders[[#This Row],[Sales]]&gt;100,Orders[[#This Row],[Sales]]&lt;=150), "$101-150", "$150+")))</f>
        <v>$0-50</v>
      </c>
      <c r="V298" t="str">
        <f>IF(Orders[[#This Row],[Sales]]&gt;MEDIAN(M:M), "High Price", "Low Price")</f>
        <v>Low Price</v>
      </c>
      <c r="W298" t="str">
        <f>IF(Orders[[#This Row],[Quantity]]&gt;MEDIAN(E:E), "High Volume", "Low Volume")</f>
        <v>Low Volume</v>
      </c>
      <c r="X298" t="str">
        <f>Orders[[#This Row],[Sales Tier]] &amp; "-" &amp; Orders[[#This Row],[Quantity Tier]]</f>
        <v>Low Price-Low Volume</v>
      </c>
      <c r="Y298" t="str">
        <f>TEXT(Orders[[#This Row],[Order Date]], "mmmm")</f>
        <v>December</v>
      </c>
      <c r="Z29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298" t="str">
        <f>Orders[[#This Row],[Coffee Type Name]] &amp; "-" &amp; Orders[[#This Row],[Roast Type Name]]</f>
        <v>Liberica-Medium</v>
      </c>
      <c r="AB29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299" spans="1:28" x14ac:dyDescent="0.25">
      <c r="A299" s="2" t="s">
        <v>4250</v>
      </c>
      <c r="B299" s="4">
        <v>43987</v>
      </c>
      <c r="C299" s="2" t="s">
        <v>4251</v>
      </c>
      <c r="D299" t="s">
        <v>6168</v>
      </c>
      <c r="E299" s="2">
        <v>4</v>
      </c>
      <c r="F299" s="2" t="str">
        <f>_xlfn.XLOOKUP(C299,customers!$A$1:$A$1001,customers!$B$1:$B$1001,,0)</f>
        <v>Jermaine Branchett</v>
      </c>
      <c r="G299" s="2" t="str">
        <f>IF(_xlfn.XLOOKUP(C299,customers!$A$1:$A$1001,customers!$C$1:$C$1001,,0)=0,"",_xlfn.XLOOKUP(C299,customers!$A$1:$A$1001,customers!$C$1:$C$1001,,0))</f>
        <v>jbranchettii@bravesites.com</v>
      </c>
      <c r="H299" s="2" t="str">
        <f>_xlfn.XLOOKUP(C299,customers!$A$1:$A$1001,customers!$G$1:$G$1001,,0)</f>
        <v>United States</v>
      </c>
      <c r="I299" t="str">
        <f>INDEX(products!$A$1:$G$49, MATCH(orders!$D668,products!$A$1:$A715,0), MATCH(orders!I$1,products!$A$1:$G$1,0))</f>
        <v>Ara</v>
      </c>
      <c r="J299" t="str">
        <f>INDEX(products!$A$1:$G$49, MATCH(orders!$D668,products!$A$1:$A715,0), MATCH(orders!J$1,products!$A$1:$G$1,0))</f>
        <v>D</v>
      </c>
      <c r="K299" s="5">
        <f>INDEX(products!$A$1:$G$49, MATCH(orders!$D668,products!$A$1:$A715,0), MATCH(orders!K$1,products!$A$1:$G$1,0))</f>
        <v>2.5</v>
      </c>
      <c r="L299" s="6">
        <f>INDEX(products!$A$1:$G$49, MATCH(orders!$D668,products!$A$1:$A715,0), MATCH(orders!L$1,products!$A$1:$G$1,0))</f>
        <v>22.884999999999998</v>
      </c>
      <c r="M299" s="6">
        <f t="shared" si="12"/>
        <v>91.539999999999992</v>
      </c>
      <c r="N299" t="str">
        <f t="shared" si="13"/>
        <v>Arabica</v>
      </c>
      <c r="O299" t="str">
        <f t="shared" si="14"/>
        <v>Dark</v>
      </c>
      <c r="P299" t="str">
        <f>_xlfn.XLOOKUP(Orders[[#This Row],[Customer ID]],customers!$A$1:$A$1001,customers!$I$1:$I$1001,,0)</f>
        <v>No</v>
      </c>
      <c r="Q299">
        <f>COUNTIF(Orders[Order ID],Orders[[#This Row],[Order ID]])</f>
        <v>1</v>
      </c>
      <c r="R299" s="10">
        <f>SUMIF(Orders[Order ID], Orders[[#This Row],[Order ID]],Orders[Sales])/Orders[[#This Row],[Order Frequency]]</f>
        <v>91.539999999999992</v>
      </c>
      <c r="S299" t="str">
        <f>IF(Orders[[#This Row],[Order Frequency]]&gt;4, "More than 4", IF(AND(Orders[[#This Row],[Order Frequency]]&lt;=4,Orders[[#This Row],[Order Frequency]]&gt;=2), "Between 4 and 2", "Less than 2"))</f>
        <v>Less than 2</v>
      </c>
      <c r="T299" t="str">
        <f>IF(Orders[[#This Row],[Frequency Group]]="less than 2", "Low Value", IF(Orders[[#This Row],[Frequency Group]]="between 4 and 2", "Medium Value", "High Value"))</f>
        <v>Low Value</v>
      </c>
      <c r="U299" t="str">
        <f>IF(Orders[[#This Row],[Sales]]&lt;50, "$0-50", IF(AND(Orders[[#This Row],[Sales]]&gt;=50,Orders[[#This Row],[Sales]]&lt;=100), "$50-100", IF(AND(Orders[[#This Row],[Sales]]&gt;100,Orders[[#This Row],[Sales]]&lt;=150), "$101-150", "$150+")))</f>
        <v>$50-100</v>
      </c>
      <c r="V299" t="str">
        <f>IF(Orders[[#This Row],[Sales]]&gt;MEDIAN(M:M), "High Price", "Low Price")</f>
        <v>High Price</v>
      </c>
      <c r="W299" t="str">
        <f>IF(Orders[[#This Row],[Quantity]]&gt;MEDIAN(E:E), "High Volume", "Low Volume")</f>
        <v>Low Volume</v>
      </c>
      <c r="X299" t="str">
        <f>Orders[[#This Row],[Sales Tier]] &amp; "-" &amp; Orders[[#This Row],[Quantity Tier]]</f>
        <v>High Price-Low Volume</v>
      </c>
      <c r="Y299" t="str">
        <f>TEXT(Orders[[#This Row],[Order Date]], "mmmm")</f>
        <v>June</v>
      </c>
      <c r="Z29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299" t="str">
        <f>Orders[[#This Row],[Coffee Type Name]] &amp; "-" &amp; Orders[[#This Row],[Roast Type Name]]</f>
        <v>Arabica-Dark</v>
      </c>
      <c r="AB29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300" spans="1:28" x14ac:dyDescent="0.25">
      <c r="A300" s="2" t="s">
        <v>930</v>
      </c>
      <c r="B300" s="4">
        <v>43920</v>
      </c>
      <c r="C300" s="2" t="s">
        <v>931</v>
      </c>
      <c r="D300" t="s">
        <v>6157</v>
      </c>
      <c r="E300" s="2">
        <v>6</v>
      </c>
      <c r="F300" s="2" t="str">
        <f>_xlfn.XLOOKUP(C300,customers!$A$1:$A$1001,customers!$B$1:$B$1001,,0)</f>
        <v>Lothaire Mizzi</v>
      </c>
      <c r="G300" s="2" t="str">
        <f>IF(_xlfn.XLOOKUP(C300,customers!$A$1:$A$1001,customers!$C$1:$C$1001,,0)=0,"",_xlfn.XLOOKUP(C300,customers!$A$1:$A$1001,customers!$C$1:$C$1001,,0))</f>
        <v>lmizzi26@rakuten.co.jp</v>
      </c>
      <c r="H300" s="2" t="str">
        <f>_xlfn.XLOOKUP(C300,customers!$A$1:$A$1001,customers!$G$1:$G$1001,,0)</f>
        <v>United States</v>
      </c>
      <c r="I300" t="str">
        <f>INDEX(products!$A$1:$G$49, MATCH(orders!$D80,products!$A$1:$A127,0), MATCH(orders!I$1,products!$A$1:$G$1,0))</f>
        <v>Ara</v>
      </c>
      <c r="J300" t="str">
        <f>INDEX(products!$A$1:$G$49, MATCH(orders!$D80,products!$A$1:$A127,0), MATCH(orders!J$1,products!$A$1:$G$1,0))</f>
        <v>M</v>
      </c>
      <c r="K300" s="5">
        <f>INDEX(products!$A$1:$G$49, MATCH(orders!$D80,products!$A$1:$A127,0), MATCH(orders!K$1,products!$A$1:$G$1,0))</f>
        <v>0.5</v>
      </c>
      <c r="L300" s="6">
        <f>INDEX(products!$A$1:$G$49, MATCH(orders!$D80,products!$A$1:$A127,0), MATCH(orders!L$1,products!$A$1:$G$1,0))</f>
        <v>6.75</v>
      </c>
      <c r="M300" s="6">
        <f t="shared" si="12"/>
        <v>40.5</v>
      </c>
      <c r="N300" t="str">
        <f t="shared" si="13"/>
        <v>Arabica</v>
      </c>
      <c r="O300" t="str">
        <f t="shared" si="14"/>
        <v>Medium</v>
      </c>
      <c r="P300" t="str">
        <f>_xlfn.XLOOKUP(Orders[[#This Row],[Customer ID]],customers!$A$1:$A$1001,customers!$I$1:$I$1001,,0)</f>
        <v>Yes</v>
      </c>
      <c r="Q300">
        <f>COUNTIF(Orders[Order ID],Orders[[#This Row],[Order ID]])</f>
        <v>1</v>
      </c>
      <c r="R300" s="10">
        <f>SUMIF(Orders[Order ID], Orders[[#This Row],[Order ID]],Orders[Sales])/Orders[[#This Row],[Order Frequency]]</f>
        <v>40.5</v>
      </c>
      <c r="S300" t="str">
        <f>IF(Orders[[#This Row],[Order Frequency]]&gt;4, "More than 4", IF(AND(Orders[[#This Row],[Order Frequency]]&lt;=4,Orders[[#This Row],[Order Frequency]]&gt;=2), "Between 4 and 2", "Less than 2"))</f>
        <v>Less than 2</v>
      </c>
      <c r="T300" t="str">
        <f>IF(Orders[[#This Row],[Frequency Group]]="less than 2", "Low Value", IF(Orders[[#This Row],[Frequency Group]]="between 4 and 2", "Medium Value", "High Value"))</f>
        <v>Low Value</v>
      </c>
      <c r="U300" t="str">
        <f>IF(Orders[[#This Row],[Sales]]&lt;50, "$0-50", IF(AND(Orders[[#This Row],[Sales]]&gt;=50,Orders[[#This Row],[Sales]]&lt;=100), "$50-100", IF(AND(Orders[[#This Row],[Sales]]&gt;100,Orders[[#This Row],[Sales]]&lt;=150), "$101-150", "$150+")))</f>
        <v>$0-50</v>
      </c>
      <c r="V300" t="str">
        <f>IF(Orders[[#This Row],[Sales]]&gt;MEDIAN(M:M), "High Price", "Low Price")</f>
        <v>High Price</v>
      </c>
      <c r="W300" t="str">
        <f>IF(Orders[[#This Row],[Quantity]]&gt;MEDIAN(E:E), "High Volume", "Low Volume")</f>
        <v>High Volume</v>
      </c>
      <c r="X300" t="str">
        <f>Orders[[#This Row],[Sales Tier]] &amp; "-" &amp; Orders[[#This Row],[Quantity Tier]]</f>
        <v>High Price-High Volume</v>
      </c>
      <c r="Y300" t="str">
        <f>TEXT(Orders[[#This Row],[Order Date]], "mmmm")</f>
        <v>March</v>
      </c>
      <c r="Z30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300" t="str">
        <f>Orders[[#This Row],[Coffee Type Name]] &amp; "-" &amp; Orders[[#This Row],[Roast Type Name]]</f>
        <v>Arabica-Medium</v>
      </c>
      <c r="AB30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301" spans="1:28" x14ac:dyDescent="0.25">
      <c r="A301" s="2" t="s">
        <v>2050</v>
      </c>
      <c r="B301" s="4">
        <v>43992</v>
      </c>
      <c r="C301" s="2" t="s">
        <v>2051</v>
      </c>
      <c r="D301" t="s">
        <v>6142</v>
      </c>
      <c r="E301" s="2">
        <v>4</v>
      </c>
      <c r="F301" s="2" t="str">
        <f>_xlfn.XLOOKUP(C301,customers!$A$1:$A$1001,customers!$B$1:$B$1001,,0)</f>
        <v>Dorelia Bury</v>
      </c>
      <c r="G301" s="2" t="str">
        <f>IF(_xlfn.XLOOKUP(C301,customers!$A$1:$A$1001,customers!$C$1:$C$1001,,0)=0,"",_xlfn.XLOOKUP(C301,customers!$A$1:$A$1001,customers!$C$1:$C$1001,,0))</f>
        <v>dbury7o@tinyurl.com</v>
      </c>
      <c r="H301" s="2" t="str">
        <f>_xlfn.XLOOKUP(C301,customers!$A$1:$A$1001,customers!$G$1:$G$1001,,0)</f>
        <v>Ireland</v>
      </c>
      <c r="I301" t="str">
        <f>INDEX(products!$A$1:$G$49, MATCH(orders!$D278,products!$A$1:$A325,0), MATCH(orders!I$1,products!$A$1:$G$1,0))</f>
        <v>Rob</v>
      </c>
      <c r="J301" t="str">
        <f>INDEX(products!$A$1:$G$49, MATCH(orders!$D278,products!$A$1:$A325,0), MATCH(orders!J$1,products!$A$1:$G$1,0))</f>
        <v>L</v>
      </c>
      <c r="K301" s="5">
        <f>INDEX(products!$A$1:$G$49, MATCH(orders!$D278,products!$A$1:$A325,0), MATCH(orders!K$1,products!$A$1:$G$1,0))</f>
        <v>2.5</v>
      </c>
      <c r="L301" s="6">
        <f>INDEX(products!$A$1:$G$49, MATCH(orders!$D278,products!$A$1:$A325,0), MATCH(orders!L$1,products!$A$1:$G$1,0))</f>
        <v>27.484999999999996</v>
      </c>
      <c r="M301" s="6">
        <f t="shared" si="12"/>
        <v>109.93999999999998</v>
      </c>
      <c r="N301" t="str">
        <f t="shared" si="13"/>
        <v>Robusta</v>
      </c>
      <c r="O301" t="str">
        <f t="shared" si="14"/>
        <v>Light</v>
      </c>
      <c r="P301" t="str">
        <f>_xlfn.XLOOKUP(Orders[[#This Row],[Customer ID]],customers!$A$1:$A$1001,customers!$I$1:$I$1001,,0)</f>
        <v>Yes</v>
      </c>
      <c r="Q301">
        <f>COUNTIF(Orders[Order ID],Orders[[#This Row],[Order ID]])</f>
        <v>1</v>
      </c>
      <c r="R301" s="10">
        <f>SUMIF(Orders[Order ID], Orders[[#This Row],[Order ID]],Orders[Sales])/Orders[[#This Row],[Order Frequency]]</f>
        <v>109.93999999999998</v>
      </c>
      <c r="S301" t="str">
        <f>IF(Orders[[#This Row],[Order Frequency]]&gt;4, "More than 4", IF(AND(Orders[[#This Row],[Order Frequency]]&lt;=4,Orders[[#This Row],[Order Frequency]]&gt;=2), "Between 4 and 2", "Less than 2"))</f>
        <v>Less than 2</v>
      </c>
      <c r="T301" t="str">
        <f>IF(Orders[[#This Row],[Frequency Group]]="less than 2", "Low Value", IF(Orders[[#This Row],[Frequency Group]]="between 4 and 2", "Medium Value", "High Value"))</f>
        <v>Low Value</v>
      </c>
      <c r="U301" t="str">
        <f>IF(Orders[[#This Row],[Sales]]&lt;50, "$0-50", IF(AND(Orders[[#This Row],[Sales]]&gt;=50,Orders[[#This Row],[Sales]]&lt;=100), "$50-100", IF(AND(Orders[[#This Row],[Sales]]&gt;100,Orders[[#This Row],[Sales]]&lt;=150), "$101-150", "$150+")))</f>
        <v>$101-150</v>
      </c>
      <c r="V301" t="str">
        <f>IF(Orders[[#This Row],[Sales]]&gt;MEDIAN(M:M), "High Price", "Low Price")</f>
        <v>High Price</v>
      </c>
      <c r="W301" t="str">
        <f>IF(Orders[[#This Row],[Quantity]]&gt;MEDIAN(E:E), "High Volume", "Low Volume")</f>
        <v>Low Volume</v>
      </c>
      <c r="X301" t="str">
        <f>Orders[[#This Row],[Sales Tier]] &amp; "-" &amp; Orders[[#This Row],[Quantity Tier]]</f>
        <v>High Price-Low Volume</v>
      </c>
      <c r="Y301" t="str">
        <f>TEXT(Orders[[#This Row],[Order Date]], "mmmm")</f>
        <v>June</v>
      </c>
      <c r="Z30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301" t="str">
        <f>Orders[[#This Row],[Coffee Type Name]] &amp; "-" &amp; Orders[[#This Row],[Roast Type Name]]</f>
        <v>Robusta-Light</v>
      </c>
      <c r="AB30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302" spans="1:28" x14ac:dyDescent="0.25">
      <c r="A302" s="2" t="s">
        <v>1872</v>
      </c>
      <c r="B302" s="4">
        <v>43951</v>
      </c>
      <c r="C302" s="2" t="s">
        <v>1873</v>
      </c>
      <c r="D302" t="s">
        <v>6145</v>
      </c>
      <c r="E302" s="2">
        <v>5</v>
      </c>
      <c r="F302" s="2" t="str">
        <f>_xlfn.XLOOKUP(C302,customers!$A$1:$A$1001,customers!$B$1:$B$1001,,0)</f>
        <v>Lexie Mallan</v>
      </c>
      <c r="G302" s="2" t="str">
        <f>IF(_xlfn.XLOOKUP(C302,customers!$A$1:$A$1001,customers!$C$1:$C$1001,,0)=0,"",_xlfn.XLOOKUP(C302,customers!$A$1:$A$1001,customers!$C$1:$C$1001,,0))</f>
        <v>lmallan6t@state.gov</v>
      </c>
      <c r="H302" s="2" t="str">
        <f>_xlfn.XLOOKUP(C302,customers!$A$1:$A$1001,customers!$G$1:$G$1001,,0)</f>
        <v>United States</v>
      </c>
      <c r="I302" t="str">
        <f>INDEX(products!$A$1:$G$49, MATCH(orders!$D247,products!$A$1:$A294,0), MATCH(orders!I$1,products!$A$1:$G$1,0))</f>
        <v>Lib</v>
      </c>
      <c r="J302" t="str">
        <f>INDEX(products!$A$1:$G$49, MATCH(orders!$D247,products!$A$1:$A294,0), MATCH(orders!J$1,products!$A$1:$G$1,0))</f>
        <v>L</v>
      </c>
      <c r="K302" s="5">
        <f>INDEX(products!$A$1:$G$49, MATCH(orders!$D247,products!$A$1:$A294,0), MATCH(orders!K$1,products!$A$1:$G$1,0))</f>
        <v>0.2</v>
      </c>
      <c r="L302" s="6">
        <f>INDEX(products!$A$1:$G$49, MATCH(orders!$D247,products!$A$1:$A294,0), MATCH(orders!L$1,products!$A$1:$G$1,0))</f>
        <v>4.7549999999999999</v>
      </c>
      <c r="M302" s="6">
        <f t="shared" si="12"/>
        <v>23.774999999999999</v>
      </c>
      <c r="N302" t="str">
        <f t="shared" si="13"/>
        <v>Liberica</v>
      </c>
      <c r="O302" t="str">
        <f t="shared" si="14"/>
        <v>Light</v>
      </c>
      <c r="P302" t="str">
        <f>_xlfn.XLOOKUP(Orders[[#This Row],[Customer ID]],customers!$A$1:$A$1001,customers!$I$1:$I$1001,,0)</f>
        <v>Yes</v>
      </c>
      <c r="Q302">
        <f>COUNTIF(Orders[Order ID],Orders[[#This Row],[Order ID]])</f>
        <v>1</v>
      </c>
      <c r="R302" s="10">
        <f>SUMIF(Orders[Order ID], Orders[[#This Row],[Order ID]],Orders[Sales])/Orders[[#This Row],[Order Frequency]]</f>
        <v>23.774999999999999</v>
      </c>
      <c r="S302" t="str">
        <f>IF(Orders[[#This Row],[Order Frequency]]&gt;4, "More than 4", IF(AND(Orders[[#This Row],[Order Frequency]]&lt;=4,Orders[[#This Row],[Order Frequency]]&gt;=2), "Between 4 and 2", "Less than 2"))</f>
        <v>Less than 2</v>
      </c>
      <c r="T302" t="str">
        <f>IF(Orders[[#This Row],[Frequency Group]]="less than 2", "Low Value", IF(Orders[[#This Row],[Frequency Group]]="between 4 and 2", "Medium Value", "High Value"))</f>
        <v>Low Value</v>
      </c>
      <c r="U302" t="str">
        <f>IF(Orders[[#This Row],[Sales]]&lt;50, "$0-50", IF(AND(Orders[[#This Row],[Sales]]&gt;=50,Orders[[#This Row],[Sales]]&lt;=100), "$50-100", IF(AND(Orders[[#This Row],[Sales]]&gt;100,Orders[[#This Row],[Sales]]&lt;=150), "$101-150", "$150+")))</f>
        <v>$0-50</v>
      </c>
      <c r="V302" t="str">
        <f>IF(Orders[[#This Row],[Sales]]&gt;MEDIAN(M:M), "High Price", "Low Price")</f>
        <v>Low Price</v>
      </c>
      <c r="W302" t="str">
        <f>IF(Orders[[#This Row],[Quantity]]&gt;MEDIAN(E:E), "High Volume", "Low Volume")</f>
        <v>High Volume</v>
      </c>
      <c r="X302" t="str">
        <f>Orders[[#This Row],[Sales Tier]] &amp; "-" &amp; Orders[[#This Row],[Quantity Tier]]</f>
        <v>Low Price-High Volume</v>
      </c>
      <c r="Y302" t="str">
        <f>TEXT(Orders[[#This Row],[Order Date]], "mmmm")</f>
        <v>April</v>
      </c>
      <c r="Z30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302" t="str">
        <f>Orders[[#This Row],[Coffee Type Name]] &amp; "-" &amp; Orders[[#This Row],[Roast Type Name]]</f>
        <v>Liberica-Light</v>
      </c>
      <c r="AB30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303" spans="1:28" x14ac:dyDescent="0.25">
      <c r="A303" s="2" t="s">
        <v>4211</v>
      </c>
      <c r="B303" s="4">
        <v>44693</v>
      </c>
      <c r="C303" s="2" t="s">
        <v>4212</v>
      </c>
      <c r="D303" t="s">
        <v>6168</v>
      </c>
      <c r="E303" s="2">
        <v>2</v>
      </c>
      <c r="F303" s="2" t="str">
        <f>_xlfn.XLOOKUP(C303,customers!$A$1:$A$1001,customers!$B$1:$B$1001,,0)</f>
        <v>Dollie Gadsden</v>
      </c>
      <c r="G303" s="2" t="str">
        <f>IF(_xlfn.XLOOKUP(C303,customers!$A$1:$A$1001,customers!$C$1:$C$1001,,0)=0,"",_xlfn.XLOOKUP(C303,customers!$A$1:$A$1001,customers!$C$1:$C$1001,,0))</f>
        <v>dgadsdenib@google.com.hk</v>
      </c>
      <c r="H303" s="2" t="str">
        <f>_xlfn.XLOOKUP(C303,customers!$A$1:$A$1001,customers!$G$1:$G$1001,,0)</f>
        <v>Ireland</v>
      </c>
      <c r="I303" t="str">
        <f>INDEX(products!$A$1:$G$49, MATCH(orders!$D661,products!$A$1:$A708,0), MATCH(orders!I$1,products!$A$1:$G$1,0))</f>
        <v>Ara</v>
      </c>
      <c r="J303" t="str">
        <f>INDEX(products!$A$1:$G$49, MATCH(orders!$D661,products!$A$1:$A708,0), MATCH(orders!J$1,products!$A$1:$G$1,0))</f>
        <v>D</v>
      </c>
      <c r="K303" s="5">
        <f>INDEX(products!$A$1:$G$49, MATCH(orders!$D661,products!$A$1:$A708,0), MATCH(orders!K$1,products!$A$1:$G$1,0))</f>
        <v>2.5</v>
      </c>
      <c r="L303" s="6">
        <f>INDEX(products!$A$1:$G$49, MATCH(orders!$D661,products!$A$1:$A708,0), MATCH(orders!L$1,products!$A$1:$G$1,0))</f>
        <v>22.884999999999998</v>
      </c>
      <c r="M303" s="6">
        <f t="shared" si="12"/>
        <v>45.769999999999996</v>
      </c>
      <c r="N303" t="str">
        <f t="shared" si="13"/>
        <v>Arabica</v>
      </c>
      <c r="O303" t="str">
        <f t="shared" si="14"/>
        <v>Dark</v>
      </c>
      <c r="P303" t="str">
        <f>_xlfn.XLOOKUP(Orders[[#This Row],[Customer ID]],customers!$A$1:$A$1001,customers!$I$1:$I$1001,,0)</f>
        <v>Yes</v>
      </c>
      <c r="Q303">
        <f>COUNTIF(Orders[Order ID],Orders[[#This Row],[Order ID]])</f>
        <v>1</v>
      </c>
      <c r="R303" s="10">
        <f>SUMIF(Orders[Order ID], Orders[[#This Row],[Order ID]],Orders[Sales])/Orders[[#This Row],[Order Frequency]]</f>
        <v>45.769999999999996</v>
      </c>
      <c r="S303" t="str">
        <f>IF(Orders[[#This Row],[Order Frequency]]&gt;4, "More than 4", IF(AND(Orders[[#This Row],[Order Frequency]]&lt;=4,Orders[[#This Row],[Order Frequency]]&gt;=2), "Between 4 and 2", "Less than 2"))</f>
        <v>Less than 2</v>
      </c>
      <c r="T303" t="str">
        <f>IF(Orders[[#This Row],[Frequency Group]]="less than 2", "Low Value", IF(Orders[[#This Row],[Frequency Group]]="between 4 and 2", "Medium Value", "High Value"))</f>
        <v>Low Value</v>
      </c>
      <c r="U303" t="str">
        <f>IF(Orders[[#This Row],[Sales]]&lt;50, "$0-50", IF(AND(Orders[[#This Row],[Sales]]&gt;=50,Orders[[#This Row],[Sales]]&lt;=100), "$50-100", IF(AND(Orders[[#This Row],[Sales]]&gt;100,Orders[[#This Row],[Sales]]&lt;=150), "$101-150", "$150+")))</f>
        <v>$0-50</v>
      </c>
      <c r="V303" t="str">
        <f>IF(Orders[[#This Row],[Sales]]&gt;MEDIAN(M:M), "High Price", "Low Price")</f>
        <v>High Price</v>
      </c>
      <c r="W303" t="str">
        <f>IF(Orders[[#This Row],[Quantity]]&gt;MEDIAN(E:E), "High Volume", "Low Volume")</f>
        <v>Low Volume</v>
      </c>
      <c r="X303" t="str">
        <f>Orders[[#This Row],[Sales Tier]] &amp; "-" &amp; Orders[[#This Row],[Quantity Tier]]</f>
        <v>High Price-Low Volume</v>
      </c>
      <c r="Y303" t="str">
        <f>TEXT(Orders[[#This Row],[Order Date]], "mmmm")</f>
        <v>May</v>
      </c>
      <c r="Z30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303" t="str">
        <f>Orders[[#This Row],[Coffee Type Name]] &amp; "-" &amp; Orders[[#This Row],[Roast Type Name]]</f>
        <v>Arabica-Dark</v>
      </c>
      <c r="AB30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304" spans="1:28" x14ac:dyDescent="0.25">
      <c r="A304" s="2" t="s">
        <v>1590</v>
      </c>
      <c r="B304" s="4">
        <v>43683</v>
      </c>
      <c r="C304" s="2" t="s">
        <v>1591</v>
      </c>
      <c r="D304" t="s">
        <v>6140</v>
      </c>
      <c r="E304" s="2">
        <v>3</v>
      </c>
      <c r="F304" s="2" t="str">
        <f>_xlfn.XLOOKUP(C304,customers!$A$1:$A$1001,customers!$B$1:$B$1001,,0)</f>
        <v>Marlena Howsden</v>
      </c>
      <c r="G304" s="2" t="str">
        <f>IF(_xlfn.XLOOKUP(C304,customers!$A$1:$A$1001,customers!$C$1:$C$1001,,0)=0,"",_xlfn.XLOOKUP(C304,customers!$A$1:$A$1001,customers!$C$1:$C$1001,,0))</f>
        <v>mhowsden5f@infoseek.co.jp</v>
      </c>
      <c r="H304" s="2" t="str">
        <f>_xlfn.XLOOKUP(C304,customers!$A$1:$A$1001,customers!$G$1:$G$1001,,0)</f>
        <v>United States</v>
      </c>
      <c r="I304" t="str">
        <f>INDEX(products!$A$1:$G$49, MATCH(orders!$D197,products!$A$1:$A244,0), MATCH(orders!I$1,products!$A$1:$G$1,0))</f>
        <v>Ara</v>
      </c>
      <c r="J304" t="str">
        <f>INDEX(products!$A$1:$G$49, MATCH(orders!$D197,products!$A$1:$A244,0), MATCH(orders!J$1,products!$A$1:$G$1,0))</f>
        <v>L</v>
      </c>
      <c r="K304" s="5">
        <f>INDEX(products!$A$1:$G$49, MATCH(orders!$D197,products!$A$1:$A244,0), MATCH(orders!K$1,products!$A$1:$G$1,0))</f>
        <v>1</v>
      </c>
      <c r="L304" s="6">
        <f>INDEX(products!$A$1:$G$49, MATCH(orders!$D197,products!$A$1:$A244,0), MATCH(orders!L$1,products!$A$1:$G$1,0))</f>
        <v>12.95</v>
      </c>
      <c r="M304" s="6">
        <f t="shared" si="12"/>
        <v>38.849999999999994</v>
      </c>
      <c r="N304" t="str">
        <f t="shared" si="13"/>
        <v>Arabica</v>
      </c>
      <c r="O304" t="str">
        <f t="shared" si="14"/>
        <v>Light</v>
      </c>
      <c r="P304" t="str">
        <f>_xlfn.XLOOKUP(Orders[[#This Row],[Customer ID]],customers!$A$1:$A$1001,customers!$I$1:$I$1001,,0)</f>
        <v>No</v>
      </c>
      <c r="Q304">
        <f>COUNTIF(Orders[Order ID],Orders[[#This Row],[Order ID]])</f>
        <v>1</v>
      </c>
      <c r="R304" s="10">
        <f>SUMIF(Orders[Order ID], Orders[[#This Row],[Order ID]],Orders[Sales])/Orders[[#This Row],[Order Frequency]]</f>
        <v>38.849999999999994</v>
      </c>
      <c r="S304" t="str">
        <f>IF(Orders[[#This Row],[Order Frequency]]&gt;4, "More than 4", IF(AND(Orders[[#This Row],[Order Frequency]]&lt;=4,Orders[[#This Row],[Order Frequency]]&gt;=2), "Between 4 and 2", "Less than 2"))</f>
        <v>Less than 2</v>
      </c>
      <c r="T304" t="str">
        <f>IF(Orders[[#This Row],[Frequency Group]]="less than 2", "Low Value", IF(Orders[[#This Row],[Frequency Group]]="between 4 and 2", "Medium Value", "High Value"))</f>
        <v>Low Value</v>
      </c>
      <c r="U304" t="str">
        <f>IF(Orders[[#This Row],[Sales]]&lt;50, "$0-50", IF(AND(Orders[[#This Row],[Sales]]&gt;=50,Orders[[#This Row],[Sales]]&lt;=100), "$50-100", IF(AND(Orders[[#This Row],[Sales]]&gt;100,Orders[[#This Row],[Sales]]&lt;=150), "$101-150", "$150+")))</f>
        <v>$0-50</v>
      </c>
      <c r="V304" t="str">
        <f>IF(Orders[[#This Row],[Sales]]&gt;MEDIAN(M:M), "High Price", "Low Price")</f>
        <v>High Price</v>
      </c>
      <c r="W304" t="str">
        <f>IF(Orders[[#This Row],[Quantity]]&gt;MEDIAN(E:E), "High Volume", "Low Volume")</f>
        <v>Low Volume</v>
      </c>
      <c r="X304" t="str">
        <f>Orders[[#This Row],[Sales Tier]] &amp; "-" &amp; Orders[[#This Row],[Quantity Tier]]</f>
        <v>High Price-Low Volume</v>
      </c>
      <c r="Y304" t="str">
        <f>TEXT(Orders[[#This Row],[Order Date]], "mmmm")</f>
        <v>August</v>
      </c>
      <c r="Z30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304" t="str">
        <f>Orders[[#This Row],[Coffee Type Name]] &amp; "-" &amp; Orders[[#This Row],[Roast Type Name]]</f>
        <v>Arabica-Light</v>
      </c>
      <c r="AB30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305" spans="1:28" x14ac:dyDescent="0.25">
      <c r="A305" s="2" t="s">
        <v>965</v>
      </c>
      <c r="B305" s="4">
        <v>43783</v>
      </c>
      <c r="C305" s="2" t="s">
        <v>966</v>
      </c>
      <c r="D305" t="s">
        <v>6161</v>
      </c>
      <c r="E305" s="2">
        <v>1</v>
      </c>
      <c r="F305" s="2" t="str">
        <f>_xlfn.XLOOKUP(C305,customers!$A$1:$A$1001,customers!$B$1:$B$1001,,0)</f>
        <v>Zaccaria Sherewood</v>
      </c>
      <c r="G305" s="2" t="str">
        <f>IF(_xlfn.XLOOKUP(C305,customers!$A$1:$A$1001,customers!$C$1:$C$1001,,0)=0,"",_xlfn.XLOOKUP(C305,customers!$A$1:$A$1001,customers!$C$1:$C$1001,,0))</f>
        <v>zsherewood2c@apache.org</v>
      </c>
      <c r="H305" s="2" t="str">
        <f>_xlfn.XLOOKUP(C305,customers!$A$1:$A$1001,customers!$G$1:$G$1001,,0)</f>
        <v>United States</v>
      </c>
      <c r="I305" t="str">
        <f>INDEX(products!$A$1:$G$49, MATCH(orders!$D86,products!$A$1:$A133,0), MATCH(orders!I$1,products!$A$1:$G$1,0))</f>
        <v>Lib</v>
      </c>
      <c r="J305" t="str">
        <f>INDEX(products!$A$1:$G$49, MATCH(orders!$D86,products!$A$1:$A133,0), MATCH(orders!J$1,products!$A$1:$G$1,0))</f>
        <v>L</v>
      </c>
      <c r="K305" s="5">
        <f>INDEX(products!$A$1:$G$49, MATCH(orders!$D86,products!$A$1:$A133,0), MATCH(orders!K$1,products!$A$1:$G$1,0))</f>
        <v>0.5</v>
      </c>
      <c r="L305" s="6">
        <f>INDEX(products!$A$1:$G$49, MATCH(orders!$D86,products!$A$1:$A133,0), MATCH(orders!L$1,products!$A$1:$G$1,0))</f>
        <v>9.51</v>
      </c>
      <c r="M305" s="6">
        <f t="shared" si="12"/>
        <v>9.51</v>
      </c>
      <c r="N305" t="str">
        <f t="shared" si="13"/>
        <v>Liberica</v>
      </c>
      <c r="O305" t="str">
        <f t="shared" si="14"/>
        <v>Light</v>
      </c>
      <c r="P305" t="str">
        <f>_xlfn.XLOOKUP(Orders[[#This Row],[Customer ID]],customers!$A$1:$A$1001,customers!$I$1:$I$1001,,0)</f>
        <v>No</v>
      </c>
      <c r="Q305">
        <f>COUNTIF(Orders[Order ID],Orders[[#This Row],[Order ID]])</f>
        <v>1</v>
      </c>
      <c r="R305" s="10">
        <f>SUMIF(Orders[Order ID], Orders[[#This Row],[Order ID]],Orders[Sales])/Orders[[#This Row],[Order Frequency]]</f>
        <v>9.51</v>
      </c>
      <c r="S305" t="str">
        <f>IF(Orders[[#This Row],[Order Frequency]]&gt;4, "More than 4", IF(AND(Orders[[#This Row],[Order Frequency]]&lt;=4,Orders[[#This Row],[Order Frequency]]&gt;=2), "Between 4 and 2", "Less than 2"))</f>
        <v>Less than 2</v>
      </c>
      <c r="T305" t="str">
        <f>IF(Orders[[#This Row],[Frequency Group]]="less than 2", "Low Value", IF(Orders[[#This Row],[Frequency Group]]="between 4 and 2", "Medium Value", "High Value"))</f>
        <v>Low Value</v>
      </c>
      <c r="U305" t="str">
        <f>IF(Orders[[#This Row],[Sales]]&lt;50, "$0-50", IF(AND(Orders[[#This Row],[Sales]]&gt;=50,Orders[[#This Row],[Sales]]&lt;=100), "$50-100", IF(AND(Orders[[#This Row],[Sales]]&gt;100,Orders[[#This Row],[Sales]]&lt;=150), "$101-150", "$150+")))</f>
        <v>$0-50</v>
      </c>
      <c r="V305" t="str">
        <f>IF(Orders[[#This Row],[Sales]]&gt;MEDIAN(M:M), "High Price", "Low Price")</f>
        <v>Low Price</v>
      </c>
      <c r="W305" t="str">
        <f>IF(Orders[[#This Row],[Quantity]]&gt;MEDIAN(E:E), "High Volume", "Low Volume")</f>
        <v>Low Volume</v>
      </c>
      <c r="X305" t="str">
        <f>Orders[[#This Row],[Sales Tier]] &amp; "-" &amp; Orders[[#This Row],[Quantity Tier]]</f>
        <v>Low Price-Low Volume</v>
      </c>
      <c r="Y305" t="str">
        <f>TEXT(Orders[[#This Row],[Order Date]], "mmmm")</f>
        <v>November</v>
      </c>
      <c r="Z30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305" t="str">
        <f>Orders[[#This Row],[Coffee Type Name]] &amp; "-" &amp; Orders[[#This Row],[Roast Type Name]]</f>
        <v>Liberica-Light</v>
      </c>
      <c r="AB30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306" spans="1:28" x14ac:dyDescent="0.25">
      <c r="A306" s="2" t="s">
        <v>4239</v>
      </c>
      <c r="B306" s="4">
        <v>44549</v>
      </c>
      <c r="C306" s="2" t="s">
        <v>4240</v>
      </c>
      <c r="D306" t="s">
        <v>6150</v>
      </c>
      <c r="E306" s="2">
        <v>2</v>
      </c>
      <c r="F306" s="2" t="str">
        <f>_xlfn.XLOOKUP(C306,customers!$A$1:$A$1001,customers!$B$1:$B$1001,,0)</f>
        <v>Ira Sjostrom</v>
      </c>
      <c r="G306" s="2" t="str">
        <f>IF(_xlfn.XLOOKUP(C306,customers!$A$1:$A$1001,customers!$C$1:$C$1001,,0)=0,"",_xlfn.XLOOKUP(C306,customers!$A$1:$A$1001,customers!$C$1:$C$1001,,0))</f>
        <v>isjostromig@pbs.org</v>
      </c>
      <c r="H306" s="2" t="str">
        <f>_xlfn.XLOOKUP(C306,customers!$A$1:$A$1001,customers!$G$1:$G$1001,,0)</f>
        <v>United States</v>
      </c>
      <c r="I306" t="str">
        <f>INDEX(products!$A$1:$G$49, MATCH(orders!$D667,products!$A$1:$A714,0), MATCH(orders!I$1,products!$A$1:$G$1,0))</f>
        <v>Lib</v>
      </c>
      <c r="J306" t="str">
        <f>INDEX(products!$A$1:$G$49, MATCH(orders!$D667,products!$A$1:$A714,0), MATCH(orders!J$1,products!$A$1:$G$1,0))</f>
        <v>D</v>
      </c>
      <c r="K306" s="5">
        <f>INDEX(products!$A$1:$G$49, MATCH(orders!$D667,products!$A$1:$A714,0), MATCH(orders!K$1,products!$A$1:$G$1,0))</f>
        <v>0.2</v>
      </c>
      <c r="L306" s="6">
        <f>INDEX(products!$A$1:$G$49, MATCH(orders!$D667,products!$A$1:$A714,0), MATCH(orders!L$1,products!$A$1:$G$1,0))</f>
        <v>3.8849999999999998</v>
      </c>
      <c r="M306" s="6">
        <f t="shared" si="12"/>
        <v>7.77</v>
      </c>
      <c r="N306" t="str">
        <f t="shared" si="13"/>
        <v>Liberica</v>
      </c>
      <c r="O306" t="str">
        <f t="shared" si="14"/>
        <v>Dark</v>
      </c>
      <c r="P306" t="str">
        <f>_xlfn.XLOOKUP(Orders[[#This Row],[Customer ID]],customers!$A$1:$A$1001,customers!$I$1:$I$1001,,0)</f>
        <v>No</v>
      </c>
      <c r="Q306">
        <f>COUNTIF(Orders[Order ID],Orders[[#This Row],[Order ID]])</f>
        <v>2</v>
      </c>
      <c r="R306" s="10">
        <f>SUMIF(Orders[Order ID], Orders[[#This Row],[Order ID]],Orders[Sales])/Orders[[#This Row],[Order Frequency]]</f>
        <v>40.335000000000001</v>
      </c>
      <c r="S306" t="str">
        <f>IF(Orders[[#This Row],[Order Frequency]]&gt;4, "More than 4", IF(AND(Orders[[#This Row],[Order Frequency]]&lt;=4,Orders[[#This Row],[Order Frequency]]&gt;=2), "Between 4 and 2", "Less than 2"))</f>
        <v>Between 4 and 2</v>
      </c>
      <c r="T306" t="str">
        <f>IF(Orders[[#This Row],[Frequency Group]]="less than 2", "Low Value", IF(Orders[[#This Row],[Frequency Group]]="between 4 and 2", "Medium Value", "High Value"))</f>
        <v>Medium Value</v>
      </c>
      <c r="U306" t="str">
        <f>IF(Orders[[#This Row],[Sales]]&lt;50, "$0-50", IF(AND(Orders[[#This Row],[Sales]]&gt;=50,Orders[[#This Row],[Sales]]&lt;=100), "$50-100", IF(AND(Orders[[#This Row],[Sales]]&gt;100,Orders[[#This Row],[Sales]]&lt;=150), "$101-150", "$150+")))</f>
        <v>$0-50</v>
      </c>
      <c r="V306" t="str">
        <f>IF(Orders[[#This Row],[Sales]]&gt;MEDIAN(M:M), "High Price", "Low Price")</f>
        <v>Low Price</v>
      </c>
      <c r="W306" t="str">
        <f>IF(Orders[[#This Row],[Quantity]]&gt;MEDIAN(E:E), "High Volume", "Low Volume")</f>
        <v>Low Volume</v>
      </c>
      <c r="X306" t="str">
        <f>Orders[[#This Row],[Sales Tier]] &amp; "-" &amp; Orders[[#This Row],[Quantity Tier]]</f>
        <v>Low Price-Low Volume</v>
      </c>
      <c r="Y306" t="str">
        <f>TEXT(Orders[[#This Row],[Order Date]], "mmmm")</f>
        <v>December</v>
      </c>
      <c r="Z30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306" t="str">
        <f>Orders[[#This Row],[Coffee Type Name]] &amp; "-" &amp; Orders[[#This Row],[Roast Type Name]]</f>
        <v>Liberica-Dark</v>
      </c>
      <c r="AB30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307" spans="1:28" x14ac:dyDescent="0.25">
      <c r="A307" s="2" t="s">
        <v>4239</v>
      </c>
      <c r="B307" s="4">
        <v>44549</v>
      </c>
      <c r="C307" s="2" t="s">
        <v>4240</v>
      </c>
      <c r="D307" t="s">
        <v>6183</v>
      </c>
      <c r="E307" s="2">
        <v>6</v>
      </c>
      <c r="F307" s="2" t="str">
        <f>_xlfn.XLOOKUP(C307,customers!$A$1:$A$1001,customers!$B$1:$B$1001,,0)</f>
        <v>Ira Sjostrom</v>
      </c>
      <c r="G307" s="2" t="str">
        <f>IF(_xlfn.XLOOKUP(C307,customers!$A$1:$A$1001,customers!$C$1:$C$1001,,0)=0,"",_xlfn.XLOOKUP(C307,customers!$A$1:$A$1001,customers!$C$1:$C$1001,,0))</f>
        <v>isjostromig@pbs.org</v>
      </c>
      <c r="H307" s="2" t="str">
        <f>_xlfn.XLOOKUP(C307,customers!$A$1:$A$1001,customers!$G$1:$G$1001,,0)</f>
        <v>United States</v>
      </c>
      <c r="I307" t="str">
        <f>INDEX(products!$A$1:$G$49, MATCH(orders!$D666,products!$A$1:$A713,0), MATCH(orders!I$1,products!$A$1:$G$1,0))</f>
        <v>Exc</v>
      </c>
      <c r="J307" t="str">
        <f>INDEX(products!$A$1:$G$49, MATCH(orders!$D666,products!$A$1:$A713,0), MATCH(orders!J$1,products!$A$1:$G$1,0))</f>
        <v>D</v>
      </c>
      <c r="K307" s="5">
        <f>INDEX(products!$A$1:$G$49, MATCH(orders!$D666,products!$A$1:$A713,0), MATCH(orders!K$1,products!$A$1:$G$1,0))</f>
        <v>1</v>
      </c>
      <c r="L307" s="6">
        <f>INDEX(products!$A$1:$G$49, MATCH(orders!$D666,products!$A$1:$A713,0), MATCH(orders!L$1,products!$A$1:$G$1,0))</f>
        <v>12.15</v>
      </c>
      <c r="M307" s="6">
        <f t="shared" si="12"/>
        <v>72.900000000000006</v>
      </c>
      <c r="N307" t="str">
        <f t="shared" si="13"/>
        <v>Excelsa</v>
      </c>
      <c r="O307" t="str">
        <f t="shared" si="14"/>
        <v>Dark</v>
      </c>
      <c r="P307" t="str">
        <f>_xlfn.XLOOKUP(Orders[[#This Row],[Customer ID]],customers!$A$1:$A$1001,customers!$I$1:$I$1001,,0)</f>
        <v>No</v>
      </c>
      <c r="Q307">
        <f>COUNTIF(Orders[Order ID],Orders[[#This Row],[Order ID]])</f>
        <v>2</v>
      </c>
      <c r="R307" s="10">
        <f>SUMIF(Orders[Order ID], Orders[[#This Row],[Order ID]],Orders[Sales])/Orders[[#This Row],[Order Frequency]]</f>
        <v>40.335000000000001</v>
      </c>
      <c r="S307" t="str">
        <f>IF(Orders[[#This Row],[Order Frequency]]&gt;4, "More than 4", IF(AND(Orders[[#This Row],[Order Frequency]]&lt;=4,Orders[[#This Row],[Order Frequency]]&gt;=2), "Between 4 and 2", "Less than 2"))</f>
        <v>Between 4 and 2</v>
      </c>
      <c r="T307" t="str">
        <f>IF(Orders[[#This Row],[Frequency Group]]="less than 2", "Low Value", IF(Orders[[#This Row],[Frequency Group]]="between 4 and 2", "Medium Value", "High Value"))</f>
        <v>Medium Value</v>
      </c>
      <c r="U307" t="str">
        <f>IF(Orders[[#This Row],[Sales]]&lt;50, "$0-50", IF(AND(Orders[[#This Row],[Sales]]&gt;=50,Orders[[#This Row],[Sales]]&lt;=100), "$50-100", IF(AND(Orders[[#This Row],[Sales]]&gt;100,Orders[[#This Row],[Sales]]&lt;=150), "$101-150", "$150+")))</f>
        <v>$50-100</v>
      </c>
      <c r="V307" t="str">
        <f>IF(Orders[[#This Row],[Sales]]&gt;MEDIAN(M:M), "High Price", "Low Price")</f>
        <v>High Price</v>
      </c>
      <c r="W307" t="str">
        <f>IF(Orders[[#This Row],[Quantity]]&gt;MEDIAN(E:E), "High Volume", "Low Volume")</f>
        <v>High Volume</v>
      </c>
      <c r="X307" t="str">
        <f>Orders[[#This Row],[Sales Tier]] &amp; "-" &amp; Orders[[#This Row],[Quantity Tier]]</f>
        <v>High Price-High Volume</v>
      </c>
      <c r="Y307" t="str">
        <f>TEXT(Orders[[#This Row],[Order Date]], "mmmm")</f>
        <v>December</v>
      </c>
      <c r="Z30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307" t="str">
        <f>Orders[[#This Row],[Coffee Type Name]] &amp; "-" &amp; Orders[[#This Row],[Roast Type Name]]</f>
        <v>Excelsa-Dark</v>
      </c>
      <c r="AB30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308" spans="1:28" x14ac:dyDescent="0.25">
      <c r="A308" s="2" t="s">
        <v>2324</v>
      </c>
      <c r="B308" s="4">
        <v>44756</v>
      </c>
      <c r="C308" s="2" t="s">
        <v>2325</v>
      </c>
      <c r="D308" t="s">
        <v>6182</v>
      </c>
      <c r="E308" s="2">
        <v>1</v>
      </c>
      <c r="F308" s="2" t="str">
        <f>_xlfn.XLOOKUP(C308,customers!$A$1:$A$1001,customers!$B$1:$B$1001,,0)</f>
        <v>Trina Le Sarr</v>
      </c>
      <c r="G308" s="2" t="str">
        <f>IF(_xlfn.XLOOKUP(C308,customers!$A$1:$A$1001,customers!$C$1:$C$1001,,0)=0,"",_xlfn.XLOOKUP(C308,customers!$A$1:$A$1001,customers!$C$1:$C$1001,,0))</f>
        <v>tle91@epa.gov</v>
      </c>
      <c r="H308" s="2" t="str">
        <f>_xlfn.XLOOKUP(C308,customers!$A$1:$A$1001,customers!$G$1:$G$1001,,0)</f>
        <v>United States</v>
      </c>
      <c r="I308" t="str">
        <f>INDEX(products!$A$1:$G$49, MATCH(orders!$D327,products!$A$1:$A374,0), MATCH(orders!I$1,products!$A$1:$G$1,0))</f>
        <v>Ara</v>
      </c>
      <c r="J308" t="str">
        <f>INDEX(products!$A$1:$G$49, MATCH(orders!$D327,products!$A$1:$A374,0), MATCH(orders!J$1,products!$A$1:$G$1,0))</f>
        <v>L</v>
      </c>
      <c r="K308" s="5">
        <f>INDEX(products!$A$1:$G$49, MATCH(orders!$D327,products!$A$1:$A374,0), MATCH(orders!K$1,products!$A$1:$G$1,0))</f>
        <v>2.5</v>
      </c>
      <c r="L308" s="6">
        <f>INDEX(products!$A$1:$G$49, MATCH(orders!$D327,products!$A$1:$A374,0), MATCH(orders!L$1,products!$A$1:$G$1,0))</f>
        <v>29.784999999999997</v>
      </c>
      <c r="M308" s="6">
        <f t="shared" si="12"/>
        <v>29.784999999999997</v>
      </c>
      <c r="N308" t="str">
        <f t="shared" si="13"/>
        <v>Arabica</v>
      </c>
      <c r="O308" t="str">
        <f t="shared" si="14"/>
        <v>Light</v>
      </c>
      <c r="P308" t="str">
        <f>_xlfn.XLOOKUP(Orders[[#This Row],[Customer ID]],customers!$A$1:$A$1001,customers!$I$1:$I$1001,,0)</f>
        <v>Yes</v>
      </c>
      <c r="Q308">
        <f>COUNTIF(Orders[Order ID],Orders[[#This Row],[Order ID]])</f>
        <v>1</v>
      </c>
      <c r="R308" s="10">
        <f>SUMIF(Orders[Order ID], Orders[[#This Row],[Order ID]],Orders[Sales])/Orders[[#This Row],[Order Frequency]]</f>
        <v>29.784999999999997</v>
      </c>
      <c r="S308" t="str">
        <f>IF(Orders[[#This Row],[Order Frequency]]&gt;4, "More than 4", IF(AND(Orders[[#This Row],[Order Frequency]]&lt;=4,Orders[[#This Row],[Order Frequency]]&gt;=2), "Between 4 and 2", "Less than 2"))</f>
        <v>Less than 2</v>
      </c>
      <c r="T308" t="str">
        <f>IF(Orders[[#This Row],[Frequency Group]]="less than 2", "Low Value", IF(Orders[[#This Row],[Frequency Group]]="between 4 and 2", "Medium Value", "High Value"))</f>
        <v>Low Value</v>
      </c>
      <c r="U308" t="str">
        <f>IF(Orders[[#This Row],[Sales]]&lt;50, "$0-50", IF(AND(Orders[[#This Row],[Sales]]&gt;=50,Orders[[#This Row],[Sales]]&lt;=100), "$50-100", IF(AND(Orders[[#This Row],[Sales]]&gt;100,Orders[[#This Row],[Sales]]&lt;=150), "$101-150", "$150+")))</f>
        <v>$0-50</v>
      </c>
      <c r="V308" t="str">
        <f>IF(Orders[[#This Row],[Sales]]&gt;MEDIAN(M:M), "High Price", "Low Price")</f>
        <v>Low Price</v>
      </c>
      <c r="W308" t="str">
        <f>IF(Orders[[#This Row],[Quantity]]&gt;MEDIAN(E:E), "High Volume", "Low Volume")</f>
        <v>Low Volume</v>
      </c>
      <c r="X308" t="str">
        <f>Orders[[#This Row],[Sales Tier]] &amp; "-" &amp; Orders[[#This Row],[Quantity Tier]]</f>
        <v>Low Price-Low Volume</v>
      </c>
      <c r="Y308" t="str">
        <f>TEXT(Orders[[#This Row],[Order Date]], "mmmm")</f>
        <v>July</v>
      </c>
      <c r="Z30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308" t="str">
        <f>Orders[[#This Row],[Coffee Type Name]] &amp; "-" &amp; Orders[[#This Row],[Roast Type Name]]</f>
        <v>Arabica-Light</v>
      </c>
      <c r="AB30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309" spans="1:28" x14ac:dyDescent="0.25">
      <c r="A309" s="2" t="s">
        <v>3648</v>
      </c>
      <c r="B309" s="4">
        <v>44667</v>
      </c>
      <c r="C309" s="2" t="s">
        <v>3649</v>
      </c>
      <c r="D309" t="s">
        <v>6140</v>
      </c>
      <c r="E309" s="2">
        <v>3</v>
      </c>
      <c r="F309" s="2" t="str">
        <f>_xlfn.XLOOKUP(C309,customers!$A$1:$A$1001,customers!$B$1:$B$1001,,0)</f>
        <v>Reamonn Aynold</v>
      </c>
      <c r="G309" s="2" t="str">
        <f>IF(_xlfn.XLOOKUP(C309,customers!$A$1:$A$1001,customers!$C$1:$C$1001,,0)=0,"",_xlfn.XLOOKUP(C309,customers!$A$1:$A$1001,customers!$C$1:$C$1001,,0))</f>
        <v>raynoldfj@ustream.tv</v>
      </c>
      <c r="H309" s="2" t="str">
        <f>_xlfn.XLOOKUP(C309,customers!$A$1:$A$1001,customers!$G$1:$G$1001,,0)</f>
        <v>United States</v>
      </c>
      <c r="I309" t="str">
        <f>INDEX(products!$A$1:$G$49, MATCH(orders!$D561,products!$A$1:$A608,0), MATCH(orders!I$1,products!$A$1:$G$1,0))</f>
        <v>Ara</v>
      </c>
      <c r="J309" t="str">
        <f>INDEX(products!$A$1:$G$49, MATCH(orders!$D561,products!$A$1:$A608,0), MATCH(orders!J$1,products!$A$1:$G$1,0))</f>
        <v>L</v>
      </c>
      <c r="K309" s="5">
        <f>INDEX(products!$A$1:$G$49, MATCH(orders!$D561,products!$A$1:$A608,0), MATCH(orders!K$1,products!$A$1:$G$1,0))</f>
        <v>1</v>
      </c>
      <c r="L309" s="6">
        <f>INDEX(products!$A$1:$G$49, MATCH(orders!$D561,products!$A$1:$A608,0), MATCH(orders!L$1,products!$A$1:$G$1,0))</f>
        <v>12.95</v>
      </c>
      <c r="M309" s="6">
        <f t="shared" si="12"/>
        <v>38.849999999999994</v>
      </c>
      <c r="N309" t="str">
        <f t="shared" si="13"/>
        <v>Arabica</v>
      </c>
      <c r="O309" t="str">
        <f t="shared" si="14"/>
        <v>Light</v>
      </c>
      <c r="P309" t="str">
        <f>_xlfn.XLOOKUP(Orders[[#This Row],[Customer ID]],customers!$A$1:$A$1001,customers!$I$1:$I$1001,,0)</f>
        <v>Yes</v>
      </c>
      <c r="Q309">
        <f>COUNTIF(Orders[Order ID],Orders[[#This Row],[Order ID]])</f>
        <v>1</v>
      </c>
      <c r="R309" s="10">
        <f>SUMIF(Orders[Order ID], Orders[[#This Row],[Order ID]],Orders[Sales])/Orders[[#This Row],[Order Frequency]]</f>
        <v>38.849999999999994</v>
      </c>
      <c r="S309" t="str">
        <f>IF(Orders[[#This Row],[Order Frequency]]&gt;4, "More than 4", IF(AND(Orders[[#This Row],[Order Frequency]]&lt;=4,Orders[[#This Row],[Order Frequency]]&gt;=2), "Between 4 and 2", "Less than 2"))</f>
        <v>Less than 2</v>
      </c>
      <c r="T309" t="str">
        <f>IF(Orders[[#This Row],[Frequency Group]]="less than 2", "Low Value", IF(Orders[[#This Row],[Frequency Group]]="between 4 and 2", "Medium Value", "High Value"))</f>
        <v>Low Value</v>
      </c>
      <c r="U309" t="str">
        <f>IF(Orders[[#This Row],[Sales]]&lt;50, "$0-50", IF(AND(Orders[[#This Row],[Sales]]&gt;=50,Orders[[#This Row],[Sales]]&lt;=100), "$50-100", IF(AND(Orders[[#This Row],[Sales]]&gt;100,Orders[[#This Row],[Sales]]&lt;=150), "$101-150", "$150+")))</f>
        <v>$0-50</v>
      </c>
      <c r="V309" t="str">
        <f>IF(Orders[[#This Row],[Sales]]&gt;MEDIAN(M:M), "High Price", "Low Price")</f>
        <v>High Price</v>
      </c>
      <c r="W309" t="str">
        <f>IF(Orders[[#This Row],[Quantity]]&gt;MEDIAN(E:E), "High Volume", "Low Volume")</f>
        <v>Low Volume</v>
      </c>
      <c r="X309" t="str">
        <f>Orders[[#This Row],[Sales Tier]] &amp; "-" &amp; Orders[[#This Row],[Quantity Tier]]</f>
        <v>High Price-Low Volume</v>
      </c>
      <c r="Y309" t="str">
        <f>TEXT(Orders[[#This Row],[Order Date]], "mmmm")</f>
        <v>April</v>
      </c>
      <c r="Z30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309" t="str">
        <f>Orders[[#This Row],[Coffee Type Name]] &amp; "-" &amp; Orders[[#This Row],[Roast Type Name]]</f>
        <v>Arabica-Light</v>
      </c>
      <c r="AB30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310" spans="1:28" x14ac:dyDescent="0.25">
      <c r="A310" s="2" t="s">
        <v>2818</v>
      </c>
      <c r="B310" s="4">
        <v>43857</v>
      </c>
      <c r="C310" s="2" t="s">
        <v>2819</v>
      </c>
      <c r="D310" t="s">
        <v>6164</v>
      </c>
      <c r="E310" s="2">
        <v>1</v>
      </c>
      <c r="F310" s="2" t="str">
        <f>_xlfn.XLOOKUP(C310,customers!$A$1:$A$1001,customers!$B$1:$B$1001,,0)</f>
        <v>Waylan Springall</v>
      </c>
      <c r="G310" s="2" t="str">
        <f>IF(_xlfn.XLOOKUP(C310,customers!$A$1:$A$1001,customers!$C$1:$C$1001,,0)=0,"",_xlfn.XLOOKUP(C310,customers!$A$1:$A$1001,customers!$C$1:$C$1001,,0))</f>
        <v>wspringallbh@jugem.jp</v>
      </c>
      <c r="H310" s="2" t="str">
        <f>_xlfn.XLOOKUP(C310,customers!$A$1:$A$1001,customers!$G$1:$G$1001,,0)</f>
        <v>United States</v>
      </c>
      <c r="I310" t="str">
        <f>INDEX(products!$A$1:$G$49, MATCH(orders!$D415,products!$A$1:$A462,0), MATCH(orders!I$1,products!$A$1:$G$1,0))</f>
        <v>Lib</v>
      </c>
      <c r="J310" t="str">
        <f>INDEX(products!$A$1:$G$49, MATCH(orders!$D415,products!$A$1:$A462,0), MATCH(orders!J$1,products!$A$1:$G$1,0))</f>
        <v>L</v>
      </c>
      <c r="K310" s="5">
        <f>INDEX(products!$A$1:$G$49, MATCH(orders!$D415,products!$A$1:$A462,0), MATCH(orders!K$1,products!$A$1:$G$1,0))</f>
        <v>2.5</v>
      </c>
      <c r="L310" s="6">
        <f>INDEX(products!$A$1:$G$49, MATCH(orders!$D415,products!$A$1:$A462,0), MATCH(orders!L$1,products!$A$1:$G$1,0))</f>
        <v>36.454999999999998</v>
      </c>
      <c r="M310" s="6">
        <f t="shared" si="12"/>
        <v>36.454999999999998</v>
      </c>
      <c r="N310" t="str">
        <f t="shared" si="13"/>
        <v>Liberica</v>
      </c>
      <c r="O310" t="str">
        <f t="shared" si="14"/>
        <v>Light</v>
      </c>
      <c r="P310" t="str">
        <f>_xlfn.XLOOKUP(Orders[[#This Row],[Customer ID]],customers!$A$1:$A$1001,customers!$I$1:$I$1001,,0)</f>
        <v>Yes</v>
      </c>
      <c r="Q310">
        <f>COUNTIF(Orders[Order ID],Orders[[#This Row],[Order ID]])</f>
        <v>1</v>
      </c>
      <c r="R310" s="10">
        <f>SUMIF(Orders[Order ID], Orders[[#This Row],[Order ID]],Orders[Sales])/Orders[[#This Row],[Order Frequency]]</f>
        <v>36.454999999999998</v>
      </c>
      <c r="S310" t="str">
        <f>IF(Orders[[#This Row],[Order Frequency]]&gt;4, "More than 4", IF(AND(Orders[[#This Row],[Order Frequency]]&lt;=4,Orders[[#This Row],[Order Frequency]]&gt;=2), "Between 4 and 2", "Less than 2"))</f>
        <v>Less than 2</v>
      </c>
      <c r="T310" t="str">
        <f>IF(Orders[[#This Row],[Frequency Group]]="less than 2", "Low Value", IF(Orders[[#This Row],[Frequency Group]]="between 4 and 2", "Medium Value", "High Value"))</f>
        <v>Low Value</v>
      </c>
      <c r="U310" t="str">
        <f>IF(Orders[[#This Row],[Sales]]&lt;50, "$0-50", IF(AND(Orders[[#This Row],[Sales]]&gt;=50,Orders[[#This Row],[Sales]]&lt;=100), "$50-100", IF(AND(Orders[[#This Row],[Sales]]&gt;100,Orders[[#This Row],[Sales]]&lt;=150), "$101-150", "$150+")))</f>
        <v>$0-50</v>
      </c>
      <c r="V310" t="str">
        <f>IF(Orders[[#This Row],[Sales]]&gt;MEDIAN(M:M), "High Price", "Low Price")</f>
        <v>High Price</v>
      </c>
      <c r="W310" t="str">
        <f>IF(Orders[[#This Row],[Quantity]]&gt;MEDIAN(E:E), "High Volume", "Low Volume")</f>
        <v>Low Volume</v>
      </c>
      <c r="X310" t="str">
        <f>Orders[[#This Row],[Sales Tier]] &amp; "-" &amp; Orders[[#This Row],[Quantity Tier]]</f>
        <v>High Price-Low Volume</v>
      </c>
      <c r="Y310" t="str">
        <f>TEXT(Orders[[#This Row],[Order Date]], "mmmm")</f>
        <v>January</v>
      </c>
      <c r="Z31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310" t="str">
        <f>Orders[[#This Row],[Coffee Type Name]] &amp; "-" &amp; Orders[[#This Row],[Roast Type Name]]</f>
        <v>Liberica-Light</v>
      </c>
      <c r="AB31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311" spans="1:28" x14ac:dyDescent="0.25">
      <c r="A311" s="2" t="s">
        <v>3933</v>
      </c>
      <c r="B311" s="4">
        <v>43743</v>
      </c>
      <c r="C311" s="2" t="s">
        <v>3934</v>
      </c>
      <c r="D311" t="s">
        <v>6138</v>
      </c>
      <c r="E311" s="2">
        <v>4</v>
      </c>
      <c r="F311" s="2" t="str">
        <f>_xlfn.XLOOKUP(C311,customers!$A$1:$A$1001,customers!$B$1:$B$1001,,0)</f>
        <v>Angelia Cleyburn</v>
      </c>
      <c r="G311" s="2" t="str">
        <f>IF(_xlfn.XLOOKUP(C311,customers!$A$1:$A$1001,customers!$C$1:$C$1001,,0)=0,"",_xlfn.XLOOKUP(C311,customers!$A$1:$A$1001,customers!$C$1:$C$1001,,0))</f>
        <v>acleyburngy@lycos.com</v>
      </c>
      <c r="H311" s="2" t="str">
        <f>_xlfn.XLOOKUP(C311,customers!$A$1:$A$1001,customers!$G$1:$G$1001,,0)</f>
        <v>United States</v>
      </c>
      <c r="I311" t="str">
        <f>INDEX(products!$A$1:$G$49, MATCH(orders!$D612,products!$A$1:$A659,0), MATCH(orders!I$1,products!$A$1:$G$1,0))</f>
        <v>Rob</v>
      </c>
      <c r="J311" t="str">
        <f>INDEX(products!$A$1:$G$49, MATCH(orders!$D612,products!$A$1:$A659,0), MATCH(orders!J$1,products!$A$1:$G$1,0))</f>
        <v>M</v>
      </c>
      <c r="K311" s="5">
        <f>INDEX(products!$A$1:$G$49, MATCH(orders!$D612,products!$A$1:$A659,0), MATCH(orders!K$1,products!$A$1:$G$1,0))</f>
        <v>1</v>
      </c>
      <c r="L311" s="6">
        <f>INDEX(products!$A$1:$G$49, MATCH(orders!$D612,products!$A$1:$A659,0), MATCH(orders!L$1,products!$A$1:$G$1,0))</f>
        <v>9.9499999999999993</v>
      </c>
      <c r="M311" s="6">
        <f t="shared" si="12"/>
        <v>39.799999999999997</v>
      </c>
      <c r="N311" t="str">
        <f t="shared" si="13"/>
        <v>Robusta</v>
      </c>
      <c r="O311" t="str">
        <f t="shared" si="14"/>
        <v>Medium</v>
      </c>
      <c r="P311" t="str">
        <f>_xlfn.XLOOKUP(Orders[[#This Row],[Customer ID]],customers!$A$1:$A$1001,customers!$I$1:$I$1001,,0)</f>
        <v>No</v>
      </c>
      <c r="Q311">
        <f>COUNTIF(Orders[Order ID],Orders[[#This Row],[Order ID]])</f>
        <v>1</v>
      </c>
      <c r="R311" s="10">
        <f>SUMIF(Orders[Order ID], Orders[[#This Row],[Order ID]],Orders[Sales])/Orders[[#This Row],[Order Frequency]]</f>
        <v>39.799999999999997</v>
      </c>
      <c r="S311" t="str">
        <f>IF(Orders[[#This Row],[Order Frequency]]&gt;4, "More than 4", IF(AND(Orders[[#This Row],[Order Frequency]]&lt;=4,Orders[[#This Row],[Order Frequency]]&gt;=2), "Between 4 and 2", "Less than 2"))</f>
        <v>Less than 2</v>
      </c>
      <c r="T311" t="str">
        <f>IF(Orders[[#This Row],[Frequency Group]]="less than 2", "Low Value", IF(Orders[[#This Row],[Frequency Group]]="between 4 and 2", "Medium Value", "High Value"))</f>
        <v>Low Value</v>
      </c>
      <c r="U311" t="str">
        <f>IF(Orders[[#This Row],[Sales]]&lt;50, "$0-50", IF(AND(Orders[[#This Row],[Sales]]&gt;=50,Orders[[#This Row],[Sales]]&lt;=100), "$50-100", IF(AND(Orders[[#This Row],[Sales]]&gt;100,Orders[[#This Row],[Sales]]&lt;=150), "$101-150", "$150+")))</f>
        <v>$0-50</v>
      </c>
      <c r="V311" t="str">
        <f>IF(Orders[[#This Row],[Sales]]&gt;MEDIAN(M:M), "High Price", "Low Price")</f>
        <v>High Price</v>
      </c>
      <c r="W311" t="str">
        <f>IF(Orders[[#This Row],[Quantity]]&gt;MEDIAN(E:E), "High Volume", "Low Volume")</f>
        <v>Low Volume</v>
      </c>
      <c r="X311" t="str">
        <f>Orders[[#This Row],[Sales Tier]] &amp; "-" &amp; Orders[[#This Row],[Quantity Tier]]</f>
        <v>High Price-Low Volume</v>
      </c>
      <c r="Y311" t="str">
        <f>TEXT(Orders[[#This Row],[Order Date]], "mmmm")</f>
        <v>October</v>
      </c>
      <c r="Z31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311" t="str">
        <f>Orders[[#This Row],[Coffee Type Name]] &amp; "-" &amp; Orders[[#This Row],[Roast Type Name]]</f>
        <v>Robusta-Medium</v>
      </c>
      <c r="AB31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312" spans="1:28" x14ac:dyDescent="0.25">
      <c r="A312" s="2" t="s">
        <v>2751</v>
      </c>
      <c r="B312" s="4">
        <v>43591</v>
      </c>
      <c r="C312" s="2" t="s">
        <v>2752</v>
      </c>
      <c r="D312" t="s">
        <v>6159</v>
      </c>
      <c r="E312" s="2">
        <v>2</v>
      </c>
      <c r="F312" s="2" t="str">
        <f>_xlfn.XLOOKUP(C312,customers!$A$1:$A$1001,customers!$B$1:$B$1001,,0)</f>
        <v>Rutger Pithcock</v>
      </c>
      <c r="G312" s="2" t="str">
        <f>IF(_xlfn.XLOOKUP(C312,customers!$A$1:$A$1001,customers!$C$1:$C$1001,,0)=0,"",_xlfn.XLOOKUP(C312,customers!$A$1:$A$1001,customers!$C$1:$C$1001,,0))</f>
        <v>rpithcockb5@yellowbook.com</v>
      </c>
      <c r="H312" s="2" t="str">
        <f>_xlfn.XLOOKUP(C312,customers!$A$1:$A$1001,customers!$G$1:$G$1001,,0)</f>
        <v>United States</v>
      </c>
      <c r="I312" t="str">
        <f>INDEX(products!$A$1:$G$49, MATCH(orders!$D403,products!$A$1:$A450,0), MATCH(orders!I$1,products!$A$1:$G$1,0))</f>
        <v>Lib</v>
      </c>
      <c r="J312" t="str">
        <f>INDEX(products!$A$1:$G$49, MATCH(orders!$D403,products!$A$1:$A450,0), MATCH(orders!J$1,products!$A$1:$G$1,0))</f>
        <v>M</v>
      </c>
      <c r="K312" s="5">
        <f>INDEX(products!$A$1:$G$49, MATCH(orders!$D403,products!$A$1:$A450,0), MATCH(orders!K$1,products!$A$1:$G$1,0))</f>
        <v>0.2</v>
      </c>
      <c r="L312" s="6">
        <f>INDEX(products!$A$1:$G$49, MATCH(orders!$D403,products!$A$1:$A450,0), MATCH(orders!L$1,products!$A$1:$G$1,0))</f>
        <v>4.3650000000000002</v>
      </c>
      <c r="M312" s="6">
        <f t="shared" si="12"/>
        <v>8.73</v>
      </c>
      <c r="N312" t="str">
        <f t="shared" si="13"/>
        <v>Liberica</v>
      </c>
      <c r="O312" t="str">
        <f t="shared" si="14"/>
        <v>Medium</v>
      </c>
      <c r="P312" t="str">
        <f>_xlfn.XLOOKUP(Orders[[#This Row],[Customer ID]],customers!$A$1:$A$1001,customers!$I$1:$I$1001,,0)</f>
        <v>Yes</v>
      </c>
      <c r="Q312">
        <f>COUNTIF(Orders[Order ID],Orders[[#This Row],[Order ID]])</f>
        <v>1</v>
      </c>
      <c r="R312" s="10">
        <f>SUMIF(Orders[Order ID], Orders[[#This Row],[Order ID]],Orders[Sales])/Orders[[#This Row],[Order Frequency]]</f>
        <v>8.73</v>
      </c>
      <c r="S312" t="str">
        <f>IF(Orders[[#This Row],[Order Frequency]]&gt;4, "More than 4", IF(AND(Orders[[#This Row],[Order Frequency]]&lt;=4,Orders[[#This Row],[Order Frequency]]&gt;=2), "Between 4 and 2", "Less than 2"))</f>
        <v>Less than 2</v>
      </c>
      <c r="T312" t="str">
        <f>IF(Orders[[#This Row],[Frequency Group]]="less than 2", "Low Value", IF(Orders[[#This Row],[Frequency Group]]="between 4 and 2", "Medium Value", "High Value"))</f>
        <v>Low Value</v>
      </c>
      <c r="U312" t="str">
        <f>IF(Orders[[#This Row],[Sales]]&lt;50, "$0-50", IF(AND(Orders[[#This Row],[Sales]]&gt;=50,Orders[[#This Row],[Sales]]&lt;=100), "$50-100", IF(AND(Orders[[#This Row],[Sales]]&gt;100,Orders[[#This Row],[Sales]]&lt;=150), "$101-150", "$150+")))</f>
        <v>$0-50</v>
      </c>
      <c r="V312" t="str">
        <f>IF(Orders[[#This Row],[Sales]]&gt;MEDIAN(M:M), "High Price", "Low Price")</f>
        <v>Low Price</v>
      </c>
      <c r="W312" t="str">
        <f>IF(Orders[[#This Row],[Quantity]]&gt;MEDIAN(E:E), "High Volume", "Low Volume")</f>
        <v>Low Volume</v>
      </c>
      <c r="X312" t="str">
        <f>Orders[[#This Row],[Sales Tier]] &amp; "-" &amp; Orders[[#This Row],[Quantity Tier]]</f>
        <v>Low Price-Low Volume</v>
      </c>
      <c r="Y312" t="str">
        <f>TEXT(Orders[[#This Row],[Order Date]], "mmmm")</f>
        <v>May</v>
      </c>
      <c r="Z31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312" t="str">
        <f>Orders[[#This Row],[Coffee Type Name]] &amp; "-" &amp; Orders[[#This Row],[Roast Type Name]]</f>
        <v>Liberica-Medium</v>
      </c>
      <c r="AB31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313" spans="1:28" x14ac:dyDescent="0.25">
      <c r="A313" s="2" t="s">
        <v>598</v>
      </c>
      <c r="B313" s="4">
        <v>44169</v>
      </c>
      <c r="C313" s="2" t="s">
        <v>599</v>
      </c>
      <c r="D313" t="s">
        <v>6153</v>
      </c>
      <c r="E313" s="2">
        <v>4</v>
      </c>
      <c r="F313" s="2" t="str">
        <f>_xlfn.XLOOKUP(C313,customers!$A$1:$A$1001,customers!$B$1:$B$1001,,0)</f>
        <v>Aurea Corradino</v>
      </c>
      <c r="G313" s="2" t="str">
        <f>IF(_xlfn.XLOOKUP(C313,customers!$A$1:$A$1001,customers!$C$1:$C$1001,,0)=0,"",_xlfn.XLOOKUP(C313,customers!$A$1:$A$1001,customers!$C$1:$C$1001,,0))</f>
        <v>acorradinoj@harvard.edu</v>
      </c>
      <c r="H313" s="2" t="str">
        <f>_xlfn.XLOOKUP(C313,customers!$A$1:$A$1001,customers!$G$1:$G$1001,,0)</f>
        <v>United States</v>
      </c>
      <c r="I313" t="str">
        <f>INDEX(products!$A$1:$G$49, MATCH(orders!$D22,products!$A$1:$A69,0), MATCH(orders!I$1,products!$A$1:$G$1,0))</f>
        <v>Exc</v>
      </c>
      <c r="J313" t="str">
        <f>INDEX(products!$A$1:$G$49, MATCH(orders!$D22,products!$A$1:$A69,0), MATCH(orders!J$1,products!$A$1:$G$1,0))</f>
        <v>D</v>
      </c>
      <c r="K313" s="5">
        <f>INDEX(products!$A$1:$G$49, MATCH(orders!$D22,products!$A$1:$A69,0), MATCH(orders!K$1,products!$A$1:$G$1,0))</f>
        <v>0.2</v>
      </c>
      <c r="L313" s="6">
        <f>INDEX(products!$A$1:$G$49, MATCH(orders!$D22,products!$A$1:$A69,0), MATCH(orders!L$1,products!$A$1:$G$1,0))</f>
        <v>3.645</v>
      </c>
      <c r="M313" s="6">
        <f t="shared" si="12"/>
        <v>14.58</v>
      </c>
      <c r="N313" t="str">
        <f t="shared" si="13"/>
        <v>Excelsa</v>
      </c>
      <c r="O313" t="str">
        <f t="shared" si="14"/>
        <v>Dark</v>
      </c>
      <c r="P313" t="str">
        <f>_xlfn.XLOOKUP(Orders[[#This Row],[Customer ID]],customers!$A$1:$A$1001,customers!$I$1:$I$1001,,0)</f>
        <v>Yes</v>
      </c>
      <c r="Q313">
        <f>COUNTIF(Orders[Order ID],Orders[[#This Row],[Order ID]])</f>
        <v>2</v>
      </c>
      <c r="R313" s="10">
        <f>SUMIF(Orders[Order ID], Orders[[#This Row],[Order ID]],Orders[Sales])/Orders[[#This Row],[Order Frequency]]</f>
        <v>15.727499999999999</v>
      </c>
      <c r="S313" t="str">
        <f>IF(Orders[[#This Row],[Order Frequency]]&gt;4, "More than 4", IF(AND(Orders[[#This Row],[Order Frequency]]&lt;=4,Orders[[#This Row],[Order Frequency]]&gt;=2), "Between 4 and 2", "Less than 2"))</f>
        <v>Between 4 and 2</v>
      </c>
      <c r="T313" t="str">
        <f>IF(Orders[[#This Row],[Frequency Group]]="less than 2", "Low Value", IF(Orders[[#This Row],[Frequency Group]]="between 4 and 2", "Medium Value", "High Value"))</f>
        <v>Medium Value</v>
      </c>
      <c r="U313" t="str">
        <f>IF(Orders[[#This Row],[Sales]]&lt;50, "$0-50", IF(AND(Orders[[#This Row],[Sales]]&gt;=50,Orders[[#This Row],[Sales]]&lt;=100), "$50-100", IF(AND(Orders[[#This Row],[Sales]]&gt;100,Orders[[#This Row],[Sales]]&lt;=150), "$101-150", "$150+")))</f>
        <v>$0-50</v>
      </c>
      <c r="V313" t="str">
        <f>IF(Orders[[#This Row],[Sales]]&gt;MEDIAN(M:M), "High Price", "Low Price")</f>
        <v>Low Price</v>
      </c>
      <c r="W313" t="str">
        <f>IF(Orders[[#This Row],[Quantity]]&gt;MEDIAN(E:E), "High Volume", "Low Volume")</f>
        <v>Low Volume</v>
      </c>
      <c r="X313" t="str">
        <f>Orders[[#This Row],[Sales Tier]] &amp; "-" &amp; Orders[[#This Row],[Quantity Tier]]</f>
        <v>Low Price-Low Volume</v>
      </c>
      <c r="Y313" t="str">
        <f>TEXT(Orders[[#This Row],[Order Date]], "mmmm")</f>
        <v>December</v>
      </c>
      <c r="Z31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313" t="str">
        <f>Orders[[#This Row],[Coffee Type Name]] &amp; "-" &amp; Orders[[#This Row],[Roast Type Name]]</f>
        <v>Excelsa-Dark</v>
      </c>
      <c r="AB31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314" spans="1:28" x14ac:dyDescent="0.25">
      <c r="A314" s="2" t="s">
        <v>598</v>
      </c>
      <c r="B314" s="4">
        <v>44169</v>
      </c>
      <c r="C314" s="2" t="s">
        <v>599</v>
      </c>
      <c r="D314" t="s">
        <v>6152</v>
      </c>
      <c r="E314" s="2">
        <v>5</v>
      </c>
      <c r="F314" s="2" t="str">
        <f>_xlfn.XLOOKUP(C314,customers!$A$1:$A$1001,customers!$B$1:$B$1001,,0)</f>
        <v>Aurea Corradino</v>
      </c>
      <c r="G314" s="2" t="str">
        <f>IF(_xlfn.XLOOKUP(C314,customers!$A$1:$A$1001,customers!$C$1:$C$1001,,0)=0,"",_xlfn.XLOOKUP(C314,customers!$A$1:$A$1001,customers!$C$1:$C$1001,,0))</f>
        <v>acorradinoj@harvard.edu</v>
      </c>
      <c r="H314" s="2" t="str">
        <f>_xlfn.XLOOKUP(C314,customers!$A$1:$A$1001,customers!$G$1:$G$1001,,0)</f>
        <v>United States</v>
      </c>
      <c r="I314" t="str">
        <f>INDEX(products!$A$1:$G$49, MATCH(orders!$D21,products!$A$1:$A68,0), MATCH(orders!I$1,products!$A$1:$G$1,0))</f>
        <v>Ara</v>
      </c>
      <c r="J314" t="str">
        <f>INDEX(products!$A$1:$G$49, MATCH(orders!$D21,products!$A$1:$A68,0), MATCH(orders!J$1,products!$A$1:$G$1,0))</f>
        <v>M</v>
      </c>
      <c r="K314" s="5">
        <f>INDEX(products!$A$1:$G$49, MATCH(orders!$D21,products!$A$1:$A68,0), MATCH(orders!K$1,products!$A$1:$G$1,0))</f>
        <v>0.2</v>
      </c>
      <c r="L314" s="6">
        <f>INDEX(products!$A$1:$G$49, MATCH(orders!$D21,products!$A$1:$A68,0), MATCH(orders!L$1,products!$A$1:$G$1,0))</f>
        <v>3.375</v>
      </c>
      <c r="M314" s="6">
        <f t="shared" si="12"/>
        <v>16.875</v>
      </c>
      <c r="N314" t="str">
        <f t="shared" si="13"/>
        <v>Arabica</v>
      </c>
      <c r="O314" t="str">
        <f t="shared" si="14"/>
        <v>Medium</v>
      </c>
      <c r="P314" t="str">
        <f>_xlfn.XLOOKUP(Orders[[#This Row],[Customer ID]],customers!$A$1:$A$1001,customers!$I$1:$I$1001,,0)</f>
        <v>Yes</v>
      </c>
      <c r="Q314">
        <f>COUNTIF(Orders[Order ID],Orders[[#This Row],[Order ID]])</f>
        <v>2</v>
      </c>
      <c r="R314" s="10">
        <f>SUMIF(Orders[Order ID], Orders[[#This Row],[Order ID]],Orders[Sales])/Orders[[#This Row],[Order Frequency]]</f>
        <v>15.727499999999999</v>
      </c>
      <c r="S314" t="str">
        <f>IF(Orders[[#This Row],[Order Frequency]]&gt;4, "More than 4", IF(AND(Orders[[#This Row],[Order Frequency]]&lt;=4,Orders[[#This Row],[Order Frequency]]&gt;=2), "Between 4 and 2", "Less than 2"))</f>
        <v>Between 4 and 2</v>
      </c>
      <c r="T314" t="str">
        <f>IF(Orders[[#This Row],[Frequency Group]]="less than 2", "Low Value", IF(Orders[[#This Row],[Frequency Group]]="between 4 and 2", "Medium Value", "High Value"))</f>
        <v>Medium Value</v>
      </c>
      <c r="U314" t="str">
        <f>IF(Orders[[#This Row],[Sales]]&lt;50, "$0-50", IF(AND(Orders[[#This Row],[Sales]]&gt;=50,Orders[[#This Row],[Sales]]&lt;=100), "$50-100", IF(AND(Orders[[#This Row],[Sales]]&gt;100,Orders[[#This Row],[Sales]]&lt;=150), "$101-150", "$150+")))</f>
        <v>$0-50</v>
      </c>
      <c r="V314" t="str">
        <f>IF(Orders[[#This Row],[Sales]]&gt;MEDIAN(M:M), "High Price", "Low Price")</f>
        <v>Low Price</v>
      </c>
      <c r="W314" t="str">
        <f>IF(Orders[[#This Row],[Quantity]]&gt;MEDIAN(E:E), "High Volume", "Low Volume")</f>
        <v>High Volume</v>
      </c>
      <c r="X314" t="str">
        <f>Orders[[#This Row],[Sales Tier]] &amp; "-" &amp; Orders[[#This Row],[Quantity Tier]]</f>
        <v>Low Price-High Volume</v>
      </c>
      <c r="Y314" t="str">
        <f>TEXT(Orders[[#This Row],[Order Date]], "mmmm")</f>
        <v>December</v>
      </c>
      <c r="Z31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314" t="str">
        <f>Orders[[#This Row],[Coffee Type Name]] &amp; "-" &amp; Orders[[#This Row],[Roast Type Name]]</f>
        <v>Arabica-Medium</v>
      </c>
      <c r="AB31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315" spans="1:28" x14ac:dyDescent="0.25">
      <c r="A315" s="2" t="s">
        <v>3260</v>
      </c>
      <c r="B315" s="4">
        <v>43764</v>
      </c>
      <c r="C315" s="2" t="s">
        <v>3261</v>
      </c>
      <c r="D315" t="s">
        <v>6169</v>
      </c>
      <c r="E315" s="2">
        <v>2</v>
      </c>
      <c r="F315" s="2" t="str">
        <f>_xlfn.XLOOKUP(C315,customers!$A$1:$A$1001,customers!$B$1:$B$1001,,0)</f>
        <v>Bob Giannazzi</v>
      </c>
      <c r="G315" s="2" t="str">
        <f>IF(_xlfn.XLOOKUP(C315,customers!$A$1:$A$1001,customers!$C$1:$C$1001,,0)=0,"",_xlfn.XLOOKUP(C315,customers!$A$1:$A$1001,customers!$C$1:$C$1001,,0))</f>
        <v>bgiannazzidm@apple.com</v>
      </c>
      <c r="H315" s="2" t="str">
        <f>_xlfn.XLOOKUP(C315,customers!$A$1:$A$1001,customers!$G$1:$G$1001,,0)</f>
        <v>United States</v>
      </c>
      <c r="I315" t="str">
        <f>INDEX(products!$A$1:$G$49, MATCH(orders!$D492,products!$A$1:$A539,0), MATCH(orders!I$1,products!$A$1:$G$1,0))</f>
        <v>Lib</v>
      </c>
      <c r="J315" t="str">
        <f>INDEX(products!$A$1:$G$49, MATCH(orders!$D492,products!$A$1:$A539,0), MATCH(orders!J$1,products!$A$1:$G$1,0))</f>
        <v>D</v>
      </c>
      <c r="K315" s="5">
        <f>INDEX(products!$A$1:$G$49, MATCH(orders!$D492,products!$A$1:$A539,0), MATCH(orders!K$1,products!$A$1:$G$1,0))</f>
        <v>0.5</v>
      </c>
      <c r="L315" s="6">
        <f>INDEX(products!$A$1:$G$49, MATCH(orders!$D492,products!$A$1:$A539,0), MATCH(orders!L$1,products!$A$1:$G$1,0))</f>
        <v>7.77</v>
      </c>
      <c r="M315" s="6">
        <f t="shared" si="12"/>
        <v>15.54</v>
      </c>
      <c r="N315" t="str">
        <f t="shared" si="13"/>
        <v>Liberica</v>
      </c>
      <c r="O315" t="str">
        <f t="shared" si="14"/>
        <v>Dark</v>
      </c>
      <c r="P315" t="str">
        <f>_xlfn.XLOOKUP(Orders[[#This Row],[Customer ID]],customers!$A$1:$A$1001,customers!$I$1:$I$1001,,0)</f>
        <v>No</v>
      </c>
      <c r="Q315">
        <f>COUNTIF(Orders[Order ID],Orders[[#This Row],[Order ID]])</f>
        <v>1</v>
      </c>
      <c r="R315" s="10">
        <f>SUMIF(Orders[Order ID], Orders[[#This Row],[Order ID]],Orders[Sales])/Orders[[#This Row],[Order Frequency]]</f>
        <v>15.54</v>
      </c>
      <c r="S315" t="str">
        <f>IF(Orders[[#This Row],[Order Frequency]]&gt;4, "More than 4", IF(AND(Orders[[#This Row],[Order Frequency]]&lt;=4,Orders[[#This Row],[Order Frequency]]&gt;=2), "Between 4 and 2", "Less than 2"))</f>
        <v>Less than 2</v>
      </c>
      <c r="T315" t="str">
        <f>IF(Orders[[#This Row],[Frequency Group]]="less than 2", "Low Value", IF(Orders[[#This Row],[Frequency Group]]="between 4 and 2", "Medium Value", "High Value"))</f>
        <v>Low Value</v>
      </c>
      <c r="U315" t="str">
        <f>IF(Orders[[#This Row],[Sales]]&lt;50, "$0-50", IF(AND(Orders[[#This Row],[Sales]]&gt;=50,Orders[[#This Row],[Sales]]&lt;=100), "$50-100", IF(AND(Orders[[#This Row],[Sales]]&gt;100,Orders[[#This Row],[Sales]]&lt;=150), "$101-150", "$150+")))</f>
        <v>$0-50</v>
      </c>
      <c r="V315" t="str">
        <f>IF(Orders[[#This Row],[Sales]]&gt;MEDIAN(M:M), "High Price", "Low Price")</f>
        <v>Low Price</v>
      </c>
      <c r="W315" t="str">
        <f>IF(Orders[[#This Row],[Quantity]]&gt;MEDIAN(E:E), "High Volume", "Low Volume")</f>
        <v>Low Volume</v>
      </c>
      <c r="X315" t="str">
        <f>Orders[[#This Row],[Sales Tier]] &amp; "-" &amp; Orders[[#This Row],[Quantity Tier]]</f>
        <v>Low Price-Low Volume</v>
      </c>
      <c r="Y315" t="str">
        <f>TEXT(Orders[[#This Row],[Order Date]], "mmmm")</f>
        <v>October</v>
      </c>
      <c r="Z31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315" t="str">
        <f>Orders[[#This Row],[Coffee Type Name]] &amp; "-" &amp; Orders[[#This Row],[Roast Type Name]]</f>
        <v>Liberica-Dark</v>
      </c>
      <c r="AB31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316" spans="1:28" x14ac:dyDescent="0.25">
      <c r="A316" s="2" t="s">
        <v>1928</v>
      </c>
      <c r="B316" s="4">
        <v>44439</v>
      </c>
      <c r="C316" s="2" t="s">
        <v>1929</v>
      </c>
      <c r="D316" t="s">
        <v>6173</v>
      </c>
      <c r="E316" s="2">
        <v>3</v>
      </c>
      <c r="F316" s="2" t="str">
        <f>_xlfn.XLOOKUP(C316,customers!$A$1:$A$1001,customers!$B$1:$B$1001,,0)</f>
        <v>Cleve Blowfelde</v>
      </c>
      <c r="G316" s="2" t="str">
        <f>IF(_xlfn.XLOOKUP(C316,customers!$A$1:$A$1001,customers!$C$1:$C$1001,,0)=0,"",_xlfn.XLOOKUP(C316,customers!$A$1:$A$1001,customers!$C$1:$C$1001,,0))</f>
        <v>cblowfelde73@ustream.tv</v>
      </c>
      <c r="H316" s="2" t="str">
        <f>_xlfn.XLOOKUP(C316,customers!$A$1:$A$1001,customers!$G$1:$G$1001,,0)</f>
        <v>United States</v>
      </c>
      <c r="I316" t="str">
        <f>INDEX(products!$A$1:$G$49, MATCH(orders!$D257,products!$A$1:$A304,0), MATCH(orders!I$1,products!$A$1:$G$1,0))</f>
        <v>Rob</v>
      </c>
      <c r="J316" t="str">
        <f>INDEX(products!$A$1:$G$49, MATCH(orders!$D257,products!$A$1:$A304,0), MATCH(orders!J$1,products!$A$1:$G$1,0))</f>
        <v>L</v>
      </c>
      <c r="K316" s="5">
        <f>INDEX(products!$A$1:$G$49, MATCH(orders!$D257,products!$A$1:$A304,0), MATCH(orders!K$1,products!$A$1:$G$1,0))</f>
        <v>0.5</v>
      </c>
      <c r="L316" s="6">
        <f>INDEX(products!$A$1:$G$49, MATCH(orders!$D257,products!$A$1:$A304,0), MATCH(orders!L$1,products!$A$1:$G$1,0))</f>
        <v>7.169999999999999</v>
      </c>
      <c r="M316" s="6">
        <f t="shared" si="12"/>
        <v>21.509999999999998</v>
      </c>
      <c r="N316" t="str">
        <f t="shared" si="13"/>
        <v>Robusta</v>
      </c>
      <c r="O316" t="str">
        <f t="shared" si="14"/>
        <v>Light</v>
      </c>
      <c r="P316" t="str">
        <f>_xlfn.XLOOKUP(Orders[[#This Row],[Customer ID]],customers!$A$1:$A$1001,customers!$I$1:$I$1001,,0)</f>
        <v>No</v>
      </c>
      <c r="Q316">
        <f>COUNTIF(Orders[Order ID],Orders[[#This Row],[Order ID]])</f>
        <v>1</v>
      </c>
      <c r="R316" s="10">
        <f>SUMIF(Orders[Order ID], Orders[[#This Row],[Order ID]],Orders[Sales])/Orders[[#This Row],[Order Frequency]]</f>
        <v>21.509999999999998</v>
      </c>
      <c r="S316" t="str">
        <f>IF(Orders[[#This Row],[Order Frequency]]&gt;4, "More than 4", IF(AND(Orders[[#This Row],[Order Frequency]]&lt;=4,Orders[[#This Row],[Order Frequency]]&gt;=2), "Between 4 and 2", "Less than 2"))</f>
        <v>Less than 2</v>
      </c>
      <c r="T316" t="str">
        <f>IF(Orders[[#This Row],[Frequency Group]]="less than 2", "Low Value", IF(Orders[[#This Row],[Frequency Group]]="between 4 and 2", "Medium Value", "High Value"))</f>
        <v>Low Value</v>
      </c>
      <c r="U316" t="str">
        <f>IF(Orders[[#This Row],[Sales]]&lt;50, "$0-50", IF(AND(Orders[[#This Row],[Sales]]&gt;=50,Orders[[#This Row],[Sales]]&lt;=100), "$50-100", IF(AND(Orders[[#This Row],[Sales]]&gt;100,Orders[[#This Row],[Sales]]&lt;=150), "$101-150", "$150+")))</f>
        <v>$0-50</v>
      </c>
      <c r="V316" t="str">
        <f>IF(Orders[[#This Row],[Sales]]&gt;MEDIAN(M:M), "High Price", "Low Price")</f>
        <v>Low Price</v>
      </c>
      <c r="W316" t="str">
        <f>IF(Orders[[#This Row],[Quantity]]&gt;MEDIAN(E:E), "High Volume", "Low Volume")</f>
        <v>Low Volume</v>
      </c>
      <c r="X316" t="str">
        <f>Orders[[#This Row],[Sales Tier]] &amp; "-" &amp; Orders[[#This Row],[Quantity Tier]]</f>
        <v>Low Price-Low Volume</v>
      </c>
      <c r="Y316" t="str">
        <f>TEXT(Orders[[#This Row],[Order Date]], "mmmm")</f>
        <v>August</v>
      </c>
      <c r="Z31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316" t="str">
        <f>Orders[[#This Row],[Coffee Type Name]] &amp; "-" &amp; Orders[[#This Row],[Roast Type Name]]</f>
        <v>Robusta-Light</v>
      </c>
      <c r="AB31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317" spans="1:28" x14ac:dyDescent="0.25">
      <c r="A317" s="2" t="s">
        <v>4098</v>
      </c>
      <c r="B317" s="4">
        <v>44331</v>
      </c>
      <c r="C317" s="2" t="s">
        <v>4099</v>
      </c>
      <c r="D317" t="s">
        <v>6150</v>
      </c>
      <c r="E317" s="2">
        <v>1</v>
      </c>
      <c r="F317" s="2" t="str">
        <f>_xlfn.XLOOKUP(C317,customers!$A$1:$A$1001,customers!$B$1:$B$1001,,0)</f>
        <v>Jeno Capey</v>
      </c>
      <c r="G317" s="2" t="str">
        <f>IF(_xlfn.XLOOKUP(C317,customers!$A$1:$A$1001,customers!$C$1:$C$1001,,0)=0,"",_xlfn.XLOOKUP(C317,customers!$A$1:$A$1001,customers!$C$1:$C$1001,,0))</f>
        <v>jcapeyhr@bravesites.com</v>
      </c>
      <c r="H317" s="2" t="str">
        <f>_xlfn.XLOOKUP(C317,customers!$A$1:$A$1001,customers!$G$1:$G$1001,,0)</f>
        <v>United States</v>
      </c>
      <c r="I317" t="str">
        <f>INDEX(products!$A$1:$G$49, MATCH(orders!$D641,products!$A$1:$A688,0), MATCH(orders!I$1,products!$A$1:$G$1,0))</f>
        <v>Lib</v>
      </c>
      <c r="J317" t="str">
        <f>INDEX(products!$A$1:$G$49, MATCH(orders!$D641,products!$A$1:$A688,0), MATCH(orders!J$1,products!$A$1:$G$1,0))</f>
        <v>D</v>
      </c>
      <c r="K317" s="5">
        <f>INDEX(products!$A$1:$G$49, MATCH(orders!$D641,products!$A$1:$A688,0), MATCH(orders!K$1,products!$A$1:$G$1,0))</f>
        <v>0.2</v>
      </c>
      <c r="L317" s="6">
        <f>INDEX(products!$A$1:$G$49, MATCH(orders!$D641,products!$A$1:$A688,0), MATCH(orders!L$1,products!$A$1:$G$1,0))</f>
        <v>3.8849999999999998</v>
      </c>
      <c r="M317" s="6">
        <f t="shared" si="12"/>
        <v>3.8849999999999998</v>
      </c>
      <c r="N317" t="str">
        <f t="shared" si="13"/>
        <v>Liberica</v>
      </c>
      <c r="O317" t="str">
        <f t="shared" si="14"/>
        <v>Dark</v>
      </c>
      <c r="P317" t="str">
        <f>_xlfn.XLOOKUP(Orders[[#This Row],[Customer ID]],customers!$A$1:$A$1001,customers!$I$1:$I$1001,,0)</f>
        <v>Yes</v>
      </c>
      <c r="Q317">
        <f>COUNTIF(Orders[Order ID],Orders[[#This Row],[Order ID]])</f>
        <v>1</v>
      </c>
      <c r="R317" s="10">
        <f>SUMIF(Orders[Order ID], Orders[[#This Row],[Order ID]],Orders[Sales])/Orders[[#This Row],[Order Frequency]]</f>
        <v>3.8849999999999998</v>
      </c>
      <c r="S317" t="str">
        <f>IF(Orders[[#This Row],[Order Frequency]]&gt;4, "More than 4", IF(AND(Orders[[#This Row],[Order Frequency]]&lt;=4,Orders[[#This Row],[Order Frequency]]&gt;=2), "Between 4 and 2", "Less than 2"))</f>
        <v>Less than 2</v>
      </c>
      <c r="T317" t="str">
        <f>IF(Orders[[#This Row],[Frequency Group]]="less than 2", "Low Value", IF(Orders[[#This Row],[Frequency Group]]="between 4 and 2", "Medium Value", "High Value"))</f>
        <v>Low Value</v>
      </c>
      <c r="U317" t="str">
        <f>IF(Orders[[#This Row],[Sales]]&lt;50, "$0-50", IF(AND(Orders[[#This Row],[Sales]]&gt;=50,Orders[[#This Row],[Sales]]&lt;=100), "$50-100", IF(AND(Orders[[#This Row],[Sales]]&gt;100,Orders[[#This Row],[Sales]]&lt;=150), "$101-150", "$150+")))</f>
        <v>$0-50</v>
      </c>
      <c r="V317" t="str">
        <f>IF(Orders[[#This Row],[Sales]]&gt;MEDIAN(M:M), "High Price", "Low Price")</f>
        <v>Low Price</v>
      </c>
      <c r="W317" t="str">
        <f>IF(Orders[[#This Row],[Quantity]]&gt;MEDIAN(E:E), "High Volume", "Low Volume")</f>
        <v>Low Volume</v>
      </c>
      <c r="X317" t="str">
        <f>Orders[[#This Row],[Sales Tier]] &amp; "-" &amp; Orders[[#This Row],[Quantity Tier]]</f>
        <v>Low Price-Low Volume</v>
      </c>
      <c r="Y317" t="str">
        <f>TEXT(Orders[[#This Row],[Order Date]], "mmmm")</f>
        <v>May</v>
      </c>
      <c r="Z31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317" t="str">
        <f>Orders[[#This Row],[Coffee Type Name]] &amp; "-" &amp; Orders[[#This Row],[Roast Type Name]]</f>
        <v>Liberica-Dark</v>
      </c>
      <c r="AB31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318" spans="1:28" x14ac:dyDescent="0.25">
      <c r="A318" s="2" t="s">
        <v>985</v>
      </c>
      <c r="B318" s="4">
        <v>44284</v>
      </c>
      <c r="C318" s="2" t="s">
        <v>986</v>
      </c>
      <c r="D318" t="s">
        <v>6179</v>
      </c>
      <c r="E318" s="2">
        <v>3</v>
      </c>
      <c r="F318" s="2" t="str">
        <f>_xlfn.XLOOKUP(C318,customers!$A$1:$A$1001,customers!$B$1:$B$1001,,0)</f>
        <v>Elna Grise</v>
      </c>
      <c r="G318" s="2" t="str">
        <f>IF(_xlfn.XLOOKUP(C318,customers!$A$1:$A$1001,customers!$C$1:$C$1001,,0)=0,"",_xlfn.XLOOKUP(C318,customers!$A$1:$A$1001,customers!$C$1:$C$1001,,0))</f>
        <v>egrise2g@cargocollective.com</v>
      </c>
      <c r="H318" s="2" t="str">
        <f>_xlfn.XLOOKUP(C318,customers!$A$1:$A$1001,customers!$G$1:$G$1001,,0)</f>
        <v>United States</v>
      </c>
      <c r="I318" t="str">
        <f>INDEX(products!$A$1:$G$49, MATCH(orders!$D90,products!$A$1:$A137,0), MATCH(orders!I$1,products!$A$1:$G$1,0))</f>
        <v>Rob</v>
      </c>
      <c r="J318" t="str">
        <f>INDEX(products!$A$1:$G$49, MATCH(orders!$D90,products!$A$1:$A137,0), MATCH(orders!J$1,products!$A$1:$G$1,0))</f>
        <v>L</v>
      </c>
      <c r="K318" s="5">
        <f>INDEX(products!$A$1:$G$49, MATCH(orders!$D90,products!$A$1:$A137,0), MATCH(orders!K$1,products!$A$1:$G$1,0))</f>
        <v>1</v>
      </c>
      <c r="L318" s="6">
        <f>INDEX(products!$A$1:$G$49, MATCH(orders!$D90,products!$A$1:$A137,0), MATCH(orders!L$1,products!$A$1:$G$1,0))</f>
        <v>11.95</v>
      </c>
      <c r="M318" s="6">
        <f t="shared" si="12"/>
        <v>35.849999999999994</v>
      </c>
      <c r="N318" t="str">
        <f t="shared" si="13"/>
        <v>Robusta</v>
      </c>
      <c r="O318" t="str">
        <f t="shared" si="14"/>
        <v>Light</v>
      </c>
      <c r="P318" t="str">
        <f>_xlfn.XLOOKUP(Orders[[#This Row],[Customer ID]],customers!$A$1:$A$1001,customers!$I$1:$I$1001,,0)</f>
        <v>No</v>
      </c>
      <c r="Q318">
        <f>COUNTIF(Orders[Order ID],Orders[[#This Row],[Order ID]])</f>
        <v>1</v>
      </c>
      <c r="R318" s="10">
        <f>SUMIF(Orders[Order ID], Orders[[#This Row],[Order ID]],Orders[Sales])/Orders[[#This Row],[Order Frequency]]</f>
        <v>35.849999999999994</v>
      </c>
      <c r="S318" t="str">
        <f>IF(Orders[[#This Row],[Order Frequency]]&gt;4, "More than 4", IF(AND(Orders[[#This Row],[Order Frequency]]&lt;=4,Orders[[#This Row],[Order Frequency]]&gt;=2), "Between 4 and 2", "Less than 2"))</f>
        <v>Less than 2</v>
      </c>
      <c r="T318" t="str">
        <f>IF(Orders[[#This Row],[Frequency Group]]="less than 2", "Low Value", IF(Orders[[#This Row],[Frequency Group]]="between 4 and 2", "Medium Value", "High Value"))</f>
        <v>Low Value</v>
      </c>
      <c r="U318" t="str">
        <f>IF(Orders[[#This Row],[Sales]]&lt;50, "$0-50", IF(AND(Orders[[#This Row],[Sales]]&gt;=50,Orders[[#This Row],[Sales]]&lt;=100), "$50-100", IF(AND(Orders[[#This Row],[Sales]]&gt;100,Orders[[#This Row],[Sales]]&lt;=150), "$101-150", "$150+")))</f>
        <v>$0-50</v>
      </c>
      <c r="V318" t="str">
        <f>IF(Orders[[#This Row],[Sales]]&gt;MEDIAN(M:M), "High Price", "Low Price")</f>
        <v>High Price</v>
      </c>
      <c r="W318" t="str">
        <f>IF(Orders[[#This Row],[Quantity]]&gt;MEDIAN(E:E), "High Volume", "Low Volume")</f>
        <v>Low Volume</v>
      </c>
      <c r="X318" t="str">
        <f>Orders[[#This Row],[Sales Tier]] &amp; "-" &amp; Orders[[#This Row],[Quantity Tier]]</f>
        <v>High Price-Low Volume</v>
      </c>
      <c r="Y318" t="str">
        <f>TEXT(Orders[[#This Row],[Order Date]], "mmmm")</f>
        <v>March</v>
      </c>
      <c r="Z31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318" t="str">
        <f>Orders[[#This Row],[Coffee Type Name]] &amp; "-" &amp; Orders[[#This Row],[Roast Type Name]]</f>
        <v>Robusta-Light</v>
      </c>
      <c r="AB31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319" spans="1:28" x14ac:dyDescent="0.25">
      <c r="A319" s="2" t="s">
        <v>1998</v>
      </c>
      <c r="B319" s="4">
        <v>44324</v>
      </c>
      <c r="C319" s="2" t="s">
        <v>1999</v>
      </c>
      <c r="D319" t="s">
        <v>6153</v>
      </c>
      <c r="E319" s="2">
        <v>6</v>
      </c>
      <c r="F319" s="2" t="str">
        <f>_xlfn.XLOOKUP(C319,customers!$A$1:$A$1001,customers!$B$1:$B$1001,,0)</f>
        <v>Silvana Northeast</v>
      </c>
      <c r="G319" s="2" t="str">
        <f>IF(_xlfn.XLOOKUP(C319,customers!$A$1:$A$1001,customers!$C$1:$C$1001,,0)=0,"",_xlfn.XLOOKUP(C319,customers!$A$1:$A$1001,customers!$C$1:$C$1001,,0))</f>
        <v>snortheast7f@mashable.com</v>
      </c>
      <c r="H319" s="2" t="str">
        <f>_xlfn.XLOOKUP(C319,customers!$A$1:$A$1001,customers!$G$1:$G$1001,,0)</f>
        <v>United States</v>
      </c>
      <c r="I319" t="str">
        <f>INDEX(products!$A$1:$G$49, MATCH(orders!$D269,products!$A$1:$A316,0), MATCH(orders!I$1,products!$A$1:$G$1,0))</f>
        <v>Exc</v>
      </c>
      <c r="J319" t="str">
        <f>INDEX(products!$A$1:$G$49, MATCH(orders!$D269,products!$A$1:$A316,0), MATCH(orders!J$1,products!$A$1:$G$1,0))</f>
        <v>D</v>
      </c>
      <c r="K319" s="5">
        <f>INDEX(products!$A$1:$G$49, MATCH(orders!$D269,products!$A$1:$A316,0), MATCH(orders!K$1,products!$A$1:$G$1,0))</f>
        <v>0.2</v>
      </c>
      <c r="L319" s="6">
        <f>INDEX(products!$A$1:$G$49, MATCH(orders!$D269,products!$A$1:$A316,0), MATCH(orders!L$1,products!$A$1:$G$1,0))</f>
        <v>3.645</v>
      </c>
      <c r="M319" s="6">
        <f t="shared" si="12"/>
        <v>21.87</v>
      </c>
      <c r="N319" t="str">
        <f t="shared" si="13"/>
        <v>Excelsa</v>
      </c>
      <c r="O319" t="str">
        <f t="shared" si="14"/>
        <v>Dark</v>
      </c>
      <c r="P319" t="str">
        <f>_xlfn.XLOOKUP(Orders[[#This Row],[Customer ID]],customers!$A$1:$A$1001,customers!$I$1:$I$1001,,0)</f>
        <v>Yes</v>
      </c>
      <c r="Q319">
        <f>COUNTIF(Orders[Order ID],Orders[[#This Row],[Order ID]])</f>
        <v>1</v>
      </c>
      <c r="R319" s="10">
        <f>SUMIF(Orders[Order ID], Orders[[#This Row],[Order ID]],Orders[Sales])/Orders[[#This Row],[Order Frequency]]</f>
        <v>21.87</v>
      </c>
      <c r="S319" t="str">
        <f>IF(Orders[[#This Row],[Order Frequency]]&gt;4, "More than 4", IF(AND(Orders[[#This Row],[Order Frequency]]&lt;=4,Orders[[#This Row],[Order Frequency]]&gt;=2), "Between 4 and 2", "Less than 2"))</f>
        <v>Less than 2</v>
      </c>
      <c r="T319" t="str">
        <f>IF(Orders[[#This Row],[Frequency Group]]="less than 2", "Low Value", IF(Orders[[#This Row],[Frequency Group]]="between 4 and 2", "Medium Value", "High Value"))</f>
        <v>Low Value</v>
      </c>
      <c r="U319" t="str">
        <f>IF(Orders[[#This Row],[Sales]]&lt;50, "$0-50", IF(AND(Orders[[#This Row],[Sales]]&gt;=50,Orders[[#This Row],[Sales]]&lt;=100), "$50-100", IF(AND(Orders[[#This Row],[Sales]]&gt;100,Orders[[#This Row],[Sales]]&lt;=150), "$101-150", "$150+")))</f>
        <v>$0-50</v>
      </c>
      <c r="V319" t="str">
        <f>IF(Orders[[#This Row],[Sales]]&gt;MEDIAN(M:M), "High Price", "Low Price")</f>
        <v>Low Price</v>
      </c>
      <c r="W319" t="str">
        <f>IF(Orders[[#This Row],[Quantity]]&gt;MEDIAN(E:E), "High Volume", "Low Volume")</f>
        <v>High Volume</v>
      </c>
      <c r="X319" t="str">
        <f>Orders[[#This Row],[Sales Tier]] &amp; "-" &amp; Orders[[#This Row],[Quantity Tier]]</f>
        <v>Low Price-High Volume</v>
      </c>
      <c r="Y319" t="str">
        <f>TEXT(Orders[[#This Row],[Order Date]], "mmmm")</f>
        <v>May</v>
      </c>
      <c r="Z31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319" t="str">
        <f>Orders[[#This Row],[Coffee Type Name]] &amp; "-" &amp; Orders[[#This Row],[Roast Type Name]]</f>
        <v>Excelsa-Dark</v>
      </c>
      <c r="AB31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320" spans="1:28" x14ac:dyDescent="0.25">
      <c r="A320" s="2" t="s">
        <v>5558</v>
      </c>
      <c r="B320" s="4">
        <v>44347</v>
      </c>
      <c r="C320" s="2" t="s">
        <v>5559</v>
      </c>
      <c r="D320" t="s">
        <v>6172</v>
      </c>
      <c r="E320" s="2">
        <v>6</v>
      </c>
      <c r="F320" s="2" t="str">
        <f>_xlfn.XLOOKUP(C320,customers!$A$1:$A$1001,customers!$B$1:$B$1001,,0)</f>
        <v>Baxy Cargen</v>
      </c>
      <c r="G320" s="2" t="str">
        <f>IF(_xlfn.XLOOKUP(C320,customers!$A$1:$A$1001,customers!$C$1:$C$1001,,0)=0,"",_xlfn.XLOOKUP(C320,customers!$A$1:$A$1001,customers!$C$1:$C$1001,,0))</f>
        <v>bcargenow@geocities.jp</v>
      </c>
      <c r="H320" s="2" t="str">
        <f>_xlfn.XLOOKUP(C320,customers!$A$1:$A$1001,customers!$G$1:$G$1001,,0)</f>
        <v>United States</v>
      </c>
      <c r="I320" t="str">
        <f>INDEX(products!$A$1:$G$49, MATCH(orders!$D898,products!$A$1:$A945,0), MATCH(orders!I$1,products!$A$1:$G$1,0))</f>
        <v>Rob</v>
      </c>
      <c r="J320" t="str">
        <f>INDEX(products!$A$1:$G$49, MATCH(orders!$D898,products!$A$1:$A945,0), MATCH(orders!J$1,products!$A$1:$G$1,0))</f>
        <v>D</v>
      </c>
      <c r="K320" s="5">
        <f>INDEX(products!$A$1:$G$49, MATCH(orders!$D898,products!$A$1:$A945,0), MATCH(orders!K$1,products!$A$1:$G$1,0))</f>
        <v>0.5</v>
      </c>
      <c r="L320" s="6">
        <f>INDEX(products!$A$1:$G$49, MATCH(orders!$D898,products!$A$1:$A945,0), MATCH(orders!L$1,products!$A$1:$G$1,0))</f>
        <v>5.3699999999999992</v>
      </c>
      <c r="M320" s="6">
        <f t="shared" si="12"/>
        <v>32.22</v>
      </c>
      <c r="N320" t="str">
        <f t="shared" si="13"/>
        <v>Robusta</v>
      </c>
      <c r="O320" t="str">
        <f t="shared" si="14"/>
        <v>Dark</v>
      </c>
      <c r="P320" t="str">
        <f>_xlfn.XLOOKUP(Orders[[#This Row],[Customer ID]],customers!$A$1:$A$1001,customers!$I$1:$I$1001,,0)</f>
        <v>Yes</v>
      </c>
      <c r="Q320">
        <f>COUNTIF(Orders[Order ID],Orders[[#This Row],[Order ID]])</f>
        <v>1</v>
      </c>
      <c r="R320" s="10">
        <f>SUMIF(Orders[Order ID], Orders[[#This Row],[Order ID]],Orders[Sales])/Orders[[#This Row],[Order Frequency]]</f>
        <v>32.22</v>
      </c>
      <c r="S320" t="str">
        <f>IF(Orders[[#This Row],[Order Frequency]]&gt;4, "More than 4", IF(AND(Orders[[#This Row],[Order Frequency]]&lt;=4,Orders[[#This Row],[Order Frequency]]&gt;=2), "Between 4 and 2", "Less than 2"))</f>
        <v>Less than 2</v>
      </c>
      <c r="T320" t="str">
        <f>IF(Orders[[#This Row],[Frequency Group]]="less than 2", "Low Value", IF(Orders[[#This Row],[Frequency Group]]="between 4 and 2", "Medium Value", "High Value"))</f>
        <v>Low Value</v>
      </c>
      <c r="U320" t="str">
        <f>IF(Orders[[#This Row],[Sales]]&lt;50, "$0-50", IF(AND(Orders[[#This Row],[Sales]]&gt;=50,Orders[[#This Row],[Sales]]&lt;=100), "$50-100", IF(AND(Orders[[#This Row],[Sales]]&gt;100,Orders[[#This Row],[Sales]]&lt;=150), "$101-150", "$150+")))</f>
        <v>$0-50</v>
      </c>
      <c r="V320" t="str">
        <f>IF(Orders[[#This Row],[Sales]]&gt;MEDIAN(M:M), "High Price", "Low Price")</f>
        <v>High Price</v>
      </c>
      <c r="W320" t="str">
        <f>IF(Orders[[#This Row],[Quantity]]&gt;MEDIAN(E:E), "High Volume", "Low Volume")</f>
        <v>High Volume</v>
      </c>
      <c r="X320" t="str">
        <f>Orders[[#This Row],[Sales Tier]] &amp; "-" &amp; Orders[[#This Row],[Quantity Tier]]</f>
        <v>High Price-High Volume</v>
      </c>
      <c r="Y320" t="str">
        <f>TEXT(Orders[[#This Row],[Order Date]], "mmmm")</f>
        <v>May</v>
      </c>
      <c r="Z32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320" t="str">
        <f>Orders[[#This Row],[Coffee Type Name]] &amp; "-" &amp; Orders[[#This Row],[Roast Type Name]]</f>
        <v>Robusta-Dark</v>
      </c>
      <c r="AB32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321" spans="1:28" x14ac:dyDescent="0.25">
      <c r="A321" s="2" t="s">
        <v>5609</v>
      </c>
      <c r="B321" s="4">
        <v>43560</v>
      </c>
      <c r="C321" s="2" t="s">
        <v>5610</v>
      </c>
      <c r="D321" t="s">
        <v>6157</v>
      </c>
      <c r="E321" s="2">
        <v>6</v>
      </c>
      <c r="F321" s="2" t="str">
        <f>_xlfn.XLOOKUP(C321,customers!$A$1:$A$1001,customers!$B$1:$B$1001,,0)</f>
        <v>Darcy Lochran</v>
      </c>
      <c r="G321" s="2" t="str">
        <f>IF(_xlfn.XLOOKUP(C321,customers!$A$1:$A$1001,customers!$C$1:$C$1001,,0)=0,"",_xlfn.XLOOKUP(C321,customers!$A$1:$A$1001,customers!$C$1:$C$1001,,0))</f>
        <v/>
      </c>
      <c r="H321" s="2" t="str">
        <f>_xlfn.XLOOKUP(C321,customers!$A$1:$A$1001,customers!$G$1:$G$1001,,0)</f>
        <v>United States</v>
      </c>
      <c r="I321" t="str">
        <f>INDEX(products!$A$1:$G$49, MATCH(orders!$D907,products!$A$1:$A954,0), MATCH(orders!I$1,products!$A$1:$G$1,0))</f>
        <v>Ara</v>
      </c>
      <c r="J321" t="str">
        <f>INDEX(products!$A$1:$G$49, MATCH(orders!$D907,products!$A$1:$A954,0), MATCH(orders!J$1,products!$A$1:$G$1,0))</f>
        <v>M</v>
      </c>
      <c r="K321" s="5">
        <f>INDEX(products!$A$1:$G$49, MATCH(orders!$D907,products!$A$1:$A954,0), MATCH(orders!K$1,products!$A$1:$G$1,0))</f>
        <v>0.5</v>
      </c>
      <c r="L321" s="6">
        <f>INDEX(products!$A$1:$G$49, MATCH(orders!$D907,products!$A$1:$A954,0), MATCH(orders!L$1,products!$A$1:$G$1,0))</f>
        <v>6.75</v>
      </c>
      <c r="M321" s="6">
        <f t="shared" si="12"/>
        <v>40.5</v>
      </c>
      <c r="N321" t="str">
        <f t="shared" si="13"/>
        <v>Arabica</v>
      </c>
      <c r="O321" t="str">
        <f t="shared" si="14"/>
        <v>Medium</v>
      </c>
      <c r="P321" t="str">
        <f>_xlfn.XLOOKUP(Orders[[#This Row],[Customer ID]],customers!$A$1:$A$1001,customers!$I$1:$I$1001,,0)</f>
        <v>Yes</v>
      </c>
      <c r="Q321">
        <f>COUNTIF(Orders[Order ID],Orders[[#This Row],[Order ID]])</f>
        <v>1</v>
      </c>
      <c r="R321" s="10">
        <f>SUMIF(Orders[Order ID], Orders[[#This Row],[Order ID]],Orders[Sales])/Orders[[#This Row],[Order Frequency]]</f>
        <v>40.5</v>
      </c>
      <c r="S321" t="str">
        <f>IF(Orders[[#This Row],[Order Frequency]]&gt;4, "More than 4", IF(AND(Orders[[#This Row],[Order Frequency]]&lt;=4,Orders[[#This Row],[Order Frequency]]&gt;=2), "Between 4 and 2", "Less than 2"))</f>
        <v>Less than 2</v>
      </c>
      <c r="T321" t="str">
        <f>IF(Orders[[#This Row],[Frequency Group]]="less than 2", "Low Value", IF(Orders[[#This Row],[Frequency Group]]="between 4 and 2", "Medium Value", "High Value"))</f>
        <v>Low Value</v>
      </c>
      <c r="U321" t="str">
        <f>IF(Orders[[#This Row],[Sales]]&lt;50, "$0-50", IF(AND(Orders[[#This Row],[Sales]]&gt;=50,Orders[[#This Row],[Sales]]&lt;=100), "$50-100", IF(AND(Orders[[#This Row],[Sales]]&gt;100,Orders[[#This Row],[Sales]]&lt;=150), "$101-150", "$150+")))</f>
        <v>$0-50</v>
      </c>
      <c r="V321" t="str">
        <f>IF(Orders[[#This Row],[Sales]]&gt;MEDIAN(M:M), "High Price", "Low Price")</f>
        <v>High Price</v>
      </c>
      <c r="W321" t="str">
        <f>IF(Orders[[#This Row],[Quantity]]&gt;MEDIAN(E:E), "High Volume", "Low Volume")</f>
        <v>High Volume</v>
      </c>
      <c r="X321" t="str">
        <f>Orders[[#This Row],[Sales Tier]] &amp; "-" &amp; Orders[[#This Row],[Quantity Tier]]</f>
        <v>High Price-High Volume</v>
      </c>
      <c r="Y321" t="str">
        <f>TEXT(Orders[[#This Row],[Order Date]], "mmmm")</f>
        <v>April</v>
      </c>
      <c r="Z32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321" t="str">
        <f>Orders[[#This Row],[Coffee Type Name]] &amp; "-" &amp; Orders[[#This Row],[Roast Type Name]]</f>
        <v>Arabica-Medium</v>
      </c>
      <c r="AB32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322" spans="1:28" x14ac:dyDescent="0.25">
      <c r="A322" s="2" t="s">
        <v>5543</v>
      </c>
      <c r="B322" s="4">
        <v>44651</v>
      </c>
      <c r="C322" s="2" t="s">
        <v>5544</v>
      </c>
      <c r="D322" t="s">
        <v>6161</v>
      </c>
      <c r="E322" s="2">
        <v>6</v>
      </c>
      <c r="F322" s="2" t="str">
        <f>_xlfn.XLOOKUP(C322,customers!$A$1:$A$1001,customers!$B$1:$B$1001,,0)</f>
        <v>Raphaela Schankelborg</v>
      </c>
      <c r="G322" s="2" t="str">
        <f>IF(_xlfn.XLOOKUP(C322,customers!$A$1:$A$1001,customers!$C$1:$C$1001,,0)=0,"",_xlfn.XLOOKUP(C322,customers!$A$1:$A$1001,customers!$C$1:$C$1001,,0))</f>
        <v>rschankelborgot@ameblo.jp</v>
      </c>
      <c r="H322" s="2" t="str">
        <f>_xlfn.XLOOKUP(C322,customers!$A$1:$A$1001,customers!$G$1:$G$1001,,0)</f>
        <v>United States</v>
      </c>
      <c r="I322" t="str">
        <f>INDEX(products!$A$1:$G$49, MATCH(orders!$D895,products!$A$1:$A942,0), MATCH(orders!I$1,products!$A$1:$G$1,0))</f>
        <v>Lib</v>
      </c>
      <c r="J322" t="str">
        <f>INDEX(products!$A$1:$G$49, MATCH(orders!$D895,products!$A$1:$A942,0), MATCH(orders!J$1,products!$A$1:$G$1,0))</f>
        <v>L</v>
      </c>
      <c r="K322" s="5">
        <f>INDEX(products!$A$1:$G$49, MATCH(orders!$D895,products!$A$1:$A942,0), MATCH(orders!K$1,products!$A$1:$G$1,0))</f>
        <v>0.5</v>
      </c>
      <c r="L322" s="6">
        <f>INDEX(products!$A$1:$G$49, MATCH(orders!$D895,products!$A$1:$A942,0), MATCH(orders!L$1,products!$A$1:$G$1,0))</f>
        <v>9.51</v>
      </c>
      <c r="M322" s="6">
        <f t="shared" ref="M322:M385" si="15">L322*E322</f>
        <v>57.06</v>
      </c>
      <c r="N322" t="str">
        <f t="shared" ref="N322:N385" si="16">IF(I322="Rob", "Robusta", IF(I322="Exc", "Excelsa", IF(I322="Ara","Arabica", IF(I322="Lib", "Liberica",""))))</f>
        <v>Liberica</v>
      </c>
      <c r="O322" t="str">
        <f t="shared" ref="O322:O385" si="17">IF(J322="M", "Medium", IF(J322="L", "Light", IF(J322="D", "Dark", "")))</f>
        <v>Light</v>
      </c>
      <c r="P322" t="str">
        <f>_xlfn.XLOOKUP(Orders[[#This Row],[Customer ID]],customers!$A$1:$A$1001,customers!$I$1:$I$1001,,0)</f>
        <v>Yes</v>
      </c>
      <c r="Q322">
        <f>COUNTIF(Orders[Order ID],Orders[[#This Row],[Order ID]])</f>
        <v>1</v>
      </c>
      <c r="R322" s="10">
        <f>SUMIF(Orders[Order ID], Orders[[#This Row],[Order ID]],Orders[Sales])/Orders[[#This Row],[Order Frequency]]</f>
        <v>57.06</v>
      </c>
      <c r="S322" t="str">
        <f>IF(Orders[[#This Row],[Order Frequency]]&gt;4, "More than 4", IF(AND(Orders[[#This Row],[Order Frequency]]&lt;=4,Orders[[#This Row],[Order Frequency]]&gt;=2), "Between 4 and 2", "Less than 2"))</f>
        <v>Less than 2</v>
      </c>
      <c r="T322" t="str">
        <f>IF(Orders[[#This Row],[Frequency Group]]="less than 2", "Low Value", IF(Orders[[#This Row],[Frequency Group]]="between 4 and 2", "Medium Value", "High Value"))</f>
        <v>Low Value</v>
      </c>
      <c r="U322" t="str">
        <f>IF(Orders[[#This Row],[Sales]]&lt;50, "$0-50", IF(AND(Orders[[#This Row],[Sales]]&gt;=50,Orders[[#This Row],[Sales]]&lt;=100), "$50-100", IF(AND(Orders[[#This Row],[Sales]]&gt;100,Orders[[#This Row],[Sales]]&lt;=150), "$101-150", "$150+")))</f>
        <v>$50-100</v>
      </c>
      <c r="V322" t="str">
        <f>IF(Orders[[#This Row],[Sales]]&gt;MEDIAN(M:M), "High Price", "Low Price")</f>
        <v>High Price</v>
      </c>
      <c r="W322" t="str">
        <f>IF(Orders[[#This Row],[Quantity]]&gt;MEDIAN(E:E), "High Volume", "Low Volume")</f>
        <v>High Volume</v>
      </c>
      <c r="X322" t="str">
        <f>Orders[[#This Row],[Sales Tier]] &amp; "-" &amp; Orders[[#This Row],[Quantity Tier]]</f>
        <v>High Price-High Volume</v>
      </c>
      <c r="Y322" t="str">
        <f>TEXT(Orders[[#This Row],[Order Date]], "mmmm")</f>
        <v>March</v>
      </c>
      <c r="Z32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322" t="str">
        <f>Orders[[#This Row],[Coffee Type Name]] &amp; "-" &amp; Orders[[#This Row],[Roast Type Name]]</f>
        <v>Liberica-Light</v>
      </c>
      <c r="AB32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323" spans="1:28" x14ac:dyDescent="0.25">
      <c r="A323" s="2" t="s">
        <v>2923</v>
      </c>
      <c r="B323" s="4">
        <v>43808</v>
      </c>
      <c r="C323" s="2" t="s">
        <v>2924</v>
      </c>
      <c r="D323" t="s">
        <v>6155</v>
      </c>
      <c r="E323" s="2">
        <v>2</v>
      </c>
      <c r="F323" s="2" t="str">
        <f>_xlfn.XLOOKUP(C323,customers!$A$1:$A$1001,customers!$B$1:$B$1001,,0)</f>
        <v>Rod Gowdie</v>
      </c>
      <c r="G323" s="2" t="str">
        <f>IF(_xlfn.XLOOKUP(C323,customers!$A$1:$A$1001,customers!$C$1:$C$1001,,0)=0,"",_xlfn.XLOOKUP(C323,customers!$A$1:$A$1001,customers!$C$1:$C$1001,,0))</f>
        <v/>
      </c>
      <c r="H323" s="2" t="str">
        <f>_xlfn.XLOOKUP(C323,customers!$A$1:$A$1001,customers!$G$1:$G$1001,,0)</f>
        <v>United States</v>
      </c>
      <c r="I323" t="str">
        <f>INDEX(products!$A$1:$G$49, MATCH(orders!$D434,products!$A$1:$A481,0), MATCH(orders!I$1,products!$A$1:$G$1,0))</f>
        <v>Ara</v>
      </c>
      <c r="J323" t="str">
        <f>INDEX(products!$A$1:$G$49, MATCH(orders!$D434,products!$A$1:$A481,0), MATCH(orders!J$1,products!$A$1:$G$1,0))</f>
        <v>M</v>
      </c>
      <c r="K323" s="5">
        <f>INDEX(products!$A$1:$G$49, MATCH(orders!$D434,products!$A$1:$A481,0), MATCH(orders!K$1,products!$A$1:$G$1,0))</f>
        <v>1</v>
      </c>
      <c r="L323" s="6">
        <f>INDEX(products!$A$1:$G$49, MATCH(orders!$D434,products!$A$1:$A481,0), MATCH(orders!L$1,products!$A$1:$G$1,0))</f>
        <v>11.25</v>
      </c>
      <c r="M323" s="6">
        <f t="shared" si="15"/>
        <v>22.5</v>
      </c>
      <c r="N323" t="str">
        <f t="shared" si="16"/>
        <v>Arabica</v>
      </c>
      <c r="O323" t="str">
        <f t="shared" si="17"/>
        <v>Medium</v>
      </c>
      <c r="P323" t="str">
        <f>_xlfn.XLOOKUP(Orders[[#This Row],[Customer ID]],customers!$A$1:$A$1001,customers!$I$1:$I$1001,,0)</f>
        <v>No</v>
      </c>
      <c r="Q323">
        <f>COUNTIF(Orders[Order ID],Orders[[#This Row],[Order ID]])</f>
        <v>1</v>
      </c>
      <c r="R323" s="10">
        <f>SUMIF(Orders[Order ID], Orders[[#This Row],[Order ID]],Orders[Sales])/Orders[[#This Row],[Order Frequency]]</f>
        <v>22.5</v>
      </c>
      <c r="S323" t="str">
        <f>IF(Orders[[#This Row],[Order Frequency]]&gt;4, "More than 4", IF(AND(Orders[[#This Row],[Order Frequency]]&lt;=4,Orders[[#This Row],[Order Frequency]]&gt;=2), "Between 4 and 2", "Less than 2"))</f>
        <v>Less than 2</v>
      </c>
      <c r="T323" t="str">
        <f>IF(Orders[[#This Row],[Frequency Group]]="less than 2", "Low Value", IF(Orders[[#This Row],[Frequency Group]]="between 4 and 2", "Medium Value", "High Value"))</f>
        <v>Low Value</v>
      </c>
      <c r="U323" t="str">
        <f>IF(Orders[[#This Row],[Sales]]&lt;50, "$0-50", IF(AND(Orders[[#This Row],[Sales]]&gt;=50,Orders[[#This Row],[Sales]]&lt;=100), "$50-100", IF(AND(Orders[[#This Row],[Sales]]&gt;100,Orders[[#This Row],[Sales]]&lt;=150), "$101-150", "$150+")))</f>
        <v>$0-50</v>
      </c>
      <c r="V323" t="str">
        <f>IF(Orders[[#This Row],[Sales]]&gt;MEDIAN(M:M), "High Price", "Low Price")</f>
        <v>Low Price</v>
      </c>
      <c r="W323" t="str">
        <f>IF(Orders[[#This Row],[Quantity]]&gt;MEDIAN(E:E), "High Volume", "Low Volume")</f>
        <v>Low Volume</v>
      </c>
      <c r="X323" t="str">
        <f>Orders[[#This Row],[Sales Tier]] &amp; "-" &amp; Orders[[#This Row],[Quantity Tier]]</f>
        <v>Low Price-Low Volume</v>
      </c>
      <c r="Y323" t="str">
        <f>TEXT(Orders[[#This Row],[Order Date]], "mmmm")</f>
        <v>December</v>
      </c>
      <c r="Z32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323" t="str">
        <f>Orders[[#This Row],[Coffee Type Name]] &amp; "-" &amp; Orders[[#This Row],[Roast Type Name]]</f>
        <v>Arabica-Medium</v>
      </c>
      <c r="AB32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324" spans="1:28" x14ac:dyDescent="0.25">
      <c r="A324" s="2" t="s">
        <v>5193</v>
      </c>
      <c r="B324" s="4">
        <v>44274</v>
      </c>
      <c r="C324" s="2" t="s">
        <v>5194</v>
      </c>
      <c r="D324" t="s">
        <v>6138</v>
      </c>
      <c r="E324" s="2">
        <v>6</v>
      </c>
      <c r="F324" s="2" t="str">
        <f>_xlfn.XLOOKUP(C324,customers!$A$1:$A$1001,customers!$B$1:$B$1001,,0)</f>
        <v>Isac Jesper</v>
      </c>
      <c r="G324" s="2" t="str">
        <f>IF(_xlfn.XLOOKUP(C324,customers!$A$1:$A$1001,customers!$C$1:$C$1001,,0)=0,"",_xlfn.XLOOKUP(C324,customers!$A$1:$A$1001,customers!$C$1:$C$1001,,0))</f>
        <v>ijespern4@theglobeandmail.com</v>
      </c>
      <c r="H324" s="2" t="str">
        <f>_xlfn.XLOOKUP(C324,customers!$A$1:$A$1001,customers!$G$1:$G$1001,,0)</f>
        <v>United States</v>
      </c>
      <c r="I324" t="str">
        <f>INDEX(products!$A$1:$G$49, MATCH(orders!$D834,products!$A$1:$A881,0), MATCH(orders!I$1,products!$A$1:$G$1,0))</f>
        <v>Rob</v>
      </c>
      <c r="J324" t="str">
        <f>INDEX(products!$A$1:$G$49, MATCH(orders!$D834,products!$A$1:$A881,0), MATCH(orders!J$1,products!$A$1:$G$1,0))</f>
        <v>M</v>
      </c>
      <c r="K324" s="5">
        <f>INDEX(products!$A$1:$G$49, MATCH(orders!$D834,products!$A$1:$A881,0), MATCH(orders!K$1,products!$A$1:$G$1,0))</f>
        <v>1</v>
      </c>
      <c r="L324" s="6">
        <f>INDEX(products!$A$1:$G$49, MATCH(orders!$D834,products!$A$1:$A881,0), MATCH(orders!L$1,products!$A$1:$G$1,0))</f>
        <v>9.9499999999999993</v>
      </c>
      <c r="M324" s="6">
        <f t="shared" si="15"/>
        <v>59.699999999999996</v>
      </c>
      <c r="N324" t="str">
        <f t="shared" si="16"/>
        <v>Robusta</v>
      </c>
      <c r="O324" t="str">
        <f t="shared" si="17"/>
        <v>Medium</v>
      </c>
      <c r="P324" t="str">
        <f>_xlfn.XLOOKUP(Orders[[#This Row],[Customer ID]],customers!$A$1:$A$1001,customers!$I$1:$I$1001,,0)</f>
        <v>No</v>
      </c>
      <c r="Q324">
        <f>COUNTIF(Orders[Order ID],Orders[[#This Row],[Order ID]])</f>
        <v>1</v>
      </c>
      <c r="R324" s="10">
        <f>SUMIF(Orders[Order ID], Orders[[#This Row],[Order ID]],Orders[Sales])/Orders[[#This Row],[Order Frequency]]</f>
        <v>59.699999999999996</v>
      </c>
      <c r="S324" t="str">
        <f>IF(Orders[[#This Row],[Order Frequency]]&gt;4, "More than 4", IF(AND(Orders[[#This Row],[Order Frequency]]&lt;=4,Orders[[#This Row],[Order Frequency]]&gt;=2), "Between 4 and 2", "Less than 2"))</f>
        <v>Less than 2</v>
      </c>
      <c r="T324" t="str">
        <f>IF(Orders[[#This Row],[Frequency Group]]="less than 2", "Low Value", IF(Orders[[#This Row],[Frequency Group]]="between 4 and 2", "Medium Value", "High Value"))</f>
        <v>Low Value</v>
      </c>
      <c r="U324" t="str">
        <f>IF(Orders[[#This Row],[Sales]]&lt;50, "$0-50", IF(AND(Orders[[#This Row],[Sales]]&gt;=50,Orders[[#This Row],[Sales]]&lt;=100), "$50-100", IF(AND(Orders[[#This Row],[Sales]]&gt;100,Orders[[#This Row],[Sales]]&lt;=150), "$101-150", "$150+")))</f>
        <v>$50-100</v>
      </c>
      <c r="V324" t="str">
        <f>IF(Orders[[#This Row],[Sales]]&gt;MEDIAN(M:M), "High Price", "Low Price")</f>
        <v>High Price</v>
      </c>
      <c r="W324" t="str">
        <f>IF(Orders[[#This Row],[Quantity]]&gt;MEDIAN(E:E), "High Volume", "Low Volume")</f>
        <v>High Volume</v>
      </c>
      <c r="X324" t="str">
        <f>Orders[[#This Row],[Sales Tier]] &amp; "-" &amp; Orders[[#This Row],[Quantity Tier]]</f>
        <v>High Price-High Volume</v>
      </c>
      <c r="Y324" t="str">
        <f>TEXT(Orders[[#This Row],[Order Date]], "mmmm")</f>
        <v>March</v>
      </c>
      <c r="Z32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324" t="str">
        <f>Orders[[#This Row],[Coffee Type Name]] &amp; "-" &amp; Orders[[#This Row],[Roast Type Name]]</f>
        <v>Robusta-Medium</v>
      </c>
      <c r="AB32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325" spans="1:28" x14ac:dyDescent="0.25">
      <c r="A325" s="2" t="s">
        <v>1573</v>
      </c>
      <c r="B325" s="4">
        <v>43919</v>
      </c>
      <c r="C325" s="2" t="s">
        <v>1574</v>
      </c>
      <c r="D325" t="s">
        <v>6183</v>
      </c>
      <c r="E325" s="2">
        <v>6</v>
      </c>
      <c r="F325" s="2" t="str">
        <f>_xlfn.XLOOKUP(C325,customers!$A$1:$A$1001,customers!$B$1:$B$1001,,0)</f>
        <v>Philipa Petrushanko</v>
      </c>
      <c r="G325" s="2" t="str">
        <f>IF(_xlfn.XLOOKUP(C325,customers!$A$1:$A$1001,customers!$C$1:$C$1001,,0)=0,"",_xlfn.XLOOKUP(C325,customers!$A$1:$A$1001,customers!$C$1:$C$1001,,0))</f>
        <v>ppetrushanko5c@blinklist.com</v>
      </c>
      <c r="H325" s="2" t="str">
        <f>_xlfn.XLOOKUP(C325,customers!$A$1:$A$1001,customers!$G$1:$G$1001,,0)</f>
        <v>Ireland</v>
      </c>
      <c r="I325" t="str">
        <f>INDEX(products!$A$1:$G$49, MATCH(orders!$D194,products!$A$1:$A241,0), MATCH(orders!I$1,products!$A$1:$G$1,0))</f>
        <v>Exc</v>
      </c>
      <c r="J325" t="str">
        <f>INDEX(products!$A$1:$G$49, MATCH(orders!$D194,products!$A$1:$A241,0), MATCH(orders!J$1,products!$A$1:$G$1,0))</f>
        <v>D</v>
      </c>
      <c r="K325" s="5">
        <f>INDEX(products!$A$1:$G$49, MATCH(orders!$D194,products!$A$1:$A241,0), MATCH(orders!K$1,products!$A$1:$G$1,0))</f>
        <v>1</v>
      </c>
      <c r="L325" s="6">
        <f>INDEX(products!$A$1:$G$49, MATCH(orders!$D194,products!$A$1:$A241,0), MATCH(orders!L$1,products!$A$1:$G$1,0))</f>
        <v>12.15</v>
      </c>
      <c r="M325" s="6">
        <f t="shared" si="15"/>
        <v>72.900000000000006</v>
      </c>
      <c r="N325" t="str">
        <f t="shared" si="16"/>
        <v>Excelsa</v>
      </c>
      <c r="O325" t="str">
        <f t="shared" si="17"/>
        <v>Dark</v>
      </c>
      <c r="P325" t="str">
        <f>_xlfn.XLOOKUP(Orders[[#This Row],[Customer ID]],customers!$A$1:$A$1001,customers!$I$1:$I$1001,,0)</f>
        <v>Yes</v>
      </c>
      <c r="Q325">
        <f>COUNTIF(Orders[Order ID],Orders[[#This Row],[Order ID]])</f>
        <v>1</v>
      </c>
      <c r="R325" s="10">
        <f>SUMIF(Orders[Order ID], Orders[[#This Row],[Order ID]],Orders[Sales])/Orders[[#This Row],[Order Frequency]]</f>
        <v>72.900000000000006</v>
      </c>
      <c r="S325" t="str">
        <f>IF(Orders[[#This Row],[Order Frequency]]&gt;4, "More than 4", IF(AND(Orders[[#This Row],[Order Frequency]]&lt;=4,Orders[[#This Row],[Order Frequency]]&gt;=2), "Between 4 and 2", "Less than 2"))</f>
        <v>Less than 2</v>
      </c>
      <c r="T325" t="str">
        <f>IF(Orders[[#This Row],[Frequency Group]]="less than 2", "Low Value", IF(Orders[[#This Row],[Frequency Group]]="between 4 and 2", "Medium Value", "High Value"))</f>
        <v>Low Value</v>
      </c>
      <c r="U325" t="str">
        <f>IF(Orders[[#This Row],[Sales]]&lt;50, "$0-50", IF(AND(Orders[[#This Row],[Sales]]&gt;=50,Orders[[#This Row],[Sales]]&lt;=100), "$50-100", IF(AND(Orders[[#This Row],[Sales]]&gt;100,Orders[[#This Row],[Sales]]&lt;=150), "$101-150", "$150+")))</f>
        <v>$50-100</v>
      </c>
      <c r="V325" t="str">
        <f>IF(Orders[[#This Row],[Sales]]&gt;MEDIAN(M:M), "High Price", "Low Price")</f>
        <v>High Price</v>
      </c>
      <c r="W325" t="str">
        <f>IF(Orders[[#This Row],[Quantity]]&gt;MEDIAN(E:E), "High Volume", "Low Volume")</f>
        <v>High Volume</v>
      </c>
      <c r="X325" t="str">
        <f>Orders[[#This Row],[Sales Tier]] &amp; "-" &amp; Orders[[#This Row],[Quantity Tier]]</f>
        <v>High Price-High Volume</v>
      </c>
      <c r="Y325" t="str">
        <f>TEXT(Orders[[#This Row],[Order Date]], "mmmm")</f>
        <v>March</v>
      </c>
      <c r="Z32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325" t="str">
        <f>Orders[[#This Row],[Coffee Type Name]] &amp; "-" &amp; Orders[[#This Row],[Roast Type Name]]</f>
        <v>Excelsa-Dark</v>
      </c>
      <c r="AB32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326" spans="1:28" x14ac:dyDescent="0.25">
      <c r="A326" s="2" t="s">
        <v>5283</v>
      </c>
      <c r="B326" s="4">
        <v>43468</v>
      </c>
      <c r="C326" s="2" t="s">
        <v>5284</v>
      </c>
      <c r="D326" t="s">
        <v>6176</v>
      </c>
      <c r="E326" s="2">
        <v>6</v>
      </c>
      <c r="F326" s="2" t="str">
        <f>_xlfn.XLOOKUP(C326,customers!$A$1:$A$1001,customers!$B$1:$B$1001,,0)</f>
        <v>Spencer Wastell</v>
      </c>
      <c r="G326" s="2" t="str">
        <f>IF(_xlfn.XLOOKUP(C326,customers!$A$1:$A$1001,customers!$C$1:$C$1001,,0)=0,"",_xlfn.XLOOKUP(C326,customers!$A$1:$A$1001,customers!$C$1:$C$1001,,0))</f>
        <v/>
      </c>
      <c r="H326" s="2" t="str">
        <f>_xlfn.XLOOKUP(C326,customers!$A$1:$A$1001,customers!$G$1:$G$1001,,0)</f>
        <v>United States</v>
      </c>
      <c r="I326" t="str">
        <f>INDEX(products!$A$1:$G$49, MATCH(orders!$D850,products!$A$1:$A897,0), MATCH(orders!I$1,products!$A$1:$G$1,0))</f>
        <v>Exc</v>
      </c>
      <c r="J326" t="str">
        <f>INDEX(products!$A$1:$G$49, MATCH(orders!$D850,products!$A$1:$A897,0), MATCH(orders!J$1,products!$A$1:$G$1,0))</f>
        <v>L</v>
      </c>
      <c r="K326" s="5">
        <f>INDEX(products!$A$1:$G$49, MATCH(orders!$D850,products!$A$1:$A897,0), MATCH(orders!K$1,products!$A$1:$G$1,0))</f>
        <v>0.5</v>
      </c>
      <c r="L326" s="6">
        <f>INDEX(products!$A$1:$G$49, MATCH(orders!$D850,products!$A$1:$A897,0), MATCH(orders!L$1,products!$A$1:$G$1,0))</f>
        <v>8.91</v>
      </c>
      <c r="M326" s="6">
        <f t="shared" si="15"/>
        <v>53.46</v>
      </c>
      <c r="N326" t="str">
        <f t="shared" si="16"/>
        <v>Excelsa</v>
      </c>
      <c r="O326" t="str">
        <f t="shared" si="17"/>
        <v>Light</v>
      </c>
      <c r="P326" t="str">
        <f>_xlfn.XLOOKUP(Orders[[#This Row],[Customer ID]],customers!$A$1:$A$1001,customers!$I$1:$I$1001,,0)</f>
        <v>No</v>
      </c>
      <c r="Q326">
        <f>COUNTIF(Orders[Order ID],Orders[[#This Row],[Order ID]])</f>
        <v>1</v>
      </c>
      <c r="R326" s="10">
        <f>SUMIF(Orders[Order ID], Orders[[#This Row],[Order ID]],Orders[Sales])/Orders[[#This Row],[Order Frequency]]</f>
        <v>53.46</v>
      </c>
      <c r="S326" t="str">
        <f>IF(Orders[[#This Row],[Order Frequency]]&gt;4, "More than 4", IF(AND(Orders[[#This Row],[Order Frequency]]&lt;=4,Orders[[#This Row],[Order Frequency]]&gt;=2), "Between 4 and 2", "Less than 2"))</f>
        <v>Less than 2</v>
      </c>
      <c r="T326" t="str">
        <f>IF(Orders[[#This Row],[Frequency Group]]="less than 2", "Low Value", IF(Orders[[#This Row],[Frequency Group]]="between 4 and 2", "Medium Value", "High Value"))</f>
        <v>Low Value</v>
      </c>
      <c r="U326" t="str">
        <f>IF(Orders[[#This Row],[Sales]]&lt;50, "$0-50", IF(AND(Orders[[#This Row],[Sales]]&gt;=50,Orders[[#This Row],[Sales]]&lt;=100), "$50-100", IF(AND(Orders[[#This Row],[Sales]]&gt;100,Orders[[#This Row],[Sales]]&lt;=150), "$101-150", "$150+")))</f>
        <v>$50-100</v>
      </c>
      <c r="V326" t="str">
        <f>IF(Orders[[#This Row],[Sales]]&gt;MEDIAN(M:M), "High Price", "Low Price")</f>
        <v>High Price</v>
      </c>
      <c r="W326" t="str">
        <f>IF(Orders[[#This Row],[Quantity]]&gt;MEDIAN(E:E), "High Volume", "Low Volume")</f>
        <v>High Volume</v>
      </c>
      <c r="X326" t="str">
        <f>Orders[[#This Row],[Sales Tier]] &amp; "-" &amp; Orders[[#This Row],[Quantity Tier]]</f>
        <v>High Price-High Volume</v>
      </c>
      <c r="Y326" t="str">
        <f>TEXT(Orders[[#This Row],[Order Date]], "mmmm")</f>
        <v>January</v>
      </c>
      <c r="Z32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326" t="str">
        <f>Orders[[#This Row],[Coffee Type Name]] &amp; "-" &amp; Orders[[#This Row],[Roast Type Name]]</f>
        <v>Excelsa-Light</v>
      </c>
      <c r="AB32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327" spans="1:28" x14ac:dyDescent="0.25">
      <c r="A327" s="2" t="s">
        <v>2440</v>
      </c>
      <c r="B327" s="4">
        <v>44344</v>
      </c>
      <c r="C327" s="2" t="s">
        <v>2441</v>
      </c>
      <c r="D327" t="s">
        <v>6180</v>
      </c>
      <c r="E327" s="2">
        <v>3</v>
      </c>
      <c r="F327" s="2" t="str">
        <f>_xlfn.XLOOKUP(C327,customers!$A$1:$A$1001,customers!$B$1:$B$1001,,0)</f>
        <v>Rebeka Worg</v>
      </c>
      <c r="G327" s="2" t="str">
        <f>IF(_xlfn.XLOOKUP(C327,customers!$A$1:$A$1001,customers!$C$1:$C$1001,,0)=0,"",_xlfn.XLOOKUP(C327,customers!$A$1:$A$1001,customers!$C$1:$C$1001,,0))</f>
        <v>rworg9m@arstechnica.com</v>
      </c>
      <c r="H327" s="2" t="str">
        <f>_xlfn.XLOOKUP(C327,customers!$A$1:$A$1001,customers!$G$1:$G$1001,,0)</f>
        <v>United States</v>
      </c>
      <c r="I327" t="str">
        <f>INDEX(products!$A$1:$G$49, MATCH(orders!$D348,products!$A$1:$A395,0), MATCH(orders!I$1,products!$A$1:$G$1,0))</f>
        <v>Ara</v>
      </c>
      <c r="J327" t="str">
        <f>INDEX(products!$A$1:$G$49, MATCH(orders!$D348,products!$A$1:$A395,0), MATCH(orders!J$1,products!$A$1:$G$1,0))</f>
        <v>L</v>
      </c>
      <c r="K327" s="5">
        <f>INDEX(products!$A$1:$G$49, MATCH(orders!$D348,products!$A$1:$A395,0), MATCH(orders!K$1,products!$A$1:$G$1,0))</f>
        <v>0.5</v>
      </c>
      <c r="L327" s="6">
        <f>INDEX(products!$A$1:$G$49, MATCH(orders!$D348,products!$A$1:$A395,0), MATCH(orders!L$1,products!$A$1:$G$1,0))</f>
        <v>7.77</v>
      </c>
      <c r="M327" s="6">
        <f t="shared" si="15"/>
        <v>23.31</v>
      </c>
      <c r="N327" t="str">
        <f t="shared" si="16"/>
        <v>Arabica</v>
      </c>
      <c r="O327" t="str">
        <f t="shared" si="17"/>
        <v>Light</v>
      </c>
      <c r="P327" t="str">
        <f>_xlfn.XLOOKUP(Orders[[#This Row],[Customer ID]],customers!$A$1:$A$1001,customers!$I$1:$I$1001,,0)</f>
        <v>Yes</v>
      </c>
      <c r="Q327">
        <f>COUNTIF(Orders[Order ID],Orders[[#This Row],[Order ID]])</f>
        <v>1</v>
      </c>
      <c r="R327" s="10">
        <f>SUMIF(Orders[Order ID], Orders[[#This Row],[Order ID]],Orders[Sales])/Orders[[#This Row],[Order Frequency]]</f>
        <v>23.31</v>
      </c>
      <c r="S327" t="str">
        <f>IF(Orders[[#This Row],[Order Frequency]]&gt;4, "More than 4", IF(AND(Orders[[#This Row],[Order Frequency]]&lt;=4,Orders[[#This Row],[Order Frequency]]&gt;=2), "Between 4 and 2", "Less than 2"))</f>
        <v>Less than 2</v>
      </c>
      <c r="T327" t="str">
        <f>IF(Orders[[#This Row],[Frequency Group]]="less than 2", "Low Value", IF(Orders[[#This Row],[Frequency Group]]="between 4 and 2", "Medium Value", "High Value"))</f>
        <v>Low Value</v>
      </c>
      <c r="U327" t="str">
        <f>IF(Orders[[#This Row],[Sales]]&lt;50, "$0-50", IF(AND(Orders[[#This Row],[Sales]]&gt;=50,Orders[[#This Row],[Sales]]&lt;=100), "$50-100", IF(AND(Orders[[#This Row],[Sales]]&gt;100,Orders[[#This Row],[Sales]]&lt;=150), "$101-150", "$150+")))</f>
        <v>$0-50</v>
      </c>
      <c r="V327" t="str">
        <f>IF(Orders[[#This Row],[Sales]]&gt;MEDIAN(M:M), "High Price", "Low Price")</f>
        <v>Low Price</v>
      </c>
      <c r="W327" t="str">
        <f>IF(Orders[[#This Row],[Quantity]]&gt;MEDIAN(E:E), "High Volume", "Low Volume")</f>
        <v>Low Volume</v>
      </c>
      <c r="X327" t="str">
        <f>Orders[[#This Row],[Sales Tier]] &amp; "-" &amp; Orders[[#This Row],[Quantity Tier]]</f>
        <v>Low Price-Low Volume</v>
      </c>
      <c r="Y327" t="str">
        <f>TEXT(Orders[[#This Row],[Order Date]], "mmmm")</f>
        <v>May</v>
      </c>
      <c r="Z32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327" t="str">
        <f>Orders[[#This Row],[Coffee Type Name]] &amp; "-" &amp; Orders[[#This Row],[Roast Type Name]]</f>
        <v>Arabica-Light</v>
      </c>
      <c r="AB32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328" spans="1:28" x14ac:dyDescent="0.25">
      <c r="A328" s="2" t="s">
        <v>1912</v>
      </c>
      <c r="B328" s="4">
        <v>44779</v>
      </c>
      <c r="C328" s="2" t="s">
        <v>1913</v>
      </c>
      <c r="D328" t="s">
        <v>6147</v>
      </c>
      <c r="E328" s="2">
        <v>3</v>
      </c>
      <c r="F328" s="2" t="str">
        <f>_xlfn.XLOOKUP(C328,customers!$A$1:$A$1001,customers!$B$1:$B$1001,,0)</f>
        <v>Devy Bulbrook</v>
      </c>
      <c r="G328" s="2" t="str">
        <f>IF(_xlfn.XLOOKUP(C328,customers!$A$1:$A$1001,customers!$C$1:$C$1001,,0)=0,"",_xlfn.XLOOKUP(C328,customers!$A$1:$A$1001,customers!$C$1:$C$1001,,0))</f>
        <v/>
      </c>
      <c r="H328" s="2" t="str">
        <f>_xlfn.XLOOKUP(C328,customers!$A$1:$A$1001,customers!$G$1:$G$1001,,0)</f>
        <v>United States</v>
      </c>
      <c r="I328" t="str">
        <f>INDEX(products!$A$1:$G$49, MATCH(orders!$D254,products!$A$1:$A301,0), MATCH(orders!I$1,products!$A$1:$G$1,0))</f>
        <v>Ara</v>
      </c>
      <c r="J328" t="str">
        <f>INDEX(products!$A$1:$G$49, MATCH(orders!$D254,products!$A$1:$A301,0), MATCH(orders!J$1,products!$A$1:$G$1,0))</f>
        <v>D</v>
      </c>
      <c r="K328" s="5">
        <f>INDEX(products!$A$1:$G$49, MATCH(orders!$D254,products!$A$1:$A301,0), MATCH(orders!K$1,products!$A$1:$G$1,0))</f>
        <v>1</v>
      </c>
      <c r="L328" s="6">
        <f>INDEX(products!$A$1:$G$49, MATCH(orders!$D254,products!$A$1:$A301,0), MATCH(orders!L$1,products!$A$1:$G$1,0))</f>
        <v>9.9499999999999993</v>
      </c>
      <c r="M328" s="6">
        <f t="shared" si="15"/>
        <v>29.849999999999998</v>
      </c>
      <c r="N328" t="str">
        <f t="shared" si="16"/>
        <v>Arabica</v>
      </c>
      <c r="O328" t="str">
        <f t="shared" si="17"/>
        <v>Dark</v>
      </c>
      <c r="P328" t="str">
        <f>_xlfn.XLOOKUP(Orders[[#This Row],[Customer ID]],customers!$A$1:$A$1001,customers!$I$1:$I$1001,,0)</f>
        <v>No</v>
      </c>
      <c r="Q328">
        <f>COUNTIF(Orders[Order ID],Orders[[#This Row],[Order ID]])</f>
        <v>1</v>
      </c>
      <c r="R328" s="10">
        <f>SUMIF(Orders[Order ID], Orders[[#This Row],[Order ID]],Orders[Sales])/Orders[[#This Row],[Order Frequency]]</f>
        <v>29.849999999999998</v>
      </c>
      <c r="S328" t="str">
        <f>IF(Orders[[#This Row],[Order Frequency]]&gt;4, "More than 4", IF(AND(Orders[[#This Row],[Order Frequency]]&lt;=4,Orders[[#This Row],[Order Frequency]]&gt;=2), "Between 4 and 2", "Less than 2"))</f>
        <v>Less than 2</v>
      </c>
      <c r="T328" t="str">
        <f>IF(Orders[[#This Row],[Frequency Group]]="less than 2", "Low Value", IF(Orders[[#This Row],[Frequency Group]]="between 4 and 2", "Medium Value", "High Value"))</f>
        <v>Low Value</v>
      </c>
      <c r="U328" t="str">
        <f>IF(Orders[[#This Row],[Sales]]&lt;50, "$0-50", IF(AND(Orders[[#This Row],[Sales]]&gt;=50,Orders[[#This Row],[Sales]]&lt;=100), "$50-100", IF(AND(Orders[[#This Row],[Sales]]&gt;100,Orders[[#This Row],[Sales]]&lt;=150), "$101-150", "$150+")))</f>
        <v>$0-50</v>
      </c>
      <c r="V328" t="str">
        <f>IF(Orders[[#This Row],[Sales]]&gt;MEDIAN(M:M), "High Price", "Low Price")</f>
        <v>High Price</v>
      </c>
      <c r="W328" t="str">
        <f>IF(Orders[[#This Row],[Quantity]]&gt;MEDIAN(E:E), "High Volume", "Low Volume")</f>
        <v>Low Volume</v>
      </c>
      <c r="X328" t="str">
        <f>Orders[[#This Row],[Sales Tier]] &amp; "-" &amp; Orders[[#This Row],[Quantity Tier]]</f>
        <v>High Price-Low Volume</v>
      </c>
      <c r="Y328" t="str">
        <f>TEXT(Orders[[#This Row],[Order Date]], "mmmm")</f>
        <v>August</v>
      </c>
      <c r="Z32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328" t="str">
        <f>Orders[[#This Row],[Coffee Type Name]] &amp; "-" &amp; Orders[[#This Row],[Roast Type Name]]</f>
        <v>Arabica-Dark</v>
      </c>
      <c r="AB32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329" spans="1:28" x14ac:dyDescent="0.25">
      <c r="A329" s="2" t="s">
        <v>3728</v>
      </c>
      <c r="B329" s="4">
        <v>43781</v>
      </c>
      <c r="C329" s="2" t="s">
        <v>3729</v>
      </c>
      <c r="D329" t="s">
        <v>6155</v>
      </c>
      <c r="E329" s="2">
        <v>6</v>
      </c>
      <c r="F329" s="2" t="str">
        <f>_xlfn.XLOOKUP(C329,customers!$A$1:$A$1001,customers!$B$1:$B$1001,,0)</f>
        <v>Cornie Venour</v>
      </c>
      <c r="G329" s="2" t="str">
        <f>IF(_xlfn.XLOOKUP(C329,customers!$A$1:$A$1001,customers!$C$1:$C$1001,,0)=0,"",_xlfn.XLOOKUP(C329,customers!$A$1:$A$1001,customers!$C$1:$C$1001,,0))</f>
        <v>cvenourfx@ask.com</v>
      </c>
      <c r="H329" s="2" t="str">
        <f>_xlfn.XLOOKUP(C329,customers!$A$1:$A$1001,customers!$G$1:$G$1001,,0)</f>
        <v>United States</v>
      </c>
      <c r="I329" t="str">
        <f>INDEX(products!$A$1:$G$49, MATCH(orders!$D575,products!$A$1:$A622,0), MATCH(orders!I$1,products!$A$1:$G$1,0))</f>
        <v>Ara</v>
      </c>
      <c r="J329" t="str">
        <f>INDEX(products!$A$1:$G$49, MATCH(orders!$D575,products!$A$1:$A622,0), MATCH(orders!J$1,products!$A$1:$G$1,0))</f>
        <v>M</v>
      </c>
      <c r="K329" s="5">
        <f>INDEX(products!$A$1:$G$49, MATCH(orders!$D575,products!$A$1:$A622,0), MATCH(orders!K$1,products!$A$1:$G$1,0))</f>
        <v>1</v>
      </c>
      <c r="L329" s="6">
        <f>INDEX(products!$A$1:$G$49, MATCH(orders!$D575,products!$A$1:$A622,0), MATCH(orders!L$1,products!$A$1:$G$1,0))</f>
        <v>11.25</v>
      </c>
      <c r="M329" s="6">
        <f t="shared" si="15"/>
        <v>67.5</v>
      </c>
      <c r="N329" t="str">
        <f t="shared" si="16"/>
        <v>Arabica</v>
      </c>
      <c r="O329" t="str">
        <f t="shared" si="17"/>
        <v>Medium</v>
      </c>
      <c r="P329" t="str">
        <f>_xlfn.XLOOKUP(Orders[[#This Row],[Customer ID]],customers!$A$1:$A$1001,customers!$I$1:$I$1001,,0)</f>
        <v>No</v>
      </c>
      <c r="Q329">
        <f>COUNTIF(Orders[Order ID],Orders[[#This Row],[Order ID]])</f>
        <v>1</v>
      </c>
      <c r="R329" s="10">
        <f>SUMIF(Orders[Order ID], Orders[[#This Row],[Order ID]],Orders[Sales])/Orders[[#This Row],[Order Frequency]]</f>
        <v>67.5</v>
      </c>
      <c r="S329" t="str">
        <f>IF(Orders[[#This Row],[Order Frequency]]&gt;4, "More than 4", IF(AND(Orders[[#This Row],[Order Frequency]]&lt;=4,Orders[[#This Row],[Order Frequency]]&gt;=2), "Between 4 and 2", "Less than 2"))</f>
        <v>Less than 2</v>
      </c>
      <c r="T329" t="str">
        <f>IF(Orders[[#This Row],[Frequency Group]]="less than 2", "Low Value", IF(Orders[[#This Row],[Frequency Group]]="between 4 and 2", "Medium Value", "High Value"))</f>
        <v>Low Value</v>
      </c>
      <c r="U329" t="str">
        <f>IF(Orders[[#This Row],[Sales]]&lt;50, "$0-50", IF(AND(Orders[[#This Row],[Sales]]&gt;=50,Orders[[#This Row],[Sales]]&lt;=100), "$50-100", IF(AND(Orders[[#This Row],[Sales]]&gt;100,Orders[[#This Row],[Sales]]&lt;=150), "$101-150", "$150+")))</f>
        <v>$50-100</v>
      </c>
      <c r="V329" t="str">
        <f>IF(Orders[[#This Row],[Sales]]&gt;MEDIAN(M:M), "High Price", "Low Price")</f>
        <v>High Price</v>
      </c>
      <c r="W329" t="str">
        <f>IF(Orders[[#This Row],[Quantity]]&gt;MEDIAN(E:E), "High Volume", "Low Volume")</f>
        <v>High Volume</v>
      </c>
      <c r="X329" t="str">
        <f>Orders[[#This Row],[Sales Tier]] &amp; "-" &amp; Orders[[#This Row],[Quantity Tier]]</f>
        <v>High Price-High Volume</v>
      </c>
      <c r="Y329" t="str">
        <f>TEXT(Orders[[#This Row],[Order Date]], "mmmm")</f>
        <v>November</v>
      </c>
      <c r="Z32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329" t="str">
        <f>Orders[[#This Row],[Coffee Type Name]] &amp; "-" &amp; Orders[[#This Row],[Roast Type Name]]</f>
        <v>Arabica-Medium</v>
      </c>
      <c r="AB32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330" spans="1:28" x14ac:dyDescent="0.25">
      <c r="A330" s="2" t="s">
        <v>3373</v>
      </c>
      <c r="B330" s="4">
        <v>43803</v>
      </c>
      <c r="C330" s="2" t="s">
        <v>3374</v>
      </c>
      <c r="D330" t="s">
        <v>6178</v>
      </c>
      <c r="E330" s="2">
        <v>3</v>
      </c>
      <c r="F330" s="2" t="str">
        <f>_xlfn.XLOOKUP(C330,customers!$A$1:$A$1001,customers!$B$1:$B$1001,,0)</f>
        <v>Camellia Kid</v>
      </c>
      <c r="G330" s="2" t="str">
        <f>IF(_xlfn.XLOOKUP(C330,customers!$A$1:$A$1001,customers!$C$1:$C$1001,,0)=0,"",_xlfn.XLOOKUP(C330,customers!$A$1:$A$1001,customers!$C$1:$C$1001,,0))</f>
        <v>ckide6@narod.ru</v>
      </c>
      <c r="H330" s="2" t="str">
        <f>_xlfn.XLOOKUP(C330,customers!$A$1:$A$1001,customers!$G$1:$G$1001,,0)</f>
        <v>Ireland</v>
      </c>
      <c r="I330" t="str">
        <f>INDEX(products!$A$1:$G$49, MATCH(orders!$D512,products!$A$1:$A559,0), MATCH(orders!I$1,products!$A$1:$G$1,0))</f>
        <v>Rob</v>
      </c>
      <c r="J330" t="str">
        <f>INDEX(products!$A$1:$G$49, MATCH(orders!$D512,products!$A$1:$A559,0), MATCH(orders!J$1,products!$A$1:$G$1,0))</f>
        <v>L</v>
      </c>
      <c r="K330" s="5">
        <f>INDEX(products!$A$1:$G$49, MATCH(orders!$D512,products!$A$1:$A559,0), MATCH(orders!K$1,products!$A$1:$G$1,0))</f>
        <v>0.2</v>
      </c>
      <c r="L330" s="6">
        <f>INDEX(products!$A$1:$G$49, MATCH(orders!$D512,products!$A$1:$A559,0), MATCH(orders!L$1,products!$A$1:$G$1,0))</f>
        <v>3.5849999999999995</v>
      </c>
      <c r="M330" s="6">
        <f t="shared" si="15"/>
        <v>10.754999999999999</v>
      </c>
      <c r="N330" t="str">
        <f t="shared" si="16"/>
        <v>Robusta</v>
      </c>
      <c r="O330" t="str">
        <f t="shared" si="17"/>
        <v>Light</v>
      </c>
      <c r="P330" t="str">
        <f>_xlfn.XLOOKUP(Orders[[#This Row],[Customer ID]],customers!$A$1:$A$1001,customers!$I$1:$I$1001,,0)</f>
        <v>Yes</v>
      </c>
      <c r="Q330">
        <f>COUNTIF(Orders[Order ID],Orders[[#This Row],[Order ID]])</f>
        <v>1</v>
      </c>
      <c r="R330" s="10">
        <f>SUMIF(Orders[Order ID], Orders[[#This Row],[Order ID]],Orders[Sales])/Orders[[#This Row],[Order Frequency]]</f>
        <v>10.754999999999999</v>
      </c>
      <c r="S330" t="str">
        <f>IF(Orders[[#This Row],[Order Frequency]]&gt;4, "More than 4", IF(AND(Orders[[#This Row],[Order Frequency]]&lt;=4,Orders[[#This Row],[Order Frequency]]&gt;=2), "Between 4 and 2", "Less than 2"))</f>
        <v>Less than 2</v>
      </c>
      <c r="T330" t="str">
        <f>IF(Orders[[#This Row],[Frequency Group]]="less than 2", "Low Value", IF(Orders[[#This Row],[Frequency Group]]="between 4 and 2", "Medium Value", "High Value"))</f>
        <v>Low Value</v>
      </c>
      <c r="U330" t="str">
        <f>IF(Orders[[#This Row],[Sales]]&lt;50, "$0-50", IF(AND(Orders[[#This Row],[Sales]]&gt;=50,Orders[[#This Row],[Sales]]&lt;=100), "$50-100", IF(AND(Orders[[#This Row],[Sales]]&gt;100,Orders[[#This Row],[Sales]]&lt;=150), "$101-150", "$150+")))</f>
        <v>$0-50</v>
      </c>
      <c r="V330" t="str">
        <f>IF(Orders[[#This Row],[Sales]]&gt;MEDIAN(M:M), "High Price", "Low Price")</f>
        <v>Low Price</v>
      </c>
      <c r="W330" t="str">
        <f>IF(Orders[[#This Row],[Quantity]]&gt;MEDIAN(E:E), "High Volume", "Low Volume")</f>
        <v>Low Volume</v>
      </c>
      <c r="X330" t="str">
        <f>Orders[[#This Row],[Sales Tier]] &amp; "-" &amp; Orders[[#This Row],[Quantity Tier]]</f>
        <v>Low Price-Low Volume</v>
      </c>
      <c r="Y330" t="str">
        <f>TEXT(Orders[[#This Row],[Order Date]], "mmmm")</f>
        <v>December</v>
      </c>
      <c r="Z33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330" t="str">
        <f>Orders[[#This Row],[Coffee Type Name]] &amp; "-" &amp; Orders[[#This Row],[Roast Type Name]]</f>
        <v>Robusta-Light</v>
      </c>
      <c r="AB33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331" spans="1:28" x14ac:dyDescent="0.25">
      <c r="A331" s="2" t="s">
        <v>524</v>
      </c>
      <c r="B331" s="4">
        <v>44582</v>
      </c>
      <c r="C331" s="2" t="s">
        <v>525</v>
      </c>
      <c r="D331" t="s">
        <v>6144</v>
      </c>
      <c r="E331" s="2">
        <v>3</v>
      </c>
      <c r="F331" s="2" t="str">
        <f>_xlfn.XLOOKUP(C331,customers!$A$1:$A$1001,customers!$B$1:$B$1001,,0)</f>
        <v>Shaylynn Lobe</v>
      </c>
      <c r="G331" s="2" t="str">
        <f>IF(_xlfn.XLOOKUP(C331,customers!$A$1:$A$1001,customers!$C$1:$C$1001,,0)=0,"",_xlfn.XLOOKUP(C331,customers!$A$1:$A$1001,customers!$C$1:$C$1001,,0))</f>
        <v>slobe6@nifty.com</v>
      </c>
      <c r="H331" s="2" t="str">
        <f>_xlfn.XLOOKUP(C331,customers!$A$1:$A$1001,customers!$G$1:$G$1001,,0)</f>
        <v>United States</v>
      </c>
      <c r="I331" t="str">
        <f>INDEX(products!$A$1:$G$49, MATCH(orders!$D8,products!$A$1:$A55,0), MATCH(orders!I$1,products!$A$1:$G$1,0))</f>
        <v>Exc</v>
      </c>
      <c r="J331" t="str">
        <f>INDEX(products!$A$1:$G$49, MATCH(orders!$D8,products!$A$1:$A55,0), MATCH(orders!J$1,products!$A$1:$G$1,0))</f>
        <v>D</v>
      </c>
      <c r="K331" s="5">
        <f>INDEX(products!$A$1:$G$49, MATCH(orders!$D8,products!$A$1:$A55,0), MATCH(orders!K$1,products!$A$1:$G$1,0))</f>
        <v>0.5</v>
      </c>
      <c r="L331" s="6">
        <f>INDEX(products!$A$1:$G$49, MATCH(orders!$D8,products!$A$1:$A55,0), MATCH(orders!L$1,products!$A$1:$G$1,0))</f>
        <v>7.29</v>
      </c>
      <c r="M331" s="6">
        <f t="shared" si="15"/>
        <v>21.87</v>
      </c>
      <c r="N331" t="str">
        <f t="shared" si="16"/>
        <v>Excelsa</v>
      </c>
      <c r="O331" t="str">
        <f t="shared" si="17"/>
        <v>Dark</v>
      </c>
      <c r="P331" t="str">
        <f>_xlfn.XLOOKUP(Orders[[#This Row],[Customer ID]],customers!$A$1:$A$1001,customers!$I$1:$I$1001,,0)</f>
        <v>Yes</v>
      </c>
      <c r="Q331">
        <f>COUNTIF(Orders[Order ID],Orders[[#This Row],[Order ID]])</f>
        <v>1</v>
      </c>
      <c r="R331" s="10">
        <f>SUMIF(Orders[Order ID], Orders[[#This Row],[Order ID]],Orders[Sales])/Orders[[#This Row],[Order Frequency]]</f>
        <v>21.87</v>
      </c>
      <c r="S331" t="str">
        <f>IF(Orders[[#This Row],[Order Frequency]]&gt;4, "More than 4", IF(AND(Orders[[#This Row],[Order Frequency]]&lt;=4,Orders[[#This Row],[Order Frequency]]&gt;=2), "Between 4 and 2", "Less than 2"))</f>
        <v>Less than 2</v>
      </c>
      <c r="T331" t="str">
        <f>IF(Orders[[#This Row],[Frequency Group]]="less than 2", "Low Value", IF(Orders[[#This Row],[Frequency Group]]="between 4 and 2", "Medium Value", "High Value"))</f>
        <v>Low Value</v>
      </c>
      <c r="U331" t="str">
        <f>IF(Orders[[#This Row],[Sales]]&lt;50, "$0-50", IF(AND(Orders[[#This Row],[Sales]]&gt;=50,Orders[[#This Row],[Sales]]&lt;=100), "$50-100", IF(AND(Orders[[#This Row],[Sales]]&gt;100,Orders[[#This Row],[Sales]]&lt;=150), "$101-150", "$150+")))</f>
        <v>$0-50</v>
      </c>
      <c r="V331" t="str">
        <f>IF(Orders[[#This Row],[Sales]]&gt;MEDIAN(M:M), "High Price", "Low Price")</f>
        <v>Low Price</v>
      </c>
      <c r="W331" t="str">
        <f>IF(Orders[[#This Row],[Quantity]]&gt;MEDIAN(E:E), "High Volume", "Low Volume")</f>
        <v>Low Volume</v>
      </c>
      <c r="X331" t="str">
        <f>Orders[[#This Row],[Sales Tier]] &amp; "-" &amp; Orders[[#This Row],[Quantity Tier]]</f>
        <v>Low Price-Low Volume</v>
      </c>
      <c r="Y331" t="str">
        <f>TEXT(Orders[[#This Row],[Order Date]], "mmmm")</f>
        <v>January</v>
      </c>
      <c r="Z33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331" t="str">
        <f>Orders[[#This Row],[Coffee Type Name]] &amp; "-" &amp; Orders[[#This Row],[Roast Type Name]]</f>
        <v>Excelsa-Dark</v>
      </c>
      <c r="AB33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332" spans="1:28" x14ac:dyDescent="0.25">
      <c r="A332" s="2" t="s">
        <v>1453</v>
      </c>
      <c r="B332" s="4">
        <v>43544</v>
      </c>
      <c r="C332" s="2" t="s">
        <v>1454</v>
      </c>
      <c r="D332" t="s">
        <v>6166</v>
      </c>
      <c r="E332" s="2">
        <v>2</v>
      </c>
      <c r="F332" s="2" t="str">
        <f>_xlfn.XLOOKUP(C332,customers!$A$1:$A$1001,customers!$B$1:$B$1001,,0)</f>
        <v>Minny Chamberlayne</v>
      </c>
      <c r="G332" s="2" t="str">
        <f>IF(_xlfn.XLOOKUP(C332,customers!$A$1:$A$1001,customers!$C$1:$C$1001,,0)=0,"",_xlfn.XLOOKUP(C332,customers!$A$1:$A$1001,customers!$C$1:$C$1001,,0))</f>
        <v>mchamberlayne4r@bigcartel.com</v>
      </c>
      <c r="H332" s="2" t="str">
        <f>_xlfn.XLOOKUP(C332,customers!$A$1:$A$1001,customers!$G$1:$G$1001,,0)</f>
        <v>United States</v>
      </c>
      <c r="I332" t="str">
        <f>INDEX(products!$A$1:$G$49, MATCH(orders!$D173,products!$A$1:$A220,0), MATCH(orders!I$1,products!$A$1:$G$1,0))</f>
        <v>Exc</v>
      </c>
      <c r="J332" t="str">
        <f>INDEX(products!$A$1:$G$49, MATCH(orders!$D173,products!$A$1:$A220,0), MATCH(orders!J$1,products!$A$1:$G$1,0))</f>
        <v>M</v>
      </c>
      <c r="K332" s="5">
        <f>INDEX(products!$A$1:$G$49, MATCH(orders!$D173,products!$A$1:$A220,0), MATCH(orders!K$1,products!$A$1:$G$1,0))</f>
        <v>2.5</v>
      </c>
      <c r="L332" s="6">
        <f>INDEX(products!$A$1:$G$49, MATCH(orders!$D173,products!$A$1:$A220,0), MATCH(orders!L$1,products!$A$1:$G$1,0))</f>
        <v>31.624999999999996</v>
      </c>
      <c r="M332" s="6">
        <f t="shared" si="15"/>
        <v>63.249999999999993</v>
      </c>
      <c r="N332" t="str">
        <f t="shared" si="16"/>
        <v>Excelsa</v>
      </c>
      <c r="O332" t="str">
        <f t="shared" si="17"/>
        <v>Medium</v>
      </c>
      <c r="P332" t="str">
        <f>_xlfn.XLOOKUP(Orders[[#This Row],[Customer ID]],customers!$A$1:$A$1001,customers!$I$1:$I$1001,,0)</f>
        <v>Yes</v>
      </c>
      <c r="Q332">
        <f>COUNTIF(Orders[Order ID],Orders[[#This Row],[Order ID]])</f>
        <v>1</v>
      </c>
      <c r="R332" s="10">
        <f>SUMIF(Orders[Order ID], Orders[[#This Row],[Order ID]],Orders[Sales])/Orders[[#This Row],[Order Frequency]]</f>
        <v>63.249999999999993</v>
      </c>
      <c r="S332" t="str">
        <f>IF(Orders[[#This Row],[Order Frequency]]&gt;4, "More than 4", IF(AND(Orders[[#This Row],[Order Frequency]]&lt;=4,Orders[[#This Row],[Order Frequency]]&gt;=2), "Between 4 and 2", "Less than 2"))</f>
        <v>Less than 2</v>
      </c>
      <c r="T332" t="str">
        <f>IF(Orders[[#This Row],[Frequency Group]]="less than 2", "Low Value", IF(Orders[[#This Row],[Frequency Group]]="between 4 and 2", "Medium Value", "High Value"))</f>
        <v>Low Value</v>
      </c>
      <c r="U332" t="str">
        <f>IF(Orders[[#This Row],[Sales]]&lt;50, "$0-50", IF(AND(Orders[[#This Row],[Sales]]&gt;=50,Orders[[#This Row],[Sales]]&lt;=100), "$50-100", IF(AND(Orders[[#This Row],[Sales]]&gt;100,Orders[[#This Row],[Sales]]&lt;=150), "$101-150", "$150+")))</f>
        <v>$50-100</v>
      </c>
      <c r="V332" t="str">
        <f>IF(Orders[[#This Row],[Sales]]&gt;MEDIAN(M:M), "High Price", "Low Price")</f>
        <v>High Price</v>
      </c>
      <c r="W332" t="str">
        <f>IF(Orders[[#This Row],[Quantity]]&gt;MEDIAN(E:E), "High Volume", "Low Volume")</f>
        <v>Low Volume</v>
      </c>
      <c r="X332" t="str">
        <f>Orders[[#This Row],[Sales Tier]] &amp; "-" &amp; Orders[[#This Row],[Quantity Tier]]</f>
        <v>High Price-Low Volume</v>
      </c>
      <c r="Y332" t="str">
        <f>TEXT(Orders[[#This Row],[Order Date]], "mmmm")</f>
        <v>March</v>
      </c>
      <c r="Z33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332" t="str">
        <f>Orders[[#This Row],[Coffee Type Name]] &amp; "-" &amp; Orders[[#This Row],[Roast Type Name]]</f>
        <v>Excelsa-Medium</v>
      </c>
      <c r="AB33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333" spans="1:28" x14ac:dyDescent="0.25">
      <c r="A333" s="2" t="s">
        <v>6133</v>
      </c>
      <c r="B333" s="4">
        <v>44119</v>
      </c>
      <c r="C333" s="2" t="s">
        <v>6134</v>
      </c>
      <c r="D333" t="s">
        <v>6156</v>
      </c>
      <c r="E333" s="2">
        <v>3</v>
      </c>
      <c r="F333" s="2" t="str">
        <f>_xlfn.XLOOKUP(C333,customers!$A$1:$A$1001,customers!$B$1:$B$1001,,0)</f>
        <v>Vidovic Antonelli</v>
      </c>
      <c r="G333" s="2" t="str">
        <f>IF(_xlfn.XLOOKUP(C333,customers!$A$1:$A$1001,customers!$C$1:$C$1001,,0)=0,"",_xlfn.XLOOKUP(C333,customers!$A$1:$A$1001,customers!$C$1:$C$1001,,0))</f>
        <v/>
      </c>
      <c r="H333" s="2" t="str">
        <f>_xlfn.XLOOKUP(C333,customers!$A$1:$A$1001,customers!$G$1:$G$1001,,0)</f>
        <v>United Kingdom</v>
      </c>
      <c r="I333" t="str">
        <f>INDEX(products!$A$1:$G$49, MATCH(orders!$D1001,products!$A$1:$A1048,0), MATCH(orders!I$1,products!$A$1:$G$1,0))</f>
        <v>Exc</v>
      </c>
      <c r="J333" t="str">
        <f>INDEX(products!$A$1:$G$49, MATCH(orders!$D1001,products!$A$1:$A1048,0), MATCH(orders!J$1,products!$A$1:$G$1,0))</f>
        <v>M</v>
      </c>
      <c r="K333" s="5">
        <f>INDEX(products!$A$1:$G$49, MATCH(orders!$D1001,products!$A$1:$A1048,0), MATCH(orders!K$1,products!$A$1:$G$1,0))</f>
        <v>0.2</v>
      </c>
      <c r="L333" s="6">
        <f>INDEX(products!$A$1:$G$49, MATCH(orders!$D1001,products!$A$1:$A1048,0), MATCH(orders!L$1,products!$A$1:$G$1,0))</f>
        <v>4.125</v>
      </c>
      <c r="M333" s="6">
        <f t="shared" si="15"/>
        <v>12.375</v>
      </c>
      <c r="N333" t="str">
        <f t="shared" si="16"/>
        <v>Excelsa</v>
      </c>
      <c r="O333" t="str">
        <f t="shared" si="17"/>
        <v>Medium</v>
      </c>
      <c r="P333" t="str">
        <f>_xlfn.XLOOKUP(Orders[[#This Row],[Customer ID]],customers!$A$1:$A$1001,customers!$I$1:$I$1001,,0)</f>
        <v>Yes</v>
      </c>
      <c r="Q333">
        <f>COUNTIF(Orders[Order ID],Orders[[#This Row],[Order ID]])</f>
        <v>1</v>
      </c>
      <c r="R333" s="10">
        <f>SUMIF(Orders[Order ID], Orders[[#This Row],[Order ID]],Orders[Sales])/Orders[[#This Row],[Order Frequency]]</f>
        <v>12.375</v>
      </c>
      <c r="S333" t="str">
        <f>IF(Orders[[#This Row],[Order Frequency]]&gt;4, "More than 4", IF(AND(Orders[[#This Row],[Order Frequency]]&lt;=4,Orders[[#This Row],[Order Frequency]]&gt;=2), "Between 4 and 2", "Less than 2"))</f>
        <v>Less than 2</v>
      </c>
      <c r="T333" t="str">
        <f>IF(Orders[[#This Row],[Frequency Group]]="less than 2", "Low Value", IF(Orders[[#This Row],[Frequency Group]]="between 4 and 2", "Medium Value", "High Value"))</f>
        <v>Low Value</v>
      </c>
      <c r="U333" t="str">
        <f>IF(Orders[[#This Row],[Sales]]&lt;50, "$0-50", IF(AND(Orders[[#This Row],[Sales]]&gt;=50,Orders[[#This Row],[Sales]]&lt;=100), "$50-100", IF(AND(Orders[[#This Row],[Sales]]&gt;100,Orders[[#This Row],[Sales]]&lt;=150), "$101-150", "$150+")))</f>
        <v>$0-50</v>
      </c>
      <c r="V333" t="str">
        <f>IF(Orders[[#This Row],[Sales]]&gt;MEDIAN(M:M), "High Price", "Low Price")</f>
        <v>Low Price</v>
      </c>
      <c r="W333" t="str">
        <f>IF(Orders[[#This Row],[Quantity]]&gt;MEDIAN(E:E), "High Volume", "Low Volume")</f>
        <v>Low Volume</v>
      </c>
      <c r="X333" t="str">
        <f>Orders[[#This Row],[Sales Tier]] &amp; "-" &amp; Orders[[#This Row],[Quantity Tier]]</f>
        <v>Low Price-Low Volume</v>
      </c>
      <c r="Y333" t="str">
        <f>TEXT(Orders[[#This Row],[Order Date]], "mmmm")</f>
        <v>October</v>
      </c>
      <c r="Z33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333" t="str">
        <f>Orders[[#This Row],[Coffee Type Name]] &amp; "-" &amp; Orders[[#This Row],[Roast Type Name]]</f>
        <v>Excelsa-Medium</v>
      </c>
      <c r="AB33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334" spans="1:28" x14ac:dyDescent="0.25">
      <c r="A334" s="2" t="s">
        <v>6001</v>
      </c>
      <c r="B334" s="4">
        <v>44538</v>
      </c>
      <c r="C334" s="2" t="s">
        <v>6002</v>
      </c>
      <c r="D334" t="s">
        <v>6154</v>
      </c>
      <c r="E334" s="2">
        <v>3</v>
      </c>
      <c r="F334" s="2" t="str">
        <f>_xlfn.XLOOKUP(C334,customers!$A$1:$A$1001,customers!$B$1:$B$1001,,0)</f>
        <v>Clayton Kingwell</v>
      </c>
      <c r="G334" s="2" t="str">
        <f>IF(_xlfn.XLOOKUP(C334,customers!$A$1:$A$1001,customers!$C$1:$C$1001,,0)=0,"",_xlfn.XLOOKUP(C334,customers!$A$1:$A$1001,customers!$C$1:$C$1001,,0))</f>
        <v>ckingwellr3@squarespace.com</v>
      </c>
      <c r="H334" s="2" t="str">
        <f>_xlfn.XLOOKUP(C334,customers!$A$1:$A$1001,customers!$G$1:$G$1001,,0)</f>
        <v>Ireland</v>
      </c>
      <c r="I334" t="str">
        <f>INDEX(products!$A$1:$G$49, MATCH(orders!$D977,products!$A$1:$A1024,0), MATCH(orders!I$1,products!$A$1:$G$1,0))</f>
        <v>Ara</v>
      </c>
      <c r="J334" t="str">
        <f>INDEX(products!$A$1:$G$49, MATCH(orders!$D977,products!$A$1:$A1024,0), MATCH(orders!J$1,products!$A$1:$G$1,0))</f>
        <v>D</v>
      </c>
      <c r="K334" s="5">
        <f>INDEX(products!$A$1:$G$49, MATCH(orders!$D977,products!$A$1:$A1024,0), MATCH(orders!K$1,products!$A$1:$G$1,0))</f>
        <v>0.2</v>
      </c>
      <c r="L334" s="6">
        <f>INDEX(products!$A$1:$G$49, MATCH(orders!$D977,products!$A$1:$A1024,0), MATCH(orders!L$1,products!$A$1:$G$1,0))</f>
        <v>2.9849999999999999</v>
      </c>
      <c r="M334" s="6">
        <f t="shared" si="15"/>
        <v>8.9550000000000001</v>
      </c>
      <c r="N334" t="str">
        <f t="shared" si="16"/>
        <v>Arabica</v>
      </c>
      <c r="O334" t="str">
        <f t="shared" si="17"/>
        <v>Dark</v>
      </c>
      <c r="P334" t="str">
        <f>_xlfn.XLOOKUP(Orders[[#This Row],[Customer ID]],customers!$A$1:$A$1001,customers!$I$1:$I$1001,,0)</f>
        <v>Yes</v>
      </c>
      <c r="Q334">
        <f>COUNTIF(Orders[Order ID],Orders[[#This Row],[Order ID]])</f>
        <v>1</v>
      </c>
      <c r="R334" s="10">
        <f>SUMIF(Orders[Order ID], Orders[[#This Row],[Order ID]],Orders[Sales])/Orders[[#This Row],[Order Frequency]]</f>
        <v>8.9550000000000001</v>
      </c>
      <c r="S334" t="str">
        <f>IF(Orders[[#This Row],[Order Frequency]]&gt;4, "More than 4", IF(AND(Orders[[#This Row],[Order Frequency]]&lt;=4,Orders[[#This Row],[Order Frequency]]&gt;=2), "Between 4 and 2", "Less than 2"))</f>
        <v>Less than 2</v>
      </c>
      <c r="T334" t="str">
        <f>IF(Orders[[#This Row],[Frequency Group]]="less than 2", "Low Value", IF(Orders[[#This Row],[Frequency Group]]="between 4 and 2", "Medium Value", "High Value"))</f>
        <v>Low Value</v>
      </c>
      <c r="U334" t="str">
        <f>IF(Orders[[#This Row],[Sales]]&lt;50, "$0-50", IF(AND(Orders[[#This Row],[Sales]]&gt;=50,Orders[[#This Row],[Sales]]&lt;=100), "$50-100", IF(AND(Orders[[#This Row],[Sales]]&gt;100,Orders[[#This Row],[Sales]]&lt;=150), "$101-150", "$150+")))</f>
        <v>$0-50</v>
      </c>
      <c r="V334" t="str">
        <f>IF(Orders[[#This Row],[Sales]]&gt;MEDIAN(M:M), "High Price", "Low Price")</f>
        <v>Low Price</v>
      </c>
      <c r="W334" t="str">
        <f>IF(Orders[[#This Row],[Quantity]]&gt;MEDIAN(E:E), "High Volume", "Low Volume")</f>
        <v>Low Volume</v>
      </c>
      <c r="X334" t="str">
        <f>Orders[[#This Row],[Sales Tier]] &amp; "-" &amp; Orders[[#This Row],[Quantity Tier]]</f>
        <v>Low Price-Low Volume</v>
      </c>
      <c r="Y334" t="str">
        <f>TEXT(Orders[[#This Row],[Order Date]], "mmmm")</f>
        <v>December</v>
      </c>
      <c r="Z33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334" t="str">
        <f>Orders[[#This Row],[Coffee Type Name]] &amp; "-" &amp; Orders[[#This Row],[Roast Type Name]]</f>
        <v>Arabica-Dark</v>
      </c>
      <c r="AB33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335" spans="1:28" x14ac:dyDescent="0.25">
      <c r="A335" s="2" t="s">
        <v>3225</v>
      </c>
      <c r="B335" s="4">
        <v>44479</v>
      </c>
      <c r="C335" s="2" t="s">
        <v>3226</v>
      </c>
      <c r="D335" t="s">
        <v>6161</v>
      </c>
      <c r="E335" s="2">
        <v>6</v>
      </c>
      <c r="F335" s="2" t="str">
        <f>_xlfn.XLOOKUP(C335,customers!$A$1:$A$1001,customers!$B$1:$B$1001,,0)</f>
        <v>Keefer Cake</v>
      </c>
      <c r="G335" s="2" t="str">
        <f>IF(_xlfn.XLOOKUP(C335,customers!$A$1:$A$1001,customers!$C$1:$C$1001,,0)=0,"",_xlfn.XLOOKUP(C335,customers!$A$1:$A$1001,customers!$C$1:$C$1001,,0))</f>
        <v>kcakedg@huffingtonpost.com</v>
      </c>
      <c r="H335" s="2" t="str">
        <f>_xlfn.XLOOKUP(C335,customers!$A$1:$A$1001,customers!$G$1:$G$1001,,0)</f>
        <v>United States</v>
      </c>
      <c r="I335" t="str">
        <f>INDEX(products!$A$1:$G$49, MATCH(orders!$D486,products!$A$1:$A533,0), MATCH(orders!I$1,products!$A$1:$G$1,0))</f>
        <v>Lib</v>
      </c>
      <c r="J335" t="str">
        <f>INDEX(products!$A$1:$G$49, MATCH(orders!$D486,products!$A$1:$A533,0), MATCH(orders!J$1,products!$A$1:$G$1,0))</f>
        <v>L</v>
      </c>
      <c r="K335" s="5">
        <f>INDEX(products!$A$1:$G$49, MATCH(orders!$D486,products!$A$1:$A533,0), MATCH(orders!K$1,products!$A$1:$G$1,0))</f>
        <v>0.5</v>
      </c>
      <c r="L335" s="6">
        <f>INDEX(products!$A$1:$G$49, MATCH(orders!$D486,products!$A$1:$A533,0), MATCH(orders!L$1,products!$A$1:$G$1,0))</f>
        <v>9.51</v>
      </c>
      <c r="M335" s="6">
        <f t="shared" si="15"/>
        <v>57.06</v>
      </c>
      <c r="N335" t="str">
        <f t="shared" si="16"/>
        <v>Liberica</v>
      </c>
      <c r="O335" t="str">
        <f t="shared" si="17"/>
        <v>Light</v>
      </c>
      <c r="P335" t="str">
        <f>_xlfn.XLOOKUP(Orders[[#This Row],[Customer ID]],customers!$A$1:$A$1001,customers!$I$1:$I$1001,,0)</f>
        <v>No</v>
      </c>
      <c r="Q335">
        <f>COUNTIF(Orders[Order ID],Orders[[#This Row],[Order ID]])</f>
        <v>1</v>
      </c>
      <c r="R335" s="10">
        <f>SUMIF(Orders[Order ID], Orders[[#This Row],[Order ID]],Orders[Sales])/Orders[[#This Row],[Order Frequency]]</f>
        <v>57.06</v>
      </c>
      <c r="S335" t="str">
        <f>IF(Orders[[#This Row],[Order Frequency]]&gt;4, "More than 4", IF(AND(Orders[[#This Row],[Order Frequency]]&lt;=4,Orders[[#This Row],[Order Frequency]]&gt;=2), "Between 4 and 2", "Less than 2"))</f>
        <v>Less than 2</v>
      </c>
      <c r="T335" t="str">
        <f>IF(Orders[[#This Row],[Frequency Group]]="less than 2", "Low Value", IF(Orders[[#This Row],[Frequency Group]]="between 4 and 2", "Medium Value", "High Value"))</f>
        <v>Low Value</v>
      </c>
      <c r="U335" t="str">
        <f>IF(Orders[[#This Row],[Sales]]&lt;50, "$0-50", IF(AND(Orders[[#This Row],[Sales]]&gt;=50,Orders[[#This Row],[Sales]]&lt;=100), "$50-100", IF(AND(Orders[[#This Row],[Sales]]&gt;100,Orders[[#This Row],[Sales]]&lt;=150), "$101-150", "$150+")))</f>
        <v>$50-100</v>
      </c>
      <c r="V335" t="str">
        <f>IF(Orders[[#This Row],[Sales]]&gt;MEDIAN(M:M), "High Price", "Low Price")</f>
        <v>High Price</v>
      </c>
      <c r="W335" t="str">
        <f>IF(Orders[[#This Row],[Quantity]]&gt;MEDIAN(E:E), "High Volume", "Low Volume")</f>
        <v>High Volume</v>
      </c>
      <c r="X335" t="str">
        <f>Orders[[#This Row],[Sales Tier]] &amp; "-" &amp; Orders[[#This Row],[Quantity Tier]]</f>
        <v>High Price-High Volume</v>
      </c>
      <c r="Y335" t="str">
        <f>TEXT(Orders[[#This Row],[Order Date]], "mmmm")</f>
        <v>October</v>
      </c>
      <c r="Z33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335" t="str">
        <f>Orders[[#This Row],[Coffee Type Name]] &amp; "-" &amp; Orders[[#This Row],[Roast Type Name]]</f>
        <v>Liberica-Light</v>
      </c>
      <c r="AB33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336" spans="1:28" x14ac:dyDescent="0.25">
      <c r="A336" s="2" t="s">
        <v>1854</v>
      </c>
      <c r="B336" s="4">
        <v>43918</v>
      </c>
      <c r="C336" s="2" t="s">
        <v>1855</v>
      </c>
      <c r="D336" t="s">
        <v>6183</v>
      </c>
      <c r="E336" s="2">
        <v>3</v>
      </c>
      <c r="F336" s="2" t="str">
        <f>_xlfn.XLOOKUP(C336,customers!$A$1:$A$1001,customers!$B$1:$B$1001,,0)</f>
        <v>Sibella Rushbrooke</v>
      </c>
      <c r="G336" s="2" t="str">
        <f>IF(_xlfn.XLOOKUP(C336,customers!$A$1:$A$1001,customers!$C$1:$C$1001,,0)=0,"",_xlfn.XLOOKUP(C336,customers!$A$1:$A$1001,customers!$C$1:$C$1001,,0))</f>
        <v>srushbrooke6q@youku.com</v>
      </c>
      <c r="H336" s="2" t="str">
        <f>_xlfn.XLOOKUP(C336,customers!$A$1:$A$1001,customers!$G$1:$G$1001,,0)</f>
        <v>United States</v>
      </c>
      <c r="I336" t="str">
        <f>INDEX(products!$A$1:$G$49, MATCH(orders!$D244,products!$A$1:$A291,0), MATCH(orders!I$1,products!$A$1:$G$1,0))</f>
        <v>Exc</v>
      </c>
      <c r="J336" t="str">
        <f>INDEX(products!$A$1:$G$49, MATCH(orders!$D244,products!$A$1:$A291,0), MATCH(orders!J$1,products!$A$1:$G$1,0))</f>
        <v>D</v>
      </c>
      <c r="K336" s="5">
        <f>INDEX(products!$A$1:$G$49, MATCH(orders!$D244,products!$A$1:$A291,0), MATCH(orders!K$1,products!$A$1:$G$1,0))</f>
        <v>1</v>
      </c>
      <c r="L336" s="6">
        <f>INDEX(products!$A$1:$G$49, MATCH(orders!$D244,products!$A$1:$A291,0), MATCH(orders!L$1,products!$A$1:$G$1,0))</f>
        <v>12.15</v>
      </c>
      <c r="M336" s="6">
        <f t="shared" si="15"/>
        <v>36.450000000000003</v>
      </c>
      <c r="N336" t="str">
        <f t="shared" si="16"/>
        <v>Excelsa</v>
      </c>
      <c r="O336" t="str">
        <f t="shared" si="17"/>
        <v>Dark</v>
      </c>
      <c r="P336" t="str">
        <f>_xlfn.XLOOKUP(Orders[[#This Row],[Customer ID]],customers!$A$1:$A$1001,customers!$I$1:$I$1001,,0)</f>
        <v>Yes</v>
      </c>
      <c r="Q336">
        <f>COUNTIF(Orders[Order ID],Orders[[#This Row],[Order ID]])</f>
        <v>1</v>
      </c>
      <c r="R336" s="10">
        <f>SUMIF(Orders[Order ID], Orders[[#This Row],[Order ID]],Orders[Sales])/Orders[[#This Row],[Order Frequency]]</f>
        <v>36.450000000000003</v>
      </c>
      <c r="S336" t="str">
        <f>IF(Orders[[#This Row],[Order Frequency]]&gt;4, "More than 4", IF(AND(Orders[[#This Row],[Order Frequency]]&lt;=4,Orders[[#This Row],[Order Frequency]]&gt;=2), "Between 4 and 2", "Less than 2"))</f>
        <v>Less than 2</v>
      </c>
      <c r="T336" t="str">
        <f>IF(Orders[[#This Row],[Frequency Group]]="less than 2", "Low Value", IF(Orders[[#This Row],[Frequency Group]]="between 4 and 2", "Medium Value", "High Value"))</f>
        <v>Low Value</v>
      </c>
      <c r="U336" t="str">
        <f>IF(Orders[[#This Row],[Sales]]&lt;50, "$0-50", IF(AND(Orders[[#This Row],[Sales]]&gt;=50,Orders[[#This Row],[Sales]]&lt;=100), "$50-100", IF(AND(Orders[[#This Row],[Sales]]&gt;100,Orders[[#This Row],[Sales]]&lt;=150), "$101-150", "$150+")))</f>
        <v>$0-50</v>
      </c>
      <c r="V336" t="str">
        <f>IF(Orders[[#This Row],[Sales]]&gt;MEDIAN(M:M), "High Price", "Low Price")</f>
        <v>High Price</v>
      </c>
      <c r="W336" t="str">
        <f>IF(Orders[[#This Row],[Quantity]]&gt;MEDIAN(E:E), "High Volume", "Low Volume")</f>
        <v>Low Volume</v>
      </c>
      <c r="X336" t="str">
        <f>Orders[[#This Row],[Sales Tier]] &amp; "-" &amp; Orders[[#This Row],[Quantity Tier]]</f>
        <v>High Price-Low Volume</v>
      </c>
      <c r="Y336" t="str">
        <f>TEXT(Orders[[#This Row],[Order Date]], "mmmm")</f>
        <v>March</v>
      </c>
      <c r="Z33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336" t="str">
        <f>Orders[[#This Row],[Coffee Type Name]] &amp; "-" &amp; Orders[[#This Row],[Roast Type Name]]</f>
        <v>Excelsa-Dark</v>
      </c>
      <c r="AB33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337" spans="1:28" x14ac:dyDescent="0.25">
      <c r="A337" s="2" t="s">
        <v>1018</v>
      </c>
      <c r="B337" s="4">
        <v>44014</v>
      </c>
      <c r="C337" s="2" t="s">
        <v>1019</v>
      </c>
      <c r="D337" t="s">
        <v>6154</v>
      </c>
      <c r="E337" s="2">
        <v>6</v>
      </c>
      <c r="F337" s="2" t="str">
        <f>_xlfn.XLOOKUP(C337,customers!$A$1:$A$1001,customers!$B$1:$B$1001,,0)</f>
        <v>Rudy Farquharson</v>
      </c>
      <c r="G337" s="2" t="str">
        <f>IF(_xlfn.XLOOKUP(C337,customers!$A$1:$A$1001,customers!$C$1:$C$1001,,0)=0,"",_xlfn.XLOOKUP(C337,customers!$A$1:$A$1001,customers!$C$1:$C$1001,,0))</f>
        <v/>
      </c>
      <c r="H337" s="2" t="str">
        <f>_xlfn.XLOOKUP(C337,customers!$A$1:$A$1001,customers!$G$1:$G$1001,,0)</f>
        <v>Ireland</v>
      </c>
      <c r="I337" t="str">
        <f>INDEX(products!$A$1:$G$49, MATCH(orders!$D96,products!$A$1:$A143,0), MATCH(orders!I$1,products!$A$1:$G$1,0))</f>
        <v>Ara</v>
      </c>
      <c r="J337" t="str">
        <f>INDEX(products!$A$1:$G$49, MATCH(orders!$D96,products!$A$1:$A143,0), MATCH(orders!J$1,products!$A$1:$G$1,0))</f>
        <v>D</v>
      </c>
      <c r="K337" s="5">
        <f>INDEX(products!$A$1:$G$49, MATCH(orders!$D96,products!$A$1:$A143,0), MATCH(orders!K$1,products!$A$1:$G$1,0))</f>
        <v>0.2</v>
      </c>
      <c r="L337" s="6">
        <f>INDEX(products!$A$1:$G$49, MATCH(orders!$D96,products!$A$1:$A143,0), MATCH(orders!L$1,products!$A$1:$G$1,0))</f>
        <v>2.9849999999999999</v>
      </c>
      <c r="M337" s="6">
        <f t="shared" si="15"/>
        <v>17.91</v>
      </c>
      <c r="N337" t="str">
        <f t="shared" si="16"/>
        <v>Arabica</v>
      </c>
      <c r="O337" t="str">
        <f t="shared" si="17"/>
        <v>Dark</v>
      </c>
      <c r="P337" t="str">
        <f>_xlfn.XLOOKUP(Orders[[#This Row],[Customer ID]],customers!$A$1:$A$1001,customers!$I$1:$I$1001,,0)</f>
        <v>Yes</v>
      </c>
      <c r="Q337">
        <f>COUNTIF(Orders[Order ID],Orders[[#This Row],[Order ID]])</f>
        <v>1</v>
      </c>
      <c r="R337" s="10">
        <f>SUMIF(Orders[Order ID], Orders[[#This Row],[Order ID]],Orders[Sales])/Orders[[#This Row],[Order Frequency]]</f>
        <v>17.91</v>
      </c>
      <c r="S337" t="str">
        <f>IF(Orders[[#This Row],[Order Frequency]]&gt;4, "More than 4", IF(AND(Orders[[#This Row],[Order Frequency]]&lt;=4,Orders[[#This Row],[Order Frequency]]&gt;=2), "Between 4 and 2", "Less than 2"))</f>
        <v>Less than 2</v>
      </c>
      <c r="T337" t="str">
        <f>IF(Orders[[#This Row],[Frequency Group]]="less than 2", "Low Value", IF(Orders[[#This Row],[Frequency Group]]="between 4 and 2", "Medium Value", "High Value"))</f>
        <v>Low Value</v>
      </c>
      <c r="U337" t="str">
        <f>IF(Orders[[#This Row],[Sales]]&lt;50, "$0-50", IF(AND(Orders[[#This Row],[Sales]]&gt;=50,Orders[[#This Row],[Sales]]&lt;=100), "$50-100", IF(AND(Orders[[#This Row],[Sales]]&gt;100,Orders[[#This Row],[Sales]]&lt;=150), "$101-150", "$150+")))</f>
        <v>$0-50</v>
      </c>
      <c r="V337" t="str">
        <f>IF(Orders[[#This Row],[Sales]]&gt;MEDIAN(M:M), "High Price", "Low Price")</f>
        <v>Low Price</v>
      </c>
      <c r="W337" t="str">
        <f>IF(Orders[[#This Row],[Quantity]]&gt;MEDIAN(E:E), "High Volume", "Low Volume")</f>
        <v>High Volume</v>
      </c>
      <c r="X337" t="str">
        <f>Orders[[#This Row],[Sales Tier]] &amp; "-" &amp; Orders[[#This Row],[Quantity Tier]]</f>
        <v>Low Price-High Volume</v>
      </c>
      <c r="Y337" t="str">
        <f>TEXT(Orders[[#This Row],[Order Date]], "mmmm")</f>
        <v>July</v>
      </c>
      <c r="Z33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337" t="str">
        <f>Orders[[#This Row],[Coffee Type Name]] &amp; "-" &amp; Orders[[#This Row],[Roast Type Name]]</f>
        <v>Arabica-Dark</v>
      </c>
      <c r="AB33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338" spans="1:28" x14ac:dyDescent="0.25">
      <c r="A338" s="2" t="s">
        <v>565</v>
      </c>
      <c r="B338" s="4">
        <v>43973</v>
      </c>
      <c r="C338" s="2" t="s">
        <v>566</v>
      </c>
      <c r="D338" t="s">
        <v>6149</v>
      </c>
      <c r="E338" s="2">
        <v>2</v>
      </c>
      <c r="F338" s="2" t="str">
        <f>_xlfn.XLOOKUP(C338,customers!$A$1:$A$1001,customers!$B$1:$B$1001,,0)</f>
        <v>Terence Vanyutin</v>
      </c>
      <c r="G338" s="2" t="str">
        <f>IF(_xlfn.XLOOKUP(C338,customers!$A$1:$A$1001,customers!$C$1:$C$1001,,0)=0,"",_xlfn.XLOOKUP(C338,customers!$A$1:$A$1001,customers!$C$1:$C$1001,,0))</f>
        <v>tvanyutind@wix.com</v>
      </c>
      <c r="H338" s="2" t="str">
        <f>_xlfn.XLOOKUP(C338,customers!$A$1:$A$1001,customers!$G$1:$G$1001,,0)</f>
        <v>United States</v>
      </c>
      <c r="I338" t="str">
        <f>INDEX(products!$A$1:$G$49, MATCH(orders!$D15,products!$A$1:$A62,0), MATCH(orders!I$1,products!$A$1:$G$1,0))</f>
        <v>Rob</v>
      </c>
      <c r="J338" t="str">
        <f>INDEX(products!$A$1:$G$49, MATCH(orders!$D15,products!$A$1:$A62,0), MATCH(orders!J$1,products!$A$1:$G$1,0))</f>
        <v>D</v>
      </c>
      <c r="K338" s="5">
        <f>INDEX(products!$A$1:$G$49, MATCH(orders!$D15,products!$A$1:$A62,0), MATCH(orders!K$1,products!$A$1:$G$1,0))</f>
        <v>2.5</v>
      </c>
      <c r="L338" s="6">
        <f>INDEX(products!$A$1:$G$49, MATCH(orders!$D15,products!$A$1:$A62,0), MATCH(orders!L$1,products!$A$1:$G$1,0))</f>
        <v>20.584999999999997</v>
      </c>
      <c r="M338" s="6">
        <f t="shared" si="15"/>
        <v>41.169999999999995</v>
      </c>
      <c r="N338" t="str">
        <f t="shared" si="16"/>
        <v>Robusta</v>
      </c>
      <c r="O338" t="str">
        <f t="shared" si="17"/>
        <v>Dark</v>
      </c>
      <c r="P338" t="str">
        <f>_xlfn.XLOOKUP(Orders[[#This Row],[Customer ID]],customers!$A$1:$A$1001,customers!$I$1:$I$1001,,0)</f>
        <v>No</v>
      </c>
      <c r="Q338">
        <f>COUNTIF(Orders[Order ID],Orders[[#This Row],[Order ID]])</f>
        <v>1</v>
      </c>
      <c r="R338" s="10">
        <f>SUMIF(Orders[Order ID], Orders[[#This Row],[Order ID]],Orders[Sales])/Orders[[#This Row],[Order Frequency]]</f>
        <v>41.169999999999995</v>
      </c>
      <c r="S338" t="str">
        <f>IF(Orders[[#This Row],[Order Frequency]]&gt;4, "More than 4", IF(AND(Orders[[#This Row],[Order Frequency]]&lt;=4,Orders[[#This Row],[Order Frequency]]&gt;=2), "Between 4 and 2", "Less than 2"))</f>
        <v>Less than 2</v>
      </c>
      <c r="T338" t="str">
        <f>IF(Orders[[#This Row],[Frequency Group]]="less than 2", "Low Value", IF(Orders[[#This Row],[Frequency Group]]="between 4 and 2", "Medium Value", "High Value"))</f>
        <v>Low Value</v>
      </c>
      <c r="U338" t="str">
        <f>IF(Orders[[#This Row],[Sales]]&lt;50, "$0-50", IF(AND(Orders[[#This Row],[Sales]]&gt;=50,Orders[[#This Row],[Sales]]&lt;=100), "$50-100", IF(AND(Orders[[#This Row],[Sales]]&gt;100,Orders[[#This Row],[Sales]]&lt;=150), "$101-150", "$150+")))</f>
        <v>$0-50</v>
      </c>
      <c r="V338" t="str">
        <f>IF(Orders[[#This Row],[Sales]]&gt;MEDIAN(M:M), "High Price", "Low Price")</f>
        <v>High Price</v>
      </c>
      <c r="W338" t="str">
        <f>IF(Orders[[#This Row],[Quantity]]&gt;MEDIAN(E:E), "High Volume", "Low Volume")</f>
        <v>Low Volume</v>
      </c>
      <c r="X338" t="str">
        <f>Orders[[#This Row],[Sales Tier]] &amp; "-" &amp; Orders[[#This Row],[Quantity Tier]]</f>
        <v>High Price-Low Volume</v>
      </c>
      <c r="Y338" t="str">
        <f>TEXT(Orders[[#This Row],[Order Date]], "mmmm")</f>
        <v>May</v>
      </c>
      <c r="Z33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338" t="str">
        <f>Orders[[#This Row],[Coffee Type Name]] &amp; "-" &amp; Orders[[#This Row],[Roast Type Name]]</f>
        <v>Robusta-Dark</v>
      </c>
      <c r="AB33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339" spans="1:28" x14ac:dyDescent="0.25">
      <c r="A339" s="2" t="s">
        <v>4792</v>
      </c>
      <c r="B339" s="4">
        <v>43714</v>
      </c>
      <c r="C339" s="2" t="s">
        <v>4793</v>
      </c>
      <c r="D339" t="s">
        <v>6171</v>
      </c>
      <c r="E339" s="2">
        <v>6</v>
      </c>
      <c r="F339" s="2" t="str">
        <f>_xlfn.XLOOKUP(C339,customers!$A$1:$A$1001,customers!$B$1:$B$1001,,0)</f>
        <v>Chuck Kendrick</v>
      </c>
      <c r="G339" s="2" t="str">
        <f>IF(_xlfn.XLOOKUP(C339,customers!$A$1:$A$1001,customers!$C$1:$C$1001,,0)=0,"",_xlfn.XLOOKUP(C339,customers!$A$1:$A$1001,customers!$C$1:$C$1001,,0))</f>
        <v>ckendrickl5@webnode.com</v>
      </c>
      <c r="H339" s="2" t="str">
        <f>_xlfn.XLOOKUP(C339,customers!$A$1:$A$1001,customers!$G$1:$G$1001,,0)</f>
        <v>United States</v>
      </c>
      <c r="I339" t="str">
        <f>INDEX(products!$A$1:$G$49, MATCH(orders!$D763,products!$A$1:$A810,0), MATCH(orders!I$1,products!$A$1:$G$1,0))</f>
        <v>Exc</v>
      </c>
      <c r="J339" t="str">
        <f>INDEX(products!$A$1:$G$49, MATCH(orders!$D763,products!$A$1:$A810,0), MATCH(orders!J$1,products!$A$1:$G$1,0))</f>
        <v>L</v>
      </c>
      <c r="K339" s="5">
        <f>INDEX(products!$A$1:$G$49, MATCH(orders!$D763,products!$A$1:$A810,0), MATCH(orders!K$1,products!$A$1:$G$1,0))</f>
        <v>1</v>
      </c>
      <c r="L339" s="6">
        <f>INDEX(products!$A$1:$G$49, MATCH(orders!$D763,products!$A$1:$A810,0), MATCH(orders!L$1,products!$A$1:$G$1,0))</f>
        <v>14.85</v>
      </c>
      <c r="M339" s="6">
        <f t="shared" si="15"/>
        <v>89.1</v>
      </c>
      <c r="N339" t="str">
        <f t="shared" si="16"/>
        <v>Excelsa</v>
      </c>
      <c r="O339" t="str">
        <f t="shared" si="17"/>
        <v>Light</v>
      </c>
      <c r="P339" t="str">
        <f>_xlfn.XLOOKUP(Orders[[#This Row],[Customer ID]],customers!$A$1:$A$1001,customers!$I$1:$I$1001,,0)</f>
        <v>Yes</v>
      </c>
      <c r="Q339">
        <f>COUNTIF(Orders[Order ID],Orders[[#This Row],[Order ID]])</f>
        <v>1</v>
      </c>
      <c r="R339" s="10">
        <f>SUMIF(Orders[Order ID], Orders[[#This Row],[Order ID]],Orders[Sales])/Orders[[#This Row],[Order Frequency]]</f>
        <v>89.1</v>
      </c>
      <c r="S339" t="str">
        <f>IF(Orders[[#This Row],[Order Frequency]]&gt;4, "More than 4", IF(AND(Orders[[#This Row],[Order Frequency]]&lt;=4,Orders[[#This Row],[Order Frequency]]&gt;=2), "Between 4 and 2", "Less than 2"))</f>
        <v>Less than 2</v>
      </c>
      <c r="T339" t="str">
        <f>IF(Orders[[#This Row],[Frequency Group]]="less than 2", "Low Value", IF(Orders[[#This Row],[Frequency Group]]="between 4 and 2", "Medium Value", "High Value"))</f>
        <v>Low Value</v>
      </c>
      <c r="U339" t="str">
        <f>IF(Orders[[#This Row],[Sales]]&lt;50, "$0-50", IF(AND(Orders[[#This Row],[Sales]]&gt;=50,Orders[[#This Row],[Sales]]&lt;=100), "$50-100", IF(AND(Orders[[#This Row],[Sales]]&gt;100,Orders[[#This Row],[Sales]]&lt;=150), "$101-150", "$150+")))</f>
        <v>$50-100</v>
      </c>
      <c r="V339" t="str">
        <f>IF(Orders[[#This Row],[Sales]]&gt;MEDIAN(M:M), "High Price", "Low Price")</f>
        <v>High Price</v>
      </c>
      <c r="W339" t="str">
        <f>IF(Orders[[#This Row],[Quantity]]&gt;MEDIAN(E:E), "High Volume", "Low Volume")</f>
        <v>High Volume</v>
      </c>
      <c r="X339" t="str">
        <f>Orders[[#This Row],[Sales Tier]] &amp; "-" &amp; Orders[[#This Row],[Quantity Tier]]</f>
        <v>High Price-High Volume</v>
      </c>
      <c r="Y339" t="str">
        <f>TEXT(Orders[[#This Row],[Order Date]], "mmmm")</f>
        <v>September</v>
      </c>
      <c r="Z33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339" t="str">
        <f>Orders[[#This Row],[Coffee Type Name]] &amp; "-" &amp; Orders[[#This Row],[Roast Type Name]]</f>
        <v>Excelsa-Light</v>
      </c>
      <c r="AB33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340" spans="1:28" x14ac:dyDescent="0.25">
      <c r="A340" s="2" t="s">
        <v>3458</v>
      </c>
      <c r="B340" s="4">
        <v>44038</v>
      </c>
      <c r="C340" s="2" t="s">
        <v>3459</v>
      </c>
      <c r="D340" t="s">
        <v>6163</v>
      </c>
      <c r="E340" s="2">
        <v>5</v>
      </c>
      <c r="F340" s="2" t="str">
        <f>_xlfn.XLOOKUP(C340,customers!$A$1:$A$1001,customers!$B$1:$B$1001,,0)</f>
        <v>Edin Yantsurev</v>
      </c>
      <c r="G340" s="2" t="str">
        <f>IF(_xlfn.XLOOKUP(C340,customers!$A$1:$A$1001,customers!$C$1:$C$1001,,0)=0,"",_xlfn.XLOOKUP(C340,customers!$A$1:$A$1001,customers!$C$1:$C$1001,,0))</f>
        <v/>
      </c>
      <c r="H340" s="2" t="str">
        <f>_xlfn.XLOOKUP(C340,customers!$A$1:$A$1001,customers!$G$1:$G$1001,,0)</f>
        <v>United States</v>
      </c>
      <c r="I340" t="str">
        <f>INDEX(products!$A$1:$G$49, MATCH(orders!$D527,products!$A$1:$A574,0), MATCH(orders!I$1,products!$A$1:$G$1,0))</f>
        <v>Rob</v>
      </c>
      <c r="J340" t="str">
        <f>INDEX(products!$A$1:$G$49, MATCH(orders!$D527,products!$A$1:$A574,0), MATCH(orders!J$1,products!$A$1:$G$1,0))</f>
        <v>D</v>
      </c>
      <c r="K340" s="5">
        <f>INDEX(products!$A$1:$G$49, MATCH(orders!$D527,products!$A$1:$A574,0), MATCH(orders!K$1,products!$A$1:$G$1,0))</f>
        <v>0.2</v>
      </c>
      <c r="L340" s="6">
        <f>INDEX(products!$A$1:$G$49, MATCH(orders!$D527,products!$A$1:$A574,0), MATCH(orders!L$1,products!$A$1:$G$1,0))</f>
        <v>2.6849999999999996</v>
      </c>
      <c r="M340" s="6">
        <f t="shared" si="15"/>
        <v>13.424999999999997</v>
      </c>
      <c r="N340" t="str">
        <f t="shared" si="16"/>
        <v>Robusta</v>
      </c>
      <c r="O340" t="str">
        <f t="shared" si="17"/>
        <v>Dark</v>
      </c>
      <c r="P340" t="str">
        <f>_xlfn.XLOOKUP(Orders[[#This Row],[Customer ID]],customers!$A$1:$A$1001,customers!$I$1:$I$1001,,0)</f>
        <v>Yes</v>
      </c>
      <c r="Q340">
        <f>COUNTIF(Orders[Order ID],Orders[[#This Row],[Order ID]])</f>
        <v>1</v>
      </c>
      <c r="R340" s="10">
        <f>SUMIF(Orders[Order ID], Orders[[#This Row],[Order ID]],Orders[Sales])/Orders[[#This Row],[Order Frequency]]</f>
        <v>13.424999999999997</v>
      </c>
      <c r="S340" t="str">
        <f>IF(Orders[[#This Row],[Order Frequency]]&gt;4, "More than 4", IF(AND(Orders[[#This Row],[Order Frequency]]&lt;=4,Orders[[#This Row],[Order Frequency]]&gt;=2), "Between 4 and 2", "Less than 2"))</f>
        <v>Less than 2</v>
      </c>
      <c r="T340" t="str">
        <f>IF(Orders[[#This Row],[Frequency Group]]="less than 2", "Low Value", IF(Orders[[#This Row],[Frequency Group]]="between 4 and 2", "Medium Value", "High Value"))</f>
        <v>Low Value</v>
      </c>
      <c r="U340" t="str">
        <f>IF(Orders[[#This Row],[Sales]]&lt;50, "$0-50", IF(AND(Orders[[#This Row],[Sales]]&gt;=50,Orders[[#This Row],[Sales]]&lt;=100), "$50-100", IF(AND(Orders[[#This Row],[Sales]]&gt;100,Orders[[#This Row],[Sales]]&lt;=150), "$101-150", "$150+")))</f>
        <v>$0-50</v>
      </c>
      <c r="V340" t="str">
        <f>IF(Orders[[#This Row],[Sales]]&gt;MEDIAN(M:M), "High Price", "Low Price")</f>
        <v>Low Price</v>
      </c>
      <c r="W340" t="str">
        <f>IF(Orders[[#This Row],[Quantity]]&gt;MEDIAN(E:E), "High Volume", "Low Volume")</f>
        <v>High Volume</v>
      </c>
      <c r="X340" t="str">
        <f>Orders[[#This Row],[Sales Tier]] &amp; "-" &amp; Orders[[#This Row],[Quantity Tier]]</f>
        <v>Low Price-High Volume</v>
      </c>
      <c r="Y340" t="str">
        <f>TEXT(Orders[[#This Row],[Order Date]], "mmmm")</f>
        <v>July</v>
      </c>
      <c r="Z34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340" t="str">
        <f>Orders[[#This Row],[Coffee Type Name]] &amp; "-" &amp; Orders[[#This Row],[Roast Type Name]]</f>
        <v>Robusta-Dark</v>
      </c>
      <c r="AB34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341" spans="1:28" x14ac:dyDescent="0.25">
      <c r="A341" s="2" t="s">
        <v>4093</v>
      </c>
      <c r="B341" s="4">
        <v>43684</v>
      </c>
      <c r="C341" s="2" t="s">
        <v>4094</v>
      </c>
      <c r="D341" t="s">
        <v>6175</v>
      </c>
      <c r="E341" s="2">
        <v>3</v>
      </c>
      <c r="F341" s="2" t="str">
        <f>_xlfn.XLOOKUP(C341,customers!$A$1:$A$1001,customers!$B$1:$B$1001,,0)</f>
        <v>Neville Piatto</v>
      </c>
      <c r="G341" s="2" t="str">
        <f>IF(_xlfn.XLOOKUP(C341,customers!$A$1:$A$1001,customers!$C$1:$C$1001,,0)=0,"",_xlfn.XLOOKUP(C341,customers!$A$1:$A$1001,customers!$C$1:$C$1001,,0))</f>
        <v/>
      </c>
      <c r="H341" s="2" t="str">
        <f>_xlfn.XLOOKUP(C341,customers!$A$1:$A$1001,customers!$G$1:$G$1001,,0)</f>
        <v>Ireland</v>
      </c>
      <c r="I341" t="str">
        <f>INDEX(products!$A$1:$G$49, MATCH(orders!$D640,products!$A$1:$A687,0), MATCH(orders!I$1,products!$A$1:$G$1,0))</f>
        <v>Ara</v>
      </c>
      <c r="J341" t="str">
        <f>INDEX(products!$A$1:$G$49, MATCH(orders!$D640,products!$A$1:$A687,0), MATCH(orders!J$1,products!$A$1:$G$1,0))</f>
        <v>M</v>
      </c>
      <c r="K341" s="5">
        <f>INDEX(products!$A$1:$G$49, MATCH(orders!$D640,products!$A$1:$A687,0), MATCH(orders!K$1,products!$A$1:$G$1,0))</f>
        <v>2.5</v>
      </c>
      <c r="L341" s="6">
        <f>INDEX(products!$A$1:$G$49, MATCH(orders!$D640,products!$A$1:$A687,0), MATCH(orders!L$1,products!$A$1:$G$1,0))</f>
        <v>25.874999999999996</v>
      </c>
      <c r="M341" s="6">
        <f t="shared" si="15"/>
        <v>77.624999999999986</v>
      </c>
      <c r="N341" t="str">
        <f t="shared" si="16"/>
        <v>Arabica</v>
      </c>
      <c r="O341" t="str">
        <f t="shared" si="17"/>
        <v>Medium</v>
      </c>
      <c r="P341" t="str">
        <f>_xlfn.XLOOKUP(Orders[[#This Row],[Customer ID]],customers!$A$1:$A$1001,customers!$I$1:$I$1001,,0)</f>
        <v>Yes</v>
      </c>
      <c r="Q341">
        <f>COUNTIF(Orders[Order ID],Orders[[#This Row],[Order ID]])</f>
        <v>1</v>
      </c>
      <c r="R341" s="10">
        <f>SUMIF(Orders[Order ID], Orders[[#This Row],[Order ID]],Orders[Sales])/Orders[[#This Row],[Order Frequency]]</f>
        <v>77.624999999999986</v>
      </c>
      <c r="S341" t="str">
        <f>IF(Orders[[#This Row],[Order Frequency]]&gt;4, "More than 4", IF(AND(Orders[[#This Row],[Order Frequency]]&lt;=4,Orders[[#This Row],[Order Frequency]]&gt;=2), "Between 4 and 2", "Less than 2"))</f>
        <v>Less than 2</v>
      </c>
      <c r="T341" t="str">
        <f>IF(Orders[[#This Row],[Frequency Group]]="less than 2", "Low Value", IF(Orders[[#This Row],[Frequency Group]]="between 4 and 2", "Medium Value", "High Value"))</f>
        <v>Low Value</v>
      </c>
      <c r="U341" t="str">
        <f>IF(Orders[[#This Row],[Sales]]&lt;50, "$0-50", IF(AND(Orders[[#This Row],[Sales]]&gt;=50,Orders[[#This Row],[Sales]]&lt;=100), "$50-100", IF(AND(Orders[[#This Row],[Sales]]&gt;100,Orders[[#This Row],[Sales]]&lt;=150), "$101-150", "$150+")))</f>
        <v>$50-100</v>
      </c>
      <c r="V341" t="str">
        <f>IF(Orders[[#This Row],[Sales]]&gt;MEDIAN(M:M), "High Price", "Low Price")</f>
        <v>High Price</v>
      </c>
      <c r="W341" t="str">
        <f>IF(Orders[[#This Row],[Quantity]]&gt;MEDIAN(E:E), "High Volume", "Low Volume")</f>
        <v>Low Volume</v>
      </c>
      <c r="X341" t="str">
        <f>Orders[[#This Row],[Sales Tier]] &amp; "-" &amp; Orders[[#This Row],[Quantity Tier]]</f>
        <v>High Price-Low Volume</v>
      </c>
      <c r="Y341" t="str">
        <f>TEXT(Orders[[#This Row],[Order Date]], "mmmm")</f>
        <v>August</v>
      </c>
      <c r="Z34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341" t="str">
        <f>Orders[[#This Row],[Coffee Type Name]] &amp; "-" &amp; Orders[[#This Row],[Roast Type Name]]</f>
        <v>Arabica-Medium</v>
      </c>
      <c r="AB34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342" spans="1:28" x14ac:dyDescent="0.25">
      <c r="A342" s="2" t="s">
        <v>4522</v>
      </c>
      <c r="B342" s="4">
        <v>44358</v>
      </c>
      <c r="C342" s="2" t="s">
        <v>4523</v>
      </c>
      <c r="D342" t="s">
        <v>6153</v>
      </c>
      <c r="E342" s="2">
        <v>4</v>
      </c>
      <c r="F342" s="2" t="str">
        <f>_xlfn.XLOOKUP(C342,customers!$A$1:$A$1001,customers!$B$1:$B$1001,,0)</f>
        <v>Alon Pllu</v>
      </c>
      <c r="G342" s="2" t="str">
        <f>IF(_xlfn.XLOOKUP(C342,customers!$A$1:$A$1001,customers!$C$1:$C$1001,,0)=0,"",_xlfn.XLOOKUP(C342,customers!$A$1:$A$1001,customers!$C$1:$C$1001,,0))</f>
        <v>aplluju@dagondesign.com</v>
      </c>
      <c r="H342" s="2" t="str">
        <f>_xlfn.XLOOKUP(C342,customers!$A$1:$A$1001,customers!$G$1:$G$1001,,0)</f>
        <v>Ireland</v>
      </c>
      <c r="I342" t="str">
        <f>INDEX(products!$A$1:$G$49, MATCH(orders!$D716,products!$A$1:$A763,0), MATCH(orders!I$1,products!$A$1:$G$1,0))</f>
        <v>Exc</v>
      </c>
      <c r="J342" t="str">
        <f>INDEX(products!$A$1:$G$49, MATCH(orders!$D716,products!$A$1:$A763,0), MATCH(orders!J$1,products!$A$1:$G$1,0))</f>
        <v>D</v>
      </c>
      <c r="K342" s="5">
        <f>INDEX(products!$A$1:$G$49, MATCH(orders!$D716,products!$A$1:$A763,0), MATCH(orders!K$1,products!$A$1:$G$1,0))</f>
        <v>0.2</v>
      </c>
      <c r="L342" s="6">
        <f>INDEX(products!$A$1:$G$49, MATCH(orders!$D716,products!$A$1:$A763,0), MATCH(orders!L$1,products!$A$1:$G$1,0))</f>
        <v>3.645</v>
      </c>
      <c r="M342" s="6">
        <f t="shared" si="15"/>
        <v>14.58</v>
      </c>
      <c r="N342" t="str">
        <f t="shared" si="16"/>
        <v>Excelsa</v>
      </c>
      <c r="O342" t="str">
        <f t="shared" si="17"/>
        <v>Dark</v>
      </c>
      <c r="P342" t="str">
        <f>_xlfn.XLOOKUP(Orders[[#This Row],[Customer ID]],customers!$A$1:$A$1001,customers!$I$1:$I$1001,,0)</f>
        <v>Yes</v>
      </c>
      <c r="Q342">
        <f>COUNTIF(Orders[Order ID],Orders[[#This Row],[Order ID]])</f>
        <v>1</v>
      </c>
      <c r="R342" s="10">
        <f>SUMIF(Orders[Order ID], Orders[[#This Row],[Order ID]],Orders[Sales])/Orders[[#This Row],[Order Frequency]]</f>
        <v>14.58</v>
      </c>
      <c r="S342" t="str">
        <f>IF(Orders[[#This Row],[Order Frequency]]&gt;4, "More than 4", IF(AND(Orders[[#This Row],[Order Frequency]]&lt;=4,Orders[[#This Row],[Order Frequency]]&gt;=2), "Between 4 and 2", "Less than 2"))</f>
        <v>Less than 2</v>
      </c>
      <c r="T342" t="str">
        <f>IF(Orders[[#This Row],[Frequency Group]]="less than 2", "Low Value", IF(Orders[[#This Row],[Frequency Group]]="between 4 and 2", "Medium Value", "High Value"))</f>
        <v>Low Value</v>
      </c>
      <c r="U342" t="str">
        <f>IF(Orders[[#This Row],[Sales]]&lt;50, "$0-50", IF(AND(Orders[[#This Row],[Sales]]&gt;=50,Orders[[#This Row],[Sales]]&lt;=100), "$50-100", IF(AND(Orders[[#This Row],[Sales]]&gt;100,Orders[[#This Row],[Sales]]&lt;=150), "$101-150", "$150+")))</f>
        <v>$0-50</v>
      </c>
      <c r="V342" t="str">
        <f>IF(Orders[[#This Row],[Sales]]&gt;MEDIAN(M:M), "High Price", "Low Price")</f>
        <v>Low Price</v>
      </c>
      <c r="W342" t="str">
        <f>IF(Orders[[#This Row],[Quantity]]&gt;MEDIAN(E:E), "High Volume", "Low Volume")</f>
        <v>Low Volume</v>
      </c>
      <c r="X342" t="str">
        <f>Orders[[#This Row],[Sales Tier]] &amp; "-" &amp; Orders[[#This Row],[Quantity Tier]]</f>
        <v>Low Price-Low Volume</v>
      </c>
      <c r="Y342" t="str">
        <f>TEXT(Orders[[#This Row],[Order Date]], "mmmm")</f>
        <v>June</v>
      </c>
      <c r="Z34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342" t="str">
        <f>Orders[[#This Row],[Coffee Type Name]] &amp; "-" &amp; Orders[[#This Row],[Roast Type Name]]</f>
        <v>Excelsa-Dark</v>
      </c>
      <c r="AB34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343" spans="1:28" x14ac:dyDescent="0.25">
      <c r="A343" s="2" t="s">
        <v>5002</v>
      </c>
      <c r="B343" s="4">
        <v>43950</v>
      </c>
      <c r="C343" s="2" t="s">
        <v>5003</v>
      </c>
      <c r="D343" t="s">
        <v>6163</v>
      </c>
      <c r="E343" s="2">
        <v>3</v>
      </c>
      <c r="F343" s="2" t="str">
        <f>_xlfn.XLOOKUP(C343,customers!$A$1:$A$1001,customers!$B$1:$B$1001,,0)</f>
        <v>Guenevere Ruggen</v>
      </c>
      <c r="G343" s="2" t="str">
        <f>IF(_xlfn.XLOOKUP(C343,customers!$A$1:$A$1001,customers!$C$1:$C$1001,,0)=0,"",_xlfn.XLOOKUP(C343,customers!$A$1:$A$1001,customers!$C$1:$C$1001,,0))</f>
        <v>gruggenm6@nymag.com</v>
      </c>
      <c r="H343" s="2" t="str">
        <f>_xlfn.XLOOKUP(C343,customers!$A$1:$A$1001,customers!$G$1:$G$1001,,0)</f>
        <v>United States</v>
      </c>
      <c r="I343" t="str">
        <f>INDEX(products!$A$1:$G$49, MATCH(orders!$D800,products!$A$1:$A847,0), MATCH(orders!I$1,products!$A$1:$G$1,0))</f>
        <v>Rob</v>
      </c>
      <c r="J343" t="str">
        <f>INDEX(products!$A$1:$G$49, MATCH(orders!$D800,products!$A$1:$A847,0), MATCH(orders!J$1,products!$A$1:$G$1,0))</f>
        <v>D</v>
      </c>
      <c r="K343" s="5">
        <f>INDEX(products!$A$1:$G$49, MATCH(orders!$D800,products!$A$1:$A847,0), MATCH(orders!K$1,products!$A$1:$G$1,0))</f>
        <v>0.2</v>
      </c>
      <c r="L343" s="6">
        <f>INDEX(products!$A$1:$G$49, MATCH(orders!$D800,products!$A$1:$A847,0), MATCH(orders!L$1,products!$A$1:$G$1,0))</f>
        <v>2.6849999999999996</v>
      </c>
      <c r="M343" s="6">
        <f t="shared" si="15"/>
        <v>8.0549999999999997</v>
      </c>
      <c r="N343" t="str">
        <f t="shared" si="16"/>
        <v>Robusta</v>
      </c>
      <c r="O343" t="str">
        <f t="shared" si="17"/>
        <v>Dark</v>
      </c>
      <c r="P343" t="str">
        <f>_xlfn.XLOOKUP(Orders[[#This Row],[Customer ID]],customers!$A$1:$A$1001,customers!$I$1:$I$1001,,0)</f>
        <v>Yes</v>
      </c>
      <c r="Q343">
        <f>COUNTIF(Orders[Order ID],Orders[[#This Row],[Order ID]])</f>
        <v>1</v>
      </c>
      <c r="R343" s="10">
        <f>SUMIF(Orders[Order ID], Orders[[#This Row],[Order ID]],Orders[Sales])/Orders[[#This Row],[Order Frequency]]</f>
        <v>8.0549999999999997</v>
      </c>
      <c r="S343" t="str">
        <f>IF(Orders[[#This Row],[Order Frequency]]&gt;4, "More than 4", IF(AND(Orders[[#This Row],[Order Frequency]]&lt;=4,Orders[[#This Row],[Order Frequency]]&gt;=2), "Between 4 and 2", "Less than 2"))</f>
        <v>Less than 2</v>
      </c>
      <c r="T343" t="str">
        <f>IF(Orders[[#This Row],[Frequency Group]]="less than 2", "Low Value", IF(Orders[[#This Row],[Frequency Group]]="between 4 and 2", "Medium Value", "High Value"))</f>
        <v>Low Value</v>
      </c>
      <c r="U343" t="str">
        <f>IF(Orders[[#This Row],[Sales]]&lt;50, "$0-50", IF(AND(Orders[[#This Row],[Sales]]&gt;=50,Orders[[#This Row],[Sales]]&lt;=100), "$50-100", IF(AND(Orders[[#This Row],[Sales]]&gt;100,Orders[[#This Row],[Sales]]&lt;=150), "$101-150", "$150+")))</f>
        <v>$0-50</v>
      </c>
      <c r="V343" t="str">
        <f>IF(Orders[[#This Row],[Sales]]&gt;MEDIAN(M:M), "High Price", "Low Price")</f>
        <v>Low Price</v>
      </c>
      <c r="W343" t="str">
        <f>IF(Orders[[#This Row],[Quantity]]&gt;MEDIAN(E:E), "High Volume", "Low Volume")</f>
        <v>Low Volume</v>
      </c>
      <c r="X343" t="str">
        <f>Orders[[#This Row],[Sales Tier]] &amp; "-" &amp; Orders[[#This Row],[Quantity Tier]]</f>
        <v>Low Price-Low Volume</v>
      </c>
      <c r="Y343" t="str">
        <f>TEXT(Orders[[#This Row],[Order Date]], "mmmm")</f>
        <v>April</v>
      </c>
      <c r="Z34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343" t="str">
        <f>Orders[[#This Row],[Coffee Type Name]] &amp; "-" &amp; Orders[[#This Row],[Roast Type Name]]</f>
        <v>Robusta-Dark</v>
      </c>
      <c r="AB34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344" spans="1:28" x14ac:dyDescent="0.25">
      <c r="A344" s="2" t="s">
        <v>2999</v>
      </c>
      <c r="B344" s="4">
        <v>43784</v>
      </c>
      <c r="C344" s="2" t="s">
        <v>3000</v>
      </c>
      <c r="D344" t="s">
        <v>6181</v>
      </c>
      <c r="E344" s="2">
        <v>2</v>
      </c>
      <c r="F344" s="2" t="str">
        <f>_xlfn.XLOOKUP(C344,customers!$A$1:$A$1001,customers!$B$1:$B$1001,,0)</f>
        <v>Kizzie Warman</v>
      </c>
      <c r="G344" s="2" t="str">
        <f>IF(_xlfn.XLOOKUP(C344,customers!$A$1:$A$1001,customers!$C$1:$C$1001,,0)=0,"",_xlfn.XLOOKUP(C344,customers!$A$1:$A$1001,customers!$C$1:$C$1001,,0))</f>
        <v>kwarmancd@printfriendly.com</v>
      </c>
      <c r="H344" s="2" t="str">
        <f>_xlfn.XLOOKUP(C344,customers!$A$1:$A$1001,customers!$G$1:$G$1001,,0)</f>
        <v>Ireland</v>
      </c>
      <c r="I344" t="str">
        <f>INDEX(products!$A$1:$G$49, MATCH(orders!$D447,products!$A$1:$A494,0), MATCH(orders!I$1,products!$A$1:$G$1,0))</f>
        <v>Lib</v>
      </c>
      <c r="J344" t="str">
        <f>INDEX(products!$A$1:$G$49, MATCH(orders!$D447,products!$A$1:$A494,0), MATCH(orders!J$1,products!$A$1:$G$1,0))</f>
        <v>M</v>
      </c>
      <c r="K344" s="5">
        <f>INDEX(products!$A$1:$G$49, MATCH(orders!$D447,products!$A$1:$A494,0), MATCH(orders!K$1,products!$A$1:$G$1,0))</f>
        <v>2.5</v>
      </c>
      <c r="L344" s="6">
        <f>INDEX(products!$A$1:$G$49, MATCH(orders!$D447,products!$A$1:$A494,0), MATCH(orders!L$1,products!$A$1:$G$1,0))</f>
        <v>33.464999999999996</v>
      </c>
      <c r="M344" s="6">
        <f t="shared" si="15"/>
        <v>66.929999999999993</v>
      </c>
      <c r="N344" t="str">
        <f t="shared" si="16"/>
        <v>Liberica</v>
      </c>
      <c r="O344" t="str">
        <f t="shared" si="17"/>
        <v>Medium</v>
      </c>
      <c r="P344" t="str">
        <f>_xlfn.XLOOKUP(Orders[[#This Row],[Customer ID]],customers!$A$1:$A$1001,customers!$I$1:$I$1001,,0)</f>
        <v>Yes</v>
      </c>
      <c r="Q344">
        <f>COUNTIF(Orders[Order ID],Orders[[#This Row],[Order ID]])</f>
        <v>1</v>
      </c>
      <c r="R344" s="10">
        <f>SUMIF(Orders[Order ID], Orders[[#This Row],[Order ID]],Orders[Sales])/Orders[[#This Row],[Order Frequency]]</f>
        <v>66.929999999999993</v>
      </c>
      <c r="S344" t="str">
        <f>IF(Orders[[#This Row],[Order Frequency]]&gt;4, "More than 4", IF(AND(Orders[[#This Row],[Order Frequency]]&lt;=4,Orders[[#This Row],[Order Frequency]]&gt;=2), "Between 4 and 2", "Less than 2"))</f>
        <v>Less than 2</v>
      </c>
      <c r="T344" t="str">
        <f>IF(Orders[[#This Row],[Frequency Group]]="less than 2", "Low Value", IF(Orders[[#This Row],[Frequency Group]]="between 4 and 2", "Medium Value", "High Value"))</f>
        <v>Low Value</v>
      </c>
      <c r="U344" t="str">
        <f>IF(Orders[[#This Row],[Sales]]&lt;50, "$0-50", IF(AND(Orders[[#This Row],[Sales]]&gt;=50,Orders[[#This Row],[Sales]]&lt;=100), "$50-100", IF(AND(Orders[[#This Row],[Sales]]&gt;100,Orders[[#This Row],[Sales]]&lt;=150), "$101-150", "$150+")))</f>
        <v>$50-100</v>
      </c>
      <c r="V344" t="str">
        <f>IF(Orders[[#This Row],[Sales]]&gt;MEDIAN(M:M), "High Price", "Low Price")</f>
        <v>High Price</v>
      </c>
      <c r="W344" t="str">
        <f>IF(Orders[[#This Row],[Quantity]]&gt;MEDIAN(E:E), "High Volume", "Low Volume")</f>
        <v>Low Volume</v>
      </c>
      <c r="X344" t="str">
        <f>Orders[[#This Row],[Sales Tier]] &amp; "-" &amp; Orders[[#This Row],[Quantity Tier]]</f>
        <v>High Price-Low Volume</v>
      </c>
      <c r="Y344" t="str">
        <f>TEXT(Orders[[#This Row],[Order Date]], "mmmm")</f>
        <v>November</v>
      </c>
      <c r="Z34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344" t="str">
        <f>Orders[[#This Row],[Coffee Type Name]] &amp; "-" &amp; Orders[[#This Row],[Roast Type Name]]</f>
        <v>Liberica-Medium</v>
      </c>
      <c r="AB34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345" spans="1:28" x14ac:dyDescent="0.25">
      <c r="A345" s="2" t="s">
        <v>4787</v>
      </c>
      <c r="B345" s="4">
        <v>44189</v>
      </c>
      <c r="C345" s="2" t="s">
        <v>4788</v>
      </c>
      <c r="D345" t="s">
        <v>6176</v>
      </c>
      <c r="E345" s="2">
        <v>5</v>
      </c>
      <c r="F345" s="2" t="str">
        <f>_xlfn.XLOOKUP(C345,customers!$A$1:$A$1001,customers!$B$1:$B$1001,,0)</f>
        <v>Arlana Ferrea</v>
      </c>
      <c r="G345" s="2" t="str">
        <f>IF(_xlfn.XLOOKUP(C345,customers!$A$1:$A$1001,customers!$C$1:$C$1001,,0)=0,"",_xlfn.XLOOKUP(C345,customers!$A$1:$A$1001,customers!$C$1:$C$1001,,0))</f>
        <v>aferreal4@wikia.com</v>
      </c>
      <c r="H345" s="2" t="str">
        <f>_xlfn.XLOOKUP(C345,customers!$A$1:$A$1001,customers!$G$1:$G$1001,,0)</f>
        <v>United States</v>
      </c>
      <c r="I345" t="str">
        <f>INDEX(products!$A$1:$G$49, MATCH(orders!$D762,products!$A$1:$A809,0), MATCH(orders!I$1,products!$A$1:$G$1,0))</f>
        <v>Exc</v>
      </c>
      <c r="J345" t="str">
        <f>INDEX(products!$A$1:$G$49, MATCH(orders!$D762,products!$A$1:$A809,0), MATCH(orders!J$1,products!$A$1:$G$1,0))</f>
        <v>L</v>
      </c>
      <c r="K345" s="5">
        <f>INDEX(products!$A$1:$G$49, MATCH(orders!$D762,products!$A$1:$A809,0), MATCH(orders!K$1,products!$A$1:$G$1,0))</f>
        <v>0.5</v>
      </c>
      <c r="L345" s="6">
        <f>INDEX(products!$A$1:$G$49, MATCH(orders!$D762,products!$A$1:$A809,0), MATCH(orders!L$1,products!$A$1:$G$1,0))</f>
        <v>8.91</v>
      </c>
      <c r="M345" s="6">
        <f t="shared" si="15"/>
        <v>44.55</v>
      </c>
      <c r="N345" t="str">
        <f t="shared" si="16"/>
        <v>Excelsa</v>
      </c>
      <c r="O345" t="str">
        <f t="shared" si="17"/>
        <v>Light</v>
      </c>
      <c r="P345" t="str">
        <f>_xlfn.XLOOKUP(Orders[[#This Row],[Customer ID]],customers!$A$1:$A$1001,customers!$I$1:$I$1001,,0)</f>
        <v>No</v>
      </c>
      <c r="Q345">
        <f>COUNTIF(Orders[Order ID],Orders[[#This Row],[Order ID]])</f>
        <v>1</v>
      </c>
      <c r="R345" s="10">
        <f>SUMIF(Orders[Order ID], Orders[[#This Row],[Order ID]],Orders[Sales])/Orders[[#This Row],[Order Frequency]]</f>
        <v>44.55</v>
      </c>
      <c r="S345" t="str">
        <f>IF(Orders[[#This Row],[Order Frequency]]&gt;4, "More than 4", IF(AND(Orders[[#This Row],[Order Frequency]]&lt;=4,Orders[[#This Row],[Order Frequency]]&gt;=2), "Between 4 and 2", "Less than 2"))</f>
        <v>Less than 2</v>
      </c>
      <c r="T345" t="str">
        <f>IF(Orders[[#This Row],[Frequency Group]]="less than 2", "Low Value", IF(Orders[[#This Row],[Frequency Group]]="between 4 and 2", "Medium Value", "High Value"))</f>
        <v>Low Value</v>
      </c>
      <c r="U345" t="str">
        <f>IF(Orders[[#This Row],[Sales]]&lt;50, "$0-50", IF(AND(Orders[[#This Row],[Sales]]&gt;=50,Orders[[#This Row],[Sales]]&lt;=100), "$50-100", IF(AND(Orders[[#This Row],[Sales]]&gt;100,Orders[[#This Row],[Sales]]&lt;=150), "$101-150", "$150+")))</f>
        <v>$0-50</v>
      </c>
      <c r="V345" t="str">
        <f>IF(Orders[[#This Row],[Sales]]&gt;MEDIAN(M:M), "High Price", "Low Price")</f>
        <v>High Price</v>
      </c>
      <c r="W345" t="str">
        <f>IF(Orders[[#This Row],[Quantity]]&gt;MEDIAN(E:E), "High Volume", "Low Volume")</f>
        <v>High Volume</v>
      </c>
      <c r="X345" t="str">
        <f>Orders[[#This Row],[Sales Tier]] &amp; "-" &amp; Orders[[#This Row],[Quantity Tier]]</f>
        <v>High Price-High Volume</v>
      </c>
      <c r="Y345" t="str">
        <f>TEXT(Orders[[#This Row],[Order Date]], "mmmm")</f>
        <v>December</v>
      </c>
      <c r="Z34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345" t="str">
        <f>Orders[[#This Row],[Coffee Type Name]] &amp; "-" &amp; Orders[[#This Row],[Roast Type Name]]</f>
        <v>Excelsa-Light</v>
      </c>
      <c r="AB34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346" spans="1:28" x14ac:dyDescent="0.25">
      <c r="A346" s="2" t="s">
        <v>3960</v>
      </c>
      <c r="B346" s="4">
        <v>44006</v>
      </c>
      <c r="C346" s="2" t="s">
        <v>3961</v>
      </c>
      <c r="D346" t="s">
        <v>6164</v>
      </c>
      <c r="E346" s="2">
        <v>2</v>
      </c>
      <c r="F346" s="2" t="str">
        <f>_xlfn.XLOOKUP(C346,customers!$A$1:$A$1001,customers!$B$1:$B$1001,,0)</f>
        <v>Shay Couronne</v>
      </c>
      <c r="G346" s="2" t="str">
        <f>IF(_xlfn.XLOOKUP(C346,customers!$A$1:$A$1001,customers!$C$1:$C$1001,,0)=0,"",_xlfn.XLOOKUP(C346,customers!$A$1:$A$1001,customers!$C$1:$C$1001,,0))</f>
        <v>scouronneh3@mozilla.org</v>
      </c>
      <c r="H346" s="2" t="str">
        <f>_xlfn.XLOOKUP(C346,customers!$A$1:$A$1001,customers!$G$1:$G$1001,,0)</f>
        <v>United States</v>
      </c>
      <c r="I346" t="str">
        <f>INDEX(products!$A$1:$G$49, MATCH(orders!$D617,products!$A$1:$A664,0), MATCH(orders!I$1,products!$A$1:$G$1,0))</f>
        <v>Lib</v>
      </c>
      <c r="J346" t="str">
        <f>INDEX(products!$A$1:$G$49, MATCH(orders!$D617,products!$A$1:$A664,0), MATCH(orders!J$1,products!$A$1:$G$1,0))</f>
        <v>L</v>
      </c>
      <c r="K346" s="5">
        <f>INDEX(products!$A$1:$G$49, MATCH(orders!$D617,products!$A$1:$A664,0), MATCH(orders!K$1,products!$A$1:$G$1,0))</f>
        <v>2.5</v>
      </c>
      <c r="L346" s="6">
        <f>INDEX(products!$A$1:$G$49, MATCH(orders!$D617,products!$A$1:$A664,0), MATCH(orders!L$1,products!$A$1:$G$1,0))</f>
        <v>36.454999999999998</v>
      </c>
      <c r="M346" s="6">
        <f t="shared" si="15"/>
        <v>72.91</v>
      </c>
      <c r="N346" t="str">
        <f t="shared" si="16"/>
        <v>Liberica</v>
      </c>
      <c r="O346" t="str">
        <f t="shared" si="17"/>
        <v>Light</v>
      </c>
      <c r="P346" t="str">
        <f>_xlfn.XLOOKUP(Orders[[#This Row],[Customer ID]],customers!$A$1:$A$1001,customers!$I$1:$I$1001,,0)</f>
        <v>Yes</v>
      </c>
      <c r="Q346">
        <f>COUNTIF(Orders[Order ID],Orders[[#This Row],[Order ID]])</f>
        <v>1</v>
      </c>
      <c r="R346" s="10">
        <f>SUMIF(Orders[Order ID], Orders[[#This Row],[Order ID]],Orders[Sales])/Orders[[#This Row],[Order Frequency]]</f>
        <v>72.91</v>
      </c>
      <c r="S346" t="str">
        <f>IF(Orders[[#This Row],[Order Frequency]]&gt;4, "More than 4", IF(AND(Orders[[#This Row],[Order Frequency]]&lt;=4,Orders[[#This Row],[Order Frequency]]&gt;=2), "Between 4 and 2", "Less than 2"))</f>
        <v>Less than 2</v>
      </c>
      <c r="T346" t="str">
        <f>IF(Orders[[#This Row],[Frequency Group]]="less than 2", "Low Value", IF(Orders[[#This Row],[Frequency Group]]="between 4 and 2", "Medium Value", "High Value"))</f>
        <v>Low Value</v>
      </c>
      <c r="U346" t="str">
        <f>IF(Orders[[#This Row],[Sales]]&lt;50, "$0-50", IF(AND(Orders[[#This Row],[Sales]]&gt;=50,Orders[[#This Row],[Sales]]&lt;=100), "$50-100", IF(AND(Orders[[#This Row],[Sales]]&gt;100,Orders[[#This Row],[Sales]]&lt;=150), "$101-150", "$150+")))</f>
        <v>$50-100</v>
      </c>
      <c r="V346" t="str">
        <f>IF(Orders[[#This Row],[Sales]]&gt;MEDIAN(M:M), "High Price", "Low Price")</f>
        <v>High Price</v>
      </c>
      <c r="W346" t="str">
        <f>IF(Orders[[#This Row],[Quantity]]&gt;MEDIAN(E:E), "High Volume", "Low Volume")</f>
        <v>Low Volume</v>
      </c>
      <c r="X346" t="str">
        <f>Orders[[#This Row],[Sales Tier]] &amp; "-" &amp; Orders[[#This Row],[Quantity Tier]]</f>
        <v>High Price-Low Volume</v>
      </c>
      <c r="Y346" t="str">
        <f>TEXT(Orders[[#This Row],[Order Date]], "mmmm")</f>
        <v>June</v>
      </c>
      <c r="Z34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346" t="str">
        <f>Orders[[#This Row],[Coffee Type Name]] &amp; "-" &amp; Orders[[#This Row],[Roast Type Name]]</f>
        <v>Liberica-Light</v>
      </c>
      <c r="AB34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347" spans="1:28" x14ac:dyDescent="0.25">
      <c r="A347" s="2" t="s">
        <v>2097</v>
      </c>
      <c r="B347" s="4">
        <v>43960</v>
      </c>
      <c r="C347" s="2" t="s">
        <v>2098</v>
      </c>
      <c r="D347" t="s">
        <v>6166</v>
      </c>
      <c r="E347" s="2">
        <v>3</v>
      </c>
      <c r="F347" s="2" t="str">
        <f>_xlfn.XLOOKUP(C347,customers!$A$1:$A$1001,customers!$B$1:$B$1001,,0)</f>
        <v>Nanine McCarthy</v>
      </c>
      <c r="G347" s="2" t="str">
        <f>IF(_xlfn.XLOOKUP(C347,customers!$A$1:$A$1001,customers!$C$1:$C$1001,,0)=0,"",_xlfn.XLOOKUP(C347,customers!$A$1:$A$1001,customers!$C$1:$C$1001,,0))</f>
        <v/>
      </c>
      <c r="H347" s="2" t="str">
        <f>_xlfn.XLOOKUP(C347,customers!$A$1:$A$1001,customers!$G$1:$G$1001,,0)</f>
        <v>United States</v>
      </c>
      <c r="I347" t="str">
        <f>INDEX(products!$A$1:$G$49, MATCH(orders!$D286,products!$A$1:$A333,0), MATCH(orders!I$1,products!$A$1:$G$1,0))</f>
        <v>Exc</v>
      </c>
      <c r="J347" t="str">
        <f>INDEX(products!$A$1:$G$49, MATCH(orders!$D286,products!$A$1:$A333,0), MATCH(orders!J$1,products!$A$1:$G$1,0))</f>
        <v>M</v>
      </c>
      <c r="K347" s="5">
        <f>INDEX(products!$A$1:$G$49, MATCH(orders!$D286,products!$A$1:$A333,0), MATCH(orders!K$1,products!$A$1:$G$1,0))</f>
        <v>2.5</v>
      </c>
      <c r="L347" s="6">
        <f>INDEX(products!$A$1:$G$49, MATCH(orders!$D286,products!$A$1:$A333,0), MATCH(orders!L$1,products!$A$1:$G$1,0))</f>
        <v>31.624999999999996</v>
      </c>
      <c r="M347" s="6">
        <f t="shared" si="15"/>
        <v>94.874999999999986</v>
      </c>
      <c r="N347" t="str">
        <f t="shared" si="16"/>
        <v>Excelsa</v>
      </c>
      <c r="O347" t="str">
        <f t="shared" si="17"/>
        <v>Medium</v>
      </c>
      <c r="P347" t="str">
        <f>_xlfn.XLOOKUP(Orders[[#This Row],[Customer ID]],customers!$A$1:$A$1001,customers!$I$1:$I$1001,,0)</f>
        <v>No</v>
      </c>
      <c r="Q347">
        <f>COUNTIF(Orders[Order ID],Orders[[#This Row],[Order ID]])</f>
        <v>1</v>
      </c>
      <c r="R347" s="10">
        <f>SUMIF(Orders[Order ID], Orders[[#This Row],[Order ID]],Orders[Sales])/Orders[[#This Row],[Order Frequency]]</f>
        <v>94.874999999999986</v>
      </c>
      <c r="S347" t="str">
        <f>IF(Orders[[#This Row],[Order Frequency]]&gt;4, "More than 4", IF(AND(Orders[[#This Row],[Order Frequency]]&lt;=4,Orders[[#This Row],[Order Frequency]]&gt;=2), "Between 4 and 2", "Less than 2"))</f>
        <v>Less than 2</v>
      </c>
      <c r="T347" t="str">
        <f>IF(Orders[[#This Row],[Frequency Group]]="less than 2", "Low Value", IF(Orders[[#This Row],[Frequency Group]]="between 4 and 2", "Medium Value", "High Value"))</f>
        <v>Low Value</v>
      </c>
      <c r="U347" t="str">
        <f>IF(Orders[[#This Row],[Sales]]&lt;50, "$0-50", IF(AND(Orders[[#This Row],[Sales]]&gt;=50,Orders[[#This Row],[Sales]]&lt;=100), "$50-100", IF(AND(Orders[[#This Row],[Sales]]&gt;100,Orders[[#This Row],[Sales]]&lt;=150), "$101-150", "$150+")))</f>
        <v>$50-100</v>
      </c>
      <c r="V347" t="str">
        <f>IF(Orders[[#This Row],[Sales]]&gt;MEDIAN(M:M), "High Price", "Low Price")</f>
        <v>High Price</v>
      </c>
      <c r="W347" t="str">
        <f>IF(Orders[[#This Row],[Quantity]]&gt;MEDIAN(E:E), "High Volume", "Low Volume")</f>
        <v>Low Volume</v>
      </c>
      <c r="X347" t="str">
        <f>Orders[[#This Row],[Sales Tier]] &amp; "-" &amp; Orders[[#This Row],[Quantity Tier]]</f>
        <v>High Price-Low Volume</v>
      </c>
      <c r="Y347" t="str">
        <f>TEXT(Orders[[#This Row],[Order Date]], "mmmm")</f>
        <v>May</v>
      </c>
      <c r="Z34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347" t="str">
        <f>Orders[[#This Row],[Coffee Type Name]] &amp; "-" &amp; Orders[[#This Row],[Roast Type Name]]</f>
        <v>Excelsa-Medium</v>
      </c>
      <c r="AB34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348" spans="1:28" x14ac:dyDescent="0.25">
      <c r="A348" s="2" t="s">
        <v>1753</v>
      </c>
      <c r="B348" s="4">
        <v>43836</v>
      </c>
      <c r="C348" s="2" t="s">
        <v>1754</v>
      </c>
      <c r="D348" t="s">
        <v>6165</v>
      </c>
      <c r="E348" s="2">
        <v>4</v>
      </c>
      <c r="F348" s="2" t="str">
        <f>_xlfn.XLOOKUP(C348,customers!$A$1:$A$1001,customers!$B$1:$B$1001,,0)</f>
        <v>Ketty Bromehead</v>
      </c>
      <c r="G348" s="2" t="str">
        <f>IF(_xlfn.XLOOKUP(C348,customers!$A$1:$A$1001,customers!$C$1:$C$1001,,0)=0,"",_xlfn.XLOOKUP(C348,customers!$A$1:$A$1001,customers!$C$1:$C$1001,,0))</f>
        <v>kbromehead68@un.org</v>
      </c>
      <c r="H348" s="2" t="str">
        <f>_xlfn.XLOOKUP(C348,customers!$A$1:$A$1001,customers!$G$1:$G$1001,,0)</f>
        <v>United States</v>
      </c>
      <c r="I348" t="str">
        <f>INDEX(products!$A$1:$G$49, MATCH(orders!$D226,products!$A$1:$A273,0), MATCH(orders!I$1,products!$A$1:$G$1,0))</f>
        <v>Lib</v>
      </c>
      <c r="J348" t="str">
        <f>INDEX(products!$A$1:$G$49, MATCH(orders!$D226,products!$A$1:$A273,0), MATCH(orders!J$1,products!$A$1:$G$1,0))</f>
        <v>D</v>
      </c>
      <c r="K348" s="5">
        <f>INDEX(products!$A$1:$G$49, MATCH(orders!$D226,products!$A$1:$A273,0), MATCH(orders!K$1,products!$A$1:$G$1,0))</f>
        <v>2.5</v>
      </c>
      <c r="L348" s="6">
        <f>INDEX(products!$A$1:$G$49, MATCH(orders!$D226,products!$A$1:$A273,0), MATCH(orders!L$1,products!$A$1:$G$1,0))</f>
        <v>29.784999999999997</v>
      </c>
      <c r="M348" s="6">
        <f t="shared" si="15"/>
        <v>119.13999999999999</v>
      </c>
      <c r="N348" t="str">
        <f t="shared" si="16"/>
        <v>Liberica</v>
      </c>
      <c r="O348" t="str">
        <f t="shared" si="17"/>
        <v>Dark</v>
      </c>
      <c r="P348" t="str">
        <f>_xlfn.XLOOKUP(Orders[[#This Row],[Customer ID]],customers!$A$1:$A$1001,customers!$I$1:$I$1001,,0)</f>
        <v>Yes</v>
      </c>
      <c r="Q348">
        <f>COUNTIF(Orders[Order ID],Orders[[#This Row],[Order ID]])</f>
        <v>1</v>
      </c>
      <c r="R348" s="10">
        <f>SUMIF(Orders[Order ID], Orders[[#This Row],[Order ID]],Orders[Sales])/Orders[[#This Row],[Order Frequency]]</f>
        <v>119.13999999999999</v>
      </c>
      <c r="S348" t="str">
        <f>IF(Orders[[#This Row],[Order Frequency]]&gt;4, "More than 4", IF(AND(Orders[[#This Row],[Order Frequency]]&lt;=4,Orders[[#This Row],[Order Frequency]]&gt;=2), "Between 4 and 2", "Less than 2"))</f>
        <v>Less than 2</v>
      </c>
      <c r="T348" t="str">
        <f>IF(Orders[[#This Row],[Frequency Group]]="less than 2", "Low Value", IF(Orders[[#This Row],[Frequency Group]]="between 4 and 2", "Medium Value", "High Value"))</f>
        <v>Low Value</v>
      </c>
      <c r="U348" t="str">
        <f>IF(Orders[[#This Row],[Sales]]&lt;50, "$0-50", IF(AND(Orders[[#This Row],[Sales]]&gt;=50,Orders[[#This Row],[Sales]]&lt;=100), "$50-100", IF(AND(Orders[[#This Row],[Sales]]&gt;100,Orders[[#This Row],[Sales]]&lt;=150), "$101-150", "$150+")))</f>
        <v>$101-150</v>
      </c>
      <c r="V348" t="str">
        <f>IF(Orders[[#This Row],[Sales]]&gt;MEDIAN(M:M), "High Price", "Low Price")</f>
        <v>High Price</v>
      </c>
      <c r="W348" t="str">
        <f>IF(Orders[[#This Row],[Quantity]]&gt;MEDIAN(E:E), "High Volume", "Low Volume")</f>
        <v>Low Volume</v>
      </c>
      <c r="X348" t="str">
        <f>Orders[[#This Row],[Sales Tier]] &amp; "-" &amp; Orders[[#This Row],[Quantity Tier]]</f>
        <v>High Price-Low Volume</v>
      </c>
      <c r="Y348" t="str">
        <f>TEXT(Orders[[#This Row],[Order Date]], "mmmm")</f>
        <v>January</v>
      </c>
      <c r="Z34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348" t="str">
        <f>Orders[[#This Row],[Coffee Type Name]] &amp; "-" &amp; Orders[[#This Row],[Roast Type Name]]</f>
        <v>Liberica-Dark</v>
      </c>
      <c r="AB34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349" spans="1:28" x14ac:dyDescent="0.25">
      <c r="A349" s="2" t="s">
        <v>2181</v>
      </c>
      <c r="B349" s="4">
        <v>44646</v>
      </c>
      <c r="C349" s="2" t="s">
        <v>2182</v>
      </c>
      <c r="D349" t="s">
        <v>6140</v>
      </c>
      <c r="E349" s="2">
        <v>3</v>
      </c>
      <c r="F349" s="2" t="str">
        <f>_xlfn.XLOOKUP(C349,customers!$A$1:$A$1001,customers!$B$1:$B$1001,,0)</f>
        <v>Arel De Lasci</v>
      </c>
      <c r="G349" s="2" t="str">
        <f>IF(_xlfn.XLOOKUP(C349,customers!$A$1:$A$1001,customers!$C$1:$C$1001,,0)=0,"",_xlfn.XLOOKUP(C349,customers!$A$1:$A$1001,customers!$C$1:$C$1001,,0))</f>
        <v>ade8c@1und1.de</v>
      </c>
      <c r="H349" s="2" t="str">
        <f>_xlfn.XLOOKUP(C349,customers!$A$1:$A$1001,customers!$G$1:$G$1001,,0)</f>
        <v>United States</v>
      </c>
      <c r="I349" t="str">
        <f>INDEX(products!$A$1:$G$49, MATCH(orders!$D302,products!$A$1:$A349,0), MATCH(orders!I$1,products!$A$1:$G$1,0))</f>
        <v>Ara</v>
      </c>
      <c r="J349" t="str">
        <f>INDEX(products!$A$1:$G$49, MATCH(orders!$D302,products!$A$1:$A349,0), MATCH(orders!J$1,products!$A$1:$G$1,0))</f>
        <v>L</v>
      </c>
      <c r="K349" s="5">
        <f>INDEX(products!$A$1:$G$49, MATCH(orders!$D302,products!$A$1:$A349,0), MATCH(orders!K$1,products!$A$1:$G$1,0))</f>
        <v>1</v>
      </c>
      <c r="L349" s="6">
        <f>INDEX(products!$A$1:$G$49, MATCH(orders!$D302,products!$A$1:$A349,0), MATCH(orders!L$1,products!$A$1:$G$1,0))</f>
        <v>12.95</v>
      </c>
      <c r="M349" s="6">
        <f t="shared" si="15"/>
        <v>38.849999999999994</v>
      </c>
      <c r="N349" t="str">
        <f t="shared" si="16"/>
        <v>Arabica</v>
      </c>
      <c r="O349" t="str">
        <f t="shared" si="17"/>
        <v>Light</v>
      </c>
      <c r="P349" t="str">
        <f>_xlfn.XLOOKUP(Orders[[#This Row],[Customer ID]],customers!$A$1:$A$1001,customers!$I$1:$I$1001,,0)</f>
        <v>Yes</v>
      </c>
      <c r="Q349">
        <f>COUNTIF(Orders[Order ID],Orders[[#This Row],[Order ID]])</f>
        <v>1</v>
      </c>
      <c r="R349" s="10">
        <f>SUMIF(Orders[Order ID], Orders[[#This Row],[Order ID]],Orders[Sales])/Orders[[#This Row],[Order Frequency]]</f>
        <v>38.849999999999994</v>
      </c>
      <c r="S349" t="str">
        <f>IF(Orders[[#This Row],[Order Frequency]]&gt;4, "More than 4", IF(AND(Orders[[#This Row],[Order Frequency]]&lt;=4,Orders[[#This Row],[Order Frequency]]&gt;=2), "Between 4 and 2", "Less than 2"))</f>
        <v>Less than 2</v>
      </c>
      <c r="T349" t="str">
        <f>IF(Orders[[#This Row],[Frequency Group]]="less than 2", "Low Value", IF(Orders[[#This Row],[Frequency Group]]="between 4 and 2", "Medium Value", "High Value"))</f>
        <v>Low Value</v>
      </c>
      <c r="U349" t="str">
        <f>IF(Orders[[#This Row],[Sales]]&lt;50, "$0-50", IF(AND(Orders[[#This Row],[Sales]]&gt;=50,Orders[[#This Row],[Sales]]&lt;=100), "$50-100", IF(AND(Orders[[#This Row],[Sales]]&gt;100,Orders[[#This Row],[Sales]]&lt;=150), "$101-150", "$150+")))</f>
        <v>$0-50</v>
      </c>
      <c r="V349" t="str">
        <f>IF(Orders[[#This Row],[Sales]]&gt;MEDIAN(M:M), "High Price", "Low Price")</f>
        <v>High Price</v>
      </c>
      <c r="W349" t="str">
        <f>IF(Orders[[#This Row],[Quantity]]&gt;MEDIAN(E:E), "High Volume", "Low Volume")</f>
        <v>Low Volume</v>
      </c>
      <c r="X349" t="str">
        <f>Orders[[#This Row],[Sales Tier]] &amp; "-" &amp; Orders[[#This Row],[Quantity Tier]]</f>
        <v>High Price-Low Volume</v>
      </c>
      <c r="Y349" t="str">
        <f>TEXT(Orders[[#This Row],[Order Date]], "mmmm")</f>
        <v>March</v>
      </c>
      <c r="Z34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349" t="str">
        <f>Orders[[#This Row],[Coffee Type Name]] &amp; "-" &amp; Orders[[#This Row],[Roast Type Name]]</f>
        <v>Arabica-Light</v>
      </c>
      <c r="AB34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350" spans="1:28" x14ac:dyDescent="0.25">
      <c r="A350" s="2" t="s">
        <v>1379</v>
      </c>
      <c r="B350" s="4">
        <v>43714</v>
      </c>
      <c r="C350" s="2" t="s">
        <v>1380</v>
      </c>
      <c r="D350" t="s">
        <v>6149</v>
      </c>
      <c r="E350" s="2">
        <v>6</v>
      </c>
      <c r="F350" s="2" t="str">
        <f>_xlfn.XLOOKUP(C350,customers!$A$1:$A$1001,customers!$B$1:$B$1001,,0)</f>
        <v>Say Risborough</v>
      </c>
      <c r="G350" s="2" t="str">
        <f>IF(_xlfn.XLOOKUP(C350,customers!$A$1:$A$1001,customers!$C$1:$C$1001,,0)=0,"",_xlfn.XLOOKUP(C350,customers!$A$1:$A$1001,customers!$C$1:$C$1001,,0))</f>
        <v/>
      </c>
      <c r="H350" s="2" t="str">
        <f>_xlfn.XLOOKUP(C350,customers!$A$1:$A$1001,customers!$G$1:$G$1001,,0)</f>
        <v>United States</v>
      </c>
      <c r="I350" t="str">
        <f>INDEX(products!$A$1:$G$49, MATCH(orders!$D160,products!$A$1:$A207,0), MATCH(orders!I$1,products!$A$1:$G$1,0))</f>
        <v>Rob</v>
      </c>
      <c r="J350" t="str">
        <f>INDEX(products!$A$1:$G$49, MATCH(orders!$D160,products!$A$1:$A207,0), MATCH(orders!J$1,products!$A$1:$G$1,0))</f>
        <v>D</v>
      </c>
      <c r="K350" s="5">
        <f>INDEX(products!$A$1:$G$49, MATCH(orders!$D160,products!$A$1:$A207,0), MATCH(orders!K$1,products!$A$1:$G$1,0))</f>
        <v>2.5</v>
      </c>
      <c r="L350" s="6">
        <f>INDEX(products!$A$1:$G$49, MATCH(orders!$D160,products!$A$1:$A207,0), MATCH(orders!L$1,products!$A$1:$G$1,0))</f>
        <v>20.584999999999997</v>
      </c>
      <c r="M350" s="6">
        <f t="shared" si="15"/>
        <v>123.50999999999999</v>
      </c>
      <c r="N350" t="str">
        <f t="shared" si="16"/>
        <v>Robusta</v>
      </c>
      <c r="O350" t="str">
        <f t="shared" si="17"/>
        <v>Dark</v>
      </c>
      <c r="P350" t="str">
        <f>_xlfn.XLOOKUP(Orders[[#This Row],[Customer ID]],customers!$A$1:$A$1001,customers!$I$1:$I$1001,,0)</f>
        <v>Yes</v>
      </c>
      <c r="Q350">
        <f>COUNTIF(Orders[Order ID],Orders[[#This Row],[Order ID]])</f>
        <v>1</v>
      </c>
      <c r="R350" s="10">
        <f>SUMIF(Orders[Order ID], Orders[[#This Row],[Order ID]],Orders[Sales])/Orders[[#This Row],[Order Frequency]]</f>
        <v>123.50999999999999</v>
      </c>
      <c r="S350" t="str">
        <f>IF(Orders[[#This Row],[Order Frequency]]&gt;4, "More than 4", IF(AND(Orders[[#This Row],[Order Frequency]]&lt;=4,Orders[[#This Row],[Order Frequency]]&gt;=2), "Between 4 and 2", "Less than 2"))</f>
        <v>Less than 2</v>
      </c>
      <c r="T350" t="str">
        <f>IF(Orders[[#This Row],[Frequency Group]]="less than 2", "Low Value", IF(Orders[[#This Row],[Frequency Group]]="between 4 and 2", "Medium Value", "High Value"))</f>
        <v>Low Value</v>
      </c>
      <c r="U350" t="str">
        <f>IF(Orders[[#This Row],[Sales]]&lt;50, "$0-50", IF(AND(Orders[[#This Row],[Sales]]&gt;=50,Orders[[#This Row],[Sales]]&lt;=100), "$50-100", IF(AND(Orders[[#This Row],[Sales]]&gt;100,Orders[[#This Row],[Sales]]&lt;=150), "$101-150", "$150+")))</f>
        <v>$101-150</v>
      </c>
      <c r="V350" t="str">
        <f>IF(Orders[[#This Row],[Sales]]&gt;MEDIAN(M:M), "High Price", "Low Price")</f>
        <v>High Price</v>
      </c>
      <c r="W350" t="str">
        <f>IF(Orders[[#This Row],[Quantity]]&gt;MEDIAN(E:E), "High Volume", "Low Volume")</f>
        <v>High Volume</v>
      </c>
      <c r="X350" t="str">
        <f>Orders[[#This Row],[Sales Tier]] &amp; "-" &amp; Orders[[#This Row],[Quantity Tier]]</f>
        <v>High Price-High Volume</v>
      </c>
      <c r="Y350" t="str">
        <f>TEXT(Orders[[#This Row],[Order Date]], "mmmm")</f>
        <v>September</v>
      </c>
      <c r="Z35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350" t="str">
        <f>Orders[[#This Row],[Coffee Type Name]] &amp; "-" &amp; Orders[[#This Row],[Roast Type Name]]</f>
        <v>Robusta-Dark</v>
      </c>
      <c r="AB35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351" spans="1:28" x14ac:dyDescent="0.25">
      <c r="A351" s="2" t="s">
        <v>3418</v>
      </c>
      <c r="B351" s="4">
        <v>44194</v>
      </c>
      <c r="C351" s="2" t="s">
        <v>3419</v>
      </c>
      <c r="D351" t="s">
        <v>6185</v>
      </c>
      <c r="E351" s="2">
        <v>5</v>
      </c>
      <c r="F351" s="2" t="str">
        <f>_xlfn.XLOOKUP(C351,customers!$A$1:$A$1001,customers!$B$1:$B$1001,,0)</f>
        <v>Karl Imorts</v>
      </c>
      <c r="G351" s="2" t="str">
        <f>IF(_xlfn.XLOOKUP(C351,customers!$A$1:$A$1001,customers!$C$1:$C$1001,,0)=0,"",_xlfn.XLOOKUP(C351,customers!$A$1:$A$1001,customers!$C$1:$C$1001,,0))</f>
        <v>kimortsee@alexa.com</v>
      </c>
      <c r="H351" s="2" t="str">
        <f>_xlfn.XLOOKUP(C351,customers!$A$1:$A$1001,customers!$G$1:$G$1001,,0)</f>
        <v>United States</v>
      </c>
      <c r="I351" t="str">
        <f>INDEX(products!$A$1:$G$49, MATCH(orders!$D520,products!$A$1:$A567,0), MATCH(orders!I$1,products!$A$1:$G$1,0))</f>
        <v>Exc</v>
      </c>
      <c r="J351" t="str">
        <f>INDEX(products!$A$1:$G$49, MATCH(orders!$D520,products!$A$1:$A567,0), MATCH(orders!J$1,products!$A$1:$G$1,0))</f>
        <v>D</v>
      </c>
      <c r="K351" s="5">
        <f>INDEX(products!$A$1:$G$49, MATCH(orders!$D520,products!$A$1:$A567,0), MATCH(orders!K$1,products!$A$1:$G$1,0))</f>
        <v>2.5</v>
      </c>
      <c r="L351" s="6">
        <f>INDEX(products!$A$1:$G$49, MATCH(orders!$D520,products!$A$1:$A567,0), MATCH(orders!L$1,products!$A$1:$G$1,0))</f>
        <v>27.945</v>
      </c>
      <c r="M351" s="6">
        <f t="shared" si="15"/>
        <v>139.72499999999999</v>
      </c>
      <c r="N351" t="str">
        <f t="shared" si="16"/>
        <v>Excelsa</v>
      </c>
      <c r="O351" t="str">
        <f t="shared" si="17"/>
        <v>Dark</v>
      </c>
      <c r="P351" t="str">
        <f>_xlfn.XLOOKUP(Orders[[#This Row],[Customer ID]],customers!$A$1:$A$1001,customers!$I$1:$I$1001,,0)</f>
        <v>No</v>
      </c>
      <c r="Q351">
        <f>COUNTIF(Orders[Order ID],Orders[[#This Row],[Order ID]])</f>
        <v>1</v>
      </c>
      <c r="R351" s="10">
        <f>SUMIF(Orders[Order ID], Orders[[#This Row],[Order ID]],Orders[Sales])/Orders[[#This Row],[Order Frequency]]</f>
        <v>139.72499999999999</v>
      </c>
      <c r="S351" t="str">
        <f>IF(Orders[[#This Row],[Order Frequency]]&gt;4, "More than 4", IF(AND(Orders[[#This Row],[Order Frequency]]&lt;=4,Orders[[#This Row],[Order Frequency]]&gt;=2), "Between 4 and 2", "Less than 2"))</f>
        <v>Less than 2</v>
      </c>
      <c r="T351" t="str">
        <f>IF(Orders[[#This Row],[Frequency Group]]="less than 2", "Low Value", IF(Orders[[#This Row],[Frequency Group]]="between 4 and 2", "Medium Value", "High Value"))</f>
        <v>Low Value</v>
      </c>
      <c r="U351" t="str">
        <f>IF(Orders[[#This Row],[Sales]]&lt;50, "$0-50", IF(AND(Orders[[#This Row],[Sales]]&gt;=50,Orders[[#This Row],[Sales]]&lt;=100), "$50-100", IF(AND(Orders[[#This Row],[Sales]]&gt;100,Orders[[#This Row],[Sales]]&lt;=150), "$101-150", "$150+")))</f>
        <v>$101-150</v>
      </c>
      <c r="V351" t="str">
        <f>IF(Orders[[#This Row],[Sales]]&gt;MEDIAN(M:M), "High Price", "Low Price")</f>
        <v>High Price</v>
      </c>
      <c r="W351" t="str">
        <f>IF(Orders[[#This Row],[Quantity]]&gt;MEDIAN(E:E), "High Volume", "Low Volume")</f>
        <v>High Volume</v>
      </c>
      <c r="X351" t="str">
        <f>Orders[[#This Row],[Sales Tier]] &amp; "-" &amp; Orders[[#This Row],[Quantity Tier]]</f>
        <v>High Price-High Volume</v>
      </c>
      <c r="Y351" t="str">
        <f>TEXT(Orders[[#This Row],[Order Date]], "mmmm")</f>
        <v>December</v>
      </c>
      <c r="Z35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351" t="str">
        <f>Orders[[#This Row],[Coffee Type Name]] &amp; "-" &amp; Orders[[#This Row],[Roast Type Name]]</f>
        <v>Excelsa-Dark</v>
      </c>
      <c r="AB35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352" spans="1:28" x14ac:dyDescent="0.25">
      <c r="A352" s="2" t="s">
        <v>2244</v>
      </c>
      <c r="B352" s="4">
        <v>43951</v>
      </c>
      <c r="C352" s="2" t="s">
        <v>2245</v>
      </c>
      <c r="D352" t="s">
        <v>6166</v>
      </c>
      <c r="E352" s="2">
        <v>6</v>
      </c>
      <c r="F352" s="2" t="str">
        <f>_xlfn.XLOOKUP(C352,customers!$A$1:$A$1001,customers!$B$1:$B$1001,,0)</f>
        <v>Claudetta Rushe</v>
      </c>
      <c r="G352" s="2" t="str">
        <f>IF(_xlfn.XLOOKUP(C352,customers!$A$1:$A$1001,customers!$C$1:$C$1001,,0)=0,"",_xlfn.XLOOKUP(C352,customers!$A$1:$A$1001,customers!$C$1:$C$1001,,0))</f>
        <v>crushe8n@about.me</v>
      </c>
      <c r="H352" s="2" t="str">
        <f>_xlfn.XLOOKUP(C352,customers!$A$1:$A$1001,customers!$G$1:$G$1001,,0)</f>
        <v>United States</v>
      </c>
      <c r="I352" t="str">
        <f>INDEX(products!$A$1:$G$49, MATCH(orders!$D313,products!$A$1:$A360,0), MATCH(orders!I$1,products!$A$1:$G$1,0))</f>
        <v>Exc</v>
      </c>
      <c r="J352" t="str">
        <f>INDEX(products!$A$1:$G$49, MATCH(orders!$D313,products!$A$1:$A360,0), MATCH(orders!J$1,products!$A$1:$G$1,0))</f>
        <v>M</v>
      </c>
      <c r="K352" s="5">
        <f>INDEX(products!$A$1:$G$49, MATCH(orders!$D313,products!$A$1:$A360,0), MATCH(orders!K$1,products!$A$1:$G$1,0))</f>
        <v>2.5</v>
      </c>
      <c r="L352" s="6">
        <f>INDEX(products!$A$1:$G$49, MATCH(orders!$D313,products!$A$1:$A360,0), MATCH(orders!L$1,products!$A$1:$G$1,0))</f>
        <v>31.624999999999996</v>
      </c>
      <c r="M352" s="6">
        <f t="shared" si="15"/>
        <v>189.74999999999997</v>
      </c>
      <c r="N352" t="str">
        <f t="shared" si="16"/>
        <v>Excelsa</v>
      </c>
      <c r="O352" t="str">
        <f t="shared" si="17"/>
        <v>Medium</v>
      </c>
      <c r="P352" t="str">
        <f>_xlfn.XLOOKUP(Orders[[#This Row],[Customer ID]],customers!$A$1:$A$1001,customers!$I$1:$I$1001,,0)</f>
        <v>Yes</v>
      </c>
      <c r="Q352">
        <f>COUNTIF(Orders[Order ID],Orders[[#This Row],[Order ID]])</f>
        <v>1</v>
      </c>
      <c r="R352" s="10">
        <f>SUMIF(Orders[Order ID], Orders[[#This Row],[Order ID]],Orders[Sales])/Orders[[#This Row],[Order Frequency]]</f>
        <v>189.74999999999997</v>
      </c>
      <c r="S352" t="str">
        <f>IF(Orders[[#This Row],[Order Frequency]]&gt;4, "More than 4", IF(AND(Orders[[#This Row],[Order Frequency]]&lt;=4,Orders[[#This Row],[Order Frequency]]&gt;=2), "Between 4 and 2", "Less than 2"))</f>
        <v>Less than 2</v>
      </c>
      <c r="T352" t="str">
        <f>IF(Orders[[#This Row],[Frequency Group]]="less than 2", "Low Value", IF(Orders[[#This Row],[Frequency Group]]="between 4 and 2", "Medium Value", "High Value"))</f>
        <v>Low Value</v>
      </c>
      <c r="U352" t="str">
        <f>IF(Orders[[#This Row],[Sales]]&lt;50, "$0-50", IF(AND(Orders[[#This Row],[Sales]]&gt;=50,Orders[[#This Row],[Sales]]&lt;=100), "$50-100", IF(AND(Orders[[#This Row],[Sales]]&gt;100,Orders[[#This Row],[Sales]]&lt;=150), "$101-150", "$150+")))</f>
        <v>$150+</v>
      </c>
      <c r="V352" t="str">
        <f>IF(Orders[[#This Row],[Sales]]&gt;MEDIAN(M:M), "High Price", "Low Price")</f>
        <v>High Price</v>
      </c>
      <c r="W352" t="str">
        <f>IF(Orders[[#This Row],[Quantity]]&gt;MEDIAN(E:E), "High Volume", "Low Volume")</f>
        <v>High Volume</v>
      </c>
      <c r="X352" t="str">
        <f>Orders[[#This Row],[Sales Tier]] &amp; "-" &amp; Orders[[#This Row],[Quantity Tier]]</f>
        <v>High Price-High Volume</v>
      </c>
      <c r="Y352" t="str">
        <f>TEXT(Orders[[#This Row],[Order Date]], "mmmm")</f>
        <v>April</v>
      </c>
      <c r="Z35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352" t="str">
        <f>Orders[[#This Row],[Coffee Type Name]] &amp; "-" &amp; Orders[[#This Row],[Roast Type Name]]</f>
        <v>Excelsa-Medium</v>
      </c>
      <c r="AB35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353" spans="1:28" x14ac:dyDescent="0.25">
      <c r="A353" s="2" t="s">
        <v>1289</v>
      </c>
      <c r="B353" s="4">
        <v>44678</v>
      </c>
      <c r="C353" s="2" t="s">
        <v>1290</v>
      </c>
      <c r="D353" t="s">
        <v>6148</v>
      </c>
      <c r="E353" s="2">
        <v>4</v>
      </c>
      <c r="F353" s="2" t="str">
        <f>_xlfn.XLOOKUP(C353,customers!$A$1:$A$1001,customers!$B$1:$B$1001,,0)</f>
        <v>Julio Armytage</v>
      </c>
      <c r="G353" s="2" t="str">
        <f>IF(_xlfn.XLOOKUP(C353,customers!$A$1:$A$1001,customers!$C$1:$C$1001,,0)=0,"",_xlfn.XLOOKUP(C353,customers!$A$1:$A$1001,customers!$C$1:$C$1001,,0))</f>
        <v/>
      </c>
      <c r="H353" s="2" t="str">
        <f>_xlfn.XLOOKUP(C353,customers!$A$1:$A$1001,customers!$G$1:$G$1001,,0)</f>
        <v>Ireland</v>
      </c>
      <c r="I353" t="str">
        <f>INDEX(products!$A$1:$G$49, MATCH(orders!$D144,products!$A$1:$A191,0), MATCH(orders!I$1,products!$A$1:$G$1,0))</f>
        <v>Exc</v>
      </c>
      <c r="J353" t="str">
        <f>INDEX(products!$A$1:$G$49, MATCH(orders!$D144,products!$A$1:$A191,0), MATCH(orders!J$1,products!$A$1:$G$1,0))</f>
        <v>L</v>
      </c>
      <c r="K353" s="5">
        <f>INDEX(products!$A$1:$G$49, MATCH(orders!$D144,products!$A$1:$A191,0), MATCH(orders!K$1,products!$A$1:$G$1,0))</f>
        <v>2.5</v>
      </c>
      <c r="L353" s="6">
        <f>INDEX(products!$A$1:$G$49, MATCH(orders!$D144,products!$A$1:$A191,0), MATCH(orders!L$1,products!$A$1:$G$1,0))</f>
        <v>34.154999999999994</v>
      </c>
      <c r="M353" s="6">
        <f t="shared" si="15"/>
        <v>136.61999999999998</v>
      </c>
      <c r="N353" t="str">
        <f t="shared" si="16"/>
        <v>Excelsa</v>
      </c>
      <c r="O353" t="str">
        <f t="shared" si="17"/>
        <v>Light</v>
      </c>
      <c r="P353" t="str">
        <f>_xlfn.XLOOKUP(Orders[[#This Row],[Customer ID]],customers!$A$1:$A$1001,customers!$I$1:$I$1001,,0)</f>
        <v>Yes</v>
      </c>
      <c r="Q353">
        <f>COUNTIF(Orders[Order ID],Orders[[#This Row],[Order ID]])</f>
        <v>1</v>
      </c>
      <c r="R353" s="10">
        <f>SUMIF(Orders[Order ID], Orders[[#This Row],[Order ID]],Orders[Sales])/Orders[[#This Row],[Order Frequency]]</f>
        <v>136.61999999999998</v>
      </c>
      <c r="S353" t="str">
        <f>IF(Orders[[#This Row],[Order Frequency]]&gt;4, "More than 4", IF(AND(Orders[[#This Row],[Order Frequency]]&lt;=4,Orders[[#This Row],[Order Frequency]]&gt;=2), "Between 4 and 2", "Less than 2"))</f>
        <v>Less than 2</v>
      </c>
      <c r="T353" t="str">
        <f>IF(Orders[[#This Row],[Frequency Group]]="less than 2", "Low Value", IF(Orders[[#This Row],[Frequency Group]]="between 4 and 2", "Medium Value", "High Value"))</f>
        <v>Low Value</v>
      </c>
      <c r="U353" t="str">
        <f>IF(Orders[[#This Row],[Sales]]&lt;50, "$0-50", IF(AND(Orders[[#This Row],[Sales]]&gt;=50,Orders[[#This Row],[Sales]]&lt;=100), "$50-100", IF(AND(Orders[[#This Row],[Sales]]&gt;100,Orders[[#This Row],[Sales]]&lt;=150), "$101-150", "$150+")))</f>
        <v>$101-150</v>
      </c>
      <c r="V353" t="str">
        <f>IF(Orders[[#This Row],[Sales]]&gt;MEDIAN(M:M), "High Price", "Low Price")</f>
        <v>High Price</v>
      </c>
      <c r="W353" t="str">
        <f>IF(Orders[[#This Row],[Quantity]]&gt;MEDIAN(E:E), "High Volume", "Low Volume")</f>
        <v>Low Volume</v>
      </c>
      <c r="X353" t="str">
        <f>Orders[[#This Row],[Sales Tier]] &amp; "-" &amp; Orders[[#This Row],[Quantity Tier]]</f>
        <v>High Price-Low Volume</v>
      </c>
      <c r="Y353" t="str">
        <f>TEXT(Orders[[#This Row],[Order Date]], "mmmm")</f>
        <v>April</v>
      </c>
      <c r="Z35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353" t="str">
        <f>Orders[[#This Row],[Coffee Type Name]] &amp; "-" &amp; Orders[[#This Row],[Roast Type Name]]</f>
        <v>Excelsa-Light</v>
      </c>
      <c r="AB35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354" spans="1:28" x14ac:dyDescent="0.25">
      <c r="A354" s="2" t="s">
        <v>4331</v>
      </c>
      <c r="B354" s="4">
        <v>44399</v>
      </c>
      <c r="C354" s="2" t="s">
        <v>4332</v>
      </c>
      <c r="D354" t="s">
        <v>6155</v>
      </c>
      <c r="E354" s="2">
        <v>5</v>
      </c>
      <c r="F354" s="2" t="str">
        <f>_xlfn.XLOOKUP(C354,customers!$A$1:$A$1001,customers!$B$1:$B$1001,,0)</f>
        <v>Anjanette Goldie</v>
      </c>
      <c r="G354" s="2" t="str">
        <f>IF(_xlfn.XLOOKUP(C354,customers!$A$1:$A$1001,customers!$C$1:$C$1001,,0)=0,"",_xlfn.XLOOKUP(C354,customers!$A$1:$A$1001,customers!$C$1:$C$1001,,0))</f>
        <v>agoldieiw@goo.gl</v>
      </c>
      <c r="H354" s="2" t="str">
        <f>_xlfn.XLOOKUP(C354,customers!$A$1:$A$1001,customers!$G$1:$G$1001,,0)</f>
        <v>United States</v>
      </c>
      <c r="I354" t="str">
        <f>INDEX(products!$A$1:$G$49, MATCH(orders!$D682,products!$A$1:$A729,0), MATCH(orders!I$1,products!$A$1:$G$1,0))</f>
        <v>Ara</v>
      </c>
      <c r="J354" t="str">
        <f>INDEX(products!$A$1:$G$49, MATCH(orders!$D682,products!$A$1:$A729,0), MATCH(orders!J$1,products!$A$1:$G$1,0))</f>
        <v>M</v>
      </c>
      <c r="K354" s="5">
        <f>INDEX(products!$A$1:$G$49, MATCH(orders!$D682,products!$A$1:$A729,0), MATCH(orders!K$1,products!$A$1:$G$1,0))</f>
        <v>1</v>
      </c>
      <c r="L354" s="6">
        <f>INDEX(products!$A$1:$G$49, MATCH(orders!$D682,products!$A$1:$A729,0), MATCH(orders!L$1,products!$A$1:$G$1,0))</f>
        <v>11.25</v>
      </c>
      <c r="M354" s="6">
        <f t="shared" si="15"/>
        <v>56.25</v>
      </c>
      <c r="N354" t="str">
        <f t="shared" si="16"/>
        <v>Arabica</v>
      </c>
      <c r="O354" t="str">
        <f t="shared" si="17"/>
        <v>Medium</v>
      </c>
      <c r="P354" t="str">
        <f>_xlfn.XLOOKUP(Orders[[#This Row],[Customer ID]],customers!$A$1:$A$1001,customers!$I$1:$I$1001,,0)</f>
        <v>No</v>
      </c>
      <c r="Q354">
        <f>COUNTIF(Orders[Order ID],Orders[[#This Row],[Order ID]])</f>
        <v>1</v>
      </c>
      <c r="R354" s="10">
        <f>SUMIF(Orders[Order ID], Orders[[#This Row],[Order ID]],Orders[Sales])/Orders[[#This Row],[Order Frequency]]</f>
        <v>56.25</v>
      </c>
      <c r="S354" t="str">
        <f>IF(Orders[[#This Row],[Order Frequency]]&gt;4, "More than 4", IF(AND(Orders[[#This Row],[Order Frequency]]&lt;=4,Orders[[#This Row],[Order Frequency]]&gt;=2), "Between 4 and 2", "Less than 2"))</f>
        <v>Less than 2</v>
      </c>
      <c r="T354" t="str">
        <f>IF(Orders[[#This Row],[Frequency Group]]="less than 2", "Low Value", IF(Orders[[#This Row],[Frequency Group]]="between 4 and 2", "Medium Value", "High Value"))</f>
        <v>Low Value</v>
      </c>
      <c r="U354" t="str">
        <f>IF(Orders[[#This Row],[Sales]]&lt;50, "$0-50", IF(AND(Orders[[#This Row],[Sales]]&gt;=50,Orders[[#This Row],[Sales]]&lt;=100), "$50-100", IF(AND(Orders[[#This Row],[Sales]]&gt;100,Orders[[#This Row],[Sales]]&lt;=150), "$101-150", "$150+")))</f>
        <v>$50-100</v>
      </c>
      <c r="V354" t="str">
        <f>IF(Orders[[#This Row],[Sales]]&gt;MEDIAN(M:M), "High Price", "Low Price")</f>
        <v>High Price</v>
      </c>
      <c r="W354" t="str">
        <f>IF(Orders[[#This Row],[Quantity]]&gt;MEDIAN(E:E), "High Volume", "Low Volume")</f>
        <v>High Volume</v>
      </c>
      <c r="X354" t="str">
        <f>Orders[[#This Row],[Sales Tier]] &amp; "-" &amp; Orders[[#This Row],[Quantity Tier]]</f>
        <v>High Price-High Volume</v>
      </c>
      <c r="Y354" t="str">
        <f>TEXT(Orders[[#This Row],[Order Date]], "mmmm")</f>
        <v>July</v>
      </c>
      <c r="Z35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354" t="str">
        <f>Orders[[#This Row],[Coffee Type Name]] &amp; "-" &amp; Orders[[#This Row],[Roast Type Name]]</f>
        <v>Arabica-Medium</v>
      </c>
      <c r="AB35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355" spans="1:28" x14ac:dyDescent="0.25">
      <c r="A355" s="2" t="s">
        <v>2256</v>
      </c>
      <c r="B355" s="4">
        <v>44497</v>
      </c>
      <c r="C355" s="2" t="s">
        <v>2257</v>
      </c>
      <c r="D355" t="s">
        <v>6138</v>
      </c>
      <c r="E355" s="2">
        <v>3</v>
      </c>
      <c r="F355" s="2" t="str">
        <f>_xlfn.XLOOKUP(C355,customers!$A$1:$A$1001,customers!$B$1:$B$1001,,0)</f>
        <v>Ailene Nesfield</v>
      </c>
      <c r="G355" s="2" t="str">
        <f>IF(_xlfn.XLOOKUP(C355,customers!$A$1:$A$1001,customers!$C$1:$C$1001,,0)=0,"",_xlfn.XLOOKUP(C355,customers!$A$1:$A$1001,customers!$C$1:$C$1001,,0))</f>
        <v>anesfield8p@people.com.cn</v>
      </c>
      <c r="H355" s="2" t="str">
        <f>_xlfn.XLOOKUP(C355,customers!$A$1:$A$1001,customers!$G$1:$G$1001,,0)</f>
        <v>United Kingdom</v>
      </c>
      <c r="I355" t="str">
        <f>INDEX(products!$A$1:$G$49, MATCH(orders!$D315,products!$A$1:$A362,0), MATCH(orders!I$1,products!$A$1:$G$1,0))</f>
        <v>Rob</v>
      </c>
      <c r="J355" t="str">
        <f>INDEX(products!$A$1:$G$49, MATCH(orders!$D315,products!$A$1:$A362,0), MATCH(orders!J$1,products!$A$1:$G$1,0))</f>
        <v>M</v>
      </c>
      <c r="K355" s="5">
        <f>INDEX(products!$A$1:$G$49, MATCH(orders!$D315,products!$A$1:$A362,0), MATCH(orders!K$1,products!$A$1:$G$1,0))</f>
        <v>1</v>
      </c>
      <c r="L355" s="6">
        <f>INDEX(products!$A$1:$G$49, MATCH(orders!$D315,products!$A$1:$A362,0), MATCH(orders!L$1,products!$A$1:$G$1,0))</f>
        <v>9.9499999999999993</v>
      </c>
      <c r="M355" s="6">
        <f t="shared" si="15"/>
        <v>29.849999999999998</v>
      </c>
      <c r="N355" t="str">
        <f t="shared" si="16"/>
        <v>Robusta</v>
      </c>
      <c r="O355" t="str">
        <f t="shared" si="17"/>
        <v>Medium</v>
      </c>
      <c r="P355" t="str">
        <f>_xlfn.XLOOKUP(Orders[[#This Row],[Customer ID]],customers!$A$1:$A$1001,customers!$I$1:$I$1001,,0)</f>
        <v>Yes</v>
      </c>
      <c r="Q355">
        <f>COUNTIF(Orders[Order ID],Orders[[#This Row],[Order ID]])</f>
        <v>1</v>
      </c>
      <c r="R355" s="10">
        <f>SUMIF(Orders[Order ID], Orders[[#This Row],[Order ID]],Orders[Sales])/Orders[[#This Row],[Order Frequency]]</f>
        <v>29.849999999999998</v>
      </c>
      <c r="S355" t="str">
        <f>IF(Orders[[#This Row],[Order Frequency]]&gt;4, "More than 4", IF(AND(Orders[[#This Row],[Order Frequency]]&lt;=4,Orders[[#This Row],[Order Frequency]]&gt;=2), "Between 4 and 2", "Less than 2"))</f>
        <v>Less than 2</v>
      </c>
      <c r="T355" t="str">
        <f>IF(Orders[[#This Row],[Frequency Group]]="less than 2", "Low Value", IF(Orders[[#This Row],[Frequency Group]]="between 4 and 2", "Medium Value", "High Value"))</f>
        <v>Low Value</v>
      </c>
      <c r="U355" t="str">
        <f>IF(Orders[[#This Row],[Sales]]&lt;50, "$0-50", IF(AND(Orders[[#This Row],[Sales]]&gt;=50,Orders[[#This Row],[Sales]]&lt;=100), "$50-100", IF(AND(Orders[[#This Row],[Sales]]&gt;100,Orders[[#This Row],[Sales]]&lt;=150), "$101-150", "$150+")))</f>
        <v>$0-50</v>
      </c>
      <c r="V355" t="str">
        <f>IF(Orders[[#This Row],[Sales]]&gt;MEDIAN(M:M), "High Price", "Low Price")</f>
        <v>High Price</v>
      </c>
      <c r="W355" t="str">
        <f>IF(Orders[[#This Row],[Quantity]]&gt;MEDIAN(E:E), "High Volume", "Low Volume")</f>
        <v>Low Volume</v>
      </c>
      <c r="X355" t="str">
        <f>Orders[[#This Row],[Sales Tier]] &amp; "-" &amp; Orders[[#This Row],[Quantity Tier]]</f>
        <v>High Price-Low Volume</v>
      </c>
      <c r="Y355" t="str">
        <f>TEXT(Orders[[#This Row],[Order Date]], "mmmm")</f>
        <v>October</v>
      </c>
      <c r="Z35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355" t="str">
        <f>Orders[[#This Row],[Coffee Type Name]] &amp; "-" &amp; Orders[[#This Row],[Roast Type Name]]</f>
        <v>Robusta-Medium</v>
      </c>
      <c r="AB35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356" spans="1:28" x14ac:dyDescent="0.25">
      <c r="A356" s="2" t="s">
        <v>2074</v>
      </c>
      <c r="B356" s="4">
        <v>44234</v>
      </c>
      <c r="C356" s="2" t="s">
        <v>2075</v>
      </c>
      <c r="D356" t="s">
        <v>6139</v>
      </c>
      <c r="E356" s="2">
        <v>5</v>
      </c>
      <c r="F356" s="2" t="str">
        <f>_xlfn.XLOOKUP(C356,customers!$A$1:$A$1001,customers!$B$1:$B$1001,,0)</f>
        <v>Christopher Grieveson</v>
      </c>
      <c r="G356" s="2" t="str">
        <f>IF(_xlfn.XLOOKUP(C356,customers!$A$1:$A$1001,customers!$C$1:$C$1001,,0)=0,"",_xlfn.XLOOKUP(C356,customers!$A$1:$A$1001,customers!$C$1:$C$1001,,0))</f>
        <v/>
      </c>
      <c r="H356" s="2" t="str">
        <f>_xlfn.XLOOKUP(C356,customers!$A$1:$A$1001,customers!$G$1:$G$1001,,0)</f>
        <v>United States</v>
      </c>
      <c r="I356" t="str">
        <f>INDEX(products!$A$1:$G$49, MATCH(orders!$D282,products!$A$1:$A329,0), MATCH(orders!I$1,products!$A$1:$G$1,0))</f>
        <v>Exc</v>
      </c>
      <c r="J356" t="str">
        <f>INDEX(products!$A$1:$G$49, MATCH(orders!$D282,products!$A$1:$A329,0), MATCH(orders!J$1,products!$A$1:$G$1,0))</f>
        <v>M</v>
      </c>
      <c r="K356" s="5">
        <f>INDEX(products!$A$1:$G$49, MATCH(orders!$D282,products!$A$1:$A329,0), MATCH(orders!K$1,products!$A$1:$G$1,0))</f>
        <v>0.5</v>
      </c>
      <c r="L356" s="6">
        <f>INDEX(products!$A$1:$G$49, MATCH(orders!$D282,products!$A$1:$A329,0), MATCH(orders!L$1,products!$A$1:$G$1,0))</f>
        <v>8.25</v>
      </c>
      <c r="M356" s="6">
        <f t="shared" si="15"/>
        <v>41.25</v>
      </c>
      <c r="N356" t="str">
        <f t="shared" si="16"/>
        <v>Excelsa</v>
      </c>
      <c r="O356" t="str">
        <f t="shared" si="17"/>
        <v>Medium</v>
      </c>
      <c r="P356" t="str">
        <f>_xlfn.XLOOKUP(Orders[[#This Row],[Customer ID]],customers!$A$1:$A$1001,customers!$I$1:$I$1001,,0)</f>
        <v>Yes</v>
      </c>
      <c r="Q356">
        <f>COUNTIF(Orders[Order ID],Orders[[#This Row],[Order ID]])</f>
        <v>1</v>
      </c>
      <c r="R356" s="10">
        <f>SUMIF(Orders[Order ID], Orders[[#This Row],[Order ID]],Orders[Sales])/Orders[[#This Row],[Order Frequency]]</f>
        <v>41.25</v>
      </c>
      <c r="S356" t="str">
        <f>IF(Orders[[#This Row],[Order Frequency]]&gt;4, "More than 4", IF(AND(Orders[[#This Row],[Order Frequency]]&lt;=4,Orders[[#This Row],[Order Frequency]]&gt;=2), "Between 4 and 2", "Less than 2"))</f>
        <v>Less than 2</v>
      </c>
      <c r="T356" t="str">
        <f>IF(Orders[[#This Row],[Frequency Group]]="less than 2", "Low Value", IF(Orders[[#This Row],[Frequency Group]]="between 4 and 2", "Medium Value", "High Value"))</f>
        <v>Low Value</v>
      </c>
      <c r="U356" t="str">
        <f>IF(Orders[[#This Row],[Sales]]&lt;50, "$0-50", IF(AND(Orders[[#This Row],[Sales]]&gt;=50,Orders[[#This Row],[Sales]]&lt;=100), "$50-100", IF(AND(Orders[[#This Row],[Sales]]&gt;100,Orders[[#This Row],[Sales]]&lt;=150), "$101-150", "$150+")))</f>
        <v>$0-50</v>
      </c>
      <c r="V356" t="str">
        <f>IF(Orders[[#This Row],[Sales]]&gt;MEDIAN(M:M), "High Price", "Low Price")</f>
        <v>High Price</v>
      </c>
      <c r="W356" t="str">
        <f>IF(Orders[[#This Row],[Quantity]]&gt;MEDIAN(E:E), "High Volume", "Low Volume")</f>
        <v>High Volume</v>
      </c>
      <c r="X356" t="str">
        <f>Orders[[#This Row],[Sales Tier]] &amp; "-" &amp; Orders[[#This Row],[Quantity Tier]]</f>
        <v>High Price-High Volume</v>
      </c>
      <c r="Y356" t="str">
        <f>TEXT(Orders[[#This Row],[Order Date]], "mmmm")</f>
        <v>February</v>
      </c>
      <c r="Z35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356" t="str">
        <f>Orders[[#This Row],[Coffee Type Name]] &amp; "-" &amp; Orders[[#This Row],[Roast Type Name]]</f>
        <v>Excelsa-Medium</v>
      </c>
      <c r="AB35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357" spans="1:28" x14ac:dyDescent="0.25">
      <c r="A357" s="2" t="s">
        <v>2621</v>
      </c>
      <c r="B357" s="4">
        <v>44377</v>
      </c>
      <c r="C357" s="2" t="s">
        <v>2622</v>
      </c>
      <c r="D357" t="s">
        <v>6180</v>
      </c>
      <c r="E357" s="2">
        <v>3</v>
      </c>
      <c r="F357" s="2" t="str">
        <f>_xlfn.XLOOKUP(C357,customers!$A$1:$A$1001,customers!$B$1:$B$1001,,0)</f>
        <v>Jany Rudeforth</v>
      </c>
      <c r="G357" s="2" t="str">
        <f>IF(_xlfn.XLOOKUP(C357,customers!$A$1:$A$1001,customers!$C$1:$C$1001,,0)=0,"",_xlfn.XLOOKUP(C357,customers!$A$1:$A$1001,customers!$C$1:$C$1001,,0))</f>
        <v>jrudeforthai@wunderground.com</v>
      </c>
      <c r="H357" s="2" t="str">
        <f>_xlfn.XLOOKUP(C357,customers!$A$1:$A$1001,customers!$G$1:$G$1001,,0)</f>
        <v>Ireland</v>
      </c>
      <c r="I357" t="str">
        <f>INDEX(products!$A$1:$G$49, MATCH(orders!$D380,products!$A$1:$A427,0), MATCH(orders!I$1,products!$A$1:$G$1,0))</f>
        <v>Ara</v>
      </c>
      <c r="J357" t="str">
        <f>INDEX(products!$A$1:$G$49, MATCH(orders!$D380,products!$A$1:$A427,0), MATCH(orders!J$1,products!$A$1:$G$1,0))</f>
        <v>L</v>
      </c>
      <c r="K357" s="5">
        <f>INDEX(products!$A$1:$G$49, MATCH(orders!$D380,products!$A$1:$A427,0), MATCH(orders!K$1,products!$A$1:$G$1,0))</f>
        <v>0.5</v>
      </c>
      <c r="L357" s="6">
        <f>INDEX(products!$A$1:$G$49, MATCH(orders!$D380,products!$A$1:$A427,0), MATCH(orders!L$1,products!$A$1:$G$1,0))</f>
        <v>7.77</v>
      </c>
      <c r="M357" s="6">
        <f t="shared" si="15"/>
        <v>23.31</v>
      </c>
      <c r="N357" t="str">
        <f t="shared" si="16"/>
        <v>Arabica</v>
      </c>
      <c r="O357" t="str">
        <f t="shared" si="17"/>
        <v>Light</v>
      </c>
      <c r="P357" t="str">
        <f>_xlfn.XLOOKUP(Orders[[#This Row],[Customer ID]],customers!$A$1:$A$1001,customers!$I$1:$I$1001,,0)</f>
        <v>Yes</v>
      </c>
      <c r="Q357">
        <f>COUNTIF(Orders[Order ID],Orders[[#This Row],[Order ID]])</f>
        <v>1</v>
      </c>
      <c r="R357" s="10">
        <f>SUMIF(Orders[Order ID], Orders[[#This Row],[Order ID]],Orders[Sales])/Orders[[#This Row],[Order Frequency]]</f>
        <v>23.31</v>
      </c>
      <c r="S357" t="str">
        <f>IF(Orders[[#This Row],[Order Frequency]]&gt;4, "More than 4", IF(AND(Orders[[#This Row],[Order Frequency]]&lt;=4,Orders[[#This Row],[Order Frequency]]&gt;=2), "Between 4 and 2", "Less than 2"))</f>
        <v>Less than 2</v>
      </c>
      <c r="T357" t="str">
        <f>IF(Orders[[#This Row],[Frequency Group]]="less than 2", "Low Value", IF(Orders[[#This Row],[Frequency Group]]="between 4 and 2", "Medium Value", "High Value"))</f>
        <v>Low Value</v>
      </c>
      <c r="U357" t="str">
        <f>IF(Orders[[#This Row],[Sales]]&lt;50, "$0-50", IF(AND(Orders[[#This Row],[Sales]]&gt;=50,Orders[[#This Row],[Sales]]&lt;=100), "$50-100", IF(AND(Orders[[#This Row],[Sales]]&gt;100,Orders[[#This Row],[Sales]]&lt;=150), "$101-150", "$150+")))</f>
        <v>$0-50</v>
      </c>
      <c r="V357" t="str">
        <f>IF(Orders[[#This Row],[Sales]]&gt;MEDIAN(M:M), "High Price", "Low Price")</f>
        <v>Low Price</v>
      </c>
      <c r="W357" t="str">
        <f>IF(Orders[[#This Row],[Quantity]]&gt;MEDIAN(E:E), "High Volume", "Low Volume")</f>
        <v>Low Volume</v>
      </c>
      <c r="X357" t="str">
        <f>Orders[[#This Row],[Sales Tier]] &amp; "-" &amp; Orders[[#This Row],[Quantity Tier]]</f>
        <v>Low Price-Low Volume</v>
      </c>
      <c r="Y357" t="str">
        <f>TEXT(Orders[[#This Row],[Order Date]], "mmmm")</f>
        <v>June</v>
      </c>
      <c r="Z35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357" t="str">
        <f>Orders[[#This Row],[Coffee Type Name]] &amp; "-" &amp; Orders[[#This Row],[Roast Type Name]]</f>
        <v>Arabica-Light</v>
      </c>
      <c r="AB35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358" spans="1:28" x14ac:dyDescent="0.25">
      <c r="A358" s="2" t="s">
        <v>5797</v>
      </c>
      <c r="B358" s="4">
        <v>44229</v>
      </c>
      <c r="C358" s="2" t="s">
        <v>5798</v>
      </c>
      <c r="D358" t="s">
        <v>6145</v>
      </c>
      <c r="E358" s="2">
        <v>6</v>
      </c>
      <c r="F358" s="2" t="str">
        <f>_xlfn.XLOOKUP(C358,customers!$A$1:$A$1001,customers!$B$1:$B$1001,,0)</f>
        <v>Willy Pummery</v>
      </c>
      <c r="G358" s="2" t="str">
        <f>IF(_xlfn.XLOOKUP(C358,customers!$A$1:$A$1001,customers!$C$1:$C$1001,,0)=0,"",_xlfn.XLOOKUP(C358,customers!$A$1:$A$1001,customers!$C$1:$C$1001,,0))</f>
        <v>wpummeryq3@topsy.com</v>
      </c>
      <c r="H358" s="2" t="str">
        <f>_xlfn.XLOOKUP(C358,customers!$A$1:$A$1001,customers!$G$1:$G$1001,,0)</f>
        <v>United States</v>
      </c>
      <c r="I358" t="str">
        <f>INDEX(products!$A$1:$G$49, MATCH(orders!$D941,products!$A$1:$A988,0), MATCH(orders!I$1,products!$A$1:$G$1,0))</f>
        <v>Lib</v>
      </c>
      <c r="J358" t="str">
        <f>INDEX(products!$A$1:$G$49, MATCH(orders!$D941,products!$A$1:$A988,0), MATCH(orders!J$1,products!$A$1:$G$1,0))</f>
        <v>L</v>
      </c>
      <c r="K358" s="5">
        <f>INDEX(products!$A$1:$G$49, MATCH(orders!$D941,products!$A$1:$A988,0), MATCH(orders!K$1,products!$A$1:$G$1,0))</f>
        <v>0.2</v>
      </c>
      <c r="L358" s="6">
        <f>INDEX(products!$A$1:$G$49, MATCH(orders!$D941,products!$A$1:$A988,0), MATCH(orders!L$1,products!$A$1:$G$1,0))</f>
        <v>4.7549999999999999</v>
      </c>
      <c r="M358" s="6">
        <f t="shared" si="15"/>
        <v>28.53</v>
      </c>
      <c r="N358" t="str">
        <f t="shared" si="16"/>
        <v>Liberica</v>
      </c>
      <c r="O358" t="str">
        <f t="shared" si="17"/>
        <v>Light</v>
      </c>
      <c r="P358" t="str">
        <f>_xlfn.XLOOKUP(Orders[[#This Row],[Customer ID]],customers!$A$1:$A$1001,customers!$I$1:$I$1001,,0)</f>
        <v>No</v>
      </c>
      <c r="Q358">
        <f>COUNTIF(Orders[Order ID],Orders[[#This Row],[Order ID]])</f>
        <v>1</v>
      </c>
      <c r="R358" s="10">
        <f>SUMIF(Orders[Order ID], Orders[[#This Row],[Order ID]],Orders[Sales])/Orders[[#This Row],[Order Frequency]]</f>
        <v>28.53</v>
      </c>
      <c r="S358" t="str">
        <f>IF(Orders[[#This Row],[Order Frequency]]&gt;4, "More than 4", IF(AND(Orders[[#This Row],[Order Frequency]]&lt;=4,Orders[[#This Row],[Order Frequency]]&gt;=2), "Between 4 and 2", "Less than 2"))</f>
        <v>Less than 2</v>
      </c>
      <c r="T358" t="str">
        <f>IF(Orders[[#This Row],[Frequency Group]]="less than 2", "Low Value", IF(Orders[[#This Row],[Frequency Group]]="between 4 and 2", "Medium Value", "High Value"))</f>
        <v>Low Value</v>
      </c>
      <c r="U358" t="str">
        <f>IF(Orders[[#This Row],[Sales]]&lt;50, "$0-50", IF(AND(Orders[[#This Row],[Sales]]&gt;=50,Orders[[#This Row],[Sales]]&lt;=100), "$50-100", IF(AND(Orders[[#This Row],[Sales]]&gt;100,Orders[[#This Row],[Sales]]&lt;=150), "$101-150", "$150+")))</f>
        <v>$0-50</v>
      </c>
      <c r="V358" t="str">
        <f>IF(Orders[[#This Row],[Sales]]&gt;MEDIAN(M:M), "High Price", "Low Price")</f>
        <v>Low Price</v>
      </c>
      <c r="W358" t="str">
        <f>IF(Orders[[#This Row],[Quantity]]&gt;MEDIAN(E:E), "High Volume", "Low Volume")</f>
        <v>High Volume</v>
      </c>
      <c r="X358" t="str">
        <f>Orders[[#This Row],[Sales Tier]] &amp; "-" &amp; Orders[[#This Row],[Quantity Tier]]</f>
        <v>Low Price-High Volume</v>
      </c>
      <c r="Y358" t="str">
        <f>TEXT(Orders[[#This Row],[Order Date]], "mmmm")</f>
        <v>February</v>
      </c>
      <c r="Z35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358" t="str">
        <f>Orders[[#This Row],[Coffee Type Name]] &amp; "-" &amp; Orders[[#This Row],[Roast Type Name]]</f>
        <v>Liberica-Light</v>
      </c>
      <c r="AB35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359" spans="1:28" x14ac:dyDescent="0.25">
      <c r="A359" s="2" t="s">
        <v>878</v>
      </c>
      <c r="B359" s="4">
        <v>43795</v>
      </c>
      <c r="C359" s="2" t="s">
        <v>879</v>
      </c>
      <c r="D359" t="s">
        <v>6138</v>
      </c>
      <c r="E359" s="2">
        <v>6</v>
      </c>
      <c r="F359" s="2" t="str">
        <f>_xlfn.XLOOKUP(C359,customers!$A$1:$A$1001,customers!$B$1:$B$1001,,0)</f>
        <v>Gay Rizzello</v>
      </c>
      <c r="G359" s="2" t="str">
        <f>IF(_xlfn.XLOOKUP(C359,customers!$A$1:$A$1001,customers!$C$1:$C$1001,,0)=0,"",_xlfn.XLOOKUP(C359,customers!$A$1:$A$1001,customers!$C$1:$C$1001,,0))</f>
        <v>grizzello1x@symantec.com</v>
      </c>
      <c r="H359" s="2" t="str">
        <f>_xlfn.XLOOKUP(C359,customers!$A$1:$A$1001,customers!$G$1:$G$1001,,0)</f>
        <v>United Kingdom</v>
      </c>
      <c r="I359" t="str">
        <f>INDEX(products!$A$1:$G$49, MATCH(orders!$D71,products!$A$1:$A118,0), MATCH(orders!I$1,products!$A$1:$G$1,0))</f>
        <v>Rob</v>
      </c>
      <c r="J359" t="str">
        <f>INDEX(products!$A$1:$G$49, MATCH(orders!$D71,products!$A$1:$A118,0), MATCH(orders!J$1,products!$A$1:$G$1,0))</f>
        <v>M</v>
      </c>
      <c r="K359" s="5">
        <f>INDEX(products!$A$1:$G$49, MATCH(orders!$D71,products!$A$1:$A118,0), MATCH(orders!K$1,products!$A$1:$G$1,0))</f>
        <v>1</v>
      </c>
      <c r="L359" s="6">
        <f>INDEX(products!$A$1:$G$49, MATCH(orders!$D71,products!$A$1:$A118,0), MATCH(orders!L$1,products!$A$1:$G$1,0))</f>
        <v>9.9499999999999993</v>
      </c>
      <c r="M359" s="6">
        <f t="shared" si="15"/>
        <v>59.699999999999996</v>
      </c>
      <c r="N359" t="str">
        <f t="shared" si="16"/>
        <v>Robusta</v>
      </c>
      <c r="O359" t="str">
        <f t="shared" si="17"/>
        <v>Medium</v>
      </c>
      <c r="P359" t="str">
        <f>_xlfn.XLOOKUP(Orders[[#This Row],[Customer ID]],customers!$A$1:$A$1001,customers!$I$1:$I$1001,,0)</f>
        <v>Yes</v>
      </c>
      <c r="Q359">
        <f>COUNTIF(Orders[Order ID],Orders[[#This Row],[Order ID]])</f>
        <v>1</v>
      </c>
      <c r="R359" s="10">
        <f>SUMIF(Orders[Order ID], Orders[[#This Row],[Order ID]],Orders[Sales])/Orders[[#This Row],[Order Frequency]]</f>
        <v>59.699999999999996</v>
      </c>
      <c r="S359" t="str">
        <f>IF(Orders[[#This Row],[Order Frequency]]&gt;4, "More than 4", IF(AND(Orders[[#This Row],[Order Frequency]]&lt;=4,Orders[[#This Row],[Order Frequency]]&gt;=2), "Between 4 and 2", "Less than 2"))</f>
        <v>Less than 2</v>
      </c>
      <c r="T359" t="str">
        <f>IF(Orders[[#This Row],[Frequency Group]]="less than 2", "Low Value", IF(Orders[[#This Row],[Frequency Group]]="between 4 and 2", "Medium Value", "High Value"))</f>
        <v>Low Value</v>
      </c>
      <c r="U359" t="str">
        <f>IF(Orders[[#This Row],[Sales]]&lt;50, "$0-50", IF(AND(Orders[[#This Row],[Sales]]&gt;=50,Orders[[#This Row],[Sales]]&lt;=100), "$50-100", IF(AND(Orders[[#This Row],[Sales]]&gt;100,Orders[[#This Row],[Sales]]&lt;=150), "$101-150", "$150+")))</f>
        <v>$50-100</v>
      </c>
      <c r="V359" t="str">
        <f>IF(Orders[[#This Row],[Sales]]&gt;MEDIAN(M:M), "High Price", "Low Price")</f>
        <v>High Price</v>
      </c>
      <c r="W359" t="str">
        <f>IF(Orders[[#This Row],[Quantity]]&gt;MEDIAN(E:E), "High Volume", "Low Volume")</f>
        <v>High Volume</v>
      </c>
      <c r="X359" t="str">
        <f>Orders[[#This Row],[Sales Tier]] &amp; "-" &amp; Orders[[#This Row],[Quantity Tier]]</f>
        <v>High Price-High Volume</v>
      </c>
      <c r="Y359" t="str">
        <f>TEXT(Orders[[#This Row],[Order Date]], "mmmm")</f>
        <v>November</v>
      </c>
      <c r="Z35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359" t="str">
        <f>Orders[[#This Row],[Coffee Type Name]] &amp; "-" &amp; Orders[[#This Row],[Roast Type Name]]</f>
        <v>Robusta-Medium</v>
      </c>
      <c r="AB35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360" spans="1:28" x14ac:dyDescent="0.25">
      <c r="A360" s="2" t="s">
        <v>3318</v>
      </c>
      <c r="B360" s="4">
        <v>44025</v>
      </c>
      <c r="C360" s="2" t="s">
        <v>3319</v>
      </c>
      <c r="D360" t="s">
        <v>6179</v>
      </c>
      <c r="E360" s="2">
        <v>4</v>
      </c>
      <c r="F360" s="2" t="str">
        <f>_xlfn.XLOOKUP(C360,customers!$A$1:$A$1001,customers!$B$1:$B$1001,,0)</f>
        <v>Alf Housaman</v>
      </c>
      <c r="G360" s="2" t="str">
        <f>IF(_xlfn.XLOOKUP(C360,customers!$A$1:$A$1001,customers!$C$1:$C$1001,,0)=0,"",_xlfn.XLOOKUP(C360,customers!$A$1:$A$1001,customers!$C$1:$C$1001,,0))</f>
        <v/>
      </c>
      <c r="H360" s="2" t="str">
        <f>_xlfn.XLOOKUP(C360,customers!$A$1:$A$1001,customers!$G$1:$G$1001,,0)</f>
        <v>United States</v>
      </c>
      <c r="I360" t="str">
        <f>INDEX(products!$A$1:$G$49, MATCH(orders!$D502,products!$A$1:$A549,0), MATCH(orders!I$1,products!$A$1:$G$1,0))</f>
        <v>Rob</v>
      </c>
      <c r="J360" t="str">
        <f>INDEX(products!$A$1:$G$49, MATCH(orders!$D502,products!$A$1:$A549,0), MATCH(orders!J$1,products!$A$1:$G$1,0))</f>
        <v>L</v>
      </c>
      <c r="K360" s="5">
        <f>INDEX(products!$A$1:$G$49, MATCH(orders!$D502,products!$A$1:$A549,0), MATCH(orders!K$1,products!$A$1:$G$1,0))</f>
        <v>1</v>
      </c>
      <c r="L360" s="6">
        <f>INDEX(products!$A$1:$G$49, MATCH(orders!$D502,products!$A$1:$A549,0), MATCH(orders!L$1,products!$A$1:$G$1,0))</f>
        <v>11.95</v>
      </c>
      <c r="M360" s="6">
        <f t="shared" si="15"/>
        <v>47.8</v>
      </c>
      <c r="N360" t="str">
        <f t="shared" si="16"/>
        <v>Robusta</v>
      </c>
      <c r="O360" t="str">
        <f t="shared" si="17"/>
        <v>Light</v>
      </c>
      <c r="P360" t="str">
        <f>_xlfn.XLOOKUP(Orders[[#This Row],[Customer ID]],customers!$A$1:$A$1001,customers!$I$1:$I$1001,,0)</f>
        <v>No</v>
      </c>
      <c r="Q360">
        <f>COUNTIF(Orders[Order ID],Orders[[#This Row],[Order ID]])</f>
        <v>1</v>
      </c>
      <c r="R360" s="10">
        <f>SUMIF(Orders[Order ID], Orders[[#This Row],[Order ID]],Orders[Sales])/Orders[[#This Row],[Order Frequency]]</f>
        <v>47.8</v>
      </c>
      <c r="S360" t="str">
        <f>IF(Orders[[#This Row],[Order Frequency]]&gt;4, "More than 4", IF(AND(Orders[[#This Row],[Order Frequency]]&lt;=4,Orders[[#This Row],[Order Frequency]]&gt;=2), "Between 4 and 2", "Less than 2"))</f>
        <v>Less than 2</v>
      </c>
      <c r="T360" t="str">
        <f>IF(Orders[[#This Row],[Frequency Group]]="less than 2", "Low Value", IF(Orders[[#This Row],[Frequency Group]]="between 4 and 2", "Medium Value", "High Value"))</f>
        <v>Low Value</v>
      </c>
      <c r="U360" t="str">
        <f>IF(Orders[[#This Row],[Sales]]&lt;50, "$0-50", IF(AND(Orders[[#This Row],[Sales]]&gt;=50,Orders[[#This Row],[Sales]]&lt;=100), "$50-100", IF(AND(Orders[[#This Row],[Sales]]&gt;100,Orders[[#This Row],[Sales]]&lt;=150), "$101-150", "$150+")))</f>
        <v>$0-50</v>
      </c>
      <c r="V360" t="str">
        <f>IF(Orders[[#This Row],[Sales]]&gt;MEDIAN(M:M), "High Price", "Low Price")</f>
        <v>High Price</v>
      </c>
      <c r="W360" t="str">
        <f>IF(Orders[[#This Row],[Quantity]]&gt;MEDIAN(E:E), "High Volume", "Low Volume")</f>
        <v>Low Volume</v>
      </c>
      <c r="X360" t="str">
        <f>Orders[[#This Row],[Sales Tier]] &amp; "-" &amp; Orders[[#This Row],[Quantity Tier]]</f>
        <v>High Price-Low Volume</v>
      </c>
      <c r="Y360" t="str">
        <f>TEXT(Orders[[#This Row],[Order Date]], "mmmm")</f>
        <v>July</v>
      </c>
      <c r="Z36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360" t="str">
        <f>Orders[[#This Row],[Coffee Type Name]] &amp; "-" &amp; Orders[[#This Row],[Roast Type Name]]</f>
        <v>Robusta-Light</v>
      </c>
      <c r="AB36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361" spans="1:28" x14ac:dyDescent="0.25">
      <c r="A361" s="2" t="s">
        <v>1828</v>
      </c>
      <c r="B361" s="4">
        <v>44563</v>
      </c>
      <c r="C361" s="2" t="s">
        <v>1829</v>
      </c>
      <c r="D361" t="s">
        <v>6178</v>
      </c>
      <c r="E361" s="2">
        <v>1</v>
      </c>
      <c r="F361" s="2" t="str">
        <f>_xlfn.XLOOKUP(C361,customers!$A$1:$A$1001,customers!$B$1:$B$1001,,0)</f>
        <v>Craggy Bril</v>
      </c>
      <c r="G361" s="2" t="str">
        <f>IF(_xlfn.XLOOKUP(C361,customers!$A$1:$A$1001,customers!$C$1:$C$1001,,0)=0,"",_xlfn.XLOOKUP(C361,customers!$A$1:$A$1001,customers!$C$1:$C$1001,,0))</f>
        <v/>
      </c>
      <c r="H361" s="2" t="str">
        <f>_xlfn.XLOOKUP(C361,customers!$A$1:$A$1001,customers!$G$1:$G$1001,,0)</f>
        <v>United States</v>
      </c>
      <c r="I361" t="str">
        <f>INDEX(products!$A$1:$G$49, MATCH(orders!$D239,products!$A$1:$A286,0), MATCH(orders!I$1,products!$A$1:$G$1,0))</f>
        <v>Rob</v>
      </c>
      <c r="J361" t="str">
        <f>INDEX(products!$A$1:$G$49, MATCH(orders!$D239,products!$A$1:$A286,0), MATCH(orders!J$1,products!$A$1:$G$1,0))</f>
        <v>L</v>
      </c>
      <c r="K361" s="5">
        <f>INDEX(products!$A$1:$G$49, MATCH(orders!$D239,products!$A$1:$A286,0), MATCH(orders!K$1,products!$A$1:$G$1,0))</f>
        <v>0.2</v>
      </c>
      <c r="L361" s="6">
        <f>INDEX(products!$A$1:$G$49, MATCH(orders!$D239,products!$A$1:$A286,0), MATCH(orders!L$1,products!$A$1:$G$1,0))</f>
        <v>3.5849999999999995</v>
      </c>
      <c r="M361" s="6">
        <f t="shared" si="15"/>
        <v>3.5849999999999995</v>
      </c>
      <c r="N361" t="str">
        <f t="shared" si="16"/>
        <v>Robusta</v>
      </c>
      <c r="O361" t="str">
        <f t="shared" si="17"/>
        <v>Light</v>
      </c>
      <c r="P361" t="str">
        <f>_xlfn.XLOOKUP(Orders[[#This Row],[Customer ID]],customers!$A$1:$A$1001,customers!$I$1:$I$1001,,0)</f>
        <v>Yes</v>
      </c>
      <c r="Q361">
        <f>COUNTIF(Orders[Order ID],Orders[[#This Row],[Order ID]])</f>
        <v>1</v>
      </c>
      <c r="R361" s="10">
        <f>SUMIF(Orders[Order ID], Orders[[#This Row],[Order ID]],Orders[Sales])/Orders[[#This Row],[Order Frequency]]</f>
        <v>3.5849999999999995</v>
      </c>
      <c r="S361" t="str">
        <f>IF(Orders[[#This Row],[Order Frequency]]&gt;4, "More than 4", IF(AND(Orders[[#This Row],[Order Frequency]]&lt;=4,Orders[[#This Row],[Order Frequency]]&gt;=2), "Between 4 and 2", "Less than 2"))</f>
        <v>Less than 2</v>
      </c>
      <c r="T361" t="str">
        <f>IF(Orders[[#This Row],[Frequency Group]]="less than 2", "Low Value", IF(Orders[[#This Row],[Frequency Group]]="between 4 and 2", "Medium Value", "High Value"))</f>
        <v>Low Value</v>
      </c>
      <c r="U361" t="str">
        <f>IF(Orders[[#This Row],[Sales]]&lt;50, "$0-50", IF(AND(Orders[[#This Row],[Sales]]&gt;=50,Orders[[#This Row],[Sales]]&lt;=100), "$50-100", IF(AND(Orders[[#This Row],[Sales]]&gt;100,Orders[[#This Row],[Sales]]&lt;=150), "$101-150", "$150+")))</f>
        <v>$0-50</v>
      </c>
      <c r="V361" t="str">
        <f>IF(Orders[[#This Row],[Sales]]&gt;MEDIAN(M:M), "High Price", "Low Price")</f>
        <v>Low Price</v>
      </c>
      <c r="W361" t="str">
        <f>IF(Orders[[#This Row],[Quantity]]&gt;MEDIAN(E:E), "High Volume", "Low Volume")</f>
        <v>Low Volume</v>
      </c>
      <c r="X361" t="str">
        <f>Orders[[#This Row],[Sales Tier]] &amp; "-" &amp; Orders[[#This Row],[Quantity Tier]]</f>
        <v>Low Price-Low Volume</v>
      </c>
      <c r="Y361" t="str">
        <f>TEXT(Orders[[#This Row],[Order Date]], "mmmm")</f>
        <v>January</v>
      </c>
      <c r="Z36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361" t="str">
        <f>Orders[[#This Row],[Coffee Type Name]] &amp; "-" &amp; Orders[[#This Row],[Roast Type Name]]</f>
        <v>Robusta-Light</v>
      </c>
      <c r="AB36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362" spans="1:28" x14ac:dyDescent="0.25">
      <c r="A362" s="2" t="s">
        <v>4280</v>
      </c>
      <c r="B362" s="4">
        <v>44495</v>
      </c>
      <c r="C362" s="2" t="s">
        <v>4281</v>
      </c>
      <c r="D362" t="s">
        <v>6179</v>
      </c>
      <c r="E362" s="2">
        <v>5</v>
      </c>
      <c r="F362" s="2" t="str">
        <f>_xlfn.XLOOKUP(C362,customers!$A$1:$A$1001,customers!$B$1:$B$1001,,0)</f>
        <v>Gale Heindrick</v>
      </c>
      <c r="G362" s="2" t="str">
        <f>IF(_xlfn.XLOOKUP(C362,customers!$A$1:$A$1001,customers!$C$1:$C$1001,,0)=0,"",_xlfn.XLOOKUP(C362,customers!$A$1:$A$1001,customers!$C$1:$C$1001,,0))</f>
        <v>gheindrickin@usda.gov</v>
      </c>
      <c r="H362" s="2" t="str">
        <f>_xlfn.XLOOKUP(C362,customers!$A$1:$A$1001,customers!$G$1:$G$1001,,0)</f>
        <v>United States</v>
      </c>
      <c r="I362" t="str">
        <f>INDEX(products!$A$1:$G$49, MATCH(orders!$D673,products!$A$1:$A720,0), MATCH(orders!I$1,products!$A$1:$G$1,0))</f>
        <v>Rob</v>
      </c>
      <c r="J362" t="str">
        <f>INDEX(products!$A$1:$G$49, MATCH(orders!$D673,products!$A$1:$A720,0), MATCH(orders!J$1,products!$A$1:$G$1,0))</f>
        <v>L</v>
      </c>
      <c r="K362" s="5">
        <f>INDEX(products!$A$1:$G$49, MATCH(orders!$D673,products!$A$1:$A720,0), MATCH(orders!K$1,products!$A$1:$G$1,0))</f>
        <v>1</v>
      </c>
      <c r="L362" s="6">
        <f>INDEX(products!$A$1:$G$49, MATCH(orders!$D673,products!$A$1:$A720,0), MATCH(orders!L$1,products!$A$1:$G$1,0))</f>
        <v>11.95</v>
      </c>
      <c r="M362" s="6">
        <f t="shared" si="15"/>
        <v>59.75</v>
      </c>
      <c r="N362" t="str">
        <f t="shared" si="16"/>
        <v>Robusta</v>
      </c>
      <c r="O362" t="str">
        <f t="shared" si="17"/>
        <v>Light</v>
      </c>
      <c r="P362" t="str">
        <f>_xlfn.XLOOKUP(Orders[[#This Row],[Customer ID]],customers!$A$1:$A$1001,customers!$I$1:$I$1001,,0)</f>
        <v>No</v>
      </c>
      <c r="Q362">
        <f>COUNTIF(Orders[Order ID],Orders[[#This Row],[Order ID]])</f>
        <v>1</v>
      </c>
      <c r="R362" s="10">
        <f>SUMIF(Orders[Order ID], Orders[[#This Row],[Order ID]],Orders[Sales])/Orders[[#This Row],[Order Frequency]]</f>
        <v>59.75</v>
      </c>
      <c r="S362" t="str">
        <f>IF(Orders[[#This Row],[Order Frequency]]&gt;4, "More than 4", IF(AND(Orders[[#This Row],[Order Frequency]]&lt;=4,Orders[[#This Row],[Order Frequency]]&gt;=2), "Between 4 and 2", "Less than 2"))</f>
        <v>Less than 2</v>
      </c>
      <c r="T362" t="str">
        <f>IF(Orders[[#This Row],[Frequency Group]]="less than 2", "Low Value", IF(Orders[[#This Row],[Frequency Group]]="between 4 and 2", "Medium Value", "High Value"))</f>
        <v>Low Value</v>
      </c>
      <c r="U362" t="str">
        <f>IF(Orders[[#This Row],[Sales]]&lt;50, "$0-50", IF(AND(Orders[[#This Row],[Sales]]&gt;=50,Orders[[#This Row],[Sales]]&lt;=100), "$50-100", IF(AND(Orders[[#This Row],[Sales]]&gt;100,Orders[[#This Row],[Sales]]&lt;=150), "$101-150", "$150+")))</f>
        <v>$50-100</v>
      </c>
      <c r="V362" t="str">
        <f>IF(Orders[[#This Row],[Sales]]&gt;MEDIAN(M:M), "High Price", "Low Price")</f>
        <v>High Price</v>
      </c>
      <c r="W362" t="str">
        <f>IF(Orders[[#This Row],[Quantity]]&gt;MEDIAN(E:E), "High Volume", "Low Volume")</f>
        <v>High Volume</v>
      </c>
      <c r="X362" t="str">
        <f>Orders[[#This Row],[Sales Tier]] &amp; "-" &amp; Orders[[#This Row],[Quantity Tier]]</f>
        <v>High Price-High Volume</v>
      </c>
      <c r="Y362" t="str">
        <f>TEXT(Orders[[#This Row],[Order Date]], "mmmm")</f>
        <v>October</v>
      </c>
      <c r="Z36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362" t="str">
        <f>Orders[[#This Row],[Coffee Type Name]] &amp; "-" &amp; Orders[[#This Row],[Roast Type Name]]</f>
        <v>Robusta-Light</v>
      </c>
      <c r="AB36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363" spans="1:28" x14ac:dyDescent="0.25">
      <c r="A363" s="2" t="s">
        <v>5273</v>
      </c>
      <c r="B363" s="4">
        <v>44747</v>
      </c>
      <c r="C363" s="2" t="s">
        <v>5274</v>
      </c>
      <c r="D363" t="s">
        <v>6175</v>
      </c>
      <c r="E363" s="2">
        <v>2</v>
      </c>
      <c r="F363" s="2" t="str">
        <f>_xlfn.XLOOKUP(C363,customers!$A$1:$A$1001,customers!$B$1:$B$1001,,0)</f>
        <v>Edin Mathe</v>
      </c>
      <c r="G363" s="2" t="str">
        <f>IF(_xlfn.XLOOKUP(C363,customers!$A$1:$A$1001,customers!$C$1:$C$1001,,0)=0,"",_xlfn.XLOOKUP(C363,customers!$A$1:$A$1001,customers!$C$1:$C$1001,,0))</f>
        <v/>
      </c>
      <c r="H363" s="2" t="str">
        <f>_xlfn.XLOOKUP(C363,customers!$A$1:$A$1001,customers!$G$1:$G$1001,,0)</f>
        <v>United States</v>
      </c>
      <c r="I363" t="str">
        <f>INDEX(products!$A$1:$G$49, MATCH(orders!$D848,products!$A$1:$A895,0), MATCH(orders!I$1,products!$A$1:$G$1,0))</f>
        <v>Ara</v>
      </c>
      <c r="J363" t="str">
        <f>INDEX(products!$A$1:$G$49, MATCH(orders!$D848,products!$A$1:$A895,0), MATCH(orders!J$1,products!$A$1:$G$1,0))</f>
        <v>M</v>
      </c>
      <c r="K363" s="5">
        <f>INDEX(products!$A$1:$G$49, MATCH(orders!$D848,products!$A$1:$A895,0), MATCH(orders!K$1,products!$A$1:$G$1,0))</f>
        <v>2.5</v>
      </c>
      <c r="L363" s="6">
        <f>INDEX(products!$A$1:$G$49, MATCH(orders!$D848,products!$A$1:$A895,0), MATCH(orders!L$1,products!$A$1:$G$1,0))</f>
        <v>25.874999999999996</v>
      </c>
      <c r="M363" s="6">
        <f t="shared" si="15"/>
        <v>51.749999999999993</v>
      </c>
      <c r="N363" t="str">
        <f t="shared" si="16"/>
        <v>Arabica</v>
      </c>
      <c r="O363" t="str">
        <f t="shared" si="17"/>
        <v>Medium</v>
      </c>
      <c r="P363" t="str">
        <f>_xlfn.XLOOKUP(Orders[[#This Row],[Customer ID]],customers!$A$1:$A$1001,customers!$I$1:$I$1001,,0)</f>
        <v>Yes</v>
      </c>
      <c r="Q363">
        <f>COUNTIF(Orders[Order ID],Orders[[#This Row],[Order ID]])</f>
        <v>1</v>
      </c>
      <c r="R363" s="10">
        <f>SUMIF(Orders[Order ID], Orders[[#This Row],[Order ID]],Orders[Sales])/Orders[[#This Row],[Order Frequency]]</f>
        <v>51.749999999999993</v>
      </c>
      <c r="S363" t="str">
        <f>IF(Orders[[#This Row],[Order Frequency]]&gt;4, "More than 4", IF(AND(Orders[[#This Row],[Order Frequency]]&lt;=4,Orders[[#This Row],[Order Frequency]]&gt;=2), "Between 4 and 2", "Less than 2"))</f>
        <v>Less than 2</v>
      </c>
      <c r="T363" t="str">
        <f>IF(Orders[[#This Row],[Frequency Group]]="less than 2", "Low Value", IF(Orders[[#This Row],[Frequency Group]]="between 4 and 2", "Medium Value", "High Value"))</f>
        <v>Low Value</v>
      </c>
      <c r="U363" t="str">
        <f>IF(Orders[[#This Row],[Sales]]&lt;50, "$0-50", IF(AND(Orders[[#This Row],[Sales]]&gt;=50,Orders[[#This Row],[Sales]]&lt;=100), "$50-100", IF(AND(Orders[[#This Row],[Sales]]&gt;100,Orders[[#This Row],[Sales]]&lt;=150), "$101-150", "$150+")))</f>
        <v>$50-100</v>
      </c>
      <c r="V363" t="str">
        <f>IF(Orders[[#This Row],[Sales]]&gt;MEDIAN(M:M), "High Price", "Low Price")</f>
        <v>High Price</v>
      </c>
      <c r="W363" t="str">
        <f>IF(Orders[[#This Row],[Quantity]]&gt;MEDIAN(E:E), "High Volume", "Low Volume")</f>
        <v>Low Volume</v>
      </c>
      <c r="X363" t="str">
        <f>Orders[[#This Row],[Sales Tier]] &amp; "-" &amp; Orders[[#This Row],[Quantity Tier]]</f>
        <v>High Price-Low Volume</v>
      </c>
      <c r="Y363" t="str">
        <f>TEXT(Orders[[#This Row],[Order Date]], "mmmm")</f>
        <v>July</v>
      </c>
      <c r="Z36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363" t="str">
        <f>Orders[[#This Row],[Coffee Type Name]] &amp; "-" &amp; Orders[[#This Row],[Roast Type Name]]</f>
        <v>Arabica-Medium</v>
      </c>
      <c r="AB36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364" spans="1:28" x14ac:dyDescent="0.25">
      <c r="A364" s="2" t="s">
        <v>2905</v>
      </c>
      <c r="B364" s="4">
        <v>44367</v>
      </c>
      <c r="C364" s="2" t="s">
        <v>2586</v>
      </c>
      <c r="D364" t="s">
        <v>6140</v>
      </c>
      <c r="E364" s="2">
        <v>6</v>
      </c>
      <c r="F364" s="2" t="str">
        <f>_xlfn.XLOOKUP(C364,customers!$A$1:$A$1001,customers!$B$1:$B$1001,,0)</f>
        <v>Terri Farra</v>
      </c>
      <c r="G364" s="2" t="str">
        <f>IF(_xlfn.XLOOKUP(C364,customers!$A$1:$A$1001,customers!$C$1:$C$1001,,0)=0,"",_xlfn.XLOOKUP(C364,customers!$A$1:$A$1001,customers!$C$1:$C$1001,,0))</f>
        <v>tfarraac@behance.net</v>
      </c>
      <c r="H364" s="2" t="str">
        <f>_xlfn.XLOOKUP(C364,customers!$A$1:$A$1001,customers!$G$1:$G$1001,,0)</f>
        <v>United States</v>
      </c>
      <c r="I364" t="str">
        <f>INDEX(products!$A$1:$G$49, MATCH(orders!$D431,products!$A$1:$A478,0), MATCH(orders!I$1,products!$A$1:$G$1,0))</f>
        <v>Ara</v>
      </c>
      <c r="J364" t="str">
        <f>INDEX(products!$A$1:$G$49, MATCH(orders!$D431,products!$A$1:$A478,0), MATCH(orders!J$1,products!$A$1:$G$1,0))</f>
        <v>L</v>
      </c>
      <c r="K364" s="5">
        <f>INDEX(products!$A$1:$G$49, MATCH(orders!$D431,products!$A$1:$A478,0), MATCH(orders!K$1,products!$A$1:$G$1,0))</f>
        <v>1</v>
      </c>
      <c r="L364" s="6">
        <f>INDEX(products!$A$1:$G$49, MATCH(orders!$D431,products!$A$1:$A478,0), MATCH(orders!L$1,products!$A$1:$G$1,0))</f>
        <v>12.95</v>
      </c>
      <c r="M364" s="6">
        <f t="shared" si="15"/>
        <v>77.699999999999989</v>
      </c>
      <c r="N364" t="str">
        <f t="shared" si="16"/>
        <v>Arabica</v>
      </c>
      <c r="O364" t="str">
        <f t="shared" si="17"/>
        <v>Light</v>
      </c>
      <c r="P364" t="str">
        <f>_xlfn.XLOOKUP(Orders[[#This Row],[Customer ID]],customers!$A$1:$A$1001,customers!$I$1:$I$1001,,0)</f>
        <v>No</v>
      </c>
      <c r="Q364">
        <f>COUNTIF(Orders[Order ID],Orders[[#This Row],[Order ID]])</f>
        <v>1</v>
      </c>
      <c r="R364" s="10">
        <f>SUMIF(Orders[Order ID], Orders[[#This Row],[Order ID]],Orders[Sales])/Orders[[#This Row],[Order Frequency]]</f>
        <v>77.699999999999989</v>
      </c>
      <c r="S364" t="str">
        <f>IF(Orders[[#This Row],[Order Frequency]]&gt;4, "More than 4", IF(AND(Orders[[#This Row],[Order Frequency]]&lt;=4,Orders[[#This Row],[Order Frequency]]&gt;=2), "Between 4 and 2", "Less than 2"))</f>
        <v>Less than 2</v>
      </c>
      <c r="T364" t="str">
        <f>IF(Orders[[#This Row],[Frequency Group]]="less than 2", "Low Value", IF(Orders[[#This Row],[Frequency Group]]="between 4 and 2", "Medium Value", "High Value"))</f>
        <v>Low Value</v>
      </c>
      <c r="U364" t="str">
        <f>IF(Orders[[#This Row],[Sales]]&lt;50, "$0-50", IF(AND(Orders[[#This Row],[Sales]]&gt;=50,Orders[[#This Row],[Sales]]&lt;=100), "$50-100", IF(AND(Orders[[#This Row],[Sales]]&gt;100,Orders[[#This Row],[Sales]]&lt;=150), "$101-150", "$150+")))</f>
        <v>$50-100</v>
      </c>
      <c r="V364" t="str">
        <f>IF(Orders[[#This Row],[Sales]]&gt;MEDIAN(M:M), "High Price", "Low Price")</f>
        <v>High Price</v>
      </c>
      <c r="W364" t="str">
        <f>IF(Orders[[#This Row],[Quantity]]&gt;MEDIAN(E:E), "High Volume", "Low Volume")</f>
        <v>High Volume</v>
      </c>
      <c r="X364" t="str">
        <f>Orders[[#This Row],[Sales Tier]] &amp; "-" &amp; Orders[[#This Row],[Quantity Tier]]</f>
        <v>High Price-High Volume</v>
      </c>
      <c r="Y364" t="str">
        <f>TEXT(Orders[[#This Row],[Order Date]], "mmmm")</f>
        <v>June</v>
      </c>
      <c r="Z36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364" t="str">
        <f>Orders[[#This Row],[Coffee Type Name]] &amp; "-" &amp; Orders[[#This Row],[Roast Type Name]]</f>
        <v>Arabica-Light</v>
      </c>
      <c r="AB36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365" spans="1:28" x14ac:dyDescent="0.25">
      <c r="A365" s="2" t="s">
        <v>1800</v>
      </c>
      <c r="B365" s="4">
        <v>44010</v>
      </c>
      <c r="C365" s="2" t="s">
        <v>1801</v>
      </c>
      <c r="D365" t="s">
        <v>6145</v>
      </c>
      <c r="E365" s="2">
        <v>5</v>
      </c>
      <c r="F365" s="2" t="str">
        <f>_xlfn.XLOOKUP(C365,customers!$A$1:$A$1001,customers!$B$1:$B$1001,,0)</f>
        <v>Conny Gheraldi</v>
      </c>
      <c r="G365" s="2" t="str">
        <f>IF(_xlfn.XLOOKUP(C365,customers!$A$1:$A$1001,customers!$C$1:$C$1001,,0)=0,"",_xlfn.XLOOKUP(C365,customers!$A$1:$A$1001,customers!$C$1:$C$1001,,0))</f>
        <v>cgheraldi6g@opera.com</v>
      </c>
      <c r="H365" s="2" t="str">
        <f>_xlfn.XLOOKUP(C365,customers!$A$1:$A$1001,customers!$G$1:$G$1001,,0)</f>
        <v>United Kingdom</v>
      </c>
      <c r="I365" t="str">
        <f>INDEX(products!$A$1:$G$49, MATCH(orders!$D234,products!$A$1:$A281,0), MATCH(orders!I$1,products!$A$1:$G$1,0))</f>
        <v>Lib</v>
      </c>
      <c r="J365" t="str">
        <f>INDEX(products!$A$1:$G$49, MATCH(orders!$D234,products!$A$1:$A281,0), MATCH(orders!J$1,products!$A$1:$G$1,0))</f>
        <v>L</v>
      </c>
      <c r="K365" s="5">
        <f>INDEX(products!$A$1:$G$49, MATCH(orders!$D234,products!$A$1:$A281,0), MATCH(orders!K$1,products!$A$1:$G$1,0))</f>
        <v>0.2</v>
      </c>
      <c r="L365" s="6">
        <f>INDEX(products!$A$1:$G$49, MATCH(orders!$D234,products!$A$1:$A281,0), MATCH(orders!L$1,products!$A$1:$G$1,0))</f>
        <v>4.7549999999999999</v>
      </c>
      <c r="M365" s="6">
        <f t="shared" si="15"/>
        <v>23.774999999999999</v>
      </c>
      <c r="N365" t="str">
        <f t="shared" si="16"/>
        <v>Liberica</v>
      </c>
      <c r="O365" t="str">
        <f t="shared" si="17"/>
        <v>Light</v>
      </c>
      <c r="P365" t="str">
        <f>_xlfn.XLOOKUP(Orders[[#This Row],[Customer ID]],customers!$A$1:$A$1001,customers!$I$1:$I$1001,,0)</f>
        <v>No</v>
      </c>
      <c r="Q365">
        <f>COUNTIF(Orders[Order ID],Orders[[#This Row],[Order ID]])</f>
        <v>1</v>
      </c>
      <c r="R365" s="10">
        <f>SUMIF(Orders[Order ID], Orders[[#This Row],[Order ID]],Orders[Sales])/Orders[[#This Row],[Order Frequency]]</f>
        <v>23.774999999999999</v>
      </c>
      <c r="S365" t="str">
        <f>IF(Orders[[#This Row],[Order Frequency]]&gt;4, "More than 4", IF(AND(Orders[[#This Row],[Order Frequency]]&lt;=4,Orders[[#This Row],[Order Frequency]]&gt;=2), "Between 4 and 2", "Less than 2"))</f>
        <v>Less than 2</v>
      </c>
      <c r="T365" t="str">
        <f>IF(Orders[[#This Row],[Frequency Group]]="less than 2", "Low Value", IF(Orders[[#This Row],[Frequency Group]]="between 4 and 2", "Medium Value", "High Value"))</f>
        <v>Low Value</v>
      </c>
      <c r="U365" t="str">
        <f>IF(Orders[[#This Row],[Sales]]&lt;50, "$0-50", IF(AND(Orders[[#This Row],[Sales]]&gt;=50,Orders[[#This Row],[Sales]]&lt;=100), "$50-100", IF(AND(Orders[[#This Row],[Sales]]&gt;100,Orders[[#This Row],[Sales]]&lt;=150), "$101-150", "$150+")))</f>
        <v>$0-50</v>
      </c>
      <c r="V365" t="str">
        <f>IF(Orders[[#This Row],[Sales]]&gt;MEDIAN(M:M), "High Price", "Low Price")</f>
        <v>Low Price</v>
      </c>
      <c r="W365" t="str">
        <f>IF(Orders[[#This Row],[Quantity]]&gt;MEDIAN(E:E), "High Volume", "Low Volume")</f>
        <v>High Volume</v>
      </c>
      <c r="X365" t="str">
        <f>Orders[[#This Row],[Sales Tier]] &amp; "-" &amp; Orders[[#This Row],[Quantity Tier]]</f>
        <v>Low Price-High Volume</v>
      </c>
      <c r="Y365" t="str">
        <f>TEXT(Orders[[#This Row],[Order Date]], "mmmm")</f>
        <v>June</v>
      </c>
      <c r="Z36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365" t="str">
        <f>Orders[[#This Row],[Coffee Type Name]] &amp; "-" &amp; Orders[[#This Row],[Roast Type Name]]</f>
        <v>Liberica-Light</v>
      </c>
      <c r="AB36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366" spans="1:28" x14ac:dyDescent="0.25">
      <c r="A366" s="2" t="s">
        <v>5921</v>
      </c>
      <c r="B366" s="4">
        <v>44158</v>
      </c>
      <c r="C366" s="2" t="s">
        <v>5922</v>
      </c>
      <c r="D366" t="s">
        <v>6168</v>
      </c>
      <c r="E366" s="2">
        <v>2</v>
      </c>
      <c r="F366" s="2" t="str">
        <f>_xlfn.XLOOKUP(C366,customers!$A$1:$A$1001,customers!$B$1:$B$1001,,0)</f>
        <v>Florinda Matusovsky</v>
      </c>
      <c r="G366" s="2" t="str">
        <f>IF(_xlfn.XLOOKUP(C366,customers!$A$1:$A$1001,customers!$C$1:$C$1001,,0)=0,"",_xlfn.XLOOKUP(C366,customers!$A$1:$A$1001,customers!$C$1:$C$1001,,0))</f>
        <v/>
      </c>
      <c r="H366" s="2" t="str">
        <f>_xlfn.XLOOKUP(C366,customers!$A$1:$A$1001,customers!$G$1:$G$1001,,0)</f>
        <v>United States</v>
      </c>
      <c r="I366" t="str">
        <f>INDEX(products!$A$1:$G$49, MATCH(orders!$D963,products!$A$1:$A1010,0), MATCH(orders!I$1,products!$A$1:$G$1,0))</f>
        <v>Ara</v>
      </c>
      <c r="J366" t="str">
        <f>INDEX(products!$A$1:$G$49, MATCH(orders!$D963,products!$A$1:$A1010,0), MATCH(orders!J$1,products!$A$1:$G$1,0))</f>
        <v>D</v>
      </c>
      <c r="K366" s="5">
        <f>INDEX(products!$A$1:$G$49, MATCH(orders!$D963,products!$A$1:$A1010,0), MATCH(orders!K$1,products!$A$1:$G$1,0))</f>
        <v>2.5</v>
      </c>
      <c r="L366" s="6">
        <f>INDEX(products!$A$1:$G$49, MATCH(orders!$D963,products!$A$1:$A1010,0), MATCH(orders!L$1,products!$A$1:$G$1,0))</f>
        <v>22.884999999999998</v>
      </c>
      <c r="M366" s="6">
        <f t="shared" si="15"/>
        <v>45.769999999999996</v>
      </c>
      <c r="N366" t="str">
        <f t="shared" si="16"/>
        <v>Arabica</v>
      </c>
      <c r="O366" t="str">
        <f t="shared" si="17"/>
        <v>Dark</v>
      </c>
      <c r="P366" t="str">
        <f>_xlfn.XLOOKUP(Orders[[#This Row],[Customer ID]],customers!$A$1:$A$1001,customers!$I$1:$I$1001,,0)</f>
        <v>Yes</v>
      </c>
      <c r="Q366">
        <f>COUNTIF(Orders[Order ID],Orders[[#This Row],[Order ID]])</f>
        <v>1</v>
      </c>
      <c r="R366" s="10">
        <f>SUMIF(Orders[Order ID], Orders[[#This Row],[Order ID]],Orders[Sales])/Orders[[#This Row],[Order Frequency]]</f>
        <v>45.769999999999996</v>
      </c>
      <c r="S366" t="str">
        <f>IF(Orders[[#This Row],[Order Frequency]]&gt;4, "More than 4", IF(AND(Orders[[#This Row],[Order Frequency]]&lt;=4,Orders[[#This Row],[Order Frequency]]&gt;=2), "Between 4 and 2", "Less than 2"))</f>
        <v>Less than 2</v>
      </c>
      <c r="T366" t="str">
        <f>IF(Orders[[#This Row],[Frequency Group]]="less than 2", "Low Value", IF(Orders[[#This Row],[Frequency Group]]="between 4 and 2", "Medium Value", "High Value"))</f>
        <v>Low Value</v>
      </c>
      <c r="U366" t="str">
        <f>IF(Orders[[#This Row],[Sales]]&lt;50, "$0-50", IF(AND(Orders[[#This Row],[Sales]]&gt;=50,Orders[[#This Row],[Sales]]&lt;=100), "$50-100", IF(AND(Orders[[#This Row],[Sales]]&gt;100,Orders[[#This Row],[Sales]]&lt;=150), "$101-150", "$150+")))</f>
        <v>$0-50</v>
      </c>
      <c r="V366" t="str">
        <f>IF(Orders[[#This Row],[Sales]]&gt;MEDIAN(M:M), "High Price", "Low Price")</f>
        <v>High Price</v>
      </c>
      <c r="W366" t="str">
        <f>IF(Orders[[#This Row],[Quantity]]&gt;MEDIAN(E:E), "High Volume", "Low Volume")</f>
        <v>Low Volume</v>
      </c>
      <c r="X366" t="str">
        <f>Orders[[#This Row],[Sales Tier]] &amp; "-" &amp; Orders[[#This Row],[Quantity Tier]]</f>
        <v>High Price-Low Volume</v>
      </c>
      <c r="Y366" t="str">
        <f>TEXT(Orders[[#This Row],[Order Date]], "mmmm")</f>
        <v>November</v>
      </c>
      <c r="Z36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366" t="str">
        <f>Orders[[#This Row],[Coffee Type Name]] &amp; "-" &amp; Orders[[#This Row],[Roast Type Name]]</f>
        <v>Arabica-Dark</v>
      </c>
      <c r="AB36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367" spans="1:28" x14ac:dyDescent="0.25">
      <c r="A367" s="2" t="s">
        <v>5152</v>
      </c>
      <c r="B367" s="4">
        <v>44603</v>
      </c>
      <c r="C367" s="2" t="s">
        <v>5188</v>
      </c>
      <c r="D367" t="s">
        <v>6147</v>
      </c>
      <c r="E367" s="2">
        <v>3</v>
      </c>
      <c r="F367" s="2" t="str">
        <f>_xlfn.XLOOKUP(C367,customers!$A$1:$A$1001,customers!$B$1:$B$1001,,0)</f>
        <v>Odelia Skerme</v>
      </c>
      <c r="G367" s="2" t="str">
        <f>IF(_xlfn.XLOOKUP(C367,customers!$A$1:$A$1001,customers!$C$1:$C$1001,,0)=0,"",_xlfn.XLOOKUP(C367,customers!$A$1:$A$1001,customers!$C$1:$C$1001,,0))</f>
        <v>oskermen3@hatena.ne.jp</v>
      </c>
      <c r="H367" s="2" t="str">
        <f>_xlfn.XLOOKUP(C367,customers!$A$1:$A$1001,customers!$G$1:$G$1001,,0)</f>
        <v>United States</v>
      </c>
      <c r="I367" t="str">
        <f>INDEX(products!$A$1:$G$49, MATCH(orders!$D827,products!$A$1:$A874,0), MATCH(orders!I$1,products!$A$1:$G$1,0))</f>
        <v>Ara</v>
      </c>
      <c r="J367" t="str">
        <f>INDEX(products!$A$1:$G$49, MATCH(orders!$D827,products!$A$1:$A874,0), MATCH(orders!J$1,products!$A$1:$G$1,0))</f>
        <v>D</v>
      </c>
      <c r="K367" s="5">
        <f>INDEX(products!$A$1:$G$49, MATCH(orders!$D827,products!$A$1:$A874,0), MATCH(orders!K$1,products!$A$1:$G$1,0))</f>
        <v>1</v>
      </c>
      <c r="L367" s="6">
        <f>INDEX(products!$A$1:$G$49, MATCH(orders!$D827,products!$A$1:$A874,0), MATCH(orders!L$1,products!$A$1:$G$1,0))</f>
        <v>9.9499999999999993</v>
      </c>
      <c r="M367" s="6">
        <f t="shared" si="15"/>
        <v>29.849999999999998</v>
      </c>
      <c r="N367" t="str">
        <f t="shared" si="16"/>
        <v>Arabica</v>
      </c>
      <c r="O367" t="str">
        <f t="shared" si="17"/>
        <v>Dark</v>
      </c>
      <c r="P367" t="str">
        <f>_xlfn.XLOOKUP(Orders[[#This Row],[Customer ID]],customers!$A$1:$A$1001,customers!$I$1:$I$1001,,0)</f>
        <v>Yes</v>
      </c>
      <c r="Q367">
        <f>COUNTIF(Orders[Order ID],Orders[[#This Row],[Order ID]])</f>
        <v>1</v>
      </c>
      <c r="R367" s="10">
        <f>SUMIF(Orders[Order ID], Orders[[#This Row],[Order ID]],Orders[Sales])/Orders[[#This Row],[Order Frequency]]</f>
        <v>29.849999999999998</v>
      </c>
      <c r="S367" t="str">
        <f>IF(Orders[[#This Row],[Order Frequency]]&gt;4, "More than 4", IF(AND(Orders[[#This Row],[Order Frequency]]&lt;=4,Orders[[#This Row],[Order Frequency]]&gt;=2), "Between 4 and 2", "Less than 2"))</f>
        <v>Less than 2</v>
      </c>
      <c r="T367" t="str">
        <f>IF(Orders[[#This Row],[Frequency Group]]="less than 2", "Low Value", IF(Orders[[#This Row],[Frequency Group]]="between 4 and 2", "Medium Value", "High Value"))</f>
        <v>Low Value</v>
      </c>
      <c r="U367" t="str">
        <f>IF(Orders[[#This Row],[Sales]]&lt;50, "$0-50", IF(AND(Orders[[#This Row],[Sales]]&gt;=50,Orders[[#This Row],[Sales]]&lt;=100), "$50-100", IF(AND(Orders[[#This Row],[Sales]]&gt;100,Orders[[#This Row],[Sales]]&lt;=150), "$101-150", "$150+")))</f>
        <v>$0-50</v>
      </c>
      <c r="V367" t="str">
        <f>IF(Orders[[#This Row],[Sales]]&gt;MEDIAN(M:M), "High Price", "Low Price")</f>
        <v>High Price</v>
      </c>
      <c r="W367" t="str">
        <f>IF(Orders[[#This Row],[Quantity]]&gt;MEDIAN(E:E), "High Volume", "Low Volume")</f>
        <v>Low Volume</v>
      </c>
      <c r="X367" t="str">
        <f>Orders[[#This Row],[Sales Tier]] &amp; "-" &amp; Orders[[#This Row],[Quantity Tier]]</f>
        <v>High Price-Low Volume</v>
      </c>
      <c r="Y367" t="str">
        <f>TEXT(Orders[[#This Row],[Order Date]], "mmmm")</f>
        <v>February</v>
      </c>
      <c r="Z36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367" t="str">
        <f>Orders[[#This Row],[Coffee Type Name]] &amp; "-" &amp; Orders[[#This Row],[Roast Type Name]]</f>
        <v>Arabica-Dark</v>
      </c>
      <c r="AB36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368" spans="1:28" x14ac:dyDescent="0.25">
      <c r="A368" s="2" t="s">
        <v>1204</v>
      </c>
      <c r="B368" s="4">
        <v>44510</v>
      </c>
      <c r="C368" s="2" t="s">
        <v>1205</v>
      </c>
      <c r="D368" t="s">
        <v>6143</v>
      </c>
      <c r="E368" s="2">
        <v>6</v>
      </c>
      <c r="F368" s="2" t="str">
        <f>_xlfn.XLOOKUP(C368,customers!$A$1:$A$1001,customers!$B$1:$B$1001,,0)</f>
        <v>Raleigh Lepere</v>
      </c>
      <c r="G368" s="2" t="str">
        <f>IF(_xlfn.XLOOKUP(C368,customers!$A$1:$A$1001,customers!$C$1:$C$1001,,0)=0,"",_xlfn.XLOOKUP(C368,customers!$A$1:$A$1001,customers!$C$1:$C$1001,,0))</f>
        <v>rlepere3j@shop-pro.jp</v>
      </c>
      <c r="H368" s="2" t="str">
        <f>_xlfn.XLOOKUP(C368,customers!$A$1:$A$1001,customers!$G$1:$G$1001,,0)</f>
        <v>Ireland</v>
      </c>
      <c r="I368" t="str">
        <f>INDEX(products!$A$1:$G$49, MATCH(orders!$D129,products!$A$1:$A176,0), MATCH(orders!I$1,products!$A$1:$G$1,0))</f>
        <v>Lib</v>
      </c>
      <c r="J368" t="str">
        <f>INDEX(products!$A$1:$G$49, MATCH(orders!$D129,products!$A$1:$A176,0), MATCH(orders!J$1,products!$A$1:$G$1,0))</f>
        <v>D</v>
      </c>
      <c r="K368" s="5">
        <f>INDEX(products!$A$1:$G$49, MATCH(orders!$D129,products!$A$1:$A176,0), MATCH(orders!K$1,products!$A$1:$G$1,0))</f>
        <v>1</v>
      </c>
      <c r="L368" s="6">
        <f>INDEX(products!$A$1:$G$49, MATCH(orders!$D129,products!$A$1:$A176,0), MATCH(orders!L$1,products!$A$1:$G$1,0))</f>
        <v>12.95</v>
      </c>
      <c r="M368" s="6">
        <f t="shared" si="15"/>
        <v>77.699999999999989</v>
      </c>
      <c r="N368" t="str">
        <f t="shared" si="16"/>
        <v>Liberica</v>
      </c>
      <c r="O368" t="str">
        <f t="shared" si="17"/>
        <v>Dark</v>
      </c>
      <c r="P368" t="str">
        <f>_xlfn.XLOOKUP(Orders[[#This Row],[Customer ID]],customers!$A$1:$A$1001,customers!$I$1:$I$1001,,0)</f>
        <v>No</v>
      </c>
      <c r="Q368">
        <f>COUNTIF(Orders[Order ID],Orders[[#This Row],[Order ID]])</f>
        <v>1</v>
      </c>
      <c r="R368" s="10">
        <f>SUMIF(Orders[Order ID], Orders[[#This Row],[Order ID]],Orders[Sales])/Orders[[#This Row],[Order Frequency]]</f>
        <v>77.699999999999989</v>
      </c>
      <c r="S368" t="str">
        <f>IF(Orders[[#This Row],[Order Frequency]]&gt;4, "More than 4", IF(AND(Orders[[#This Row],[Order Frequency]]&lt;=4,Orders[[#This Row],[Order Frequency]]&gt;=2), "Between 4 and 2", "Less than 2"))</f>
        <v>Less than 2</v>
      </c>
      <c r="T368" t="str">
        <f>IF(Orders[[#This Row],[Frequency Group]]="less than 2", "Low Value", IF(Orders[[#This Row],[Frequency Group]]="between 4 and 2", "Medium Value", "High Value"))</f>
        <v>Low Value</v>
      </c>
      <c r="U368" t="str">
        <f>IF(Orders[[#This Row],[Sales]]&lt;50, "$0-50", IF(AND(Orders[[#This Row],[Sales]]&gt;=50,Orders[[#This Row],[Sales]]&lt;=100), "$50-100", IF(AND(Orders[[#This Row],[Sales]]&gt;100,Orders[[#This Row],[Sales]]&lt;=150), "$101-150", "$150+")))</f>
        <v>$50-100</v>
      </c>
      <c r="V368" t="str">
        <f>IF(Orders[[#This Row],[Sales]]&gt;MEDIAN(M:M), "High Price", "Low Price")</f>
        <v>High Price</v>
      </c>
      <c r="W368" t="str">
        <f>IF(Orders[[#This Row],[Quantity]]&gt;MEDIAN(E:E), "High Volume", "Low Volume")</f>
        <v>High Volume</v>
      </c>
      <c r="X368" t="str">
        <f>Orders[[#This Row],[Sales Tier]] &amp; "-" &amp; Orders[[#This Row],[Quantity Tier]]</f>
        <v>High Price-High Volume</v>
      </c>
      <c r="Y368" t="str">
        <f>TEXT(Orders[[#This Row],[Order Date]], "mmmm")</f>
        <v>November</v>
      </c>
      <c r="Z36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368" t="str">
        <f>Orders[[#This Row],[Coffee Type Name]] &amp; "-" &amp; Orders[[#This Row],[Roast Type Name]]</f>
        <v>Liberica-Dark</v>
      </c>
      <c r="AB36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369" spans="1:28" x14ac:dyDescent="0.25">
      <c r="A369" s="2" t="s">
        <v>2458</v>
      </c>
      <c r="B369" s="4">
        <v>44743</v>
      </c>
      <c r="C369" s="2" t="s">
        <v>2459</v>
      </c>
      <c r="D369" t="s">
        <v>6178</v>
      </c>
      <c r="E369" s="2">
        <v>4</v>
      </c>
      <c r="F369" s="2" t="str">
        <f>_xlfn.XLOOKUP(C369,customers!$A$1:$A$1001,customers!$B$1:$B$1001,,0)</f>
        <v>Dell Daveridge</v>
      </c>
      <c r="G369" s="2" t="str">
        <f>IF(_xlfn.XLOOKUP(C369,customers!$A$1:$A$1001,customers!$C$1:$C$1001,,0)=0,"",_xlfn.XLOOKUP(C369,customers!$A$1:$A$1001,customers!$C$1:$C$1001,,0))</f>
        <v>ddaveridge9p@arstechnica.com</v>
      </c>
      <c r="H369" s="2" t="str">
        <f>_xlfn.XLOOKUP(C369,customers!$A$1:$A$1001,customers!$G$1:$G$1001,,0)</f>
        <v>United States</v>
      </c>
      <c r="I369" t="str">
        <f>INDEX(products!$A$1:$G$49, MATCH(orders!$D351,products!$A$1:$A398,0), MATCH(orders!I$1,products!$A$1:$G$1,0))</f>
        <v>Rob</v>
      </c>
      <c r="J369" t="str">
        <f>INDEX(products!$A$1:$G$49, MATCH(orders!$D351,products!$A$1:$A398,0), MATCH(orders!J$1,products!$A$1:$G$1,0))</f>
        <v>L</v>
      </c>
      <c r="K369" s="5">
        <f>INDEX(products!$A$1:$G$49, MATCH(orders!$D351,products!$A$1:$A398,0), MATCH(orders!K$1,products!$A$1:$G$1,0))</f>
        <v>0.2</v>
      </c>
      <c r="L369" s="6">
        <f>INDEX(products!$A$1:$G$49, MATCH(orders!$D351,products!$A$1:$A398,0), MATCH(orders!L$1,products!$A$1:$G$1,0))</f>
        <v>3.5849999999999995</v>
      </c>
      <c r="M369" s="6">
        <f t="shared" si="15"/>
        <v>14.339999999999998</v>
      </c>
      <c r="N369" t="str">
        <f t="shared" si="16"/>
        <v>Robusta</v>
      </c>
      <c r="O369" t="str">
        <f t="shared" si="17"/>
        <v>Light</v>
      </c>
      <c r="P369" t="str">
        <f>_xlfn.XLOOKUP(Orders[[#This Row],[Customer ID]],customers!$A$1:$A$1001,customers!$I$1:$I$1001,,0)</f>
        <v>No</v>
      </c>
      <c r="Q369">
        <f>COUNTIF(Orders[Order ID],Orders[[#This Row],[Order ID]])</f>
        <v>1</v>
      </c>
      <c r="R369" s="10">
        <f>SUMIF(Orders[Order ID], Orders[[#This Row],[Order ID]],Orders[Sales])/Orders[[#This Row],[Order Frequency]]</f>
        <v>14.339999999999998</v>
      </c>
      <c r="S369" t="str">
        <f>IF(Orders[[#This Row],[Order Frequency]]&gt;4, "More than 4", IF(AND(Orders[[#This Row],[Order Frequency]]&lt;=4,Orders[[#This Row],[Order Frequency]]&gt;=2), "Between 4 and 2", "Less than 2"))</f>
        <v>Less than 2</v>
      </c>
      <c r="T369" t="str">
        <f>IF(Orders[[#This Row],[Frequency Group]]="less than 2", "Low Value", IF(Orders[[#This Row],[Frequency Group]]="between 4 and 2", "Medium Value", "High Value"))</f>
        <v>Low Value</v>
      </c>
      <c r="U369" t="str">
        <f>IF(Orders[[#This Row],[Sales]]&lt;50, "$0-50", IF(AND(Orders[[#This Row],[Sales]]&gt;=50,Orders[[#This Row],[Sales]]&lt;=100), "$50-100", IF(AND(Orders[[#This Row],[Sales]]&gt;100,Orders[[#This Row],[Sales]]&lt;=150), "$101-150", "$150+")))</f>
        <v>$0-50</v>
      </c>
      <c r="V369" t="str">
        <f>IF(Orders[[#This Row],[Sales]]&gt;MEDIAN(M:M), "High Price", "Low Price")</f>
        <v>Low Price</v>
      </c>
      <c r="W369" t="str">
        <f>IF(Orders[[#This Row],[Quantity]]&gt;MEDIAN(E:E), "High Volume", "Low Volume")</f>
        <v>Low Volume</v>
      </c>
      <c r="X369" t="str">
        <f>Orders[[#This Row],[Sales Tier]] &amp; "-" &amp; Orders[[#This Row],[Quantity Tier]]</f>
        <v>Low Price-Low Volume</v>
      </c>
      <c r="Y369" t="str">
        <f>TEXT(Orders[[#This Row],[Order Date]], "mmmm")</f>
        <v>July</v>
      </c>
      <c r="Z36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369" t="str">
        <f>Orders[[#This Row],[Coffee Type Name]] &amp; "-" &amp; Orders[[#This Row],[Roast Type Name]]</f>
        <v>Robusta-Light</v>
      </c>
      <c r="AB36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370" spans="1:28" x14ac:dyDescent="0.25">
      <c r="A370" s="2" t="s">
        <v>1344</v>
      </c>
      <c r="B370" s="4">
        <v>44510</v>
      </c>
      <c r="C370" s="2" t="s">
        <v>1345</v>
      </c>
      <c r="D370" t="s">
        <v>6151</v>
      </c>
      <c r="E370" s="2">
        <v>3</v>
      </c>
      <c r="F370" s="2" t="str">
        <f>_xlfn.XLOOKUP(C370,customers!$A$1:$A$1001,customers!$B$1:$B$1001,,0)</f>
        <v>Bettina Leffek</v>
      </c>
      <c r="G370" s="2" t="str">
        <f>IF(_xlfn.XLOOKUP(C370,customers!$A$1:$A$1001,customers!$C$1:$C$1001,,0)=0,"",_xlfn.XLOOKUP(C370,customers!$A$1:$A$1001,customers!$C$1:$C$1001,,0))</f>
        <v>bleffek48@ning.com</v>
      </c>
      <c r="H370" s="2" t="str">
        <f>_xlfn.XLOOKUP(C370,customers!$A$1:$A$1001,customers!$G$1:$G$1001,,0)</f>
        <v>United States</v>
      </c>
      <c r="I370" t="str">
        <f>INDEX(products!$A$1:$G$49, MATCH(orders!$D154,products!$A$1:$A201,0), MATCH(orders!I$1,products!$A$1:$G$1,0))</f>
        <v>Rob</v>
      </c>
      <c r="J370" t="str">
        <f>INDEX(products!$A$1:$G$49, MATCH(orders!$D154,products!$A$1:$A201,0), MATCH(orders!J$1,products!$A$1:$G$1,0))</f>
        <v>M</v>
      </c>
      <c r="K370" s="5">
        <f>INDEX(products!$A$1:$G$49, MATCH(orders!$D154,products!$A$1:$A201,0), MATCH(orders!K$1,products!$A$1:$G$1,0))</f>
        <v>2.5</v>
      </c>
      <c r="L370" s="6">
        <f>INDEX(products!$A$1:$G$49, MATCH(orders!$D154,products!$A$1:$A201,0), MATCH(orders!L$1,products!$A$1:$G$1,0))</f>
        <v>22.884999999999998</v>
      </c>
      <c r="M370" s="6">
        <f t="shared" si="15"/>
        <v>68.655000000000001</v>
      </c>
      <c r="N370" t="str">
        <f t="shared" si="16"/>
        <v>Robusta</v>
      </c>
      <c r="O370" t="str">
        <f t="shared" si="17"/>
        <v>Medium</v>
      </c>
      <c r="P370" t="str">
        <f>_xlfn.XLOOKUP(Orders[[#This Row],[Customer ID]],customers!$A$1:$A$1001,customers!$I$1:$I$1001,,0)</f>
        <v>Yes</v>
      </c>
      <c r="Q370">
        <f>COUNTIF(Orders[Order ID],Orders[[#This Row],[Order ID]])</f>
        <v>1</v>
      </c>
      <c r="R370" s="10">
        <f>SUMIF(Orders[Order ID], Orders[[#This Row],[Order ID]],Orders[Sales])/Orders[[#This Row],[Order Frequency]]</f>
        <v>68.655000000000001</v>
      </c>
      <c r="S370" t="str">
        <f>IF(Orders[[#This Row],[Order Frequency]]&gt;4, "More than 4", IF(AND(Orders[[#This Row],[Order Frequency]]&lt;=4,Orders[[#This Row],[Order Frequency]]&gt;=2), "Between 4 and 2", "Less than 2"))</f>
        <v>Less than 2</v>
      </c>
      <c r="T370" t="str">
        <f>IF(Orders[[#This Row],[Frequency Group]]="less than 2", "Low Value", IF(Orders[[#This Row],[Frequency Group]]="between 4 and 2", "Medium Value", "High Value"))</f>
        <v>Low Value</v>
      </c>
      <c r="U370" t="str">
        <f>IF(Orders[[#This Row],[Sales]]&lt;50, "$0-50", IF(AND(Orders[[#This Row],[Sales]]&gt;=50,Orders[[#This Row],[Sales]]&lt;=100), "$50-100", IF(AND(Orders[[#This Row],[Sales]]&gt;100,Orders[[#This Row],[Sales]]&lt;=150), "$101-150", "$150+")))</f>
        <v>$50-100</v>
      </c>
      <c r="V370" t="str">
        <f>IF(Orders[[#This Row],[Sales]]&gt;MEDIAN(M:M), "High Price", "Low Price")</f>
        <v>High Price</v>
      </c>
      <c r="W370" t="str">
        <f>IF(Orders[[#This Row],[Quantity]]&gt;MEDIAN(E:E), "High Volume", "Low Volume")</f>
        <v>Low Volume</v>
      </c>
      <c r="X370" t="str">
        <f>Orders[[#This Row],[Sales Tier]] &amp; "-" &amp; Orders[[#This Row],[Quantity Tier]]</f>
        <v>High Price-Low Volume</v>
      </c>
      <c r="Y370" t="str">
        <f>TEXT(Orders[[#This Row],[Order Date]], "mmmm")</f>
        <v>November</v>
      </c>
      <c r="Z37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370" t="str">
        <f>Orders[[#This Row],[Coffee Type Name]] &amp; "-" &amp; Orders[[#This Row],[Roast Type Name]]</f>
        <v>Robusta-Medium</v>
      </c>
      <c r="AB37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371" spans="1:28" x14ac:dyDescent="0.25">
      <c r="A371" s="2" t="s">
        <v>4776</v>
      </c>
      <c r="B371" s="4">
        <v>43672</v>
      </c>
      <c r="C371" s="2" t="s">
        <v>4777</v>
      </c>
      <c r="D371" t="s">
        <v>6177</v>
      </c>
      <c r="E371" s="2">
        <v>1</v>
      </c>
      <c r="F371" s="2" t="str">
        <f>_xlfn.XLOOKUP(C371,customers!$A$1:$A$1001,customers!$B$1:$B$1001,,0)</f>
        <v>Lorelei Nardoni</v>
      </c>
      <c r="G371" s="2" t="str">
        <f>IF(_xlfn.XLOOKUP(C371,customers!$A$1:$A$1001,customers!$C$1:$C$1001,,0)=0,"",_xlfn.XLOOKUP(C371,customers!$A$1:$A$1001,customers!$C$1:$C$1001,,0))</f>
        <v>lnardonil2@hao123.com</v>
      </c>
      <c r="H371" s="2" t="str">
        <f>_xlfn.XLOOKUP(C371,customers!$A$1:$A$1001,customers!$G$1:$G$1001,,0)</f>
        <v>United States</v>
      </c>
      <c r="I371" t="str">
        <f>INDEX(products!$A$1:$G$49, MATCH(orders!$D760,products!$A$1:$A807,0), MATCH(orders!I$1,products!$A$1:$G$1,0))</f>
        <v>Rob</v>
      </c>
      <c r="J371" t="str">
        <f>INDEX(products!$A$1:$G$49, MATCH(orders!$D760,products!$A$1:$A807,0), MATCH(orders!J$1,products!$A$1:$G$1,0))</f>
        <v>D</v>
      </c>
      <c r="K371" s="5">
        <f>INDEX(products!$A$1:$G$49, MATCH(orders!$D760,products!$A$1:$A807,0), MATCH(orders!K$1,products!$A$1:$G$1,0))</f>
        <v>1</v>
      </c>
      <c r="L371" s="6">
        <f>INDEX(products!$A$1:$G$49, MATCH(orders!$D760,products!$A$1:$A807,0), MATCH(orders!L$1,products!$A$1:$G$1,0))</f>
        <v>8.9499999999999993</v>
      </c>
      <c r="M371" s="6">
        <f t="shared" si="15"/>
        <v>8.9499999999999993</v>
      </c>
      <c r="N371" t="str">
        <f t="shared" si="16"/>
        <v>Robusta</v>
      </c>
      <c r="O371" t="str">
        <f t="shared" si="17"/>
        <v>Dark</v>
      </c>
      <c r="P371" t="str">
        <f>_xlfn.XLOOKUP(Orders[[#This Row],[Customer ID]],customers!$A$1:$A$1001,customers!$I$1:$I$1001,,0)</f>
        <v>No</v>
      </c>
      <c r="Q371">
        <f>COUNTIF(Orders[Order ID],Orders[[#This Row],[Order ID]])</f>
        <v>1</v>
      </c>
      <c r="R371" s="10">
        <f>SUMIF(Orders[Order ID], Orders[[#This Row],[Order ID]],Orders[Sales])/Orders[[#This Row],[Order Frequency]]</f>
        <v>8.9499999999999993</v>
      </c>
      <c r="S371" t="str">
        <f>IF(Orders[[#This Row],[Order Frequency]]&gt;4, "More than 4", IF(AND(Orders[[#This Row],[Order Frequency]]&lt;=4,Orders[[#This Row],[Order Frequency]]&gt;=2), "Between 4 and 2", "Less than 2"))</f>
        <v>Less than 2</v>
      </c>
      <c r="T371" t="str">
        <f>IF(Orders[[#This Row],[Frequency Group]]="less than 2", "Low Value", IF(Orders[[#This Row],[Frequency Group]]="between 4 and 2", "Medium Value", "High Value"))</f>
        <v>Low Value</v>
      </c>
      <c r="U371" t="str">
        <f>IF(Orders[[#This Row],[Sales]]&lt;50, "$0-50", IF(AND(Orders[[#This Row],[Sales]]&gt;=50,Orders[[#This Row],[Sales]]&lt;=100), "$50-100", IF(AND(Orders[[#This Row],[Sales]]&gt;100,Orders[[#This Row],[Sales]]&lt;=150), "$101-150", "$150+")))</f>
        <v>$0-50</v>
      </c>
      <c r="V371" t="str">
        <f>IF(Orders[[#This Row],[Sales]]&gt;MEDIAN(M:M), "High Price", "Low Price")</f>
        <v>Low Price</v>
      </c>
      <c r="W371" t="str">
        <f>IF(Orders[[#This Row],[Quantity]]&gt;MEDIAN(E:E), "High Volume", "Low Volume")</f>
        <v>Low Volume</v>
      </c>
      <c r="X371" t="str">
        <f>Orders[[#This Row],[Sales Tier]] &amp; "-" &amp; Orders[[#This Row],[Quantity Tier]]</f>
        <v>Low Price-Low Volume</v>
      </c>
      <c r="Y371" t="str">
        <f>TEXT(Orders[[#This Row],[Order Date]], "mmmm")</f>
        <v>July</v>
      </c>
      <c r="Z37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371" t="str">
        <f>Orders[[#This Row],[Coffee Type Name]] &amp; "-" &amp; Orders[[#This Row],[Roast Type Name]]</f>
        <v>Robusta-Dark</v>
      </c>
      <c r="AB37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372" spans="1:28" x14ac:dyDescent="0.25">
      <c r="A372" s="2" t="s">
        <v>2849</v>
      </c>
      <c r="B372" s="4">
        <v>44739</v>
      </c>
      <c r="C372" s="2" t="s">
        <v>2850</v>
      </c>
      <c r="D372" t="s">
        <v>6160</v>
      </c>
      <c r="E372" s="2">
        <v>1</v>
      </c>
      <c r="F372" s="2" t="str">
        <f>_xlfn.XLOOKUP(C372,customers!$A$1:$A$1001,customers!$B$1:$B$1001,,0)</f>
        <v>Annabella Danzey</v>
      </c>
      <c r="G372" s="2" t="str">
        <f>IF(_xlfn.XLOOKUP(C372,customers!$A$1:$A$1001,customers!$C$1:$C$1001,,0)=0,"",_xlfn.XLOOKUP(C372,customers!$A$1:$A$1001,customers!$C$1:$C$1001,,0))</f>
        <v>adanzeybn@github.com</v>
      </c>
      <c r="H372" s="2" t="str">
        <f>_xlfn.XLOOKUP(C372,customers!$A$1:$A$1001,customers!$G$1:$G$1001,,0)</f>
        <v>United States</v>
      </c>
      <c r="I372" t="str">
        <f>INDEX(products!$A$1:$G$49, MATCH(orders!$D421,products!$A$1:$A468,0), MATCH(orders!I$1,products!$A$1:$G$1,0))</f>
        <v>Lib</v>
      </c>
      <c r="J372" t="str">
        <f>INDEX(products!$A$1:$G$49, MATCH(orders!$D421,products!$A$1:$A468,0), MATCH(orders!J$1,products!$A$1:$G$1,0))</f>
        <v>M</v>
      </c>
      <c r="K372" s="5">
        <f>INDEX(products!$A$1:$G$49, MATCH(orders!$D421,products!$A$1:$A468,0), MATCH(orders!K$1,products!$A$1:$G$1,0))</f>
        <v>0.5</v>
      </c>
      <c r="L372" s="6">
        <f>INDEX(products!$A$1:$G$49, MATCH(orders!$D421,products!$A$1:$A468,0), MATCH(orders!L$1,products!$A$1:$G$1,0))</f>
        <v>8.73</v>
      </c>
      <c r="M372" s="6">
        <f t="shared" si="15"/>
        <v>8.73</v>
      </c>
      <c r="N372" t="str">
        <f t="shared" si="16"/>
        <v>Liberica</v>
      </c>
      <c r="O372" t="str">
        <f t="shared" si="17"/>
        <v>Medium</v>
      </c>
      <c r="P372" t="str">
        <f>_xlfn.XLOOKUP(Orders[[#This Row],[Customer ID]],customers!$A$1:$A$1001,customers!$I$1:$I$1001,,0)</f>
        <v>Yes</v>
      </c>
      <c r="Q372">
        <f>COUNTIF(Orders[Order ID],Orders[[#This Row],[Order ID]])</f>
        <v>1</v>
      </c>
      <c r="R372" s="10">
        <f>SUMIF(Orders[Order ID], Orders[[#This Row],[Order ID]],Orders[Sales])/Orders[[#This Row],[Order Frequency]]</f>
        <v>8.73</v>
      </c>
      <c r="S372" t="str">
        <f>IF(Orders[[#This Row],[Order Frequency]]&gt;4, "More than 4", IF(AND(Orders[[#This Row],[Order Frequency]]&lt;=4,Orders[[#This Row],[Order Frequency]]&gt;=2), "Between 4 and 2", "Less than 2"))</f>
        <v>Less than 2</v>
      </c>
      <c r="T372" t="str">
        <f>IF(Orders[[#This Row],[Frequency Group]]="less than 2", "Low Value", IF(Orders[[#This Row],[Frequency Group]]="between 4 and 2", "Medium Value", "High Value"))</f>
        <v>Low Value</v>
      </c>
      <c r="U372" t="str">
        <f>IF(Orders[[#This Row],[Sales]]&lt;50, "$0-50", IF(AND(Orders[[#This Row],[Sales]]&gt;=50,Orders[[#This Row],[Sales]]&lt;=100), "$50-100", IF(AND(Orders[[#This Row],[Sales]]&gt;100,Orders[[#This Row],[Sales]]&lt;=150), "$101-150", "$150+")))</f>
        <v>$0-50</v>
      </c>
      <c r="V372" t="str">
        <f>IF(Orders[[#This Row],[Sales]]&gt;MEDIAN(M:M), "High Price", "Low Price")</f>
        <v>Low Price</v>
      </c>
      <c r="W372" t="str">
        <f>IF(Orders[[#This Row],[Quantity]]&gt;MEDIAN(E:E), "High Volume", "Low Volume")</f>
        <v>Low Volume</v>
      </c>
      <c r="X372" t="str">
        <f>Orders[[#This Row],[Sales Tier]] &amp; "-" &amp; Orders[[#This Row],[Quantity Tier]]</f>
        <v>Low Price-Low Volume</v>
      </c>
      <c r="Y372" t="str">
        <f>TEXT(Orders[[#This Row],[Order Date]], "mmmm")</f>
        <v>June</v>
      </c>
      <c r="Z37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372" t="str">
        <f>Orders[[#This Row],[Coffee Type Name]] &amp; "-" &amp; Orders[[#This Row],[Roast Type Name]]</f>
        <v>Liberica-Medium</v>
      </c>
      <c r="AB37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373" spans="1:28" x14ac:dyDescent="0.25">
      <c r="A373" s="2" t="s">
        <v>3430</v>
      </c>
      <c r="B373" s="4">
        <v>44446</v>
      </c>
      <c r="C373" s="2" t="s">
        <v>3431</v>
      </c>
      <c r="D373" t="s">
        <v>6150</v>
      </c>
      <c r="E373" s="2">
        <v>1</v>
      </c>
      <c r="F373" s="2" t="str">
        <f>_xlfn.XLOOKUP(C373,customers!$A$1:$A$1001,customers!$B$1:$B$1001,,0)</f>
        <v>Mag Armistead</v>
      </c>
      <c r="G373" s="2" t="str">
        <f>IF(_xlfn.XLOOKUP(C373,customers!$A$1:$A$1001,customers!$C$1:$C$1001,,0)=0,"",_xlfn.XLOOKUP(C373,customers!$A$1:$A$1001,customers!$C$1:$C$1001,,0))</f>
        <v>marmisteadeg@blogtalkradio.com</v>
      </c>
      <c r="H373" s="2" t="str">
        <f>_xlfn.XLOOKUP(C373,customers!$A$1:$A$1001,customers!$G$1:$G$1001,,0)</f>
        <v>United States</v>
      </c>
      <c r="I373" t="str">
        <f>INDEX(products!$A$1:$G$49, MATCH(orders!$D522,products!$A$1:$A569,0), MATCH(orders!I$1,products!$A$1:$G$1,0))</f>
        <v>Lib</v>
      </c>
      <c r="J373" t="str">
        <f>INDEX(products!$A$1:$G$49, MATCH(orders!$D522,products!$A$1:$A569,0), MATCH(orders!J$1,products!$A$1:$G$1,0))</f>
        <v>D</v>
      </c>
      <c r="K373" s="5">
        <f>INDEX(products!$A$1:$G$49, MATCH(orders!$D522,products!$A$1:$A569,0), MATCH(orders!K$1,products!$A$1:$G$1,0))</f>
        <v>0.2</v>
      </c>
      <c r="L373" s="6">
        <f>INDEX(products!$A$1:$G$49, MATCH(orders!$D522,products!$A$1:$A569,0), MATCH(orders!L$1,products!$A$1:$G$1,0))</f>
        <v>3.8849999999999998</v>
      </c>
      <c r="M373" s="6">
        <f t="shared" si="15"/>
        <v>3.8849999999999998</v>
      </c>
      <c r="N373" t="str">
        <f t="shared" si="16"/>
        <v>Liberica</v>
      </c>
      <c r="O373" t="str">
        <f t="shared" si="17"/>
        <v>Dark</v>
      </c>
      <c r="P373" t="str">
        <f>_xlfn.XLOOKUP(Orders[[#This Row],[Customer ID]],customers!$A$1:$A$1001,customers!$I$1:$I$1001,,0)</f>
        <v>No</v>
      </c>
      <c r="Q373">
        <f>COUNTIF(Orders[Order ID],Orders[[#This Row],[Order ID]])</f>
        <v>2</v>
      </c>
      <c r="R373" s="10">
        <f>SUMIF(Orders[Order ID], Orders[[#This Row],[Order ID]],Orders[Sales])/Orders[[#This Row],[Order Frequency]]</f>
        <v>21.842499999999998</v>
      </c>
      <c r="S373" t="str">
        <f>IF(Orders[[#This Row],[Order Frequency]]&gt;4, "More than 4", IF(AND(Orders[[#This Row],[Order Frequency]]&lt;=4,Orders[[#This Row],[Order Frequency]]&gt;=2), "Between 4 and 2", "Less than 2"))</f>
        <v>Between 4 and 2</v>
      </c>
      <c r="T373" t="str">
        <f>IF(Orders[[#This Row],[Frequency Group]]="less than 2", "Low Value", IF(Orders[[#This Row],[Frequency Group]]="between 4 and 2", "Medium Value", "High Value"))</f>
        <v>Medium Value</v>
      </c>
      <c r="U373" t="str">
        <f>IF(Orders[[#This Row],[Sales]]&lt;50, "$0-50", IF(AND(Orders[[#This Row],[Sales]]&gt;=50,Orders[[#This Row],[Sales]]&lt;=100), "$50-100", IF(AND(Orders[[#This Row],[Sales]]&gt;100,Orders[[#This Row],[Sales]]&lt;=150), "$101-150", "$150+")))</f>
        <v>$0-50</v>
      </c>
      <c r="V373" t="str">
        <f>IF(Orders[[#This Row],[Sales]]&gt;MEDIAN(M:M), "High Price", "Low Price")</f>
        <v>Low Price</v>
      </c>
      <c r="W373" t="str">
        <f>IF(Orders[[#This Row],[Quantity]]&gt;MEDIAN(E:E), "High Volume", "Low Volume")</f>
        <v>Low Volume</v>
      </c>
      <c r="X373" t="str">
        <f>Orders[[#This Row],[Sales Tier]] &amp; "-" &amp; Orders[[#This Row],[Quantity Tier]]</f>
        <v>Low Price-Low Volume</v>
      </c>
      <c r="Y373" t="str">
        <f>TEXT(Orders[[#This Row],[Order Date]], "mmmm")</f>
        <v>September</v>
      </c>
      <c r="Z37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373" t="str">
        <f>Orders[[#This Row],[Coffee Type Name]] &amp; "-" &amp; Orders[[#This Row],[Roast Type Name]]</f>
        <v>Liberica-Dark</v>
      </c>
      <c r="AB37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374" spans="1:28" x14ac:dyDescent="0.25">
      <c r="A374" s="2" t="s">
        <v>3430</v>
      </c>
      <c r="B374" s="4">
        <v>44446</v>
      </c>
      <c r="C374" s="2" t="s">
        <v>3431</v>
      </c>
      <c r="D374" t="s">
        <v>6138</v>
      </c>
      <c r="E374" s="2">
        <v>4</v>
      </c>
      <c r="F374" s="2" t="str">
        <f>_xlfn.XLOOKUP(C374,customers!$A$1:$A$1001,customers!$B$1:$B$1001,,0)</f>
        <v>Mag Armistead</v>
      </c>
      <c r="G374" s="2" t="str">
        <f>IF(_xlfn.XLOOKUP(C374,customers!$A$1:$A$1001,customers!$C$1:$C$1001,,0)=0,"",_xlfn.XLOOKUP(C374,customers!$A$1:$A$1001,customers!$C$1:$C$1001,,0))</f>
        <v>marmisteadeg@blogtalkradio.com</v>
      </c>
      <c r="H374" s="2" t="str">
        <f>_xlfn.XLOOKUP(C374,customers!$A$1:$A$1001,customers!$G$1:$G$1001,,0)</f>
        <v>United States</v>
      </c>
      <c r="I374" t="str">
        <f>INDEX(products!$A$1:$G$49, MATCH(orders!$D523,products!$A$1:$A570,0), MATCH(orders!I$1,products!$A$1:$G$1,0))</f>
        <v>Rob</v>
      </c>
      <c r="J374" t="str">
        <f>INDEX(products!$A$1:$G$49, MATCH(orders!$D523,products!$A$1:$A570,0), MATCH(orders!J$1,products!$A$1:$G$1,0))</f>
        <v>M</v>
      </c>
      <c r="K374" s="5">
        <f>INDEX(products!$A$1:$G$49, MATCH(orders!$D523,products!$A$1:$A570,0), MATCH(orders!K$1,products!$A$1:$G$1,0))</f>
        <v>1</v>
      </c>
      <c r="L374" s="6">
        <f>INDEX(products!$A$1:$G$49, MATCH(orders!$D523,products!$A$1:$A570,0), MATCH(orders!L$1,products!$A$1:$G$1,0))</f>
        <v>9.9499999999999993</v>
      </c>
      <c r="M374" s="6">
        <f t="shared" si="15"/>
        <v>39.799999999999997</v>
      </c>
      <c r="N374" t="str">
        <f t="shared" si="16"/>
        <v>Robusta</v>
      </c>
      <c r="O374" t="str">
        <f t="shared" si="17"/>
        <v>Medium</v>
      </c>
      <c r="P374" t="str">
        <f>_xlfn.XLOOKUP(Orders[[#This Row],[Customer ID]],customers!$A$1:$A$1001,customers!$I$1:$I$1001,,0)</f>
        <v>No</v>
      </c>
      <c r="Q374">
        <f>COUNTIF(Orders[Order ID],Orders[[#This Row],[Order ID]])</f>
        <v>2</v>
      </c>
      <c r="R374" s="10">
        <f>SUMIF(Orders[Order ID], Orders[[#This Row],[Order ID]],Orders[Sales])/Orders[[#This Row],[Order Frequency]]</f>
        <v>21.842499999999998</v>
      </c>
      <c r="S374" t="str">
        <f>IF(Orders[[#This Row],[Order Frequency]]&gt;4, "More than 4", IF(AND(Orders[[#This Row],[Order Frequency]]&lt;=4,Orders[[#This Row],[Order Frequency]]&gt;=2), "Between 4 and 2", "Less than 2"))</f>
        <v>Between 4 and 2</v>
      </c>
      <c r="T374" t="str">
        <f>IF(Orders[[#This Row],[Frequency Group]]="less than 2", "Low Value", IF(Orders[[#This Row],[Frequency Group]]="between 4 and 2", "Medium Value", "High Value"))</f>
        <v>Medium Value</v>
      </c>
      <c r="U374" t="str">
        <f>IF(Orders[[#This Row],[Sales]]&lt;50, "$0-50", IF(AND(Orders[[#This Row],[Sales]]&gt;=50,Orders[[#This Row],[Sales]]&lt;=100), "$50-100", IF(AND(Orders[[#This Row],[Sales]]&gt;100,Orders[[#This Row],[Sales]]&lt;=150), "$101-150", "$150+")))</f>
        <v>$0-50</v>
      </c>
      <c r="V374" t="str">
        <f>IF(Orders[[#This Row],[Sales]]&gt;MEDIAN(M:M), "High Price", "Low Price")</f>
        <v>High Price</v>
      </c>
      <c r="W374" t="str">
        <f>IF(Orders[[#This Row],[Quantity]]&gt;MEDIAN(E:E), "High Volume", "Low Volume")</f>
        <v>Low Volume</v>
      </c>
      <c r="X374" t="str">
        <f>Orders[[#This Row],[Sales Tier]] &amp; "-" &amp; Orders[[#This Row],[Quantity Tier]]</f>
        <v>High Price-Low Volume</v>
      </c>
      <c r="Y374" t="str">
        <f>TEXT(Orders[[#This Row],[Order Date]], "mmmm")</f>
        <v>September</v>
      </c>
      <c r="Z37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374" t="str">
        <f>Orders[[#This Row],[Coffee Type Name]] &amp; "-" &amp; Orders[[#This Row],[Roast Type Name]]</f>
        <v>Robusta-Medium</v>
      </c>
      <c r="AB37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375" spans="1:28" x14ac:dyDescent="0.25">
      <c r="A375" s="2" t="s">
        <v>2215</v>
      </c>
      <c r="B375" s="4">
        <v>43890</v>
      </c>
      <c r="C375" s="2" t="s">
        <v>2216</v>
      </c>
      <c r="D375" t="s">
        <v>6174</v>
      </c>
      <c r="E375" s="2">
        <v>5</v>
      </c>
      <c r="F375" s="2" t="str">
        <f>_xlfn.XLOOKUP(C375,customers!$A$1:$A$1001,customers!$B$1:$B$1001,,0)</f>
        <v>Janifer Bagot</v>
      </c>
      <c r="G375" s="2" t="str">
        <f>IF(_xlfn.XLOOKUP(C375,customers!$A$1:$A$1001,customers!$C$1:$C$1001,,0)=0,"",_xlfn.XLOOKUP(C375,customers!$A$1:$A$1001,customers!$C$1:$C$1001,,0))</f>
        <v>jbagot8i@mac.com</v>
      </c>
      <c r="H375" s="2" t="str">
        <f>_xlfn.XLOOKUP(C375,customers!$A$1:$A$1001,customers!$G$1:$G$1001,,0)</f>
        <v>United States</v>
      </c>
      <c r="I375" t="str">
        <f>INDEX(products!$A$1:$G$49, MATCH(orders!$D308,products!$A$1:$A355,0), MATCH(orders!I$1,products!$A$1:$G$1,0))</f>
        <v>Rob</v>
      </c>
      <c r="J375" t="str">
        <f>INDEX(products!$A$1:$G$49, MATCH(orders!$D308,products!$A$1:$A355,0), MATCH(orders!J$1,products!$A$1:$G$1,0))</f>
        <v>M</v>
      </c>
      <c r="K375" s="5">
        <f>INDEX(products!$A$1:$G$49, MATCH(orders!$D308,products!$A$1:$A355,0), MATCH(orders!K$1,products!$A$1:$G$1,0))</f>
        <v>0.2</v>
      </c>
      <c r="L375" s="6">
        <f>INDEX(products!$A$1:$G$49, MATCH(orders!$D308,products!$A$1:$A355,0), MATCH(orders!L$1,products!$A$1:$G$1,0))</f>
        <v>2.9849999999999999</v>
      </c>
      <c r="M375" s="6">
        <f t="shared" si="15"/>
        <v>14.924999999999999</v>
      </c>
      <c r="N375" t="str">
        <f t="shared" si="16"/>
        <v>Robusta</v>
      </c>
      <c r="O375" t="str">
        <f t="shared" si="17"/>
        <v>Medium</v>
      </c>
      <c r="P375" t="str">
        <f>_xlfn.XLOOKUP(Orders[[#This Row],[Customer ID]],customers!$A$1:$A$1001,customers!$I$1:$I$1001,,0)</f>
        <v>No</v>
      </c>
      <c r="Q375">
        <f>COUNTIF(Orders[Order ID],Orders[[#This Row],[Order ID]])</f>
        <v>1</v>
      </c>
      <c r="R375" s="10">
        <f>SUMIF(Orders[Order ID], Orders[[#This Row],[Order ID]],Orders[Sales])/Orders[[#This Row],[Order Frequency]]</f>
        <v>14.924999999999999</v>
      </c>
      <c r="S375" t="str">
        <f>IF(Orders[[#This Row],[Order Frequency]]&gt;4, "More than 4", IF(AND(Orders[[#This Row],[Order Frequency]]&lt;=4,Orders[[#This Row],[Order Frequency]]&gt;=2), "Between 4 and 2", "Less than 2"))</f>
        <v>Less than 2</v>
      </c>
      <c r="T375" t="str">
        <f>IF(Orders[[#This Row],[Frequency Group]]="less than 2", "Low Value", IF(Orders[[#This Row],[Frequency Group]]="between 4 and 2", "Medium Value", "High Value"))</f>
        <v>Low Value</v>
      </c>
      <c r="U375" t="str">
        <f>IF(Orders[[#This Row],[Sales]]&lt;50, "$0-50", IF(AND(Orders[[#This Row],[Sales]]&gt;=50,Orders[[#This Row],[Sales]]&lt;=100), "$50-100", IF(AND(Orders[[#This Row],[Sales]]&gt;100,Orders[[#This Row],[Sales]]&lt;=150), "$101-150", "$150+")))</f>
        <v>$0-50</v>
      </c>
      <c r="V375" t="str">
        <f>IF(Orders[[#This Row],[Sales]]&gt;MEDIAN(M:M), "High Price", "Low Price")</f>
        <v>Low Price</v>
      </c>
      <c r="W375" t="str">
        <f>IF(Orders[[#This Row],[Quantity]]&gt;MEDIAN(E:E), "High Volume", "Low Volume")</f>
        <v>High Volume</v>
      </c>
      <c r="X375" t="str">
        <f>Orders[[#This Row],[Sales Tier]] &amp; "-" &amp; Orders[[#This Row],[Quantity Tier]]</f>
        <v>Low Price-High Volume</v>
      </c>
      <c r="Y375" t="str">
        <f>TEXT(Orders[[#This Row],[Order Date]], "mmmm")</f>
        <v>February</v>
      </c>
      <c r="Z37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375" t="str">
        <f>Orders[[#This Row],[Coffee Type Name]] &amp; "-" &amp; Orders[[#This Row],[Roast Type Name]]</f>
        <v>Robusta-Medium</v>
      </c>
      <c r="AB37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376" spans="1:28" x14ac:dyDescent="0.25">
      <c r="A376" s="2" t="s">
        <v>2888</v>
      </c>
      <c r="B376" s="4">
        <v>43556</v>
      </c>
      <c r="C376" s="2" t="s">
        <v>2889</v>
      </c>
      <c r="D376" t="s">
        <v>6178</v>
      </c>
      <c r="E376" s="2">
        <v>4</v>
      </c>
      <c r="F376" s="2" t="str">
        <f>_xlfn.XLOOKUP(C376,customers!$A$1:$A$1001,customers!$B$1:$B$1001,,0)</f>
        <v>Manuel Darrigoe</v>
      </c>
      <c r="G376" s="2" t="str">
        <f>IF(_xlfn.XLOOKUP(C376,customers!$A$1:$A$1001,customers!$C$1:$C$1001,,0)=0,"",_xlfn.XLOOKUP(C376,customers!$A$1:$A$1001,customers!$C$1:$C$1001,,0))</f>
        <v>mdarrigoebu@hud.gov</v>
      </c>
      <c r="H376" s="2" t="str">
        <f>_xlfn.XLOOKUP(C376,customers!$A$1:$A$1001,customers!$G$1:$G$1001,,0)</f>
        <v>Ireland</v>
      </c>
      <c r="I376" t="str">
        <f>INDEX(products!$A$1:$G$49, MATCH(orders!$D428,products!$A$1:$A475,0), MATCH(orders!I$1,products!$A$1:$G$1,0))</f>
        <v>Rob</v>
      </c>
      <c r="J376" t="str">
        <f>INDEX(products!$A$1:$G$49, MATCH(orders!$D428,products!$A$1:$A475,0), MATCH(orders!J$1,products!$A$1:$G$1,0))</f>
        <v>L</v>
      </c>
      <c r="K376" s="5">
        <f>INDEX(products!$A$1:$G$49, MATCH(orders!$D428,products!$A$1:$A475,0), MATCH(orders!K$1,products!$A$1:$G$1,0))</f>
        <v>0.2</v>
      </c>
      <c r="L376" s="6">
        <f>INDEX(products!$A$1:$G$49, MATCH(orders!$D428,products!$A$1:$A475,0), MATCH(orders!L$1,products!$A$1:$G$1,0))</f>
        <v>3.5849999999999995</v>
      </c>
      <c r="M376" s="6">
        <f t="shared" si="15"/>
        <v>14.339999999999998</v>
      </c>
      <c r="N376" t="str">
        <f t="shared" si="16"/>
        <v>Robusta</v>
      </c>
      <c r="O376" t="str">
        <f t="shared" si="17"/>
        <v>Light</v>
      </c>
      <c r="P376" t="str">
        <f>_xlfn.XLOOKUP(Orders[[#This Row],[Customer ID]],customers!$A$1:$A$1001,customers!$I$1:$I$1001,,0)</f>
        <v>Yes</v>
      </c>
      <c r="Q376">
        <f>COUNTIF(Orders[Order ID],Orders[[#This Row],[Order ID]])</f>
        <v>1</v>
      </c>
      <c r="R376" s="10">
        <f>SUMIF(Orders[Order ID], Orders[[#This Row],[Order ID]],Orders[Sales])/Orders[[#This Row],[Order Frequency]]</f>
        <v>14.339999999999998</v>
      </c>
      <c r="S376" t="str">
        <f>IF(Orders[[#This Row],[Order Frequency]]&gt;4, "More than 4", IF(AND(Orders[[#This Row],[Order Frequency]]&lt;=4,Orders[[#This Row],[Order Frequency]]&gt;=2), "Between 4 and 2", "Less than 2"))</f>
        <v>Less than 2</v>
      </c>
      <c r="T376" t="str">
        <f>IF(Orders[[#This Row],[Frequency Group]]="less than 2", "Low Value", IF(Orders[[#This Row],[Frequency Group]]="between 4 and 2", "Medium Value", "High Value"))</f>
        <v>Low Value</v>
      </c>
      <c r="U376" t="str">
        <f>IF(Orders[[#This Row],[Sales]]&lt;50, "$0-50", IF(AND(Orders[[#This Row],[Sales]]&gt;=50,Orders[[#This Row],[Sales]]&lt;=100), "$50-100", IF(AND(Orders[[#This Row],[Sales]]&gt;100,Orders[[#This Row],[Sales]]&lt;=150), "$101-150", "$150+")))</f>
        <v>$0-50</v>
      </c>
      <c r="V376" t="str">
        <f>IF(Orders[[#This Row],[Sales]]&gt;MEDIAN(M:M), "High Price", "Low Price")</f>
        <v>Low Price</v>
      </c>
      <c r="W376" t="str">
        <f>IF(Orders[[#This Row],[Quantity]]&gt;MEDIAN(E:E), "High Volume", "Low Volume")</f>
        <v>Low Volume</v>
      </c>
      <c r="X376" t="str">
        <f>Orders[[#This Row],[Sales Tier]] &amp; "-" &amp; Orders[[#This Row],[Quantity Tier]]</f>
        <v>Low Price-Low Volume</v>
      </c>
      <c r="Y376" t="str">
        <f>TEXT(Orders[[#This Row],[Order Date]], "mmmm")</f>
        <v>April</v>
      </c>
      <c r="Z37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376" t="str">
        <f>Orders[[#This Row],[Coffee Type Name]] &amp; "-" &amp; Orders[[#This Row],[Roast Type Name]]</f>
        <v>Robusta-Light</v>
      </c>
      <c r="AB37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377" spans="1:28" x14ac:dyDescent="0.25">
      <c r="A377" s="2" t="s">
        <v>1271</v>
      </c>
      <c r="B377" s="4">
        <v>43509</v>
      </c>
      <c r="C377" s="2" t="s">
        <v>1272</v>
      </c>
      <c r="D377" t="s">
        <v>6143</v>
      </c>
      <c r="E377" s="2">
        <v>6</v>
      </c>
      <c r="F377" s="2" t="str">
        <f>_xlfn.XLOOKUP(C377,customers!$A$1:$A$1001,customers!$B$1:$B$1001,,0)</f>
        <v>Rivy Farington</v>
      </c>
      <c r="G377" s="2" t="str">
        <f>IF(_xlfn.XLOOKUP(C377,customers!$A$1:$A$1001,customers!$C$1:$C$1001,,0)=0,"",_xlfn.XLOOKUP(C377,customers!$A$1:$A$1001,customers!$C$1:$C$1001,,0))</f>
        <v/>
      </c>
      <c r="H377" s="2" t="str">
        <f>_xlfn.XLOOKUP(C377,customers!$A$1:$A$1001,customers!$G$1:$G$1001,,0)</f>
        <v>United States</v>
      </c>
      <c r="I377" t="str">
        <f>INDEX(products!$A$1:$G$49, MATCH(orders!$D141,products!$A$1:$A188,0), MATCH(orders!I$1,products!$A$1:$G$1,0))</f>
        <v>Lib</v>
      </c>
      <c r="J377" t="str">
        <f>INDEX(products!$A$1:$G$49, MATCH(orders!$D141,products!$A$1:$A188,0), MATCH(orders!J$1,products!$A$1:$G$1,0))</f>
        <v>D</v>
      </c>
      <c r="K377" s="5">
        <f>INDEX(products!$A$1:$G$49, MATCH(orders!$D141,products!$A$1:$A188,0), MATCH(orders!K$1,products!$A$1:$G$1,0))</f>
        <v>1</v>
      </c>
      <c r="L377" s="6">
        <f>INDEX(products!$A$1:$G$49, MATCH(orders!$D141,products!$A$1:$A188,0), MATCH(orders!L$1,products!$A$1:$G$1,0))</f>
        <v>12.95</v>
      </c>
      <c r="M377" s="6">
        <f t="shared" si="15"/>
        <v>77.699999999999989</v>
      </c>
      <c r="N377" t="str">
        <f t="shared" si="16"/>
        <v>Liberica</v>
      </c>
      <c r="O377" t="str">
        <f t="shared" si="17"/>
        <v>Dark</v>
      </c>
      <c r="P377" t="str">
        <f>_xlfn.XLOOKUP(Orders[[#This Row],[Customer ID]],customers!$A$1:$A$1001,customers!$I$1:$I$1001,,0)</f>
        <v>Yes</v>
      </c>
      <c r="Q377">
        <f>COUNTIF(Orders[Order ID],Orders[[#This Row],[Order ID]])</f>
        <v>1</v>
      </c>
      <c r="R377" s="10">
        <f>SUMIF(Orders[Order ID], Orders[[#This Row],[Order ID]],Orders[Sales])/Orders[[#This Row],[Order Frequency]]</f>
        <v>77.699999999999989</v>
      </c>
      <c r="S377" t="str">
        <f>IF(Orders[[#This Row],[Order Frequency]]&gt;4, "More than 4", IF(AND(Orders[[#This Row],[Order Frequency]]&lt;=4,Orders[[#This Row],[Order Frequency]]&gt;=2), "Between 4 and 2", "Less than 2"))</f>
        <v>Less than 2</v>
      </c>
      <c r="T377" t="str">
        <f>IF(Orders[[#This Row],[Frequency Group]]="less than 2", "Low Value", IF(Orders[[#This Row],[Frequency Group]]="between 4 and 2", "Medium Value", "High Value"))</f>
        <v>Low Value</v>
      </c>
      <c r="U377" t="str">
        <f>IF(Orders[[#This Row],[Sales]]&lt;50, "$0-50", IF(AND(Orders[[#This Row],[Sales]]&gt;=50,Orders[[#This Row],[Sales]]&lt;=100), "$50-100", IF(AND(Orders[[#This Row],[Sales]]&gt;100,Orders[[#This Row],[Sales]]&lt;=150), "$101-150", "$150+")))</f>
        <v>$50-100</v>
      </c>
      <c r="V377" t="str">
        <f>IF(Orders[[#This Row],[Sales]]&gt;MEDIAN(M:M), "High Price", "Low Price")</f>
        <v>High Price</v>
      </c>
      <c r="W377" t="str">
        <f>IF(Orders[[#This Row],[Quantity]]&gt;MEDIAN(E:E), "High Volume", "Low Volume")</f>
        <v>High Volume</v>
      </c>
      <c r="X377" t="str">
        <f>Orders[[#This Row],[Sales Tier]] &amp; "-" &amp; Orders[[#This Row],[Quantity Tier]]</f>
        <v>High Price-High Volume</v>
      </c>
      <c r="Y377" t="str">
        <f>TEXT(Orders[[#This Row],[Order Date]], "mmmm")</f>
        <v>February</v>
      </c>
      <c r="Z37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377" t="str">
        <f>Orders[[#This Row],[Coffee Type Name]] &amp; "-" &amp; Orders[[#This Row],[Roast Type Name]]</f>
        <v>Liberica-Dark</v>
      </c>
      <c r="AB37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378" spans="1:28" x14ac:dyDescent="0.25">
      <c r="A378" s="2" t="s">
        <v>4133</v>
      </c>
      <c r="B378" s="4">
        <v>44106</v>
      </c>
      <c r="C378" s="2" t="s">
        <v>4134</v>
      </c>
      <c r="D378" t="s">
        <v>6168</v>
      </c>
      <c r="E378" s="2">
        <v>3</v>
      </c>
      <c r="F378" s="2" t="str">
        <f>_xlfn.XLOOKUP(C378,customers!$A$1:$A$1001,customers!$B$1:$B$1001,,0)</f>
        <v>Denny O' Ronan</v>
      </c>
      <c r="G378" s="2" t="str">
        <f>IF(_xlfn.XLOOKUP(C378,customers!$A$1:$A$1001,customers!$C$1:$C$1001,,0)=0,"",_xlfn.XLOOKUP(C378,customers!$A$1:$A$1001,customers!$C$1:$C$1001,,0))</f>
        <v>dohx@redcross.org</v>
      </c>
      <c r="H378" s="2" t="str">
        <f>_xlfn.XLOOKUP(C378,customers!$A$1:$A$1001,customers!$G$1:$G$1001,,0)</f>
        <v>United States</v>
      </c>
      <c r="I378" t="str">
        <f>INDEX(products!$A$1:$G$49, MATCH(orders!$D647,products!$A$1:$A694,0), MATCH(orders!I$1,products!$A$1:$G$1,0))</f>
        <v>Ara</v>
      </c>
      <c r="J378" t="str">
        <f>INDEX(products!$A$1:$G$49, MATCH(orders!$D647,products!$A$1:$A694,0), MATCH(orders!J$1,products!$A$1:$G$1,0))</f>
        <v>D</v>
      </c>
      <c r="K378" s="5">
        <f>INDEX(products!$A$1:$G$49, MATCH(orders!$D647,products!$A$1:$A694,0), MATCH(orders!K$1,products!$A$1:$G$1,0))</f>
        <v>2.5</v>
      </c>
      <c r="L378" s="6">
        <f>INDEX(products!$A$1:$G$49, MATCH(orders!$D647,products!$A$1:$A694,0), MATCH(orders!L$1,products!$A$1:$G$1,0))</f>
        <v>22.884999999999998</v>
      </c>
      <c r="M378" s="6">
        <f t="shared" si="15"/>
        <v>68.655000000000001</v>
      </c>
      <c r="N378" t="str">
        <f t="shared" si="16"/>
        <v>Arabica</v>
      </c>
      <c r="O378" t="str">
        <f t="shared" si="17"/>
        <v>Dark</v>
      </c>
      <c r="P378" t="str">
        <f>_xlfn.XLOOKUP(Orders[[#This Row],[Customer ID]],customers!$A$1:$A$1001,customers!$I$1:$I$1001,,0)</f>
        <v>Yes</v>
      </c>
      <c r="Q378">
        <f>COUNTIF(Orders[Order ID],Orders[[#This Row],[Order ID]])</f>
        <v>1</v>
      </c>
      <c r="R378" s="10">
        <f>SUMIF(Orders[Order ID], Orders[[#This Row],[Order ID]],Orders[Sales])/Orders[[#This Row],[Order Frequency]]</f>
        <v>68.655000000000001</v>
      </c>
      <c r="S378" t="str">
        <f>IF(Orders[[#This Row],[Order Frequency]]&gt;4, "More than 4", IF(AND(Orders[[#This Row],[Order Frequency]]&lt;=4,Orders[[#This Row],[Order Frequency]]&gt;=2), "Between 4 and 2", "Less than 2"))</f>
        <v>Less than 2</v>
      </c>
      <c r="T378" t="str">
        <f>IF(Orders[[#This Row],[Frequency Group]]="less than 2", "Low Value", IF(Orders[[#This Row],[Frequency Group]]="between 4 and 2", "Medium Value", "High Value"))</f>
        <v>Low Value</v>
      </c>
      <c r="U378" t="str">
        <f>IF(Orders[[#This Row],[Sales]]&lt;50, "$0-50", IF(AND(Orders[[#This Row],[Sales]]&gt;=50,Orders[[#This Row],[Sales]]&lt;=100), "$50-100", IF(AND(Orders[[#This Row],[Sales]]&gt;100,Orders[[#This Row],[Sales]]&lt;=150), "$101-150", "$150+")))</f>
        <v>$50-100</v>
      </c>
      <c r="V378" t="str">
        <f>IF(Orders[[#This Row],[Sales]]&gt;MEDIAN(M:M), "High Price", "Low Price")</f>
        <v>High Price</v>
      </c>
      <c r="W378" t="str">
        <f>IF(Orders[[#This Row],[Quantity]]&gt;MEDIAN(E:E), "High Volume", "Low Volume")</f>
        <v>Low Volume</v>
      </c>
      <c r="X378" t="str">
        <f>Orders[[#This Row],[Sales Tier]] &amp; "-" &amp; Orders[[#This Row],[Quantity Tier]]</f>
        <v>High Price-Low Volume</v>
      </c>
      <c r="Y378" t="str">
        <f>TEXT(Orders[[#This Row],[Order Date]], "mmmm")</f>
        <v>October</v>
      </c>
      <c r="Z37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378" t="str">
        <f>Orders[[#This Row],[Coffee Type Name]] &amp; "-" &amp; Orders[[#This Row],[Roast Type Name]]</f>
        <v>Arabica-Dark</v>
      </c>
      <c r="AB37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379" spans="1:28" x14ac:dyDescent="0.25">
      <c r="A379" s="2" t="s">
        <v>1806</v>
      </c>
      <c r="B379" s="4">
        <v>44278</v>
      </c>
      <c r="C379" s="2" t="s">
        <v>1807</v>
      </c>
      <c r="D379" t="s">
        <v>6156</v>
      </c>
      <c r="E379" s="2">
        <v>5</v>
      </c>
      <c r="F379" s="2" t="str">
        <f>_xlfn.XLOOKUP(C379,customers!$A$1:$A$1001,customers!$B$1:$B$1001,,0)</f>
        <v>Beryle Kenwell</v>
      </c>
      <c r="G379" s="2" t="str">
        <f>IF(_xlfn.XLOOKUP(C379,customers!$A$1:$A$1001,customers!$C$1:$C$1001,,0)=0,"",_xlfn.XLOOKUP(C379,customers!$A$1:$A$1001,customers!$C$1:$C$1001,,0))</f>
        <v>bkenwell6h@over-blog.com</v>
      </c>
      <c r="H379" s="2" t="str">
        <f>_xlfn.XLOOKUP(C379,customers!$A$1:$A$1001,customers!$G$1:$G$1001,,0)</f>
        <v>United States</v>
      </c>
      <c r="I379" t="str">
        <f>INDEX(products!$A$1:$G$49, MATCH(orders!$D235,products!$A$1:$A282,0), MATCH(orders!I$1,products!$A$1:$G$1,0))</f>
        <v>Exc</v>
      </c>
      <c r="J379" t="str">
        <f>INDEX(products!$A$1:$G$49, MATCH(orders!$D235,products!$A$1:$A282,0), MATCH(orders!J$1,products!$A$1:$G$1,0))</f>
        <v>M</v>
      </c>
      <c r="K379" s="5">
        <f>INDEX(products!$A$1:$G$49, MATCH(orders!$D235,products!$A$1:$A282,0), MATCH(orders!K$1,products!$A$1:$G$1,0))</f>
        <v>0.2</v>
      </c>
      <c r="L379" s="6">
        <f>INDEX(products!$A$1:$G$49, MATCH(orders!$D235,products!$A$1:$A282,0), MATCH(orders!L$1,products!$A$1:$G$1,0))</f>
        <v>4.125</v>
      </c>
      <c r="M379" s="6">
        <f t="shared" si="15"/>
        <v>20.625</v>
      </c>
      <c r="N379" t="str">
        <f t="shared" si="16"/>
        <v>Excelsa</v>
      </c>
      <c r="O379" t="str">
        <f t="shared" si="17"/>
        <v>Medium</v>
      </c>
      <c r="P379" t="str">
        <f>_xlfn.XLOOKUP(Orders[[#This Row],[Customer ID]],customers!$A$1:$A$1001,customers!$I$1:$I$1001,,0)</f>
        <v>No</v>
      </c>
      <c r="Q379">
        <f>COUNTIF(Orders[Order ID],Orders[[#This Row],[Order ID]])</f>
        <v>1</v>
      </c>
      <c r="R379" s="10">
        <f>SUMIF(Orders[Order ID], Orders[[#This Row],[Order ID]],Orders[Sales])/Orders[[#This Row],[Order Frequency]]</f>
        <v>20.625</v>
      </c>
      <c r="S379" t="str">
        <f>IF(Orders[[#This Row],[Order Frequency]]&gt;4, "More than 4", IF(AND(Orders[[#This Row],[Order Frequency]]&lt;=4,Orders[[#This Row],[Order Frequency]]&gt;=2), "Between 4 and 2", "Less than 2"))</f>
        <v>Less than 2</v>
      </c>
      <c r="T379" t="str">
        <f>IF(Orders[[#This Row],[Frequency Group]]="less than 2", "Low Value", IF(Orders[[#This Row],[Frequency Group]]="between 4 and 2", "Medium Value", "High Value"))</f>
        <v>Low Value</v>
      </c>
      <c r="U379" t="str">
        <f>IF(Orders[[#This Row],[Sales]]&lt;50, "$0-50", IF(AND(Orders[[#This Row],[Sales]]&gt;=50,Orders[[#This Row],[Sales]]&lt;=100), "$50-100", IF(AND(Orders[[#This Row],[Sales]]&gt;100,Orders[[#This Row],[Sales]]&lt;=150), "$101-150", "$150+")))</f>
        <v>$0-50</v>
      </c>
      <c r="V379" t="str">
        <f>IF(Orders[[#This Row],[Sales]]&gt;MEDIAN(M:M), "High Price", "Low Price")</f>
        <v>Low Price</v>
      </c>
      <c r="W379" t="str">
        <f>IF(Orders[[#This Row],[Quantity]]&gt;MEDIAN(E:E), "High Volume", "Low Volume")</f>
        <v>High Volume</v>
      </c>
      <c r="X379" t="str">
        <f>Orders[[#This Row],[Sales Tier]] &amp; "-" &amp; Orders[[#This Row],[Quantity Tier]]</f>
        <v>Low Price-High Volume</v>
      </c>
      <c r="Y379" t="str">
        <f>TEXT(Orders[[#This Row],[Order Date]], "mmmm")</f>
        <v>March</v>
      </c>
      <c r="Z37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379" t="str">
        <f>Orders[[#This Row],[Coffee Type Name]] &amp; "-" &amp; Orders[[#This Row],[Roast Type Name]]</f>
        <v>Excelsa-Medium</v>
      </c>
      <c r="AB37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380" spans="1:28" x14ac:dyDescent="0.25">
      <c r="A380" s="2" t="s">
        <v>2492</v>
      </c>
      <c r="B380" s="4">
        <v>44358</v>
      </c>
      <c r="C380" s="2" t="s">
        <v>2493</v>
      </c>
      <c r="D380" t="s">
        <v>6168</v>
      </c>
      <c r="E380" s="2">
        <v>5</v>
      </c>
      <c r="F380" s="2" t="str">
        <f>_xlfn.XLOOKUP(C380,customers!$A$1:$A$1001,customers!$B$1:$B$1001,,0)</f>
        <v>Marianna Vedmore</v>
      </c>
      <c r="G380" s="2" t="str">
        <f>IF(_xlfn.XLOOKUP(C380,customers!$A$1:$A$1001,customers!$C$1:$C$1001,,0)=0,"",_xlfn.XLOOKUP(C380,customers!$A$1:$A$1001,customers!$C$1:$C$1001,,0))</f>
        <v>mvedmore9v@a8.net</v>
      </c>
      <c r="H380" s="2" t="str">
        <f>_xlfn.XLOOKUP(C380,customers!$A$1:$A$1001,customers!$G$1:$G$1001,,0)</f>
        <v>United States</v>
      </c>
      <c r="I380" t="str">
        <f>INDEX(products!$A$1:$G$49, MATCH(orders!$D357,products!$A$1:$A404,0), MATCH(orders!I$1,products!$A$1:$G$1,0))</f>
        <v>Ara</v>
      </c>
      <c r="J380" t="str">
        <f>INDEX(products!$A$1:$G$49, MATCH(orders!$D357,products!$A$1:$A404,0), MATCH(orders!J$1,products!$A$1:$G$1,0))</f>
        <v>D</v>
      </c>
      <c r="K380" s="5">
        <f>INDEX(products!$A$1:$G$49, MATCH(orders!$D357,products!$A$1:$A404,0), MATCH(orders!K$1,products!$A$1:$G$1,0))</f>
        <v>2.5</v>
      </c>
      <c r="L380" s="6">
        <f>INDEX(products!$A$1:$G$49, MATCH(orders!$D357,products!$A$1:$A404,0), MATCH(orders!L$1,products!$A$1:$G$1,0))</f>
        <v>22.884999999999998</v>
      </c>
      <c r="M380" s="6">
        <f t="shared" si="15"/>
        <v>114.42499999999998</v>
      </c>
      <c r="N380" t="str">
        <f t="shared" si="16"/>
        <v>Arabica</v>
      </c>
      <c r="O380" t="str">
        <f t="shared" si="17"/>
        <v>Dark</v>
      </c>
      <c r="P380" t="str">
        <f>_xlfn.XLOOKUP(Orders[[#This Row],[Customer ID]],customers!$A$1:$A$1001,customers!$I$1:$I$1001,,0)</f>
        <v>Yes</v>
      </c>
      <c r="Q380">
        <f>COUNTIF(Orders[Order ID],Orders[[#This Row],[Order ID]])</f>
        <v>1</v>
      </c>
      <c r="R380" s="10">
        <f>SUMIF(Orders[Order ID], Orders[[#This Row],[Order ID]],Orders[Sales])/Orders[[#This Row],[Order Frequency]]</f>
        <v>114.42499999999998</v>
      </c>
      <c r="S380" t="str">
        <f>IF(Orders[[#This Row],[Order Frequency]]&gt;4, "More than 4", IF(AND(Orders[[#This Row],[Order Frequency]]&lt;=4,Orders[[#This Row],[Order Frequency]]&gt;=2), "Between 4 and 2", "Less than 2"))</f>
        <v>Less than 2</v>
      </c>
      <c r="T380" t="str">
        <f>IF(Orders[[#This Row],[Frequency Group]]="less than 2", "Low Value", IF(Orders[[#This Row],[Frequency Group]]="between 4 and 2", "Medium Value", "High Value"))</f>
        <v>Low Value</v>
      </c>
      <c r="U380" t="str">
        <f>IF(Orders[[#This Row],[Sales]]&lt;50, "$0-50", IF(AND(Orders[[#This Row],[Sales]]&gt;=50,Orders[[#This Row],[Sales]]&lt;=100), "$50-100", IF(AND(Orders[[#This Row],[Sales]]&gt;100,Orders[[#This Row],[Sales]]&lt;=150), "$101-150", "$150+")))</f>
        <v>$101-150</v>
      </c>
      <c r="V380" t="str">
        <f>IF(Orders[[#This Row],[Sales]]&gt;MEDIAN(M:M), "High Price", "Low Price")</f>
        <v>High Price</v>
      </c>
      <c r="W380" t="str">
        <f>IF(Orders[[#This Row],[Quantity]]&gt;MEDIAN(E:E), "High Volume", "Low Volume")</f>
        <v>High Volume</v>
      </c>
      <c r="X380" t="str">
        <f>Orders[[#This Row],[Sales Tier]] &amp; "-" &amp; Orders[[#This Row],[Quantity Tier]]</f>
        <v>High Price-High Volume</v>
      </c>
      <c r="Y380" t="str">
        <f>TEXT(Orders[[#This Row],[Order Date]], "mmmm")</f>
        <v>June</v>
      </c>
      <c r="Z38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380" t="str">
        <f>Orders[[#This Row],[Coffee Type Name]] &amp; "-" &amp; Orders[[#This Row],[Roast Type Name]]</f>
        <v>Arabica-Dark</v>
      </c>
      <c r="AB38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381" spans="1:28" x14ac:dyDescent="0.25">
      <c r="A381" s="2" t="s">
        <v>4201</v>
      </c>
      <c r="B381" s="4">
        <v>43831</v>
      </c>
      <c r="C381" s="2" t="s">
        <v>4202</v>
      </c>
      <c r="D381" t="s">
        <v>6157</v>
      </c>
      <c r="E381" s="2">
        <v>2</v>
      </c>
      <c r="F381" s="2" t="str">
        <f>_xlfn.XLOOKUP(C381,customers!$A$1:$A$1001,customers!$B$1:$B$1001,,0)</f>
        <v>Wren Place</v>
      </c>
      <c r="G381" s="2" t="str">
        <f>IF(_xlfn.XLOOKUP(C381,customers!$A$1:$A$1001,customers!$C$1:$C$1001,,0)=0,"",_xlfn.XLOOKUP(C381,customers!$A$1:$A$1001,customers!$C$1:$C$1001,,0))</f>
        <v>wplacei9@wsj.com</v>
      </c>
      <c r="H381" s="2" t="str">
        <f>_xlfn.XLOOKUP(C381,customers!$A$1:$A$1001,customers!$G$1:$G$1001,,0)</f>
        <v>United States</v>
      </c>
      <c r="I381" t="str">
        <f>INDEX(products!$A$1:$G$49, MATCH(orders!$D659,products!$A$1:$A706,0), MATCH(orders!I$1,products!$A$1:$G$1,0))</f>
        <v>Ara</v>
      </c>
      <c r="J381" t="str">
        <f>INDEX(products!$A$1:$G$49, MATCH(orders!$D659,products!$A$1:$A706,0), MATCH(orders!J$1,products!$A$1:$G$1,0))</f>
        <v>M</v>
      </c>
      <c r="K381" s="5">
        <f>INDEX(products!$A$1:$G$49, MATCH(orders!$D659,products!$A$1:$A706,0), MATCH(orders!K$1,products!$A$1:$G$1,0))</f>
        <v>0.5</v>
      </c>
      <c r="L381" s="6">
        <f>INDEX(products!$A$1:$G$49, MATCH(orders!$D659,products!$A$1:$A706,0), MATCH(orders!L$1,products!$A$1:$G$1,0))</f>
        <v>6.75</v>
      </c>
      <c r="M381" s="6">
        <f t="shared" si="15"/>
        <v>13.5</v>
      </c>
      <c r="N381" t="str">
        <f t="shared" si="16"/>
        <v>Arabica</v>
      </c>
      <c r="O381" t="str">
        <f t="shared" si="17"/>
        <v>Medium</v>
      </c>
      <c r="P381" t="str">
        <f>_xlfn.XLOOKUP(Orders[[#This Row],[Customer ID]],customers!$A$1:$A$1001,customers!$I$1:$I$1001,,0)</f>
        <v>Yes</v>
      </c>
      <c r="Q381">
        <f>COUNTIF(Orders[Order ID],Orders[[#This Row],[Order ID]])</f>
        <v>1</v>
      </c>
      <c r="R381" s="10">
        <f>SUMIF(Orders[Order ID], Orders[[#This Row],[Order ID]],Orders[Sales])/Orders[[#This Row],[Order Frequency]]</f>
        <v>13.5</v>
      </c>
      <c r="S381" t="str">
        <f>IF(Orders[[#This Row],[Order Frequency]]&gt;4, "More than 4", IF(AND(Orders[[#This Row],[Order Frequency]]&lt;=4,Orders[[#This Row],[Order Frequency]]&gt;=2), "Between 4 and 2", "Less than 2"))</f>
        <v>Less than 2</v>
      </c>
      <c r="T381" t="str">
        <f>IF(Orders[[#This Row],[Frequency Group]]="less than 2", "Low Value", IF(Orders[[#This Row],[Frequency Group]]="between 4 and 2", "Medium Value", "High Value"))</f>
        <v>Low Value</v>
      </c>
      <c r="U381" t="str">
        <f>IF(Orders[[#This Row],[Sales]]&lt;50, "$0-50", IF(AND(Orders[[#This Row],[Sales]]&gt;=50,Orders[[#This Row],[Sales]]&lt;=100), "$50-100", IF(AND(Orders[[#This Row],[Sales]]&gt;100,Orders[[#This Row],[Sales]]&lt;=150), "$101-150", "$150+")))</f>
        <v>$0-50</v>
      </c>
      <c r="V381" t="str">
        <f>IF(Orders[[#This Row],[Sales]]&gt;MEDIAN(M:M), "High Price", "Low Price")</f>
        <v>Low Price</v>
      </c>
      <c r="W381" t="str">
        <f>IF(Orders[[#This Row],[Quantity]]&gt;MEDIAN(E:E), "High Volume", "Low Volume")</f>
        <v>Low Volume</v>
      </c>
      <c r="X381" t="str">
        <f>Orders[[#This Row],[Sales Tier]] &amp; "-" &amp; Orders[[#This Row],[Quantity Tier]]</f>
        <v>Low Price-Low Volume</v>
      </c>
      <c r="Y381" t="str">
        <f>TEXT(Orders[[#This Row],[Order Date]], "mmmm")</f>
        <v>January</v>
      </c>
      <c r="Z38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381" t="str">
        <f>Orders[[#This Row],[Coffee Type Name]] &amp; "-" &amp; Orders[[#This Row],[Roast Type Name]]</f>
        <v>Arabica-Medium</v>
      </c>
      <c r="AB38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382" spans="1:28" x14ac:dyDescent="0.25">
      <c r="A382" s="2" t="s">
        <v>3972</v>
      </c>
      <c r="B382" s="4">
        <v>43928</v>
      </c>
      <c r="C382" s="2" t="s">
        <v>3973</v>
      </c>
      <c r="D382" t="s">
        <v>6181</v>
      </c>
      <c r="E382" s="2">
        <v>1</v>
      </c>
      <c r="F382" s="2" t="str">
        <f>_xlfn.XLOOKUP(C382,customers!$A$1:$A$1001,customers!$B$1:$B$1001,,0)</f>
        <v>Rachelle Elizabeth</v>
      </c>
      <c r="G382" s="2" t="str">
        <f>IF(_xlfn.XLOOKUP(C382,customers!$A$1:$A$1001,customers!$C$1:$C$1001,,0)=0,"",_xlfn.XLOOKUP(C382,customers!$A$1:$A$1001,customers!$C$1:$C$1001,,0))</f>
        <v>relizabethh5@live.com</v>
      </c>
      <c r="H382" s="2" t="str">
        <f>_xlfn.XLOOKUP(C382,customers!$A$1:$A$1001,customers!$G$1:$G$1001,,0)</f>
        <v>United States</v>
      </c>
      <c r="I382" t="str">
        <f>INDEX(products!$A$1:$G$49, MATCH(orders!$D619,products!$A$1:$A666,0), MATCH(orders!I$1,products!$A$1:$G$1,0))</f>
        <v>Lib</v>
      </c>
      <c r="J382" t="str">
        <f>INDEX(products!$A$1:$G$49, MATCH(orders!$D619,products!$A$1:$A666,0), MATCH(orders!J$1,products!$A$1:$G$1,0))</f>
        <v>M</v>
      </c>
      <c r="K382" s="5">
        <f>INDEX(products!$A$1:$G$49, MATCH(orders!$D619,products!$A$1:$A666,0), MATCH(orders!K$1,products!$A$1:$G$1,0))</f>
        <v>2.5</v>
      </c>
      <c r="L382" s="6">
        <f>INDEX(products!$A$1:$G$49, MATCH(orders!$D619,products!$A$1:$A666,0), MATCH(orders!L$1,products!$A$1:$G$1,0))</f>
        <v>33.464999999999996</v>
      </c>
      <c r="M382" s="6">
        <f t="shared" si="15"/>
        <v>33.464999999999996</v>
      </c>
      <c r="N382" t="str">
        <f t="shared" si="16"/>
        <v>Liberica</v>
      </c>
      <c r="O382" t="str">
        <f t="shared" si="17"/>
        <v>Medium</v>
      </c>
      <c r="P382" t="str">
        <f>_xlfn.XLOOKUP(Orders[[#This Row],[Customer ID]],customers!$A$1:$A$1001,customers!$I$1:$I$1001,,0)</f>
        <v>No</v>
      </c>
      <c r="Q382">
        <f>COUNTIF(Orders[Order ID],Orders[[#This Row],[Order ID]])</f>
        <v>1</v>
      </c>
      <c r="R382" s="10">
        <f>SUMIF(Orders[Order ID], Orders[[#This Row],[Order ID]],Orders[Sales])/Orders[[#This Row],[Order Frequency]]</f>
        <v>33.464999999999996</v>
      </c>
      <c r="S382" t="str">
        <f>IF(Orders[[#This Row],[Order Frequency]]&gt;4, "More than 4", IF(AND(Orders[[#This Row],[Order Frequency]]&lt;=4,Orders[[#This Row],[Order Frequency]]&gt;=2), "Between 4 and 2", "Less than 2"))</f>
        <v>Less than 2</v>
      </c>
      <c r="T382" t="str">
        <f>IF(Orders[[#This Row],[Frequency Group]]="less than 2", "Low Value", IF(Orders[[#This Row],[Frequency Group]]="between 4 and 2", "Medium Value", "High Value"))</f>
        <v>Low Value</v>
      </c>
      <c r="U382" t="str">
        <f>IF(Orders[[#This Row],[Sales]]&lt;50, "$0-50", IF(AND(Orders[[#This Row],[Sales]]&gt;=50,Orders[[#This Row],[Sales]]&lt;=100), "$50-100", IF(AND(Orders[[#This Row],[Sales]]&gt;100,Orders[[#This Row],[Sales]]&lt;=150), "$101-150", "$150+")))</f>
        <v>$0-50</v>
      </c>
      <c r="V382" t="str">
        <f>IF(Orders[[#This Row],[Sales]]&gt;MEDIAN(M:M), "High Price", "Low Price")</f>
        <v>High Price</v>
      </c>
      <c r="W382" t="str">
        <f>IF(Orders[[#This Row],[Quantity]]&gt;MEDIAN(E:E), "High Volume", "Low Volume")</f>
        <v>Low Volume</v>
      </c>
      <c r="X382" t="str">
        <f>Orders[[#This Row],[Sales Tier]] &amp; "-" &amp; Orders[[#This Row],[Quantity Tier]]</f>
        <v>High Price-Low Volume</v>
      </c>
      <c r="Y382" t="str">
        <f>TEXT(Orders[[#This Row],[Order Date]], "mmmm")</f>
        <v>April</v>
      </c>
      <c r="Z38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382" t="str">
        <f>Orders[[#This Row],[Coffee Type Name]] &amp; "-" &amp; Orders[[#This Row],[Roast Type Name]]</f>
        <v>Liberica-Medium</v>
      </c>
      <c r="AB38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383" spans="1:28" x14ac:dyDescent="0.25">
      <c r="A383" s="2" t="s">
        <v>2813</v>
      </c>
      <c r="B383" s="4">
        <v>44410</v>
      </c>
      <c r="C383" s="2" t="s">
        <v>2814</v>
      </c>
      <c r="D383" t="s">
        <v>6155</v>
      </c>
      <c r="E383" s="2">
        <v>5</v>
      </c>
      <c r="F383" s="2" t="str">
        <f>_xlfn.XLOOKUP(C383,customers!$A$1:$A$1001,customers!$B$1:$B$1001,,0)</f>
        <v>Freeland Missenden</v>
      </c>
      <c r="G383" s="2" t="str">
        <f>IF(_xlfn.XLOOKUP(C383,customers!$A$1:$A$1001,customers!$C$1:$C$1001,,0)=0,"",_xlfn.XLOOKUP(C383,customers!$A$1:$A$1001,customers!$C$1:$C$1001,,0))</f>
        <v/>
      </c>
      <c r="H383" s="2" t="str">
        <f>_xlfn.XLOOKUP(C383,customers!$A$1:$A$1001,customers!$G$1:$G$1001,,0)</f>
        <v>United States</v>
      </c>
      <c r="I383" t="str">
        <f>INDEX(products!$A$1:$G$49, MATCH(orders!$D414,products!$A$1:$A461,0), MATCH(orders!I$1,products!$A$1:$G$1,0))</f>
        <v>Ara</v>
      </c>
      <c r="J383" t="str">
        <f>INDEX(products!$A$1:$G$49, MATCH(orders!$D414,products!$A$1:$A461,0), MATCH(orders!J$1,products!$A$1:$G$1,0))</f>
        <v>M</v>
      </c>
      <c r="K383" s="5">
        <f>INDEX(products!$A$1:$G$49, MATCH(orders!$D414,products!$A$1:$A461,0), MATCH(orders!K$1,products!$A$1:$G$1,0))</f>
        <v>1</v>
      </c>
      <c r="L383" s="6">
        <f>INDEX(products!$A$1:$G$49, MATCH(orders!$D414,products!$A$1:$A461,0), MATCH(orders!L$1,products!$A$1:$G$1,0))</f>
        <v>11.25</v>
      </c>
      <c r="M383" s="6">
        <f t="shared" si="15"/>
        <v>56.25</v>
      </c>
      <c r="N383" t="str">
        <f t="shared" si="16"/>
        <v>Arabica</v>
      </c>
      <c r="O383" t="str">
        <f t="shared" si="17"/>
        <v>Medium</v>
      </c>
      <c r="P383" t="str">
        <f>_xlfn.XLOOKUP(Orders[[#This Row],[Customer ID]],customers!$A$1:$A$1001,customers!$I$1:$I$1001,,0)</f>
        <v>Yes</v>
      </c>
      <c r="Q383">
        <f>COUNTIF(Orders[Order ID],Orders[[#This Row],[Order ID]])</f>
        <v>1</v>
      </c>
      <c r="R383" s="10">
        <f>SUMIF(Orders[Order ID], Orders[[#This Row],[Order ID]],Orders[Sales])/Orders[[#This Row],[Order Frequency]]</f>
        <v>56.25</v>
      </c>
      <c r="S383" t="str">
        <f>IF(Orders[[#This Row],[Order Frequency]]&gt;4, "More than 4", IF(AND(Orders[[#This Row],[Order Frequency]]&lt;=4,Orders[[#This Row],[Order Frequency]]&gt;=2), "Between 4 and 2", "Less than 2"))</f>
        <v>Less than 2</v>
      </c>
      <c r="T383" t="str">
        <f>IF(Orders[[#This Row],[Frequency Group]]="less than 2", "Low Value", IF(Orders[[#This Row],[Frequency Group]]="between 4 and 2", "Medium Value", "High Value"))</f>
        <v>Low Value</v>
      </c>
      <c r="U383" t="str">
        <f>IF(Orders[[#This Row],[Sales]]&lt;50, "$0-50", IF(AND(Orders[[#This Row],[Sales]]&gt;=50,Orders[[#This Row],[Sales]]&lt;=100), "$50-100", IF(AND(Orders[[#This Row],[Sales]]&gt;100,Orders[[#This Row],[Sales]]&lt;=150), "$101-150", "$150+")))</f>
        <v>$50-100</v>
      </c>
      <c r="V383" t="str">
        <f>IF(Orders[[#This Row],[Sales]]&gt;MEDIAN(M:M), "High Price", "Low Price")</f>
        <v>High Price</v>
      </c>
      <c r="W383" t="str">
        <f>IF(Orders[[#This Row],[Quantity]]&gt;MEDIAN(E:E), "High Volume", "Low Volume")</f>
        <v>High Volume</v>
      </c>
      <c r="X383" t="str">
        <f>Orders[[#This Row],[Sales Tier]] &amp; "-" &amp; Orders[[#This Row],[Quantity Tier]]</f>
        <v>High Price-High Volume</v>
      </c>
      <c r="Y383" t="str">
        <f>TEXT(Orders[[#This Row],[Order Date]], "mmmm")</f>
        <v>August</v>
      </c>
      <c r="Z38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383" t="str">
        <f>Orders[[#This Row],[Coffee Type Name]] &amp; "-" &amp; Orders[[#This Row],[Roast Type Name]]</f>
        <v>Arabica-Medium</v>
      </c>
      <c r="AB38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384" spans="1:28" x14ac:dyDescent="0.25">
      <c r="A384" s="2" t="s">
        <v>512</v>
      </c>
      <c r="B384" s="4">
        <v>44392</v>
      </c>
      <c r="C384" s="2" t="s">
        <v>513</v>
      </c>
      <c r="D384" t="s">
        <v>6141</v>
      </c>
      <c r="E384" s="2">
        <v>2</v>
      </c>
      <c r="F384" s="2" t="str">
        <f>_xlfn.XLOOKUP(C384,customers!$A$1:$A$1001,customers!$B$1:$B$1001,,0)</f>
        <v>Christoffer O' Shea</v>
      </c>
      <c r="G384" s="2" t="str">
        <f>IF(_xlfn.XLOOKUP(C384,customers!$A$1:$A$1001,customers!$C$1:$C$1001,,0)=0,"",_xlfn.XLOOKUP(C384,customers!$A$1:$A$1001,customers!$C$1:$C$1001,,0))</f>
        <v/>
      </c>
      <c r="H384" s="2" t="str">
        <f>_xlfn.XLOOKUP(C384,customers!$A$1:$A$1001,customers!$G$1:$G$1001,,0)</f>
        <v>Ireland</v>
      </c>
      <c r="I384" t="str">
        <f>INDEX(products!$A$1:$G$49, MATCH(orders!$D5,products!$A$1:$A52,0), MATCH(orders!I$1,products!$A$1:$G$1,0))</f>
        <v>Exc</v>
      </c>
      <c r="J384" t="str">
        <f>INDEX(products!$A$1:$G$49, MATCH(orders!$D5,products!$A$1:$A52,0), MATCH(orders!J$1,products!$A$1:$G$1,0))</f>
        <v>M</v>
      </c>
      <c r="K384" s="5">
        <f>INDEX(products!$A$1:$G$49, MATCH(orders!$D5,products!$A$1:$A52,0), MATCH(orders!K$1,products!$A$1:$G$1,0))</f>
        <v>1</v>
      </c>
      <c r="L384" s="6">
        <f>INDEX(products!$A$1:$G$49, MATCH(orders!$D5,products!$A$1:$A52,0), MATCH(orders!L$1,products!$A$1:$G$1,0))</f>
        <v>13.75</v>
      </c>
      <c r="M384" s="6">
        <f t="shared" si="15"/>
        <v>27.5</v>
      </c>
      <c r="N384" t="str">
        <f t="shared" si="16"/>
        <v>Excelsa</v>
      </c>
      <c r="O384" t="str">
        <f t="shared" si="17"/>
        <v>Medium</v>
      </c>
      <c r="P384" t="str">
        <f>_xlfn.XLOOKUP(Orders[[#This Row],[Customer ID]],customers!$A$1:$A$1001,customers!$I$1:$I$1001,,0)</f>
        <v>No</v>
      </c>
      <c r="Q384">
        <f>COUNTIF(Orders[Order ID],Orders[[#This Row],[Order ID]])</f>
        <v>2</v>
      </c>
      <c r="R384" s="10">
        <f>SUMIF(Orders[Order ID], Orders[[#This Row],[Order ID]],Orders[Sales])/Orders[[#This Row],[Order Frequency]]</f>
        <v>41.234999999999999</v>
      </c>
      <c r="S384" t="str">
        <f>IF(Orders[[#This Row],[Order Frequency]]&gt;4, "More than 4", IF(AND(Orders[[#This Row],[Order Frequency]]&lt;=4,Orders[[#This Row],[Order Frequency]]&gt;=2), "Between 4 and 2", "Less than 2"))</f>
        <v>Between 4 and 2</v>
      </c>
      <c r="T384" t="str">
        <f>IF(Orders[[#This Row],[Frequency Group]]="less than 2", "Low Value", IF(Orders[[#This Row],[Frequency Group]]="between 4 and 2", "Medium Value", "High Value"))</f>
        <v>Medium Value</v>
      </c>
      <c r="U384" t="str">
        <f>IF(Orders[[#This Row],[Sales]]&lt;50, "$0-50", IF(AND(Orders[[#This Row],[Sales]]&gt;=50,Orders[[#This Row],[Sales]]&lt;=100), "$50-100", IF(AND(Orders[[#This Row],[Sales]]&gt;100,Orders[[#This Row],[Sales]]&lt;=150), "$101-150", "$150+")))</f>
        <v>$0-50</v>
      </c>
      <c r="V384" t="str">
        <f>IF(Orders[[#This Row],[Sales]]&gt;MEDIAN(M:M), "High Price", "Low Price")</f>
        <v>Low Price</v>
      </c>
      <c r="W384" t="str">
        <f>IF(Orders[[#This Row],[Quantity]]&gt;MEDIAN(E:E), "High Volume", "Low Volume")</f>
        <v>Low Volume</v>
      </c>
      <c r="X384" t="str">
        <f>Orders[[#This Row],[Sales Tier]] &amp; "-" &amp; Orders[[#This Row],[Quantity Tier]]</f>
        <v>Low Price-Low Volume</v>
      </c>
      <c r="Y384" t="str">
        <f>TEXT(Orders[[#This Row],[Order Date]], "mmmm")</f>
        <v>July</v>
      </c>
      <c r="Z38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384" t="str">
        <f>Orders[[#This Row],[Coffee Type Name]] &amp; "-" &amp; Orders[[#This Row],[Roast Type Name]]</f>
        <v>Excelsa-Medium</v>
      </c>
      <c r="AB38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385" spans="1:28" x14ac:dyDescent="0.25">
      <c r="A385" s="2" t="s">
        <v>512</v>
      </c>
      <c r="B385" s="4">
        <v>44392</v>
      </c>
      <c r="C385" s="2" t="s">
        <v>513</v>
      </c>
      <c r="D385" t="s">
        <v>6142</v>
      </c>
      <c r="E385" s="2">
        <v>2</v>
      </c>
      <c r="F385" s="2" t="str">
        <f>_xlfn.XLOOKUP(C385,customers!$A$1:$A$1001,customers!$B$1:$B$1001,,0)</f>
        <v>Christoffer O' Shea</v>
      </c>
      <c r="G385" s="2" t="str">
        <f>IF(_xlfn.XLOOKUP(C385,customers!$A$1:$A$1001,customers!$C$1:$C$1001,,0)=0,"",_xlfn.XLOOKUP(C385,customers!$A$1:$A$1001,customers!$C$1:$C$1001,,0))</f>
        <v/>
      </c>
      <c r="H385" s="2" t="str">
        <f>_xlfn.XLOOKUP(C385,customers!$A$1:$A$1001,customers!$G$1:$G$1001,,0)</f>
        <v>Ireland</v>
      </c>
      <c r="I385" t="str">
        <f>INDEX(products!$A$1:$G$49, MATCH(orders!$D6,products!$A$1:$A53,0), MATCH(orders!I$1,products!$A$1:$G$1,0))</f>
        <v>Rob</v>
      </c>
      <c r="J385" t="str">
        <f>INDEX(products!$A$1:$G$49, MATCH(orders!$D6,products!$A$1:$A53,0), MATCH(orders!J$1,products!$A$1:$G$1,0))</f>
        <v>L</v>
      </c>
      <c r="K385" s="5">
        <f>INDEX(products!$A$1:$G$49, MATCH(orders!$D6,products!$A$1:$A53,0), MATCH(orders!K$1,products!$A$1:$G$1,0))</f>
        <v>2.5</v>
      </c>
      <c r="L385" s="6">
        <f>INDEX(products!$A$1:$G$49, MATCH(orders!$D6,products!$A$1:$A53,0), MATCH(orders!L$1,products!$A$1:$G$1,0))</f>
        <v>27.484999999999996</v>
      </c>
      <c r="M385" s="6">
        <f t="shared" si="15"/>
        <v>54.969999999999992</v>
      </c>
      <c r="N385" t="str">
        <f t="shared" si="16"/>
        <v>Robusta</v>
      </c>
      <c r="O385" t="str">
        <f t="shared" si="17"/>
        <v>Light</v>
      </c>
      <c r="P385" t="str">
        <f>_xlfn.XLOOKUP(Orders[[#This Row],[Customer ID]],customers!$A$1:$A$1001,customers!$I$1:$I$1001,,0)</f>
        <v>No</v>
      </c>
      <c r="Q385">
        <f>COUNTIF(Orders[Order ID],Orders[[#This Row],[Order ID]])</f>
        <v>2</v>
      </c>
      <c r="R385" s="10">
        <f>SUMIF(Orders[Order ID], Orders[[#This Row],[Order ID]],Orders[Sales])/Orders[[#This Row],[Order Frequency]]</f>
        <v>41.234999999999999</v>
      </c>
      <c r="S385" t="str">
        <f>IF(Orders[[#This Row],[Order Frequency]]&gt;4, "More than 4", IF(AND(Orders[[#This Row],[Order Frequency]]&lt;=4,Orders[[#This Row],[Order Frequency]]&gt;=2), "Between 4 and 2", "Less than 2"))</f>
        <v>Between 4 and 2</v>
      </c>
      <c r="T385" t="str">
        <f>IF(Orders[[#This Row],[Frequency Group]]="less than 2", "Low Value", IF(Orders[[#This Row],[Frequency Group]]="between 4 and 2", "Medium Value", "High Value"))</f>
        <v>Medium Value</v>
      </c>
      <c r="U385" t="str">
        <f>IF(Orders[[#This Row],[Sales]]&lt;50, "$0-50", IF(AND(Orders[[#This Row],[Sales]]&gt;=50,Orders[[#This Row],[Sales]]&lt;=100), "$50-100", IF(AND(Orders[[#This Row],[Sales]]&gt;100,Orders[[#This Row],[Sales]]&lt;=150), "$101-150", "$150+")))</f>
        <v>$50-100</v>
      </c>
      <c r="V385" t="str">
        <f>IF(Orders[[#This Row],[Sales]]&gt;MEDIAN(M:M), "High Price", "Low Price")</f>
        <v>High Price</v>
      </c>
      <c r="W385" t="str">
        <f>IF(Orders[[#This Row],[Quantity]]&gt;MEDIAN(E:E), "High Volume", "Low Volume")</f>
        <v>Low Volume</v>
      </c>
      <c r="X385" t="str">
        <f>Orders[[#This Row],[Sales Tier]] &amp; "-" &amp; Orders[[#This Row],[Quantity Tier]]</f>
        <v>High Price-Low Volume</v>
      </c>
      <c r="Y385" t="str">
        <f>TEXT(Orders[[#This Row],[Order Date]], "mmmm")</f>
        <v>July</v>
      </c>
      <c r="Z38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385" t="str">
        <f>Orders[[#This Row],[Coffee Type Name]] &amp; "-" &amp; Orders[[#This Row],[Roast Type Name]]</f>
        <v>Robusta-Light</v>
      </c>
      <c r="AB38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386" spans="1:28" x14ac:dyDescent="0.25">
      <c r="A386" s="2" t="s">
        <v>3481</v>
      </c>
      <c r="B386" s="4">
        <v>43475</v>
      </c>
      <c r="C386" s="2" t="s">
        <v>3482</v>
      </c>
      <c r="D386" t="s">
        <v>6138</v>
      </c>
      <c r="E386" s="2">
        <v>6</v>
      </c>
      <c r="F386" s="2" t="str">
        <f>_xlfn.XLOOKUP(C386,customers!$A$1:$A$1001,customers!$B$1:$B$1001,,0)</f>
        <v>Starr Arpin</v>
      </c>
      <c r="G386" s="2" t="str">
        <f>IF(_xlfn.XLOOKUP(C386,customers!$A$1:$A$1001,customers!$C$1:$C$1001,,0)=0,"",_xlfn.XLOOKUP(C386,customers!$A$1:$A$1001,customers!$C$1:$C$1001,,0))</f>
        <v>sarpinep@moonfruit.com</v>
      </c>
      <c r="H386" s="2" t="str">
        <f>_xlfn.XLOOKUP(C386,customers!$A$1:$A$1001,customers!$G$1:$G$1001,,0)</f>
        <v>United States</v>
      </c>
      <c r="I386" t="str">
        <f>INDEX(products!$A$1:$G$49, MATCH(orders!$D531,products!$A$1:$A578,0), MATCH(orders!I$1,products!$A$1:$G$1,0))</f>
        <v>Rob</v>
      </c>
      <c r="J386" t="str">
        <f>INDEX(products!$A$1:$G$49, MATCH(orders!$D531,products!$A$1:$A578,0), MATCH(orders!J$1,products!$A$1:$G$1,0))</f>
        <v>M</v>
      </c>
      <c r="K386" s="5">
        <f>INDEX(products!$A$1:$G$49, MATCH(orders!$D531,products!$A$1:$A578,0), MATCH(orders!K$1,products!$A$1:$G$1,0))</f>
        <v>1</v>
      </c>
      <c r="L386" s="6">
        <f>INDEX(products!$A$1:$G$49, MATCH(orders!$D531,products!$A$1:$A578,0), MATCH(orders!L$1,products!$A$1:$G$1,0))</f>
        <v>9.9499999999999993</v>
      </c>
      <c r="M386" s="6">
        <f t="shared" ref="M386:M449" si="18">L386*E386</f>
        <v>59.699999999999996</v>
      </c>
      <c r="N386" t="str">
        <f t="shared" ref="N386:N449" si="19">IF(I386="Rob", "Robusta", IF(I386="Exc", "Excelsa", IF(I386="Ara","Arabica", IF(I386="Lib", "Liberica",""))))</f>
        <v>Robusta</v>
      </c>
      <c r="O386" t="str">
        <f t="shared" ref="O386:O449" si="20">IF(J386="M", "Medium", IF(J386="L", "Light", IF(J386="D", "Dark", "")))</f>
        <v>Medium</v>
      </c>
      <c r="P386" t="str">
        <f>_xlfn.XLOOKUP(Orders[[#This Row],[Customer ID]],customers!$A$1:$A$1001,customers!$I$1:$I$1001,,0)</f>
        <v>No</v>
      </c>
      <c r="Q386">
        <f>COUNTIF(Orders[Order ID],Orders[[#This Row],[Order ID]])</f>
        <v>1</v>
      </c>
      <c r="R386" s="10">
        <f>SUMIF(Orders[Order ID], Orders[[#This Row],[Order ID]],Orders[Sales])/Orders[[#This Row],[Order Frequency]]</f>
        <v>59.699999999999996</v>
      </c>
      <c r="S386" t="str">
        <f>IF(Orders[[#This Row],[Order Frequency]]&gt;4, "More than 4", IF(AND(Orders[[#This Row],[Order Frequency]]&lt;=4,Orders[[#This Row],[Order Frequency]]&gt;=2), "Between 4 and 2", "Less than 2"))</f>
        <v>Less than 2</v>
      </c>
      <c r="T386" t="str">
        <f>IF(Orders[[#This Row],[Frequency Group]]="less than 2", "Low Value", IF(Orders[[#This Row],[Frequency Group]]="between 4 and 2", "Medium Value", "High Value"))</f>
        <v>Low Value</v>
      </c>
      <c r="U386" t="str">
        <f>IF(Orders[[#This Row],[Sales]]&lt;50, "$0-50", IF(AND(Orders[[#This Row],[Sales]]&gt;=50,Orders[[#This Row],[Sales]]&lt;=100), "$50-100", IF(AND(Orders[[#This Row],[Sales]]&gt;100,Orders[[#This Row],[Sales]]&lt;=150), "$101-150", "$150+")))</f>
        <v>$50-100</v>
      </c>
      <c r="V386" t="str">
        <f>IF(Orders[[#This Row],[Sales]]&gt;MEDIAN(M:M), "High Price", "Low Price")</f>
        <v>High Price</v>
      </c>
      <c r="W386" t="str">
        <f>IF(Orders[[#This Row],[Quantity]]&gt;MEDIAN(E:E), "High Volume", "Low Volume")</f>
        <v>High Volume</v>
      </c>
      <c r="X386" t="str">
        <f>Orders[[#This Row],[Sales Tier]] &amp; "-" &amp; Orders[[#This Row],[Quantity Tier]]</f>
        <v>High Price-High Volume</v>
      </c>
      <c r="Y386" t="str">
        <f>TEXT(Orders[[#This Row],[Order Date]], "mmmm")</f>
        <v>January</v>
      </c>
      <c r="Z38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386" t="str">
        <f>Orders[[#This Row],[Coffee Type Name]] &amp; "-" &amp; Orders[[#This Row],[Roast Type Name]]</f>
        <v>Robusta-Medium</v>
      </c>
      <c r="AB38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387" spans="1:28" x14ac:dyDescent="0.25">
      <c r="A387" s="2" t="s">
        <v>5548</v>
      </c>
      <c r="B387" s="4">
        <v>44016</v>
      </c>
      <c r="C387" s="2" t="s">
        <v>5549</v>
      </c>
      <c r="D387" t="s">
        <v>6149</v>
      </c>
      <c r="E387" s="2">
        <v>4</v>
      </c>
      <c r="F387" s="2" t="str">
        <f>_xlfn.XLOOKUP(C387,customers!$A$1:$A$1001,customers!$B$1:$B$1001,,0)</f>
        <v>Sharity Wickens</v>
      </c>
      <c r="G387" s="2" t="str">
        <f>IF(_xlfn.XLOOKUP(C387,customers!$A$1:$A$1001,customers!$C$1:$C$1001,,0)=0,"",_xlfn.XLOOKUP(C387,customers!$A$1:$A$1001,customers!$C$1:$C$1001,,0))</f>
        <v/>
      </c>
      <c r="H387" s="2" t="str">
        <f>_xlfn.XLOOKUP(C387,customers!$A$1:$A$1001,customers!$G$1:$G$1001,,0)</f>
        <v>Ireland</v>
      </c>
      <c r="I387" t="str">
        <f>INDEX(products!$A$1:$G$49, MATCH(orders!$D896,products!$A$1:$A943,0), MATCH(orders!I$1,products!$A$1:$G$1,0))</f>
        <v>Rob</v>
      </c>
      <c r="J387" t="str">
        <f>INDEX(products!$A$1:$G$49, MATCH(orders!$D896,products!$A$1:$A943,0), MATCH(orders!J$1,products!$A$1:$G$1,0))</f>
        <v>D</v>
      </c>
      <c r="K387" s="5">
        <f>INDEX(products!$A$1:$G$49, MATCH(orders!$D896,products!$A$1:$A943,0), MATCH(orders!K$1,products!$A$1:$G$1,0))</f>
        <v>2.5</v>
      </c>
      <c r="L387" s="6">
        <f>INDEX(products!$A$1:$G$49, MATCH(orders!$D896,products!$A$1:$A943,0), MATCH(orders!L$1,products!$A$1:$G$1,0))</f>
        <v>20.584999999999997</v>
      </c>
      <c r="M387" s="6">
        <f t="shared" si="18"/>
        <v>82.339999999999989</v>
      </c>
      <c r="N387" t="str">
        <f t="shared" si="19"/>
        <v>Robusta</v>
      </c>
      <c r="O387" t="str">
        <f t="shared" si="20"/>
        <v>Dark</v>
      </c>
      <c r="P387" t="str">
        <f>_xlfn.XLOOKUP(Orders[[#This Row],[Customer ID]],customers!$A$1:$A$1001,customers!$I$1:$I$1001,,0)</f>
        <v>Yes</v>
      </c>
      <c r="Q387">
        <f>COUNTIF(Orders[Order ID],Orders[[#This Row],[Order ID]])</f>
        <v>1</v>
      </c>
      <c r="R387" s="10">
        <f>SUMIF(Orders[Order ID], Orders[[#This Row],[Order ID]],Orders[Sales])/Orders[[#This Row],[Order Frequency]]</f>
        <v>82.339999999999989</v>
      </c>
      <c r="S387" t="str">
        <f>IF(Orders[[#This Row],[Order Frequency]]&gt;4, "More than 4", IF(AND(Orders[[#This Row],[Order Frequency]]&lt;=4,Orders[[#This Row],[Order Frequency]]&gt;=2), "Between 4 and 2", "Less than 2"))</f>
        <v>Less than 2</v>
      </c>
      <c r="T387" t="str">
        <f>IF(Orders[[#This Row],[Frequency Group]]="less than 2", "Low Value", IF(Orders[[#This Row],[Frequency Group]]="between 4 and 2", "Medium Value", "High Value"))</f>
        <v>Low Value</v>
      </c>
      <c r="U387" t="str">
        <f>IF(Orders[[#This Row],[Sales]]&lt;50, "$0-50", IF(AND(Orders[[#This Row],[Sales]]&gt;=50,Orders[[#This Row],[Sales]]&lt;=100), "$50-100", IF(AND(Orders[[#This Row],[Sales]]&gt;100,Orders[[#This Row],[Sales]]&lt;=150), "$101-150", "$150+")))</f>
        <v>$50-100</v>
      </c>
      <c r="V387" t="str">
        <f>IF(Orders[[#This Row],[Sales]]&gt;MEDIAN(M:M), "High Price", "Low Price")</f>
        <v>High Price</v>
      </c>
      <c r="W387" t="str">
        <f>IF(Orders[[#This Row],[Quantity]]&gt;MEDIAN(E:E), "High Volume", "Low Volume")</f>
        <v>Low Volume</v>
      </c>
      <c r="X387" t="str">
        <f>Orders[[#This Row],[Sales Tier]] &amp; "-" &amp; Orders[[#This Row],[Quantity Tier]]</f>
        <v>High Price-Low Volume</v>
      </c>
      <c r="Y387" t="str">
        <f>TEXT(Orders[[#This Row],[Order Date]], "mmmm")</f>
        <v>July</v>
      </c>
      <c r="Z38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387" t="str">
        <f>Orders[[#This Row],[Coffee Type Name]] &amp; "-" &amp; Orders[[#This Row],[Roast Type Name]]</f>
        <v>Robusta-Dark</v>
      </c>
      <c r="AB38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388" spans="1:28" x14ac:dyDescent="0.25">
      <c r="A388" s="2" t="s">
        <v>3220</v>
      </c>
      <c r="B388" s="4">
        <v>43790</v>
      </c>
      <c r="C388" s="2" t="s">
        <v>3221</v>
      </c>
      <c r="D388" t="s">
        <v>6165</v>
      </c>
      <c r="E388" s="2">
        <v>2</v>
      </c>
      <c r="F388" s="2" t="str">
        <f>_xlfn.XLOOKUP(C388,customers!$A$1:$A$1001,customers!$B$1:$B$1001,,0)</f>
        <v>Orion Dyott</v>
      </c>
      <c r="G388" s="2" t="str">
        <f>IF(_xlfn.XLOOKUP(C388,customers!$A$1:$A$1001,customers!$C$1:$C$1001,,0)=0,"",_xlfn.XLOOKUP(C388,customers!$A$1:$A$1001,customers!$C$1:$C$1001,,0))</f>
        <v/>
      </c>
      <c r="H388" s="2" t="str">
        <f>_xlfn.XLOOKUP(C388,customers!$A$1:$A$1001,customers!$G$1:$G$1001,,0)</f>
        <v>United States</v>
      </c>
      <c r="I388" t="str">
        <f>INDEX(products!$A$1:$G$49, MATCH(orders!$D485,products!$A$1:$A532,0), MATCH(orders!I$1,products!$A$1:$G$1,0))</f>
        <v>Lib</v>
      </c>
      <c r="J388" t="str">
        <f>INDEX(products!$A$1:$G$49, MATCH(orders!$D485,products!$A$1:$A532,0), MATCH(orders!J$1,products!$A$1:$G$1,0))</f>
        <v>D</v>
      </c>
      <c r="K388" s="5">
        <f>INDEX(products!$A$1:$G$49, MATCH(orders!$D485,products!$A$1:$A532,0), MATCH(orders!K$1,products!$A$1:$G$1,0))</f>
        <v>2.5</v>
      </c>
      <c r="L388" s="6">
        <f>INDEX(products!$A$1:$G$49, MATCH(orders!$D485,products!$A$1:$A532,0), MATCH(orders!L$1,products!$A$1:$G$1,0))</f>
        <v>29.784999999999997</v>
      </c>
      <c r="M388" s="6">
        <f t="shared" si="18"/>
        <v>59.569999999999993</v>
      </c>
      <c r="N388" t="str">
        <f t="shared" si="19"/>
        <v>Liberica</v>
      </c>
      <c r="O388" t="str">
        <f t="shared" si="20"/>
        <v>Dark</v>
      </c>
      <c r="P388" t="str">
        <f>_xlfn.XLOOKUP(Orders[[#This Row],[Customer ID]],customers!$A$1:$A$1001,customers!$I$1:$I$1001,,0)</f>
        <v>Yes</v>
      </c>
      <c r="Q388">
        <f>COUNTIF(Orders[Order ID],Orders[[#This Row],[Order ID]])</f>
        <v>1</v>
      </c>
      <c r="R388" s="10">
        <f>SUMIF(Orders[Order ID], Orders[[#This Row],[Order ID]],Orders[Sales])/Orders[[#This Row],[Order Frequency]]</f>
        <v>59.569999999999993</v>
      </c>
      <c r="S388" t="str">
        <f>IF(Orders[[#This Row],[Order Frequency]]&gt;4, "More than 4", IF(AND(Orders[[#This Row],[Order Frequency]]&lt;=4,Orders[[#This Row],[Order Frequency]]&gt;=2), "Between 4 and 2", "Less than 2"))</f>
        <v>Less than 2</v>
      </c>
      <c r="T388" t="str">
        <f>IF(Orders[[#This Row],[Frequency Group]]="less than 2", "Low Value", IF(Orders[[#This Row],[Frequency Group]]="between 4 and 2", "Medium Value", "High Value"))</f>
        <v>Low Value</v>
      </c>
      <c r="U388" t="str">
        <f>IF(Orders[[#This Row],[Sales]]&lt;50, "$0-50", IF(AND(Orders[[#This Row],[Sales]]&gt;=50,Orders[[#This Row],[Sales]]&lt;=100), "$50-100", IF(AND(Orders[[#This Row],[Sales]]&gt;100,Orders[[#This Row],[Sales]]&lt;=150), "$101-150", "$150+")))</f>
        <v>$50-100</v>
      </c>
      <c r="V388" t="str">
        <f>IF(Orders[[#This Row],[Sales]]&gt;MEDIAN(M:M), "High Price", "Low Price")</f>
        <v>High Price</v>
      </c>
      <c r="W388" t="str">
        <f>IF(Orders[[#This Row],[Quantity]]&gt;MEDIAN(E:E), "High Volume", "Low Volume")</f>
        <v>Low Volume</v>
      </c>
      <c r="X388" t="str">
        <f>Orders[[#This Row],[Sales Tier]] &amp; "-" &amp; Orders[[#This Row],[Quantity Tier]]</f>
        <v>High Price-Low Volume</v>
      </c>
      <c r="Y388" t="str">
        <f>TEXT(Orders[[#This Row],[Order Date]], "mmmm")</f>
        <v>November</v>
      </c>
      <c r="Z38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388" t="str">
        <f>Orders[[#This Row],[Coffee Type Name]] &amp; "-" &amp; Orders[[#This Row],[Roast Type Name]]</f>
        <v>Liberica-Dark</v>
      </c>
      <c r="AB38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389" spans="1:28" x14ac:dyDescent="0.25">
      <c r="A389" s="2" t="s">
        <v>5791</v>
      </c>
      <c r="B389" s="4">
        <v>43829</v>
      </c>
      <c r="C389" s="2" t="s">
        <v>5792</v>
      </c>
      <c r="D389" t="s">
        <v>6171</v>
      </c>
      <c r="E389" s="2">
        <v>5</v>
      </c>
      <c r="F389" s="2" t="str">
        <f>_xlfn.XLOOKUP(C389,customers!$A$1:$A$1001,customers!$B$1:$B$1001,,0)</f>
        <v>Dell Gut</v>
      </c>
      <c r="G389" s="2" t="str">
        <f>IF(_xlfn.XLOOKUP(C389,customers!$A$1:$A$1001,customers!$C$1:$C$1001,,0)=0,"",_xlfn.XLOOKUP(C389,customers!$A$1:$A$1001,customers!$C$1:$C$1001,,0))</f>
        <v>dgutq2@umich.edu</v>
      </c>
      <c r="H389" s="2" t="str">
        <f>_xlfn.XLOOKUP(C389,customers!$A$1:$A$1001,customers!$G$1:$G$1001,,0)</f>
        <v>United States</v>
      </c>
      <c r="I389" t="str">
        <f>INDEX(products!$A$1:$G$49, MATCH(orders!$D940,products!$A$1:$A987,0), MATCH(orders!I$1,products!$A$1:$G$1,0))</f>
        <v>Exc</v>
      </c>
      <c r="J389" t="str">
        <f>INDEX(products!$A$1:$G$49, MATCH(orders!$D940,products!$A$1:$A987,0), MATCH(orders!J$1,products!$A$1:$G$1,0))</f>
        <v>L</v>
      </c>
      <c r="K389" s="5">
        <f>INDEX(products!$A$1:$G$49, MATCH(orders!$D940,products!$A$1:$A987,0), MATCH(orders!K$1,products!$A$1:$G$1,0))</f>
        <v>1</v>
      </c>
      <c r="L389" s="6">
        <f>INDEX(products!$A$1:$G$49, MATCH(orders!$D940,products!$A$1:$A987,0), MATCH(orders!L$1,products!$A$1:$G$1,0))</f>
        <v>14.85</v>
      </c>
      <c r="M389" s="6">
        <f t="shared" si="18"/>
        <v>74.25</v>
      </c>
      <c r="N389" t="str">
        <f t="shared" si="19"/>
        <v>Excelsa</v>
      </c>
      <c r="O389" t="str">
        <f t="shared" si="20"/>
        <v>Light</v>
      </c>
      <c r="P389" t="str">
        <f>_xlfn.XLOOKUP(Orders[[#This Row],[Customer ID]],customers!$A$1:$A$1001,customers!$I$1:$I$1001,,0)</f>
        <v>Yes</v>
      </c>
      <c r="Q389">
        <f>COUNTIF(Orders[Order ID],Orders[[#This Row],[Order ID]])</f>
        <v>1</v>
      </c>
      <c r="R389" s="10">
        <f>SUMIF(Orders[Order ID], Orders[[#This Row],[Order ID]],Orders[Sales])/Orders[[#This Row],[Order Frequency]]</f>
        <v>74.25</v>
      </c>
      <c r="S389" t="str">
        <f>IF(Orders[[#This Row],[Order Frequency]]&gt;4, "More than 4", IF(AND(Orders[[#This Row],[Order Frequency]]&lt;=4,Orders[[#This Row],[Order Frequency]]&gt;=2), "Between 4 and 2", "Less than 2"))</f>
        <v>Less than 2</v>
      </c>
      <c r="T389" t="str">
        <f>IF(Orders[[#This Row],[Frequency Group]]="less than 2", "Low Value", IF(Orders[[#This Row],[Frequency Group]]="between 4 and 2", "Medium Value", "High Value"))</f>
        <v>Low Value</v>
      </c>
      <c r="U389" t="str">
        <f>IF(Orders[[#This Row],[Sales]]&lt;50, "$0-50", IF(AND(Orders[[#This Row],[Sales]]&gt;=50,Orders[[#This Row],[Sales]]&lt;=100), "$50-100", IF(AND(Orders[[#This Row],[Sales]]&gt;100,Orders[[#This Row],[Sales]]&lt;=150), "$101-150", "$150+")))</f>
        <v>$50-100</v>
      </c>
      <c r="V389" t="str">
        <f>IF(Orders[[#This Row],[Sales]]&gt;MEDIAN(M:M), "High Price", "Low Price")</f>
        <v>High Price</v>
      </c>
      <c r="W389" t="str">
        <f>IF(Orders[[#This Row],[Quantity]]&gt;MEDIAN(E:E), "High Volume", "Low Volume")</f>
        <v>High Volume</v>
      </c>
      <c r="X389" t="str">
        <f>Orders[[#This Row],[Sales Tier]] &amp; "-" &amp; Orders[[#This Row],[Quantity Tier]]</f>
        <v>High Price-High Volume</v>
      </c>
      <c r="Y389" t="str">
        <f>TEXT(Orders[[#This Row],[Order Date]], "mmmm")</f>
        <v>December</v>
      </c>
      <c r="Z38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389" t="str">
        <f>Orders[[#This Row],[Coffee Type Name]] &amp; "-" &amp; Orders[[#This Row],[Roast Type Name]]</f>
        <v>Excelsa-Light</v>
      </c>
      <c r="AB38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390" spans="1:28" x14ac:dyDescent="0.25">
      <c r="A390" s="2" t="s">
        <v>4483</v>
      </c>
      <c r="B390" s="4">
        <v>43540</v>
      </c>
      <c r="C390" s="2" t="s">
        <v>4484</v>
      </c>
      <c r="D390" t="s">
        <v>6143</v>
      </c>
      <c r="E390" s="2">
        <v>2</v>
      </c>
      <c r="F390" s="2" t="str">
        <f>_xlfn.XLOOKUP(C390,customers!$A$1:$A$1001,customers!$B$1:$B$1001,,0)</f>
        <v>Nicolas Aiton</v>
      </c>
      <c r="G390" s="2" t="str">
        <f>IF(_xlfn.XLOOKUP(C390,customers!$A$1:$A$1001,customers!$C$1:$C$1001,,0)=0,"",_xlfn.XLOOKUP(C390,customers!$A$1:$A$1001,customers!$C$1:$C$1001,,0))</f>
        <v/>
      </c>
      <c r="H390" s="2" t="str">
        <f>_xlfn.XLOOKUP(C390,customers!$A$1:$A$1001,customers!$G$1:$G$1001,,0)</f>
        <v>Ireland</v>
      </c>
      <c r="I390" t="str">
        <f>INDEX(products!$A$1:$G$49, MATCH(orders!$D709,products!$A$1:$A756,0), MATCH(orders!I$1,products!$A$1:$G$1,0))</f>
        <v>Lib</v>
      </c>
      <c r="J390" t="str">
        <f>INDEX(products!$A$1:$G$49, MATCH(orders!$D709,products!$A$1:$A756,0), MATCH(orders!J$1,products!$A$1:$G$1,0))</f>
        <v>D</v>
      </c>
      <c r="K390" s="5">
        <f>INDEX(products!$A$1:$G$49, MATCH(orders!$D709,products!$A$1:$A756,0), MATCH(orders!K$1,products!$A$1:$G$1,0))</f>
        <v>1</v>
      </c>
      <c r="L390" s="6">
        <f>INDEX(products!$A$1:$G$49, MATCH(orders!$D709,products!$A$1:$A756,0), MATCH(orders!L$1,products!$A$1:$G$1,0))</f>
        <v>12.95</v>
      </c>
      <c r="M390" s="6">
        <f t="shared" si="18"/>
        <v>25.9</v>
      </c>
      <c r="N390" t="str">
        <f t="shared" si="19"/>
        <v>Liberica</v>
      </c>
      <c r="O390" t="str">
        <f t="shared" si="20"/>
        <v>Dark</v>
      </c>
      <c r="P390" t="str">
        <f>_xlfn.XLOOKUP(Orders[[#This Row],[Customer ID]],customers!$A$1:$A$1001,customers!$I$1:$I$1001,,0)</f>
        <v>No</v>
      </c>
      <c r="Q390">
        <f>COUNTIF(Orders[Order ID],Orders[[#This Row],[Order ID]])</f>
        <v>1</v>
      </c>
      <c r="R390" s="10">
        <f>SUMIF(Orders[Order ID], Orders[[#This Row],[Order ID]],Orders[Sales])/Orders[[#This Row],[Order Frequency]]</f>
        <v>25.9</v>
      </c>
      <c r="S390" t="str">
        <f>IF(Orders[[#This Row],[Order Frequency]]&gt;4, "More than 4", IF(AND(Orders[[#This Row],[Order Frequency]]&lt;=4,Orders[[#This Row],[Order Frequency]]&gt;=2), "Between 4 and 2", "Less than 2"))</f>
        <v>Less than 2</v>
      </c>
      <c r="T390" t="str">
        <f>IF(Orders[[#This Row],[Frequency Group]]="less than 2", "Low Value", IF(Orders[[#This Row],[Frequency Group]]="between 4 and 2", "Medium Value", "High Value"))</f>
        <v>Low Value</v>
      </c>
      <c r="U390" t="str">
        <f>IF(Orders[[#This Row],[Sales]]&lt;50, "$0-50", IF(AND(Orders[[#This Row],[Sales]]&gt;=50,Orders[[#This Row],[Sales]]&lt;=100), "$50-100", IF(AND(Orders[[#This Row],[Sales]]&gt;100,Orders[[#This Row],[Sales]]&lt;=150), "$101-150", "$150+")))</f>
        <v>$0-50</v>
      </c>
      <c r="V390" t="str">
        <f>IF(Orders[[#This Row],[Sales]]&gt;MEDIAN(M:M), "High Price", "Low Price")</f>
        <v>Low Price</v>
      </c>
      <c r="W390" t="str">
        <f>IF(Orders[[#This Row],[Quantity]]&gt;MEDIAN(E:E), "High Volume", "Low Volume")</f>
        <v>Low Volume</v>
      </c>
      <c r="X390" t="str">
        <f>Orders[[#This Row],[Sales Tier]] &amp; "-" &amp; Orders[[#This Row],[Quantity Tier]]</f>
        <v>Low Price-Low Volume</v>
      </c>
      <c r="Y390" t="str">
        <f>TEXT(Orders[[#This Row],[Order Date]], "mmmm")</f>
        <v>March</v>
      </c>
      <c r="Z39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390" t="str">
        <f>Orders[[#This Row],[Coffee Type Name]] &amp; "-" &amp; Orders[[#This Row],[Roast Type Name]]</f>
        <v>Liberica-Dark</v>
      </c>
      <c r="AB39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391" spans="1:28" x14ac:dyDescent="0.25">
      <c r="A391" s="2" t="s">
        <v>4494</v>
      </c>
      <c r="B391" s="4">
        <v>43485</v>
      </c>
      <c r="C391" s="2" t="s">
        <v>4495</v>
      </c>
      <c r="D391" t="s">
        <v>6176</v>
      </c>
      <c r="E391" s="2">
        <v>2</v>
      </c>
      <c r="F391" s="2" t="str">
        <f>_xlfn.XLOOKUP(C391,customers!$A$1:$A$1001,customers!$B$1:$B$1001,,0)</f>
        <v>Lyell Murch</v>
      </c>
      <c r="G391" s="2" t="str">
        <f>IF(_xlfn.XLOOKUP(C391,customers!$A$1:$A$1001,customers!$C$1:$C$1001,,0)=0,"",_xlfn.XLOOKUP(C391,customers!$A$1:$A$1001,customers!$C$1:$C$1001,,0))</f>
        <v/>
      </c>
      <c r="H391" s="2" t="str">
        <f>_xlfn.XLOOKUP(C391,customers!$A$1:$A$1001,customers!$G$1:$G$1001,,0)</f>
        <v>United States</v>
      </c>
      <c r="I391" t="str">
        <f>INDEX(products!$A$1:$G$49, MATCH(orders!$D711,products!$A$1:$A758,0), MATCH(orders!I$1,products!$A$1:$G$1,0))</f>
        <v>Exc</v>
      </c>
      <c r="J391" t="str">
        <f>INDEX(products!$A$1:$G$49, MATCH(orders!$D711,products!$A$1:$A758,0), MATCH(orders!J$1,products!$A$1:$G$1,0))</f>
        <v>L</v>
      </c>
      <c r="K391" s="5">
        <f>INDEX(products!$A$1:$G$49, MATCH(orders!$D711,products!$A$1:$A758,0), MATCH(orders!K$1,products!$A$1:$G$1,0))</f>
        <v>0.5</v>
      </c>
      <c r="L391" s="6">
        <f>INDEX(products!$A$1:$G$49, MATCH(orders!$D711,products!$A$1:$A758,0), MATCH(orders!L$1,products!$A$1:$G$1,0))</f>
        <v>8.91</v>
      </c>
      <c r="M391" s="6">
        <f t="shared" si="18"/>
        <v>17.82</v>
      </c>
      <c r="N391" t="str">
        <f t="shared" si="19"/>
        <v>Excelsa</v>
      </c>
      <c r="O391" t="str">
        <f t="shared" si="20"/>
        <v>Light</v>
      </c>
      <c r="P391" t="str">
        <f>_xlfn.XLOOKUP(Orders[[#This Row],[Customer ID]],customers!$A$1:$A$1001,customers!$I$1:$I$1001,,0)</f>
        <v>Yes</v>
      </c>
      <c r="Q391">
        <f>COUNTIF(Orders[Order ID],Orders[[#This Row],[Order ID]])</f>
        <v>1</v>
      </c>
      <c r="R391" s="10">
        <f>SUMIF(Orders[Order ID], Orders[[#This Row],[Order ID]],Orders[Sales])/Orders[[#This Row],[Order Frequency]]</f>
        <v>17.82</v>
      </c>
      <c r="S391" t="str">
        <f>IF(Orders[[#This Row],[Order Frequency]]&gt;4, "More than 4", IF(AND(Orders[[#This Row],[Order Frequency]]&lt;=4,Orders[[#This Row],[Order Frequency]]&gt;=2), "Between 4 and 2", "Less than 2"))</f>
        <v>Less than 2</v>
      </c>
      <c r="T391" t="str">
        <f>IF(Orders[[#This Row],[Frequency Group]]="less than 2", "Low Value", IF(Orders[[#This Row],[Frequency Group]]="between 4 and 2", "Medium Value", "High Value"))</f>
        <v>Low Value</v>
      </c>
      <c r="U391" t="str">
        <f>IF(Orders[[#This Row],[Sales]]&lt;50, "$0-50", IF(AND(Orders[[#This Row],[Sales]]&gt;=50,Orders[[#This Row],[Sales]]&lt;=100), "$50-100", IF(AND(Orders[[#This Row],[Sales]]&gt;100,Orders[[#This Row],[Sales]]&lt;=150), "$101-150", "$150+")))</f>
        <v>$0-50</v>
      </c>
      <c r="V391" t="str">
        <f>IF(Orders[[#This Row],[Sales]]&gt;MEDIAN(M:M), "High Price", "Low Price")</f>
        <v>Low Price</v>
      </c>
      <c r="W391" t="str">
        <f>IF(Orders[[#This Row],[Quantity]]&gt;MEDIAN(E:E), "High Volume", "Low Volume")</f>
        <v>Low Volume</v>
      </c>
      <c r="X391" t="str">
        <f>Orders[[#This Row],[Sales Tier]] &amp; "-" &amp; Orders[[#This Row],[Quantity Tier]]</f>
        <v>Low Price-Low Volume</v>
      </c>
      <c r="Y391" t="str">
        <f>TEXT(Orders[[#This Row],[Order Date]], "mmmm")</f>
        <v>January</v>
      </c>
      <c r="Z39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391" t="str">
        <f>Orders[[#This Row],[Coffee Type Name]] &amp; "-" &amp; Orders[[#This Row],[Roast Type Name]]</f>
        <v>Excelsa-Light</v>
      </c>
      <c r="AB39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392" spans="1:28" x14ac:dyDescent="0.25">
      <c r="A392" s="2" t="s">
        <v>4405</v>
      </c>
      <c r="B392" s="4">
        <v>44012</v>
      </c>
      <c r="C392" s="2" t="s">
        <v>4406</v>
      </c>
      <c r="D392" t="s">
        <v>6175</v>
      </c>
      <c r="E392" s="2">
        <v>2</v>
      </c>
      <c r="F392" s="2" t="str">
        <f>_xlfn.XLOOKUP(C392,customers!$A$1:$A$1001,customers!$B$1:$B$1001,,0)</f>
        <v>Elden Andriessen</v>
      </c>
      <c r="G392" s="2" t="str">
        <f>IF(_xlfn.XLOOKUP(C392,customers!$A$1:$A$1001,customers!$C$1:$C$1001,,0)=0,"",_xlfn.XLOOKUP(C392,customers!$A$1:$A$1001,customers!$C$1:$C$1001,,0))</f>
        <v>eandriessenj9@europa.eu</v>
      </c>
      <c r="H392" s="2" t="str">
        <f>_xlfn.XLOOKUP(C392,customers!$A$1:$A$1001,customers!$G$1:$G$1001,,0)</f>
        <v>United States</v>
      </c>
      <c r="I392" t="str">
        <f>INDEX(products!$A$1:$G$49, MATCH(orders!$D695,products!$A$1:$A742,0), MATCH(orders!I$1,products!$A$1:$G$1,0))</f>
        <v>Ara</v>
      </c>
      <c r="J392" t="str">
        <f>INDEX(products!$A$1:$G$49, MATCH(orders!$D695,products!$A$1:$A742,0), MATCH(orders!J$1,products!$A$1:$G$1,0))</f>
        <v>M</v>
      </c>
      <c r="K392" s="5">
        <f>INDEX(products!$A$1:$G$49, MATCH(orders!$D695,products!$A$1:$A742,0), MATCH(orders!K$1,products!$A$1:$G$1,0))</f>
        <v>2.5</v>
      </c>
      <c r="L392" s="6">
        <f>INDEX(products!$A$1:$G$49, MATCH(orders!$D695,products!$A$1:$A742,0), MATCH(orders!L$1,products!$A$1:$G$1,0))</f>
        <v>25.874999999999996</v>
      </c>
      <c r="M392" s="6">
        <f t="shared" si="18"/>
        <v>51.749999999999993</v>
      </c>
      <c r="N392" t="str">
        <f t="shared" si="19"/>
        <v>Arabica</v>
      </c>
      <c r="O392" t="str">
        <f t="shared" si="20"/>
        <v>Medium</v>
      </c>
      <c r="P392" t="str">
        <f>_xlfn.XLOOKUP(Orders[[#This Row],[Customer ID]],customers!$A$1:$A$1001,customers!$I$1:$I$1001,,0)</f>
        <v>Yes</v>
      </c>
      <c r="Q392">
        <f>COUNTIF(Orders[Order ID],Orders[[#This Row],[Order ID]])</f>
        <v>1</v>
      </c>
      <c r="R392" s="10">
        <f>SUMIF(Orders[Order ID], Orders[[#This Row],[Order ID]],Orders[Sales])/Orders[[#This Row],[Order Frequency]]</f>
        <v>51.749999999999993</v>
      </c>
      <c r="S392" t="str">
        <f>IF(Orders[[#This Row],[Order Frequency]]&gt;4, "More than 4", IF(AND(Orders[[#This Row],[Order Frequency]]&lt;=4,Orders[[#This Row],[Order Frequency]]&gt;=2), "Between 4 and 2", "Less than 2"))</f>
        <v>Less than 2</v>
      </c>
      <c r="T392" t="str">
        <f>IF(Orders[[#This Row],[Frequency Group]]="less than 2", "Low Value", IF(Orders[[#This Row],[Frequency Group]]="between 4 and 2", "Medium Value", "High Value"))</f>
        <v>Low Value</v>
      </c>
      <c r="U392" t="str">
        <f>IF(Orders[[#This Row],[Sales]]&lt;50, "$0-50", IF(AND(Orders[[#This Row],[Sales]]&gt;=50,Orders[[#This Row],[Sales]]&lt;=100), "$50-100", IF(AND(Orders[[#This Row],[Sales]]&gt;100,Orders[[#This Row],[Sales]]&lt;=150), "$101-150", "$150+")))</f>
        <v>$50-100</v>
      </c>
      <c r="V392" t="str">
        <f>IF(Orders[[#This Row],[Sales]]&gt;MEDIAN(M:M), "High Price", "Low Price")</f>
        <v>High Price</v>
      </c>
      <c r="W392" t="str">
        <f>IF(Orders[[#This Row],[Quantity]]&gt;MEDIAN(E:E), "High Volume", "Low Volume")</f>
        <v>Low Volume</v>
      </c>
      <c r="X392" t="str">
        <f>Orders[[#This Row],[Sales Tier]] &amp; "-" &amp; Orders[[#This Row],[Quantity Tier]]</f>
        <v>High Price-Low Volume</v>
      </c>
      <c r="Y392" t="str">
        <f>TEXT(Orders[[#This Row],[Order Date]], "mmmm")</f>
        <v>June</v>
      </c>
      <c r="Z39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392" t="str">
        <f>Orders[[#This Row],[Coffee Type Name]] &amp; "-" &amp; Orders[[#This Row],[Roast Type Name]]</f>
        <v>Arabica-Medium</v>
      </c>
      <c r="AB39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393" spans="1:28" x14ac:dyDescent="0.25">
      <c r="A393" s="2" t="s">
        <v>3130</v>
      </c>
      <c r="B393" s="4">
        <v>44536</v>
      </c>
      <c r="C393" s="2" t="s">
        <v>3131</v>
      </c>
      <c r="D393" t="s">
        <v>6158</v>
      </c>
      <c r="E393" s="2">
        <v>1</v>
      </c>
      <c r="F393" s="2" t="str">
        <f>_xlfn.XLOOKUP(C393,customers!$A$1:$A$1001,customers!$B$1:$B$1001,,0)</f>
        <v>Rhona Lequeux</v>
      </c>
      <c r="G393" s="2" t="str">
        <f>IF(_xlfn.XLOOKUP(C393,customers!$A$1:$A$1001,customers!$C$1:$C$1001,,0)=0,"",_xlfn.XLOOKUP(C393,customers!$A$1:$A$1001,customers!$C$1:$C$1001,,0))</f>
        <v>rlequeuxcz@newyorker.com</v>
      </c>
      <c r="H393" s="2" t="str">
        <f>_xlfn.XLOOKUP(C393,customers!$A$1:$A$1001,customers!$G$1:$G$1001,,0)</f>
        <v>United States</v>
      </c>
      <c r="I393" t="str">
        <f>INDEX(products!$A$1:$G$49, MATCH(orders!$D469,products!$A$1:$A516,0), MATCH(orders!I$1,products!$A$1:$G$1,0))</f>
        <v>Ara</v>
      </c>
      <c r="J393" t="str">
        <f>INDEX(products!$A$1:$G$49, MATCH(orders!$D469,products!$A$1:$A516,0), MATCH(orders!J$1,products!$A$1:$G$1,0))</f>
        <v>D</v>
      </c>
      <c r="K393" s="5">
        <f>INDEX(products!$A$1:$G$49, MATCH(orders!$D469,products!$A$1:$A516,0), MATCH(orders!K$1,products!$A$1:$G$1,0))</f>
        <v>0.5</v>
      </c>
      <c r="L393" s="6">
        <f>INDEX(products!$A$1:$G$49, MATCH(orders!$D469,products!$A$1:$A516,0), MATCH(orders!L$1,products!$A$1:$G$1,0))</f>
        <v>5.97</v>
      </c>
      <c r="M393" s="6">
        <f t="shared" si="18"/>
        <v>5.97</v>
      </c>
      <c r="N393" t="str">
        <f t="shared" si="19"/>
        <v>Arabica</v>
      </c>
      <c r="O393" t="str">
        <f t="shared" si="20"/>
        <v>Dark</v>
      </c>
      <c r="P393" t="str">
        <f>_xlfn.XLOOKUP(Orders[[#This Row],[Customer ID]],customers!$A$1:$A$1001,customers!$I$1:$I$1001,,0)</f>
        <v>No</v>
      </c>
      <c r="Q393">
        <f>COUNTIF(Orders[Order ID],Orders[[#This Row],[Order ID]])</f>
        <v>1</v>
      </c>
      <c r="R393" s="10">
        <f>SUMIF(Orders[Order ID], Orders[[#This Row],[Order ID]],Orders[Sales])/Orders[[#This Row],[Order Frequency]]</f>
        <v>5.97</v>
      </c>
      <c r="S393" t="str">
        <f>IF(Orders[[#This Row],[Order Frequency]]&gt;4, "More than 4", IF(AND(Orders[[#This Row],[Order Frequency]]&lt;=4,Orders[[#This Row],[Order Frequency]]&gt;=2), "Between 4 and 2", "Less than 2"))</f>
        <v>Less than 2</v>
      </c>
      <c r="T393" t="str">
        <f>IF(Orders[[#This Row],[Frequency Group]]="less than 2", "Low Value", IF(Orders[[#This Row],[Frequency Group]]="between 4 and 2", "Medium Value", "High Value"))</f>
        <v>Low Value</v>
      </c>
      <c r="U393" t="str">
        <f>IF(Orders[[#This Row],[Sales]]&lt;50, "$0-50", IF(AND(Orders[[#This Row],[Sales]]&gt;=50,Orders[[#This Row],[Sales]]&lt;=100), "$50-100", IF(AND(Orders[[#This Row],[Sales]]&gt;100,Orders[[#This Row],[Sales]]&lt;=150), "$101-150", "$150+")))</f>
        <v>$0-50</v>
      </c>
      <c r="V393" t="str">
        <f>IF(Orders[[#This Row],[Sales]]&gt;MEDIAN(M:M), "High Price", "Low Price")</f>
        <v>Low Price</v>
      </c>
      <c r="W393" t="str">
        <f>IF(Orders[[#This Row],[Quantity]]&gt;MEDIAN(E:E), "High Volume", "Low Volume")</f>
        <v>Low Volume</v>
      </c>
      <c r="X393" t="str">
        <f>Orders[[#This Row],[Sales Tier]] &amp; "-" &amp; Orders[[#This Row],[Quantity Tier]]</f>
        <v>Low Price-Low Volume</v>
      </c>
      <c r="Y393" t="str">
        <f>TEXT(Orders[[#This Row],[Order Date]], "mmmm")</f>
        <v>December</v>
      </c>
      <c r="Z39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393" t="str">
        <f>Orders[[#This Row],[Coffee Type Name]] &amp; "-" &amp; Orders[[#This Row],[Roast Type Name]]</f>
        <v>Arabica-Dark</v>
      </c>
      <c r="AB39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394" spans="1:28" x14ac:dyDescent="0.25">
      <c r="A394" s="2" t="s">
        <v>5050</v>
      </c>
      <c r="B394" s="4">
        <v>44543</v>
      </c>
      <c r="C394" s="2" t="s">
        <v>5051</v>
      </c>
      <c r="D394" t="s">
        <v>6169</v>
      </c>
      <c r="E394" s="2">
        <v>3</v>
      </c>
      <c r="F394" s="2" t="str">
        <f>_xlfn.XLOOKUP(C394,customers!$A$1:$A$1001,customers!$B$1:$B$1001,,0)</f>
        <v>Koren Ferretti</v>
      </c>
      <c r="G394" s="2" t="str">
        <f>IF(_xlfn.XLOOKUP(C394,customers!$A$1:$A$1001,customers!$C$1:$C$1001,,0)=0,"",_xlfn.XLOOKUP(C394,customers!$A$1:$A$1001,customers!$C$1:$C$1001,,0))</f>
        <v>kferrettimf@huffingtonpost.com</v>
      </c>
      <c r="H394" s="2" t="str">
        <f>_xlfn.XLOOKUP(C394,customers!$A$1:$A$1001,customers!$G$1:$G$1001,,0)</f>
        <v>Ireland</v>
      </c>
      <c r="I394" t="str">
        <f>INDEX(products!$A$1:$G$49, MATCH(orders!$D809,products!$A$1:$A856,0), MATCH(orders!I$1,products!$A$1:$G$1,0))</f>
        <v>Lib</v>
      </c>
      <c r="J394" t="str">
        <f>INDEX(products!$A$1:$G$49, MATCH(orders!$D809,products!$A$1:$A856,0), MATCH(orders!J$1,products!$A$1:$G$1,0))</f>
        <v>D</v>
      </c>
      <c r="K394" s="5">
        <f>INDEX(products!$A$1:$G$49, MATCH(orders!$D809,products!$A$1:$A856,0), MATCH(orders!K$1,products!$A$1:$G$1,0))</f>
        <v>0.5</v>
      </c>
      <c r="L394" s="6">
        <f>INDEX(products!$A$1:$G$49, MATCH(orders!$D809,products!$A$1:$A856,0), MATCH(orders!L$1,products!$A$1:$G$1,0))</f>
        <v>7.77</v>
      </c>
      <c r="M394" s="6">
        <f t="shared" si="18"/>
        <v>23.31</v>
      </c>
      <c r="N394" t="str">
        <f t="shared" si="19"/>
        <v>Liberica</v>
      </c>
      <c r="O394" t="str">
        <f t="shared" si="20"/>
        <v>Dark</v>
      </c>
      <c r="P394" t="str">
        <f>_xlfn.XLOOKUP(Orders[[#This Row],[Customer ID]],customers!$A$1:$A$1001,customers!$I$1:$I$1001,,0)</f>
        <v>No</v>
      </c>
      <c r="Q394">
        <f>COUNTIF(Orders[Order ID],Orders[[#This Row],[Order ID]])</f>
        <v>1</v>
      </c>
      <c r="R394" s="10">
        <f>SUMIF(Orders[Order ID], Orders[[#This Row],[Order ID]],Orders[Sales])/Orders[[#This Row],[Order Frequency]]</f>
        <v>23.31</v>
      </c>
      <c r="S394" t="str">
        <f>IF(Orders[[#This Row],[Order Frequency]]&gt;4, "More than 4", IF(AND(Orders[[#This Row],[Order Frequency]]&lt;=4,Orders[[#This Row],[Order Frequency]]&gt;=2), "Between 4 and 2", "Less than 2"))</f>
        <v>Less than 2</v>
      </c>
      <c r="T394" t="str">
        <f>IF(Orders[[#This Row],[Frequency Group]]="less than 2", "Low Value", IF(Orders[[#This Row],[Frequency Group]]="between 4 and 2", "Medium Value", "High Value"))</f>
        <v>Low Value</v>
      </c>
      <c r="U394" t="str">
        <f>IF(Orders[[#This Row],[Sales]]&lt;50, "$0-50", IF(AND(Orders[[#This Row],[Sales]]&gt;=50,Orders[[#This Row],[Sales]]&lt;=100), "$50-100", IF(AND(Orders[[#This Row],[Sales]]&gt;100,Orders[[#This Row],[Sales]]&lt;=150), "$101-150", "$150+")))</f>
        <v>$0-50</v>
      </c>
      <c r="V394" t="str">
        <f>IF(Orders[[#This Row],[Sales]]&gt;MEDIAN(M:M), "High Price", "Low Price")</f>
        <v>Low Price</v>
      </c>
      <c r="W394" t="str">
        <f>IF(Orders[[#This Row],[Quantity]]&gt;MEDIAN(E:E), "High Volume", "Low Volume")</f>
        <v>Low Volume</v>
      </c>
      <c r="X394" t="str">
        <f>Orders[[#This Row],[Sales Tier]] &amp; "-" &amp; Orders[[#This Row],[Quantity Tier]]</f>
        <v>Low Price-Low Volume</v>
      </c>
      <c r="Y394" t="str">
        <f>TEXT(Orders[[#This Row],[Order Date]], "mmmm")</f>
        <v>December</v>
      </c>
      <c r="Z39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394" t="str">
        <f>Orders[[#This Row],[Coffee Type Name]] &amp; "-" &amp; Orders[[#This Row],[Roast Type Name]]</f>
        <v>Liberica-Dark</v>
      </c>
      <c r="AB39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395" spans="1:28" x14ac:dyDescent="0.25">
      <c r="A395" s="2" t="s">
        <v>5705</v>
      </c>
      <c r="B395" s="4">
        <v>44659</v>
      </c>
      <c r="C395" s="2" t="s">
        <v>5706</v>
      </c>
      <c r="D395" t="s">
        <v>6155</v>
      </c>
      <c r="E395" s="2">
        <v>6</v>
      </c>
      <c r="F395" s="2" t="str">
        <f>_xlfn.XLOOKUP(C395,customers!$A$1:$A$1001,customers!$B$1:$B$1001,,0)</f>
        <v>Charin Maplethorp</v>
      </c>
      <c r="G395" s="2" t="str">
        <f>IF(_xlfn.XLOOKUP(C395,customers!$A$1:$A$1001,customers!$C$1:$C$1001,,0)=0,"",_xlfn.XLOOKUP(C395,customers!$A$1:$A$1001,customers!$C$1:$C$1001,,0))</f>
        <v/>
      </c>
      <c r="H395" s="2" t="str">
        <f>_xlfn.XLOOKUP(C395,customers!$A$1:$A$1001,customers!$G$1:$G$1001,,0)</f>
        <v>United States</v>
      </c>
      <c r="I395" t="str">
        <f>INDEX(products!$A$1:$G$49, MATCH(orders!$D924,products!$A$1:$A971,0), MATCH(orders!I$1,products!$A$1:$G$1,0))</f>
        <v>Ara</v>
      </c>
      <c r="J395" t="str">
        <f>INDEX(products!$A$1:$G$49, MATCH(orders!$D924,products!$A$1:$A971,0), MATCH(orders!J$1,products!$A$1:$G$1,0))</f>
        <v>M</v>
      </c>
      <c r="K395" s="5">
        <f>INDEX(products!$A$1:$G$49, MATCH(orders!$D924,products!$A$1:$A971,0), MATCH(orders!K$1,products!$A$1:$G$1,0))</f>
        <v>1</v>
      </c>
      <c r="L395" s="6">
        <f>INDEX(products!$A$1:$G$49, MATCH(orders!$D924,products!$A$1:$A971,0), MATCH(orders!L$1,products!$A$1:$G$1,0))</f>
        <v>11.25</v>
      </c>
      <c r="M395" s="6">
        <f t="shared" si="18"/>
        <v>67.5</v>
      </c>
      <c r="N395" t="str">
        <f t="shared" si="19"/>
        <v>Arabica</v>
      </c>
      <c r="O395" t="str">
        <f t="shared" si="20"/>
        <v>Medium</v>
      </c>
      <c r="P395" t="str">
        <f>_xlfn.XLOOKUP(Orders[[#This Row],[Customer ID]],customers!$A$1:$A$1001,customers!$I$1:$I$1001,,0)</f>
        <v>Yes</v>
      </c>
      <c r="Q395">
        <f>COUNTIF(Orders[Order ID],Orders[[#This Row],[Order ID]])</f>
        <v>1</v>
      </c>
      <c r="R395" s="10">
        <f>SUMIF(Orders[Order ID], Orders[[#This Row],[Order ID]],Orders[Sales])/Orders[[#This Row],[Order Frequency]]</f>
        <v>67.5</v>
      </c>
      <c r="S395" t="str">
        <f>IF(Orders[[#This Row],[Order Frequency]]&gt;4, "More than 4", IF(AND(Orders[[#This Row],[Order Frequency]]&lt;=4,Orders[[#This Row],[Order Frequency]]&gt;=2), "Between 4 and 2", "Less than 2"))</f>
        <v>Less than 2</v>
      </c>
      <c r="T395" t="str">
        <f>IF(Orders[[#This Row],[Frequency Group]]="less than 2", "Low Value", IF(Orders[[#This Row],[Frequency Group]]="between 4 and 2", "Medium Value", "High Value"))</f>
        <v>Low Value</v>
      </c>
      <c r="U395" t="str">
        <f>IF(Orders[[#This Row],[Sales]]&lt;50, "$0-50", IF(AND(Orders[[#This Row],[Sales]]&gt;=50,Orders[[#This Row],[Sales]]&lt;=100), "$50-100", IF(AND(Orders[[#This Row],[Sales]]&gt;100,Orders[[#This Row],[Sales]]&lt;=150), "$101-150", "$150+")))</f>
        <v>$50-100</v>
      </c>
      <c r="V395" t="str">
        <f>IF(Orders[[#This Row],[Sales]]&gt;MEDIAN(M:M), "High Price", "Low Price")</f>
        <v>High Price</v>
      </c>
      <c r="W395" t="str">
        <f>IF(Orders[[#This Row],[Quantity]]&gt;MEDIAN(E:E), "High Volume", "Low Volume")</f>
        <v>High Volume</v>
      </c>
      <c r="X395" t="str">
        <f>Orders[[#This Row],[Sales Tier]] &amp; "-" &amp; Orders[[#This Row],[Quantity Tier]]</f>
        <v>High Price-High Volume</v>
      </c>
      <c r="Y395" t="str">
        <f>TEXT(Orders[[#This Row],[Order Date]], "mmmm")</f>
        <v>April</v>
      </c>
      <c r="Z39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395" t="str">
        <f>Orders[[#This Row],[Coffee Type Name]] &amp; "-" &amp; Orders[[#This Row],[Roast Type Name]]</f>
        <v>Arabica-Medium</v>
      </c>
      <c r="AB39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396" spans="1:28" x14ac:dyDescent="0.25">
      <c r="A396" s="2" t="s">
        <v>5073</v>
      </c>
      <c r="B396" s="4">
        <v>44114</v>
      </c>
      <c r="C396" s="2" t="s">
        <v>5074</v>
      </c>
      <c r="D396" t="s">
        <v>6155</v>
      </c>
      <c r="E396" s="2">
        <v>6</v>
      </c>
      <c r="F396" s="2" t="str">
        <f>_xlfn.XLOOKUP(C396,customers!$A$1:$A$1001,customers!$B$1:$B$1001,,0)</f>
        <v>Brice Romera</v>
      </c>
      <c r="G396" s="2" t="str">
        <f>IF(_xlfn.XLOOKUP(C396,customers!$A$1:$A$1001,customers!$C$1:$C$1001,,0)=0,"",_xlfn.XLOOKUP(C396,customers!$A$1:$A$1001,customers!$C$1:$C$1001,,0))</f>
        <v>bromeramj@list-manage.com</v>
      </c>
      <c r="H396" s="2" t="str">
        <f>_xlfn.XLOOKUP(C396,customers!$A$1:$A$1001,customers!$G$1:$G$1001,,0)</f>
        <v>Ireland</v>
      </c>
      <c r="I396" t="str">
        <f>INDEX(products!$A$1:$G$49, MATCH(orders!$D813,products!$A$1:$A860,0), MATCH(orders!I$1,products!$A$1:$G$1,0))</f>
        <v>Ara</v>
      </c>
      <c r="J396" t="str">
        <f>INDEX(products!$A$1:$G$49, MATCH(orders!$D813,products!$A$1:$A860,0), MATCH(orders!J$1,products!$A$1:$G$1,0))</f>
        <v>M</v>
      </c>
      <c r="K396" s="5">
        <f>INDEX(products!$A$1:$G$49, MATCH(orders!$D813,products!$A$1:$A860,0), MATCH(orders!K$1,products!$A$1:$G$1,0))</f>
        <v>1</v>
      </c>
      <c r="L396" s="6">
        <f>INDEX(products!$A$1:$G$49, MATCH(orders!$D813,products!$A$1:$A860,0), MATCH(orders!L$1,products!$A$1:$G$1,0))</f>
        <v>11.25</v>
      </c>
      <c r="M396" s="6">
        <f t="shared" si="18"/>
        <v>67.5</v>
      </c>
      <c r="N396" t="str">
        <f t="shared" si="19"/>
        <v>Arabica</v>
      </c>
      <c r="O396" t="str">
        <f t="shared" si="20"/>
        <v>Medium</v>
      </c>
      <c r="P396" t="str">
        <f>_xlfn.XLOOKUP(Orders[[#This Row],[Customer ID]],customers!$A$1:$A$1001,customers!$I$1:$I$1001,,0)</f>
        <v>Yes</v>
      </c>
      <c r="Q396">
        <f>COUNTIF(Orders[Order ID],Orders[[#This Row],[Order ID]])</f>
        <v>2</v>
      </c>
      <c r="R396" s="10">
        <f>SUMIF(Orders[Order ID], Orders[[#This Row],[Order ID]],Orders[Sales])/Orders[[#This Row],[Order Frequency]]</f>
        <v>123.10499999999999</v>
      </c>
      <c r="S396" t="str">
        <f>IF(Orders[[#This Row],[Order Frequency]]&gt;4, "More than 4", IF(AND(Orders[[#This Row],[Order Frequency]]&lt;=4,Orders[[#This Row],[Order Frequency]]&gt;=2), "Between 4 and 2", "Less than 2"))</f>
        <v>Between 4 and 2</v>
      </c>
      <c r="T396" t="str">
        <f>IF(Orders[[#This Row],[Frequency Group]]="less than 2", "Low Value", IF(Orders[[#This Row],[Frequency Group]]="between 4 and 2", "Medium Value", "High Value"))</f>
        <v>Medium Value</v>
      </c>
      <c r="U396" t="str">
        <f>IF(Orders[[#This Row],[Sales]]&lt;50, "$0-50", IF(AND(Orders[[#This Row],[Sales]]&gt;=50,Orders[[#This Row],[Sales]]&lt;=100), "$50-100", IF(AND(Orders[[#This Row],[Sales]]&gt;100,Orders[[#This Row],[Sales]]&lt;=150), "$101-150", "$150+")))</f>
        <v>$50-100</v>
      </c>
      <c r="V396" t="str">
        <f>IF(Orders[[#This Row],[Sales]]&gt;MEDIAN(M:M), "High Price", "Low Price")</f>
        <v>High Price</v>
      </c>
      <c r="W396" t="str">
        <f>IF(Orders[[#This Row],[Quantity]]&gt;MEDIAN(E:E), "High Volume", "Low Volume")</f>
        <v>High Volume</v>
      </c>
      <c r="X396" t="str">
        <f>Orders[[#This Row],[Sales Tier]] &amp; "-" &amp; Orders[[#This Row],[Quantity Tier]]</f>
        <v>High Price-High Volume</v>
      </c>
      <c r="Y396" t="str">
        <f>TEXT(Orders[[#This Row],[Order Date]], "mmmm")</f>
        <v>October</v>
      </c>
      <c r="Z39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396" t="str">
        <f>Orders[[#This Row],[Coffee Type Name]] &amp; "-" &amp; Orders[[#This Row],[Roast Type Name]]</f>
        <v>Arabica-Medium</v>
      </c>
      <c r="AB39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397" spans="1:28" x14ac:dyDescent="0.25">
      <c r="A397" s="2" t="s">
        <v>5073</v>
      </c>
      <c r="B397" s="4">
        <v>44114</v>
      </c>
      <c r="C397" s="2" t="s">
        <v>5074</v>
      </c>
      <c r="D397" t="s">
        <v>6165</v>
      </c>
      <c r="E397" s="2">
        <v>6</v>
      </c>
      <c r="F397" s="2" t="str">
        <f>_xlfn.XLOOKUP(C397,customers!$A$1:$A$1001,customers!$B$1:$B$1001,,0)</f>
        <v>Brice Romera</v>
      </c>
      <c r="G397" s="2" t="str">
        <f>IF(_xlfn.XLOOKUP(C397,customers!$A$1:$A$1001,customers!$C$1:$C$1001,,0)=0,"",_xlfn.XLOOKUP(C397,customers!$A$1:$A$1001,customers!$C$1:$C$1001,,0))</f>
        <v>bromeramj@list-manage.com</v>
      </c>
      <c r="H397" s="2" t="str">
        <f>_xlfn.XLOOKUP(C397,customers!$A$1:$A$1001,customers!$G$1:$G$1001,,0)</f>
        <v>Ireland</v>
      </c>
      <c r="I397" t="str">
        <f>INDEX(products!$A$1:$G$49, MATCH(orders!$D814,products!$A$1:$A861,0), MATCH(orders!I$1,products!$A$1:$G$1,0))</f>
        <v>Lib</v>
      </c>
      <c r="J397" t="str">
        <f>INDEX(products!$A$1:$G$49, MATCH(orders!$D814,products!$A$1:$A861,0), MATCH(orders!J$1,products!$A$1:$G$1,0))</f>
        <v>D</v>
      </c>
      <c r="K397" s="5">
        <f>INDEX(products!$A$1:$G$49, MATCH(orders!$D814,products!$A$1:$A861,0), MATCH(orders!K$1,products!$A$1:$G$1,0))</f>
        <v>2.5</v>
      </c>
      <c r="L397" s="6">
        <f>INDEX(products!$A$1:$G$49, MATCH(orders!$D814,products!$A$1:$A861,0), MATCH(orders!L$1,products!$A$1:$G$1,0))</f>
        <v>29.784999999999997</v>
      </c>
      <c r="M397" s="6">
        <f t="shared" si="18"/>
        <v>178.70999999999998</v>
      </c>
      <c r="N397" t="str">
        <f t="shared" si="19"/>
        <v>Liberica</v>
      </c>
      <c r="O397" t="str">
        <f t="shared" si="20"/>
        <v>Dark</v>
      </c>
      <c r="P397" t="str">
        <f>_xlfn.XLOOKUP(Orders[[#This Row],[Customer ID]],customers!$A$1:$A$1001,customers!$I$1:$I$1001,,0)</f>
        <v>Yes</v>
      </c>
      <c r="Q397">
        <f>COUNTIF(Orders[Order ID],Orders[[#This Row],[Order ID]])</f>
        <v>2</v>
      </c>
      <c r="R397" s="10">
        <f>SUMIF(Orders[Order ID], Orders[[#This Row],[Order ID]],Orders[Sales])/Orders[[#This Row],[Order Frequency]]</f>
        <v>123.10499999999999</v>
      </c>
      <c r="S397" t="str">
        <f>IF(Orders[[#This Row],[Order Frequency]]&gt;4, "More than 4", IF(AND(Orders[[#This Row],[Order Frequency]]&lt;=4,Orders[[#This Row],[Order Frequency]]&gt;=2), "Between 4 and 2", "Less than 2"))</f>
        <v>Between 4 and 2</v>
      </c>
      <c r="T397" t="str">
        <f>IF(Orders[[#This Row],[Frequency Group]]="less than 2", "Low Value", IF(Orders[[#This Row],[Frequency Group]]="between 4 and 2", "Medium Value", "High Value"))</f>
        <v>Medium Value</v>
      </c>
      <c r="U397" t="str">
        <f>IF(Orders[[#This Row],[Sales]]&lt;50, "$0-50", IF(AND(Orders[[#This Row],[Sales]]&gt;=50,Orders[[#This Row],[Sales]]&lt;=100), "$50-100", IF(AND(Orders[[#This Row],[Sales]]&gt;100,Orders[[#This Row],[Sales]]&lt;=150), "$101-150", "$150+")))</f>
        <v>$150+</v>
      </c>
      <c r="V397" t="str">
        <f>IF(Orders[[#This Row],[Sales]]&gt;MEDIAN(M:M), "High Price", "Low Price")</f>
        <v>High Price</v>
      </c>
      <c r="W397" t="str">
        <f>IF(Orders[[#This Row],[Quantity]]&gt;MEDIAN(E:E), "High Volume", "Low Volume")</f>
        <v>High Volume</v>
      </c>
      <c r="X397" t="str">
        <f>Orders[[#This Row],[Sales Tier]] &amp; "-" &amp; Orders[[#This Row],[Quantity Tier]]</f>
        <v>High Price-High Volume</v>
      </c>
      <c r="Y397" t="str">
        <f>TEXT(Orders[[#This Row],[Order Date]], "mmmm")</f>
        <v>October</v>
      </c>
      <c r="Z39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397" t="str">
        <f>Orders[[#This Row],[Coffee Type Name]] &amp; "-" &amp; Orders[[#This Row],[Roast Type Name]]</f>
        <v>Liberica-Dark</v>
      </c>
      <c r="AB39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398" spans="1:28" x14ac:dyDescent="0.25">
      <c r="A398" s="2" t="s">
        <v>4758</v>
      </c>
      <c r="B398" s="4">
        <v>44397</v>
      </c>
      <c r="C398" s="2" t="s">
        <v>4759</v>
      </c>
      <c r="D398" t="s">
        <v>6145</v>
      </c>
      <c r="E398" s="2">
        <v>6</v>
      </c>
      <c r="F398" s="2" t="str">
        <f>_xlfn.XLOOKUP(C398,customers!$A$1:$A$1001,customers!$B$1:$B$1001,,0)</f>
        <v>Foster Constance</v>
      </c>
      <c r="G398" s="2" t="str">
        <f>IF(_xlfn.XLOOKUP(C398,customers!$A$1:$A$1001,customers!$C$1:$C$1001,,0)=0,"",_xlfn.XLOOKUP(C398,customers!$A$1:$A$1001,customers!$C$1:$C$1001,,0))</f>
        <v>fconstancekz@ifeng.com</v>
      </c>
      <c r="H398" s="2" t="str">
        <f>_xlfn.XLOOKUP(C398,customers!$A$1:$A$1001,customers!$G$1:$G$1001,,0)</f>
        <v>United States</v>
      </c>
      <c r="I398" t="str">
        <f>INDEX(products!$A$1:$G$49, MATCH(orders!$D757,products!$A$1:$A804,0), MATCH(orders!I$1,products!$A$1:$G$1,0))</f>
        <v>Lib</v>
      </c>
      <c r="J398" t="str">
        <f>INDEX(products!$A$1:$G$49, MATCH(orders!$D757,products!$A$1:$A804,0), MATCH(orders!J$1,products!$A$1:$G$1,0))</f>
        <v>L</v>
      </c>
      <c r="K398" s="5">
        <f>INDEX(products!$A$1:$G$49, MATCH(orders!$D757,products!$A$1:$A804,0), MATCH(orders!K$1,products!$A$1:$G$1,0))</f>
        <v>0.2</v>
      </c>
      <c r="L398" s="6">
        <f>INDEX(products!$A$1:$G$49, MATCH(orders!$D757,products!$A$1:$A804,0), MATCH(orders!L$1,products!$A$1:$G$1,0))</f>
        <v>4.7549999999999999</v>
      </c>
      <c r="M398" s="6">
        <f t="shared" si="18"/>
        <v>28.53</v>
      </c>
      <c r="N398" t="str">
        <f t="shared" si="19"/>
        <v>Liberica</v>
      </c>
      <c r="O398" t="str">
        <f t="shared" si="20"/>
        <v>Light</v>
      </c>
      <c r="P398" t="str">
        <f>_xlfn.XLOOKUP(Orders[[#This Row],[Customer ID]],customers!$A$1:$A$1001,customers!$I$1:$I$1001,,0)</f>
        <v>No</v>
      </c>
      <c r="Q398">
        <f>COUNTIF(Orders[Order ID],Orders[[#This Row],[Order ID]])</f>
        <v>1</v>
      </c>
      <c r="R398" s="10">
        <f>SUMIF(Orders[Order ID], Orders[[#This Row],[Order ID]],Orders[Sales])/Orders[[#This Row],[Order Frequency]]</f>
        <v>28.53</v>
      </c>
      <c r="S398" t="str">
        <f>IF(Orders[[#This Row],[Order Frequency]]&gt;4, "More than 4", IF(AND(Orders[[#This Row],[Order Frequency]]&lt;=4,Orders[[#This Row],[Order Frequency]]&gt;=2), "Between 4 and 2", "Less than 2"))</f>
        <v>Less than 2</v>
      </c>
      <c r="T398" t="str">
        <f>IF(Orders[[#This Row],[Frequency Group]]="less than 2", "Low Value", IF(Orders[[#This Row],[Frequency Group]]="between 4 and 2", "Medium Value", "High Value"))</f>
        <v>Low Value</v>
      </c>
      <c r="U398" t="str">
        <f>IF(Orders[[#This Row],[Sales]]&lt;50, "$0-50", IF(AND(Orders[[#This Row],[Sales]]&gt;=50,Orders[[#This Row],[Sales]]&lt;=100), "$50-100", IF(AND(Orders[[#This Row],[Sales]]&gt;100,Orders[[#This Row],[Sales]]&lt;=150), "$101-150", "$150+")))</f>
        <v>$0-50</v>
      </c>
      <c r="V398" t="str">
        <f>IF(Orders[[#This Row],[Sales]]&gt;MEDIAN(M:M), "High Price", "Low Price")</f>
        <v>Low Price</v>
      </c>
      <c r="W398" t="str">
        <f>IF(Orders[[#This Row],[Quantity]]&gt;MEDIAN(E:E), "High Volume", "Low Volume")</f>
        <v>High Volume</v>
      </c>
      <c r="X398" t="str">
        <f>Orders[[#This Row],[Sales Tier]] &amp; "-" &amp; Orders[[#This Row],[Quantity Tier]]</f>
        <v>Low Price-High Volume</v>
      </c>
      <c r="Y398" t="str">
        <f>TEXT(Orders[[#This Row],[Order Date]], "mmmm")</f>
        <v>July</v>
      </c>
      <c r="Z39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398" t="str">
        <f>Orders[[#This Row],[Coffee Type Name]] &amp; "-" &amp; Orders[[#This Row],[Roast Type Name]]</f>
        <v>Liberica-Light</v>
      </c>
      <c r="AB39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399" spans="1:28" x14ac:dyDescent="0.25">
      <c r="A399" s="2" t="s">
        <v>1986</v>
      </c>
      <c r="B399" s="4">
        <v>43872</v>
      </c>
      <c r="C399" s="2" t="s">
        <v>1987</v>
      </c>
      <c r="D399" t="s">
        <v>6158</v>
      </c>
      <c r="E399" s="2">
        <v>1</v>
      </c>
      <c r="F399" s="2" t="str">
        <f>_xlfn.XLOOKUP(C399,customers!$A$1:$A$1001,customers!$B$1:$B$1001,,0)</f>
        <v>Violette Hellmore</v>
      </c>
      <c r="G399" s="2" t="str">
        <f>IF(_xlfn.XLOOKUP(C399,customers!$A$1:$A$1001,customers!$C$1:$C$1001,,0)=0,"",_xlfn.XLOOKUP(C399,customers!$A$1:$A$1001,customers!$C$1:$C$1001,,0))</f>
        <v>vhellmore7d@bbc.co.uk</v>
      </c>
      <c r="H399" s="2" t="str">
        <f>_xlfn.XLOOKUP(C399,customers!$A$1:$A$1001,customers!$G$1:$G$1001,,0)</f>
        <v>United States</v>
      </c>
      <c r="I399" t="str">
        <f>INDEX(products!$A$1:$G$49, MATCH(orders!$D267,products!$A$1:$A314,0), MATCH(orders!I$1,products!$A$1:$G$1,0))</f>
        <v>Ara</v>
      </c>
      <c r="J399" t="str">
        <f>INDEX(products!$A$1:$G$49, MATCH(orders!$D267,products!$A$1:$A314,0), MATCH(orders!J$1,products!$A$1:$G$1,0))</f>
        <v>D</v>
      </c>
      <c r="K399" s="5">
        <f>INDEX(products!$A$1:$G$49, MATCH(orders!$D267,products!$A$1:$A314,0), MATCH(orders!K$1,products!$A$1:$G$1,0))</f>
        <v>0.5</v>
      </c>
      <c r="L399" s="6">
        <f>INDEX(products!$A$1:$G$49, MATCH(orders!$D267,products!$A$1:$A314,0), MATCH(orders!L$1,products!$A$1:$G$1,0))</f>
        <v>5.97</v>
      </c>
      <c r="M399" s="6">
        <f t="shared" si="18"/>
        <v>5.97</v>
      </c>
      <c r="N399" t="str">
        <f t="shared" si="19"/>
        <v>Arabica</v>
      </c>
      <c r="O399" t="str">
        <f t="shared" si="20"/>
        <v>Dark</v>
      </c>
      <c r="P399" t="str">
        <f>_xlfn.XLOOKUP(Orders[[#This Row],[Customer ID]],customers!$A$1:$A$1001,customers!$I$1:$I$1001,,0)</f>
        <v>Yes</v>
      </c>
      <c r="Q399">
        <f>COUNTIF(Orders[Order ID],Orders[[#This Row],[Order ID]])</f>
        <v>1</v>
      </c>
      <c r="R399" s="10">
        <f>SUMIF(Orders[Order ID], Orders[[#This Row],[Order ID]],Orders[Sales])/Orders[[#This Row],[Order Frequency]]</f>
        <v>5.97</v>
      </c>
      <c r="S399" t="str">
        <f>IF(Orders[[#This Row],[Order Frequency]]&gt;4, "More than 4", IF(AND(Orders[[#This Row],[Order Frequency]]&lt;=4,Orders[[#This Row],[Order Frequency]]&gt;=2), "Between 4 and 2", "Less than 2"))</f>
        <v>Less than 2</v>
      </c>
      <c r="T399" t="str">
        <f>IF(Orders[[#This Row],[Frequency Group]]="less than 2", "Low Value", IF(Orders[[#This Row],[Frequency Group]]="between 4 and 2", "Medium Value", "High Value"))</f>
        <v>Low Value</v>
      </c>
      <c r="U399" t="str">
        <f>IF(Orders[[#This Row],[Sales]]&lt;50, "$0-50", IF(AND(Orders[[#This Row],[Sales]]&gt;=50,Orders[[#This Row],[Sales]]&lt;=100), "$50-100", IF(AND(Orders[[#This Row],[Sales]]&gt;100,Orders[[#This Row],[Sales]]&lt;=150), "$101-150", "$150+")))</f>
        <v>$0-50</v>
      </c>
      <c r="V399" t="str">
        <f>IF(Orders[[#This Row],[Sales]]&gt;MEDIAN(M:M), "High Price", "Low Price")</f>
        <v>Low Price</v>
      </c>
      <c r="W399" t="str">
        <f>IF(Orders[[#This Row],[Quantity]]&gt;MEDIAN(E:E), "High Volume", "Low Volume")</f>
        <v>Low Volume</v>
      </c>
      <c r="X399" t="str">
        <f>Orders[[#This Row],[Sales Tier]] &amp; "-" &amp; Orders[[#This Row],[Quantity Tier]]</f>
        <v>Low Price-Low Volume</v>
      </c>
      <c r="Y399" t="str">
        <f>TEXT(Orders[[#This Row],[Order Date]], "mmmm")</f>
        <v>February</v>
      </c>
      <c r="Z39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399" t="str">
        <f>Orders[[#This Row],[Coffee Type Name]] &amp; "-" &amp; Orders[[#This Row],[Roast Type Name]]</f>
        <v>Arabica-Dark</v>
      </c>
      <c r="AB39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400" spans="1:28" x14ac:dyDescent="0.25">
      <c r="A400" s="2" t="s">
        <v>5915</v>
      </c>
      <c r="B400" s="4">
        <v>44591</v>
      </c>
      <c r="C400" s="2" t="s">
        <v>5916</v>
      </c>
      <c r="D400" t="s">
        <v>6170</v>
      </c>
      <c r="E400" s="2">
        <v>5</v>
      </c>
      <c r="F400" s="2" t="str">
        <f>_xlfn.XLOOKUP(C400,customers!$A$1:$A$1001,customers!$B$1:$B$1001,,0)</f>
        <v>Chad Miguel</v>
      </c>
      <c r="G400" s="2" t="str">
        <f>IF(_xlfn.XLOOKUP(C400,customers!$A$1:$A$1001,customers!$C$1:$C$1001,,0)=0,"",_xlfn.XLOOKUP(C400,customers!$A$1:$A$1001,customers!$C$1:$C$1001,,0))</f>
        <v>cmiguelqo@exblog.jp</v>
      </c>
      <c r="H400" s="2" t="str">
        <f>_xlfn.XLOOKUP(C400,customers!$A$1:$A$1001,customers!$G$1:$G$1001,,0)</f>
        <v>United States</v>
      </c>
      <c r="I400" t="str">
        <f>INDEX(products!$A$1:$G$49, MATCH(orders!$D962,products!$A$1:$A1009,0), MATCH(orders!I$1,products!$A$1:$G$1,0))</f>
        <v>Lib</v>
      </c>
      <c r="J400" t="str">
        <f>INDEX(products!$A$1:$G$49, MATCH(orders!$D962,products!$A$1:$A1009,0), MATCH(orders!J$1,products!$A$1:$G$1,0))</f>
        <v>L</v>
      </c>
      <c r="K400" s="5">
        <f>INDEX(products!$A$1:$G$49, MATCH(orders!$D962,products!$A$1:$A1009,0), MATCH(orders!K$1,products!$A$1:$G$1,0))</f>
        <v>1</v>
      </c>
      <c r="L400" s="6">
        <f>INDEX(products!$A$1:$G$49, MATCH(orders!$D962,products!$A$1:$A1009,0), MATCH(orders!L$1,products!$A$1:$G$1,0))</f>
        <v>15.85</v>
      </c>
      <c r="M400" s="6">
        <f t="shared" si="18"/>
        <v>79.25</v>
      </c>
      <c r="N400" t="str">
        <f t="shared" si="19"/>
        <v>Liberica</v>
      </c>
      <c r="O400" t="str">
        <f t="shared" si="20"/>
        <v>Light</v>
      </c>
      <c r="P400" t="str">
        <f>_xlfn.XLOOKUP(Orders[[#This Row],[Customer ID]],customers!$A$1:$A$1001,customers!$I$1:$I$1001,,0)</f>
        <v>Yes</v>
      </c>
      <c r="Q400">
        <f>COUNTIF(Orders[Order ID],Orders[[#This Row],[Order ID]])</f>
        <v>1</v>
      </c>
      <c r="R400" s="10">
        <f>SUMIF(Orders[Order ID], Orders[[#This Row],[Order ID]],Orders[Sales])/Orders[[#This Row],[Order Frequency]]</f>
        <v>79.25</v>
      </c>
      <c r="S400" t="str">
        <f>IF(Orders[[#This Row],[Order Frequency]]&gt;4, "More than 4", IF(AND(Orders[[#This Row],[Order Frequency]]&lt;=4,Orders[[#This Row],[Order Frequency]]&gt;=2), "Between 4 and 2", "Less than 2"))</f>
        <v>Less than 2</v>
      </c>
      <c r="T400" t="str">
        <f>IF(Orders[[#This Row],[Frequency Group]]="less than 2", "Low Value", IF(Orders[[#This Row],[Frequency Group]]="between 4 and 2", "Medium Value", "High Value"))</f>
        <v>Low Value</v>
      </c>
      <c r="U400" t="str">
        <f>IF(Orders[[#This Row],[Sales]]&lt;50, "$0-50", IF(AND(Orders[[#This Row],[Sales]]&gt;=50,Orders[[#This Row],[Sales]]&lt;=100), "$50-100", IF(AND(Orders[[#This Row],[Sales]]&gt;100,Orders[[#This Row],[Sales]]&lt;=150), "$101-150", "$150+")))</f>
        <v>$50-100</v>
      </c>
      <c r="V400" t="str">
        <f>IF(Orders[[#This Row],[Sales]]&gt;MEDIAN(M:M), "High Price", "Low Price")</f>
        <v>High Price</v>
      </c>
      <c r="W400" t="str">
        <f>IF(Orders[[#This Row],[Quantity]]&gt;MEDIAN(E:E), "High Volume", "Low Volume")</f>
        <v>High Volume</v>
      </c>
      <c r="X400" t="str">
        <f>Orders[[#This Row],[Sales Tier]] &amp; "-" &amp; Orders[[#This Row],[Quantity Tier]]</f>
        <v>High Price-High Volume</v>
      </c>
      <c r="Y400" t="str">
        <f>TEXT(Orders[[#This Row],[Order Date]], "mmmm")</f>
        <v>January</v>
      </c>
      <c r="Z40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400" t="str">
        <f>Orders[[#This Row],[Coffee Type Name]] &amp; "-" &amp; Orders[[#This Row],[Roast Type Name]]</f>
        <v>Liberica-Light</v>
      </c>
      <c r="AB40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401" spans="1:28" x14ac:dyDescent="0.25">
      <c r="A401" s="2" t="s">
        <v>2839</v>
      </c>
      <c r="B401" s="4">
        <v>44457</v>
      </c>
      <c r="C401" s="2" t="s">
        <v>2840</v>
      </c>
      <c r="D401" t="s">
        <v>6182</v>
      </c>
      <c r="E401" s="2">
        <v>1</v>
      </c>
      <c r="F401" s="2" t="str">
        <f>_xlfn.XLOOKUP(C401,customers!$A$1:$A$1001,customers!$B$1:$B$1001,,0)</f>
        <v>Paula Denis</v>
      </c>
      <c r="G401" s="2" t="str">
        <f>IF(_xlfn.XLOOKUP(C401,customers!$A$1:$A$1001,customers!$C$1:$C$1001,,0)=0,"",_xlfn.XLOOKUP(C401,customers!$A$1:$A$1001,customers!$C$1:$C$1001,,0))</f>
        <v/>
      </c>
      <c r="H401" s="2" t="str">
        <f>_xlfn.XLOOKUP(C401,customers!$A$1:$A$1001,customers!$G$1:$G$1001,,0)</f>
        <v>United States</v>
      </c>
      <c r="I401" t="str">
        <f>INDEX(products!$A$1:$G$49, MATCH(orders!$D419,products!$A$1:$A466,0), MATCH(orders!I$1,products!$A$1:$G$1,0))</f>
        <v>Ara</v>
      </c>
      <c r="J401" t="str">
        <f>INDEX(products!$A$1:$G$49, MATCH(orders!$D419,products!$A$1:$A466,0), MATCH(orders!J$1,products!$A$1:$G$1,0))</f>
        <v>L</v>
      </c>
      <c r="K401" s="5">
        <f>INDEX(products!$A$1:$G$49, MATCH(orders!$D419,products!$A$1:$A466,0), MATCH(orders!K$1,products!$A$1:$G$1,0))</f>
        <v>2.5</v>
      </c>
      <c r="L401" s="6">
        <f>INDEX(products!$A$1:$G$49, MATCH(orders!$D419,products!$A$1:$A466,0), MATCH(orders!L$1,products!$A$1:$G$1,0))</f>
        <v>29.784999999999997</v>
      </c>
      <c r="M401" s="6">
        <f t="shared" si="18"/>
        <v>29.784999999999997</v>
      </c>
      <c r="N401" t="str">
        <f t="shared" si="19"/>
        <v>Arabica</v>
      </c>
      <c r="O401" t="str">
        <f t="shared" si="20"/>
        <v>Light</v>
      </c>
      <c r="P401" t="str">
        <f>_xlfn.XLOOKUP(Orders[[#This Row],[Customer ID]],customers!$A$1:$A$1001,customers!$I$1:$I$1001,,0)</f>
        <v>Yes</v>
      </c>
      <c r="Q401">
        <f>COUNTIF(Orders[Order ID],Orders[[#This Row],[Order ID]])</f>
        <v>1</v>
      </c>
      <c r="R401" s="10">
        <f>SUMIF(Orders[Order ID], Orders[[#This Row],[Order ID]],Orders[Sales])/Orders[[#This Row],[Order Frequency]]</f>
        <v>29.784999999999997</v>
      </c>
      <c r="S401" t="str">
        <f>IF(Orders[[#This Row],[Order Frequency]]&gt;4, "More than 4", IF(AND(Orders[[#This Row],[Order Frequency]]&lt;=4,Orders[[#This Row],[Order Frequency]]&gt;=2), "Between 4 and 2", "Less than 2"))</f>
        <v>Less than 2</v>
      </c>
      <c r="T401" t="str">
        <f>IF(Orders[[#This Row],[Frequency Group]]="less than 2", "Low Value", IF(Orders[[#This Row],[Frequency Group]]="between 4 and 2", "Medium Value", "High Value"))</f>
        <v>Low Value</v>
      </c>
      <c r="U401" t="str">
        <f>IF(Orders[[#This Row],[Sales]]&lt;50, "$0-50", IF(AND(Orders[[#This Row],[Sales]]&gt;=50,Orders[[#This Row],[Sales]]&lt;=100), "$50-100", IF(AND(Orders[[#This Row],[Sales]]&gt;100,Orders[[#This Row],[Sales]]&lt;=150), "$101-150", "$150+")))</f>
        <v>$0-50</v>
      </c>
      <c r="V401" t="str">
        <f>IF(Orders[[#This Row],[Sales]]&gt;MEDIAN(M:M), "High Price", "Low Price")</f>
        <v>Low Price</v>
      </c>
      <c r="W401" t="str">
        <f>IF(Orders[[#This Row],[Quantity]]&gt;MEDIAN(E:E), "High Volume", "Low Volume")</f>
        <v>Low Volume</v>
      </c>
      <c r="X401" t="str">
        <f>Orders[[#This Row],[Sales Tier]] &amp; "-" &amp; Orders[[#This Row],[Quantity Tier]]</f>
        <v>Low Price-Low Volume</v>
      </c>
      <c r="Y401" t="str">
        <f>TEXT(Orders[[#This Row],[Order Date]], "mmmm")</f>
        <v>September</v>
      </c>
      <c r="Z40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401" t="str">
        <f>Orders[[#This Row],[Coffee Type Name]] &amp; "-" &amp; Orders[[#This Row],[Roast Type Name]]</f>
        <v>Arabica-Light</v>
      </c>
      <c r="AB40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402" spans="1:28" x14ac:dyDescent="0.25">
      <c r="A402" s="2" t="s">
        <v>4653</v>
      </c>
      <c r="B402" s="4">
        <v>44447</v>
      </c>
      <c r="C402" s="2" t="s">
        <v>4654</v>
      </c>
      <c r="D402" t="s">
        <v>6155</v>
      </c>
      <c r="E402" s="2">
        <v>5</v>
      </c>
      <c r="F402" s="2" t="str">
        <f>_xlfn.XLOOKUP(C402,customers!$A$1:$A$1001,customers!$B$1:$B$1001,,0)</f>
        <v>Carlie Linskill</v>
      </c>
      <c r="G402" s="2" t="str">
        <f>IF(_xlfn.XLOOKUP(C402,customers!$A$1:$A$1001,customers!$C$1:$C$1001,,0)=0,"",_xlfn.XLOOKUP(C402,customers!$A$1:$A$1001,customers!$C$1:$C$1001,,0))</f>
        <v>clinskillkh@sphinn.com</v>
      </c>
      <c r="H402" s="2" t="str">
        <f>_xlfn.XLOOKUP(C402,customers!$A$1:$A$1001,customers!$G$1:$G$1001,,0)</f>
        <v>United States</v>
      </c>
      <c r="I402" t="str">
        <f>INDEX(products!$A$1:$G$49, MATCH(orders!$D739,products!$A$1:$A786,0), MATCH(orders!I$1,products!$A$1:$G$1,0))</f>
        <v>Ara</v>
      </c>
      <c r="J402" t="str">
        <f>INDEX(products!$A$1:$G$49, MATCH(orders!$D739,products!$A$1:$A786,0), MATCH(orders!J$1,products!$A$1:$G$1,0))</f>
        <v>M</v>
      </c>
      <c r="K402" s="5">
        <f>INDEX(products!$A$1:$G$49, MATCH(orders!$D739,products!$A$1:$A786,0), MATCH(orders!K$1,products!$A$1:$G$1,0))</f>
        <v>1</v>
      </c>
      <c r="L402" s="6">
        <f>INDEX(products!$A$1:$G$49, MATCH(orders!$D739,products!$A$1:$A786,0), MATCH(orders!L$1,products!$A$1:$G$1,0))</f>
        <v>11.25</v>
      </c>
      <c r="M402" s="6">
        <f t="shared" si="18"/>
        <v>56.25</v>
      </c>
      <c r="N402" t="str">
        <f t="shared" si="19"/>
        <v>Arabica</v>
      </c>
      <c r="O402" t="str">
        <f t="shared" si="20"/>
        <v>Medium</v>
      </c>
      <c r="P402" t="str">
        <f>_xlfn.XLOOKUP(Orders[[#This Row],[Customer ID]],customers!$A$1:$A$1001,customers!$I$1:$I$1001,,0)</f>
        <v>No</v>
      </c>
      <c r="Q402">
        <f>COUNTIF(Orders[Order ID],Orders[[#This Row],[Order ID]])</f>
        <v>1</v>
      </c>
      <c r="R402" s="10">
        <f>SUMIF(Orders[Order ID], Orders[[#This Row],[Order ID]],Orders[Sales])/Orders[[#This Row],[Order Frequency]]</f>
        <v>56.25</v>
      </c>
      <c r="S402" t="str">
        <f>IF(Orders[[#This Row],[Order Frequency]]&gt;4, "More than 4", IF(AND(Orders[[#This Row],[Order Frequency]]&lt;=4,Orders[[#This Row],[Order Frequency]]&gt;=2), "Between 4 and 2", "Less than 2"))</f>
        <v>Less than 2</v>
      </c>
      <c r="T402" t="str">
        <f>IF(Orders[[#This Row],[Frequency Group]]="less than 2", "Low Value", IF(Orders[[#This Row],[Frequency Group]]="between 4 and 2", "Medium Value", "High Value"))</f>
        <v>Low Value</v>
      </c>
      <c r="U402" t="str">
        <f>IF(Orders[[#This Row],[Sales]]&lt;50, "$0-50", IF(AND(Orders[[#This Row],[Sales]]&gt;=50,Orders[[#This Row],[Sales]]&lt;=100), "$50-100", IF(AND(Orders[[#This Row],[Sales]]&gt;100,Orders[[#This Row],[Sales]]&lt;=150), "$101-150", "$150+")))</f>
        <v>$50-100</v>
      </c>
      <c r="V402" t="str">
        <f>IF(Orders[[#This Row],[Sales]]&gt;MEDIAN(M:M), "High Price", "Low Price")</f>
        <v>High Price</v>
      </c>
      <c r="W402" t="str">
        <f>IF(Orders[[#This Row],[Quantity]]&gt;MEDIAN(E:E), "High Volume", "Low Volume")</f>
        <v>High Volume</v>
      </c>
      <c r="X402" t="str">
        <f>Orders[[#This Row],[Sales Tier]] &amp; "-" &amp; Orders[[#This Row],[Quantity Tier]]</f>
        <v>High Price-High Volume</v>
      </c>
      <c r="Y402" t="str">
        <f>TEXT(Orders[[#This Row],[Order Date]], "mmmm")</f>
        <v>September</v>
      </c>
      <c r="Z40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402" t="str">
        <f>Orders[[#This Row],[Coffee Type Name]] &amp; "-" &amp; Orders[[#This Row],[Roast Type Name]]</f>
        <v>Arabica-Medium</v>
      </c>
      <c r="AB40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403" spans="1:28" x14ac:dyDescent="0.25">
      <c r="A403" s="2" t="s">
        <v>5199</v>
      </c>
      <c r="B403" s="4">
        <v>44302</v>
      </c>
      <c r="C403" s="2" t="s">
        <v>5200</v>
      </c>
      <c r="D403" t="s">
        <v>6149</v>
      </c>
      <c r="E403" s="2">
        <v>4</v>
      </c>
      <c r="F403" s="2" t="str">
        <f>_xlfn.XLOOKUP(C403,customers!$A$1:$A$1001,customers!$B$1:$B$1001,,0)</f>
        <v>Lenette Dwerryhouse</v>
      </c>
      <c r="G403" s="2" t="str">
        <f>IF(_xlfn.XLOOKUP(C403,customers!$A$1:$A$1001,customers!$C$1:$C$1001,,0)=0,"",_xlfn.XLOOKUP(C403,customers!$A$1:$A$1001,customers!$C$1:$C$1001,,0))</f>
        <v>ldwerryhousen5@gravatar.com</v>
      </c>
      <c r="H403" s="2" t="str">
        <f>_xlfn.XLOOKUP(C403,customers!$A$1:$A$1001,customers!$G$1:$G$1001,,0)</f>
        <v>United States</v>
      </c>
      <c r="I403" t="str">
        <f>INDEX(products!$A$1:$G$49, MATCH(orders!$D835,products!$A$1:$A882,0), MATCH(orders!I$1,products!$A$1:$G$1,0))</f>
        <v>Rob</v>
      </c>
      <c r="J403" t="str">
        <f>INDEX(products!$A$1:$G$49, MATCH(orders!$D835,products!$A$1:$A882,0), MATCH(orders!J$1,products!$A$1:$G$1,0))</f>
        <v>D</v>
      </c>
      <c r="K403" s="5">
        <f>INDEX(products!$A$1:$G$49, MATCH(orders!$D835,products!$A$1:$A882,0), MATCH(orders!K$1,products!$A$1:$G$1,0))</f>
        <v>2.5</v>
      </c>
      <c r="L403" s="6">
        <f>INDEX(products!$A$1:$G$49, MATCH(orders!$D835,products!$A$1:$A882,0), MATCH(orders!L$1,products!$A$1:$G$1,0))</f>
        <v>20.584999999999997</v>
      </c>
      <c r="M403" s="6">
        <f t="shared" si="18"/>
        <v>82.339999999999989</v>
      </c>
      <c r="N403" t="str">
        <f t="shared" si="19"/>
        <v>Robusta</v>
      </c>
      <c r="O403" t="str">
        <f t="shared" si="20"/>
        <v>Dark</v>
      </c>
      <c r="P403" t="str">
        <f>_xlfn.XLOOKUP(Orders[[#This Row],[Customer ID]],customers!$A$1:$A$1001,customers!$I$1:$I$1001,,0)</f>
        <v>Yes</v>
      </c>
      <c r="Q403">
        <f>COUNTIF(Orders[Order ID],Orders[[#This Row],[Order ID]])</f>
        <v>1</v>
      </c>
      <c r="R403" s="10">
        <f>SUMIF(Orders[Order ID], Orders[[#This Row],[Order ID]],Orders[Sales])/Orders[[#This Row],[Order Frequency]]</f>
        <v>82.339999999999989</v>
      </c>
      <c r="S403" t="str">
        <f>IF(Orders[[#This Row],[Order Frequency]]&gt;4, "More than 4", IF(AND(Orders[[#This Row],[Order Frequency]]&lt;=4,Orders[[#This Row],[Order Frequency]]&gt;=2), "Between 4 and 2", "Less than 2"))</f>
        <v>Less than 2</v>
      </c>
      <c r="T403" t="str">
        <f>IF(Orders[[#This Row],[Frequency Group]]="less than 2", "Low Value", IF(Orders[[#This Row],[Frequency Group]]="between 4 and 2", "Medium Value", "High Value"))</f>
        <v>Low Value</v>
      </c>
      <c r="U403" t="str">
        <f>IF(Orders[[#This Row],[Sales]]&lt;50, "$0-50", IF(AND(Orders[[#This Row],[Sales]]&gt;=50,Orders[[#This Row],[Sales]]&lt;=100), "$50-100", IF(AND(Orders[[#This Row],[Sales]]&gt;100,Orders[[#This Row],[Sales]]&lt;=150), "$101-150", "$150+")))</f>
        <v>$50-100</v>
      </c>
      <c r="V403" t="str">
        <f>IF(Orders[[#This Row],[Sales]]&gt;MEDIAN(M:M), "High Price", "Low Price")</f>
        <v>High Price</v>
      </c>
      <c r="W403" t="str">
        <f>IF(Orders[[#This Row],[Quantity]]&gt;MEDIAN(E:E), "High Volume", "Low Volume")</f>
        <v>Low Volume</v>
      </c>
      <c r="X403" t="str">
        <f>Orders[[#This Row],[Sales Tier]] &amp; "-" &amp; Orders[[#This Row],[Quantity Tier]]</f>
        <v>High Price-Low Volume</v>
      </c>
      <c r="Y403" t="str">
        <f>TEXT(Orders[[#This Row],[Order Date]], "mmmm")</f>
        <v>April</v>
      </c>
      <c r="Z40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03" t="str">
        <f>Orders[[#This Row],[Coffee Type Name]] &amp; "-" &amp; Orders[[#This Row],[Roast Type Name]]</f>
        <v>Robusta-Dark</v>
      </c>
      <c r="AB40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04" spans="1:28" x14ac:dyDescent="0.25">
      <c r="A404" s="2" t="s">
        <v>5135</v>
      </c>
      <c r="B404" s="4">
        <v>43585</v>
      </c>
      <c r="C404" s="2" t="s">
        <v>5136</v>
      </c>
      <c r="D404" t="s">
        <v>6148</v>
      </c>
      <c r="E404" s="2">
        <v>4</v>
      </c>
      <c r="F404" s="2" t="str">
        <f>_xlfn.XLOOKUP(C404,customers!$A$1:$A$1001,customers!$B$1:$B$1001,,0)</f>
        <v>Lyndsey MacManus</v>
      </c>
      <c r="G404" s="2" t="str">
        <f>IF(_xlfn.XLOOKUP(C404,customers!$A$1:$A$1001,customers!$C$1:$C$1001,,0)=0,"",_xlfn.XLOOKUP(C404,customers!$A$1:$A$1001,customers!$C$1:$C$1001,,0))</f>
        <v>lmacmanusmu@imdb.com</v>
      </c>
      <c r="H404" s="2" t="str">
        <f>_xlfn.XLOOKUP(C404,customers!$A$1:$A$1001,customers!$G$1:$G$1001,,0)</f>
        <v>United States</v>
      </c>
      <c r="I404" t="str">
        <f>INDEX(products!$A$1:$G$49, MATCH(orders!$D824,products!$A$1:$A871,0), MATCH(orders!I$1,products!$A$1:$G$1,0))</f>
        <v>Exc</v>
      </c>
      <c r="J404" t="str">
        <f>INDEX(products!$A$1:$G$49, MATCH(orders!$D824,products!$A$1:$A871,0), MATCH(orders!J$1,products!$A$1:$G$1,0))</f>
        <v>L</v>
      </c>
      <c r="K404" s="5">
        <f>INDEX(products!$A$1:$G$49, MATCH(orders!$D824,products!$A$1:$A871,0), MATCH(orders!K$1,products!$A$1:$G$1,0))</f>
        <v>2.5</v>
      </c>
      <c r="L404" s="6">
        <f>INDEX(products!$A$1:$G$49, MATCH(orders!$D824,products!$A$1:$A871,0), MATCH(orders!L$1,products!$A$1:$G$1,0))</f>
        <v>34.154999999999994</v>
      </c>
      <c r="M404" s="6">
        <f t="shared" si="18"/>
        <v>136.61999999999998</v>
      </c>
      <c r="N404" t="str">
        <f t="shared" si="19"/>
        <v>Excelsa</v>
      </c>
      <c r="O404" t="str">
        <f t="shared" si="20"/>
        <v>Light</v>
      </c>
      <c r="P404" t="str">
        <f>_xlfn.XLOOKUP(Orders[[#This Row],[Customer ID]],customers!$A$1:$A$1001,customers!$I$1:$I$1001,,0)</f>
        <v>No</v>
      </c>
      <c r="Q404">
        <f>COUNTIF(Orders[Order ID],Orders[[#This Row],[Order ID]])</f>
        <v>1</v>
      </c>
      <c r="R404" s="10">
        <f>SUMIF(Orders[Order ID], Orders[[#This Row],[Order ID]],Orders[Sales])/Orders[[#This Row],[Order Frequency]]</f>
        <v>136.61999999999998</v>
      </c>
      <c r="S404" t="str">
        <f>IF(Orders[[#This Row],[Order Frequency]]&gt;4, "More than 4", IF(AND(Orders[[#This Row],[Order Frequency]]&lt;=4,Orders[[#This Row],[Order Frequency]]&gt;=2), "Between 4 and 2", "Less than 2"))</f>
        <v>Less than 2</v>
      </c>
      <c r="T404" t="str">
        <f>IF(Orders[[#This Row],[Frequency Group]]="less than 2", "Low Value", IF(Orders[[#This Row],[Frequency Group]]="between 4 and 2", "Medium Value", "High Value"))</f>
        <v>Low Value</v>
      </c>
      <c r="U404" t="str">
        <f>IF(Orders[[#This Row],[Sales]]&lt;50, "$0-50", IF(AND(Orders[[#This Row],[Sales]]&gt;=50,Orders[[#This Row],[Sales]]&lt;=100), "$50-100", IF(AND(Orders[[#This Row],[Sales]]&gt;100,Orders[[#This Row],[Sales]]&lt;=150), "$101-150", "$150+")))</f>
        <v>$101-150</v>
      </c>
      <c r="V404" t="str">
        <f>IF(Orders[[#This Row],[Sales]]&gt;MEDIAN(M:M), "High Price", "Low Price")</f>
        <v>High Price</v>
      </c>
      <c r="W404" t="str">
        <f>IF(Orders[[#This Row],[Quantity]]&gt;MEDIAN(E:E), "High Volume", "Low Volume")</f>
        <v>Low Volume</v>
      </c>
      <c r="X404" t="str">
        <f>Orders[[#This Row],[Sales Tier]] &amp; "-" &amp; Orders[[#This Row],[Quantity Tier]]</f>
        <v>High Price-Low Volume</v>
      </c>
      <c r="Y404" t="str">
        <f>TEXT(Orders[[#This Row],[Order Date]], "mmmm")</f>
        <v>April</v>
      </c>
      <c r="Z40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04" t="str">
        <f>Orders[[#This Row],[Coffee Type Name]] &amp; "-" &amp; Orders[[#This Row],[Roast Type Name]]</f>
        <v>Excelsa-Light</v>
      </c>
      <c r="AB40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05" spans="1:28" x14ac:dyDescent="0.25">
      <c r="A405" s="2" t="s">
        <v>6096</v>
      </c>
      <c r="B405" s="4">
        <v>44276</v>
      </c>
      <c r="C405" s="2" t="s">
        <v>6097</v>
      </c>
      <c r="D405" t="s">
        <v>6164</v>
      </c>
      <c r="E405" s="2">
        <v>3</v>
      </c>
      <c r="F405" s="2" t="str">
        <f>_xlfn.XLOOKUP(C405,customers!$A$1:$A$1001,customers!$B$1:$B$1001,,0)</f>
        <v>Desdemona Eye</v>
      </c>
      <c r="G405" s="2" t="str">
        <f>IF(_xlfn.XLOOKUP(C405,customers!$A$1:$A$1001,customers!$C$1:$C$1001,,0)=0,"",_xlfn.XLOOKUP(C405,customers!$A$1:$A$1001,customers!$C$1:$C$1001,,0))</f>
        <v/>
      </c>
      <c r="H405" s="2" t="str">
        <f>_xlfn.XLOOKUP(C405,customers!$A$1:$A$1001,customers!$G$1:$G$1001,,0)</f>
        <v>Ireland</v>
      </c>
      <c r="I405" t="str">
        <f>INDEX(products!$A$1:$G$49, MATCH(orders!$D994,products!$A$1:$A1041,0), MATCH(orders!I$1,products!$A$1:$G$1,0))</f>
        <v>Lib</v>
      </c>
      <c r="J405" t="str">
        <f>INDEX(products!$A$1:$G$49, MATCH(orders!$D994,products!$A$1:$A1041,0), MATCH(orders!J$1,products!$A$1:$G$1,0))</f>
        <v>L</v>
      </c>
      <c r="K405" s="5">
        <f>INDEX(products!$A$1:$G$49, MATCH(orders!$D994,products!$A$1:$A1041,0), MATCH(orders!K$1,products!$A$1:$G$1,0))</f>
        <v>2.5</v>
      </c>
      <c r="L405" s="6">
        <f>INDEX(products!$A$1:$G$49, MATCH(orders!$D994,products!$A$1:$A1041,0), MATCH(orders!L$1,products!$A$1:$G$1,0))</f>
        <v>36.454999999999998</v>
      </c>
      <c r="M405" s="6">
        <f t="shared" si="18"/>
        <v>109.36499999999999</v>
      </c>
      <c r="N405" t="str">
        <f t="shared" si="19"/>
        <v>Liberica</v>
      </c>
      <c r="O405" t="str">
        <f t="shared" si="20"/>
        <v>Light</v>
      </c>
      <c r="P405" t="str">
        <f>_xlfn.XLOOKUP(Orders[[#This Row],[Customer ID]],customers!$A$1:$A$1001,customers!$I$1:$I$1001,,0)</f>
        <v>No</v>
      </c>
      <c r="Q405">
        <f>COUNTIF(Orders[Order ID],Orders[[#This Row],[Order ID]])</f>
        <v>1</v>
      </c>
      <c r="R405" s="10">
        <f>SUMIF(Orders[Order ID], Orders[[#This Row],[Order ID]],Orders[Sales])/Orders[[#This Row],[Order Frequency]]</f>
        <v>109.36499999999999</v>
      </c>
      <c r="S405" t="str">
        <f>IF(Orders[[#This Row],[Order Frequency]]&gt;4, "More than 4", IF(AND(Orders[[#This Row],[Order Frequency]]&lt;=4,Orders[[#This Row],[Order Frequency]]&gt;=2), "Between 4 and 2", "Less than 2"))</f>
        <v>Less than 2</v>
      </c>
      <c r="T405" t="str">
        <f>IF(Orders[[#This Row],[Frequency Group]]="less than 2", "Low Value", IF(Orders[[#This Row],[Frequency Group]]="between 4 and 2", "Medium Value", "High Value"))</f>
        <v>Low Value</v>
      </c>
      <c r="U405" t="str">
        <f>IF(Orders[[#This Row],[Sales]]&lt;50, "$0-50", IF(AND(Orders[[#This Row],[Sales]]&gt;=50,Orders[[#This Row],[Sales]]&lt;=100), "$50-100", IF(AND(Orders[[#This Row],[Sales]]&gt;100,Orders[[#This Row],[Sales]]&lt;=150), "$101-150", "$150+")))</f>
        <v>$101-150</v>
      </c>
      <c r="V405" t="str">
        <f>IF(Orders[[#This Row],[Sales]]&gt;MEDIAN(M:M), "High Price", "Low Price")</f>
        <v>High Price</v>
      </c>
      <c r="W405" t="str">
        <f>IF(Orders[[#This Row],[Quantity]]&gt;MEDIAN(E:E), "High Volume", "Low Volume")</f>
        <v>Low Volume</v>
      </c>
      <c r="X405" t="str">
        <f>Orders[[#This Row],[Sales Tier]] &amp; "-" &amp; Orders[[#This Row],[Quantity Tier]]</f>
        <v>High Price-Low Volume</v>
      </c>
      <c r="Y405" t="str">
        <f>TEXT(Orders[[#This Row],[Order Date]], "mmmm")</f>
        <v>March</v>
      </c>
      <c r="Z40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405" t="str">
        <f>Orders[[#This Row],[Coffee Type Name]] &amp; "-" &amp; Orders[[#This Row],[Roast Type Name]]</f>
        <v>Liberica-Light</v>
      </c>
      <c r="AB40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06" spans="1:28" x14ac:dyDescent="0.25">
      <c r="A406" s="2" t="s">
        <v>794</v>
      </c>
      <c r="B406" s="4">
        <v>44271</v>
      </c>
      <c r="C406" s="2" t="s">
        <v>795</v>
      </c>
      <c r="D406" t="s">
        <v>6162</v>
      </c>
      <c r="E406" s="2">
        <v>5</v>
      </c>
      <c r="F406" s="2" t="str">
        <f>_xlfn.XLOOKUP(C406,customers!$A$1:$A$1001,customers!$B$1:$B$1001,,0)</f>
        <v>Archambault Gillard</v>
      </c>
      <c r="G406" s="2" t="str">
        <f>IF(_xlfn.XLOOKUP(C406,customers!$A$1:$A$1001,customers!$C$1:$C$1001,,0)=0,"",_xlfn.XLOOKUP(C406,customers!$A$1:$A$1001,customers!$C$1:$C$1001,,0))</f>
        <v>agillard1i@issuu.com</v>
      </c>
      <c r="H406" s="2" t="str">
        <f>_xlfn.XLOOKUP(C406,customers!$A$1:$A$1001,customers!$G$1:$G$1001,,0)</f>
        <v>United States</v>
      </c>
      <c r="I406" t="str">
        <f>INDEX(products!$A$1:$G$49, MATCH(orders!$D56,products!$A$1:$A103,0), MATCH(orders!I$1,products!$A$1:$G$1,0))</f>
        <v>Lib</v>
      </c>
      <c r="J406" t="str">
        <f>INDEX(products!$A$1:$G$49, MATCH(orders!$D56,products!$A$1:$A103,0), MATCH(orders!J$1,products!$A$1:$G$1,0))</f>
        <v>M</v>
      </c>
      <c r="K406" s="5">
        <f>INDEX(products!$A$1:$G$49, MATCH(orders!$D56,products!$A$1:$A103,0), MATCH(orders!K$1,products!$A$1:$G$1,0))</f>
        <v>1</v>
      </c>
      <c r="L406" s="6">
        <f>INDEX(products!$A$1:$G$49, MATCH(orders!$D56,products!$A$1:$A103,0), MATCH(orders!L$1,products!$A$1:$G$1,0))</f>
        <v>14.55</v>
      </c>
      <c r="M406" s="6">
        <f t="shared" si="18"/>
        <v>72.75</v>
      </c>
      <c r="N406" t="str">
        <f t="shared" si="19"/>
        <v>Liberica</v>
      </c>
      <c r="O406" t="str">
        <f t="shared" si="20"/>
        <v>Medium</v>
      </c>
      <c r="P406" t="str">
        <f>_xlfn.XLOOKUP(Orders[[#This Row],[Customer ID]],customers!$A$1:$A$1001,customers!$I$1:$I$1001,,0)</f>
        <v>No</v>
      </c>
      <c r="Q406">
        <f>COUNTIF(Orders[Order ID],Orders[[#This Row],[Order ID]])</f>
        <v>1</v>
      </c>
      <c r="R406" s="10">
        <f>SUMIF(Orders[Order ID], Orders[[#This Row],[Order ID]],Orders[Sales])/Orders[[#This Row],[Order Frequency]]</f>
        <v>72.75</v>
      </c>
      <c r="S406" t="str">
        <f>IF(Orders[[#This Row],[Order Frequency]]&gt;4, "More than 4", IF(AND(Orders[[#This Row],[Order Frequency]]&lt;=4,Orders[[#This Row],[Order Frequency]]&gt;=2), "Between 4 and 2", "Less than 2"))</f>
        <v>Less than 2</v>
      </c>
      <c r="T406" t="str">
        <f>IF(Orders[[#This Row],[Frequency Group]]="less than 2", "Low Value", IF(Orders[[#This Row],[Frequency Group]]="between 4 and 2", "Medium Value", "High Value"))</f>
        <v>Low Value</v>
      </c>
      <c r="U406" t="str">
        <f>IF(Orders[[#This Row],[Sales]]&lt;50, "$0-50", IF(AND(Orders[[#This Row],[Sales]]&gt;=50,Orders[[#This Row],[Sales]]&lt;=100), "$50-100", IF(AND(Orders[[#This Row],[Sales]]&gt;100,Orders[[#This Row],[Sales]]&lt;=150), "$101-150", "$150+")))</f>
        <v>$50-100</v>
      </c>
      <c r="V406" t="str">
        <f>IF(Orders[[#This Row],[Sales]]&gt;MEDIAN(M:M), "High Price", "Low Price")</f>
        <v>High Price</v>
      </c>
      <c r="W406" t="str">
        <f>IF(Orders[[#This Row],[Quantity]]&gt;MEDIAN(E:E), "High Volume", "Low Volume")</f>
        <v>High Volume</v>
      </c>
      <c r="X406" t="str">
        <f>Orders[[#This Row],[Sales Tier]] &amp; "-" &amp; Orders[[#This Row],[Quantity Tier]]</f>
        <v>High Price-High Volume</v>
      </c>
      <c r="Y406" t="str">
        <f>TEXT(Orders[[#This Row],[Order Date]], "mmmm")</f>
        <v>March</v>
      </c>
      <c r="Z40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406" t="str">
        <f>Orders[[#This Row],[Coffee Type Name]] &amp; "-" &amp; Orders[[#This Row],[Roast Type Name]]</f>
        <v>Liberica-Medium</v>
      </c>
      <c r="AB40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07" spans="1:28" x14ac:dyDescent="0.25">
      <c r="A407" s="2" t="s">
        <v>3402</v>
      </c>
      <c r="B407" s="4">
        <v>44673</v>
      </c>
      <c r="C407" s="2" t="s">
        <v>3403</v>
      </c>
      <c r="D407" t="s">
        <v>6173</v>
      </c>
      <c r="E407" s="2">
        <v>3</v>
      </c>
      <c r="F407" s="2" t="str">
        <f>_xlfn.XLOOKUP(C407,customers!$A$1:$A$1001,customers!$B$1:$B$1001,,0)</f>
        <v>Tildie Tilzey</v>
      </c>
      <c r="G407" s="2" t="str">
        <f>IF(_xlfn.XLOOKUP(C407,customers!$A$1:$A$1001,customers!$C$1:$C$1001,,0)=0,"",_xlfn.XLOOKUP(C407,customers!$A$1:$A$1001,customers!$C$1:$C$1001,,0))</f>
        <v>ttilzeyeb@hostgator.com</v>
      </c>
      <c r="H407" s="2" t="str">
        <f>_xlfn.XLOOKUP(C407,customers!$A$1:$A$1001,customers!$G$1:$G$1001,,0)</f>
        <v>United States</v>
      </c>
      <c r="I407" t="str">
        <f>INDEX(products!$A$1:$G$49, MATCH(orders!$D517,products!$A$1:$A564,0), MATCH(orders!I$1,products!$A$1:$G$1,0))</f>
        <v>Rob</v>
      </c>
      <c r="J407" t="str">
        <f>INDEX(products!$A$1:$G$49, MATCH(orders!$D517,products!$A$1:$A564,0), MATCH(orders!J$1,products!$A$1:$G$1,0))</f>
        <v>L</v>
      </c>
      <c r="K407" s="5">
        <f>INDEX(products!$A$1:$G$49, MATCH(orders!$D517,products!$A$1:$A564,0), MATCH(orders!K$1,products!$A$1:$G$1,0))</f>
        <v>0.5</v>
      </c>
      <c r="L407" s="6">
        <f>INDEX(products!$A$1:$G$49, MATCH(orders!$D517,products!$A$1:$A564,0), MATCH(orders!L$1,products!$A$1:$G$1,0))</f>
        <v>7.169999999999999</v>
      </c>
      <c r="M407" s="6">
        <f t="shared" si="18"/>
        <v>21.509999999999998</v>
      </c>
      <c r="N407" t="str">
        <f t="shared" si="19"/>
        <v>Robusta</v>
      </c>
      <c r="O407" t="str">
        <f t="shared" si="20"/>
        <v>Light</v>
      </c>
      <c r="P407" t="str">
        <f>_xlfn.XLOOKUP(Orders[[#This Row],[Customer ID]],customers!$A$1:$A$1001,customers!$I$1:$I$1001,,0)</f>
        <v>No</v>
      </c>
      <c r="Q407">
        <f>COUNTIF(Orders[Order ID],Orders[[#This Row],[Order ID]])</f>
        <v>1</v>
      </c>
      <c r="R407" s="10">
        <f>SUMIF(Orders[Order ID], Orders[[#This Row],[Order ID]],Orders[Sales])/Orders[[#This Row],[Order Frequency]]</f>
        <v>21.509999999999998</v>
      </c>
      <c r="S407" t="str">
        <f>IF(Orders[[#This Row],[Order Frequency]]&gt;4, "More than 4", IF(AND(Orders[[#This Row],[Order Frequency]]&lt;=4,Orders[[#This Row],[Order Frequency]]&gt;=2), "Between 4 and 2", "Less than 2"))</f>
        <v>Less than 2</v>
      </c>
      <c r="T407" t="str">
        <f>IF(Orders[[#This Row],[Frequency Group]]="less than 2", "Low Value", IF(Orders[[#This Row],[Frequency Group]]="between 4 and 2", "Medium Value", "High Value"))</f>
        <v>Low Value</v>
      </c>
      <c r="U407" t="str">
        <f>IF(Orders[[#This Row],[Sales]]&lt;50, "$0-50", IF(AND(Orders[[#This Row],[Sales]]&gt;=50,Orders[[#This Row],[Sales]]&lt;=100), "$50-100", IF(AND(Orders[[#This Row],[Sales]]&gt;100,Orders[[#This Row],[Sales]]&lt;=150), "$101-150", "$150+")))</f>
        <v>$0-50</v>
      </c>
      <c r="V407" t="str">
        <f>IF(Orders[[#This Row],[Sales]]&gt;MEDIAN(M:M), "High Price", "Low Price")</f>
        <v>Low Price</v>
      </c>
      <c r="W407" t="str">
        <f>IF(Orders[[#This Row],[Quantity]]&gt;MEDIAN(E:E), "High Volume", "Low Volume")</f>
        <v>Low Volume</v>
      </c>
      <c r="X407" t="str">
        <f>Orders[[#This Row],[Sales Tier]] &amp; "-" &amp; Orders[[#This Row],[Quantity Tier]]</f>
        <v>Low Price-Low Volume</v>
      </c>
      <c r="Y407" t="str">
        <f>TEXT(Orders[[#This Row],[Order Date]], "mmmm")</f>
        <v>April</v>
      </c>
      <c r="Z40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07" t="str">
        <f>Orders[[#This Row],[Coffee Type Name]] &amp; "-" &amp; Orders[[#This Row],[Roast Type Name]]</f>
        <v>Robusta-Light</v>
      </c>
      <c r="AB40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08" spans="1:28" x14ac:dyDescent="0.25">
      <c r="A408" s="2" t="s">
        <v>1579</v>
      </c>
      <c r="B408" s="4">
        <v>44644</v>
      </c>
      <c r="C408" s="2" t="s">
        <v>1580</v>
      </c>
      <c r="D408" t="s">
        <v>6171</v>
      </c>
      <c r="E408" s="2">
        <v>3</v>
      </c>
      <c r="F408" s="2" t="str">
        <f>_xlfn.XLOOKUP(C408,customers!$A$1:$A$1001,customers!$B$1:$B$1001,,0)</f>
        <v>Kimberli Mustchin</v>
      </c>
      <c r="G408" s="2" t="str">
        <f>IF(_xlfn.XLOOKUP(C408,customers!$A$1:$A$1001,customers!$C$1:$C$1001,,0)=0,"",_xlfn.XLOOKUP(C408,customers!$A$1:$A$1001,customers!$C$1:$C$1001,,0))</f>
        <v/>
      </c>
      <c r="H408" s="2" t="str">
        <f>_xlfn.XLOOKUP(C408,customers!$A$1:$A$1001,customers!$G$1:$G$1001,,0)</f>
        <v>United States</v>
      </c>
      <c r="I408" t="str">
        <f>INDEX(products!$A$1:$G$49, MATCH(orders!$D195,products!$A$1:$A242,0), MATCH(orders!I$1,products!$A$1:$G$1,0))</f>
        <v>Exc</v>
      </c>
      <c r="J408" t="str">
        <f>INDEX(products!$A$1:$G$49, MATCH(orders!$D195,products!$A$1:$A242,0), MATCH(orders!J$1,products!$A$1:$G$1,0))</f>
        <v>L</v>
      </c>
      <c r="K408" s="5">
        <f>INDEX(products!$A$1:$G$49, MATCH(orders!$D195,products!$A$1:$A242,0), MATCH(orders!K$1,products!$A$1:$G$1,0))</f>
        <v>1</v>
      </c>
      <c r="L408" s="6">
        <f>INDEX(products!$A$1:$G$49, MATCH(orders!$D195,products!$A$1:$A242,0), MATCH(orders!L$1,products!$A$1:$G$1,0))</f>
        <v>14.85</v>
      </c>
      <c r="M408" s="6">
        <f t="shared" si="18"/>
        <v>44.55</v>
      </c>
      <c r="N408" t="str">
        <f t="shared" si="19"/>
        <v>Excelsa</v>
      </c>
      <c r="O408" t="str">
        <f t="shared" si="20"/>
        <v>Light</v>
      </c>
      <c r="P408" t="str">
        <f>_xlfn.XLOOKUP(Orders[[#This Row],[Customer ID]],customers!$A$1:$A$1001,customers!$I$1:$I$1001,,0)</f>
        <v>No</v>
      </c>
      <c r="Q408">
        <f>COUNTIF(Orders[Order ID],Orders[[#This Row],[Order ID]])</f>
        <v>1</v>
      </c>
      <c r="R408" s="10">
        <f>SUMIF(Orders[Order ID], Orders[[#This Row],[Order ID]],Orders[Sales])/Orders[[#This Row],[Order Frequency]]</f>
        <v>44.55</v>
      </c>
      <c r="S408" t="str">
        <f>IF(Orders[[#This Row],[Order Frequency]]&gt;4, "More than 4", IF(AND(Orders[[#This Row],[Order Frequency]]&lt;=4,Orders[[#This Row],[Order Frequency]]&gt;=2), "Between 4 and 2", "Less than 2"))</f>
        <v>Less than 2</v>
      </c>
      <c r="T408" t="str">
        <f>IF(Orders[[#This Row],[Frequency Group]]="less than 2", "Low Value", IF(Orders[[#This Row],[Frequency Group]]="between 4 and 2", "Medium Value", "High Value"))</f>
        <v>Low Value</v>
      </c>
      <c r="U408" t="str">
        <f>IF(Orders[[#This Row],[Sales]]&lt;50, "$0-50", IF(AND(Orders[[#This Row],[Sales]]&gt;=50,Orders[[#This Row],[Sales]]&lt;=100), "$50-100", IF(AND(Orders[[#This Row],[Sales]]&gt;100,Orders[[#This Row],[Sales]]&lt;=150), "$101-150", "$150+")))</f>
        <v>$0-50</v>
      </c>
      <c r="V408" t="str">
        <f>IF(Orders[[#This Row],[Sales]]&gt;MEDIAN(M:M), "High Price", "Low Price")</f>
        <v>High Price</v>
      </c>
      <c r="W408" t="str">
        <f>IF(Orders[[#This Row],[Quantity]]&gt;MEDIAN(E:E), "High Volume", "Low Volume")</f>
        <v>Low Volume</v>
      </c>
      <c r="X408" t="str">
        <f>Orders[[#This Row],[Sales Tier]] &amp; "-" &amp; Orders[[#This Row],[Quantity Tier]]</f>
        <v>High Price-Low Volume</v>
      </c>
      <c r="Y408" t="str">
        <f>TEXT(Orders[[#This Row],[Order Date]], "mmmm")</f>
        <v>March</v>
      </c>
      <c r="Z40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408" t="str">
        <f>Orders[[#This Row],[Coffee Type Name]] &amp; "-" &amp; Orders[[#This Row],[Roast Type Name]]</f>
        <v>Excelsa-Light</v>
      </c>
      <c r="AB40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09" spans="1:28" x14ac:dyDescent="0.25">
      <c r="A409" s="2" t="s">
        <v>4068</v>
      </c>
      <c r="B409" s="4">
        <v>43940</v>
      </c>
      <c r="C409" s="2" t="s">
        <v>4069</v>
      </c>
      <c r="D409" t="s">
        <v>6162</v>
      </c>
      <c r="E409" s="2">
        <v>3</v>
      </c>
      <c r="F409" s="2" t="str">
        <f>_xlfn.XLOOKUP(C409,customers!$A$1:$A$1001,customers!$B$1:$B$1001,,0)</f>
        <v>Lindy Uttermare</v>
      </c>
      <c r="G409" s="2" t="str">
        <f>IF(_xlfn.XLOOKUP(C409,customers!$A$1:$A$1001,customers!$C$1:$C$1001,,0)=0,"",_xlfn.XLOOKUP(C409,customers!$A$1:$A$1001,customers!$C$1:$C$1001,,0))</f>
        <v>luttermarehm@engadget.com</v>
      </c>
      <c r="H409" s="2" t="str">
        <f>_xlfn.XLOOKUP(C409,customers!$A$1:$A$1001,customers!$G$1:$G$1001,,0)</f>
        <v>United States</v>
      </c>
      <c r="I409" t="str">
        <f>INDEX(products!$A$1:$G$49, MATCH(orders!$D636,products!$A$1:$A683,0), MATCH(orders!I$1,products!$A$1:$G$1,0))</f>
        <v>Lib</v>
      </c>
      <c r="J409" t="str">
        <f>INDEX(products!$A$1:$G$49, MATCH(orders!$D636,products!$A$1:$A683,0), MATCH(orders!J$1,products!$A$1:$G$1,0))</f>
        <v>M</v>
      </c>
      <c r="K409" s="5">
        <f>INDEX(products!$A$1:$G$49, MATCH(orders!$D636,products!$A$1:$A683,0), MATCH(orders!K$1,products!$A$1:$G$1,0))</f>
        <v>1</v>
      </c>
      <c r="L409" s="6">
        <f>INDEX(products!$A$1:$G$49, MATCH(orders!$D636,products!$A$1:$A683,0), MATCH(orders!L$1,products!$A$1:$G$1,0))</f>
        <v>14.55</v>
      </c>
      <c r="M409" s="6">
        <f t="shared" si="18"/>
        <v>43.650000000000006</v>
      </c>
      <c r="N409" t="str">
        <f t="shared" si="19"/>
        <v>Liberica</v>
      </c>
      <c r="O409" t="str">
        <f t="shared" si="20"/>
        <v>Medium</v>
      </c>
      <c r="P409" t="str">
        <f>_xlfn.XLOOKUP(Orders[[#This Row],[Customer ID]],customers!$A$1:$A$1001,customers!$I$1:$I$1001,,0)</f>
        <v>No</v>
      </c>
      <c r="Q409">
        <f>COUNTIF(Orders[Order ID],Orders[[#This Row],[Order ID]])</f>
        <v>1</v>
      </c>
      <c r="R409" s="10">
        <f>SUMIF(Orders[Order ID], Orders[[#This Row],[Order ID]],Orders[Sales])/Orders[[#This Row],[Order Frequency]]</f>
        <v>43.650000000000006</v>
      </c>
      <c r="S409" t="str">
        <f>IF(Orders[[#This Row],[Order Frequency]]&gt;4, "More than 4", IF(AND(Orders[[#This Row],[Order Frequency]]&lt;=4,Orders[[#This Row],[Order Frequency]]&gt;=2), "Between 4 and 2", "Less than 2"))</f>
        <v>Less than 2</v>
      </c>
      <c r="T409" t="str">
        <f>IF(Orders[[#This Row],[Frequency Group]]="less than 2", "Low Value", IF(Orders[[#This Row],[Frequency Group]]="between 4 and 2", "Medium Value", "High Value"))</f>
        <v>Low Value</v>
      </c>
      <c r="U409" t="str">
        <f>IF(Orders[[#This Row],[Sales]]&lt;50, "$0-50", IF(AND(Orders[[#This Row],[Sales]]&gt;=50,Orders[[#This Row],[Sales]]&lt;=100), "$50-100", IF(AND(Orders[[#This Row],[Sales]]&gt;100,Orders[[#This Row],[Sales]]&lt;=150), "$101-150", "$150+")))</f>
        <v>$0-50</v>
      </c>
      <c r="V409" t="str">
        <f>IF(Orders[[#This Row],[Sales]]&gt;MEDIAN(M:M), "High Price", "Low Price")</f>
        <v>High Price</v>
      </c>
      <c r="W409" t="str">
        <f>IF(Orders[[#This Row],[Quantity]]&gt;MEDIAN(E:E), "High Volume", "Low Volume")</f>
        <v>Low Volume</v>
      </c>
      <c r="X409" t="str">
        <f>Orders[[#This Row],[Sales Tier]] &amp; "-" &amp; Orders[[#This Row],[Quantity Tier]]</f>
        <v>High Price-Low Volume</v>
      </c>
      <c r="Y409" t="str">
        <f>TEXT(Orders[[#This Row],[Order Date]], "mmmm")</f>
        <v>April</v>
      </c>
      <c r="Z40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09" t="str">
        <f>Orders[[#This Row],[Coffee Type Name]] &amp; "-" &amp; Orders[[#This Row],[Roast Type Name]]</f>
        <v>Liberica-Medium</v>
      </c>
      <c r="AB40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10" spans="1:28" x14ac:dyDescent="0.25">
      <c r="A410" s="2" t="s">
        <v>5466</v>
      </c>
      <c r="B410" s="4">
        <v>43790</v>
      </c>
      <c r="C410" s="2" t="s">
        <v>5467</v>
      </c>
      <c r="D410" t="s">
        <v>6178</v>
      </c>
      <c r="E410" s="2">
        <v>2</v>
      </c>
      <c r="F410" s="2" t="str">
        <f>_xlfn.XLOOKUP(C410,customers!$A$1:$A$1001,customers!$B$1:$B$1001,,0)</f>
        <v>Constanta Hatfull</v>
      </c>
      <c r="G410" s="2" t="str">
        <f>IF(_xlfn.XLOOKUP(C410,customers!$A$1:$A$1001,customers!$C$1:$C$1001,,0)=0,"",_xlfn.XLOOKUP(C410,customers!$A$1:$A$1001,customers!$C$1:$C$1001,,0))</f>
        <v>chatfullog@ebay.com</v>
      </c>
      <c r="H410" s="2" t="str">
        <f>_xlfn.XLOOKUP(C410,customers!$A$1:$A$1001,customers!$G$1:$G$1001,,0)</f>
        <v>United States</v>
      </c>
      <c r="I410" t="str">
        <f>INDEX(products!$A$1:$G$49, MATCH(orders!$D882,products!$A$1:$A929,0), MATCH(orders!I$1,products!$A$1:$G$1,0))</f>
        <v>Rob</v>
      </c>
      <c r="J410" t="str">
        <f>INDEX(products!$A$1:$G$49, MATCH(orders!$D882,products!$A$1:$A929,0), MATCH(orders!J$1,products!$A$1:$G$1,0))</f>
        <v>L</v>
      </c>
      <c r="K410" s="5">
        <f>INDEX(products!$A$1:$G$49, MATCH(orders!$D882,products!$A$1:$A929,0), MATCH(orders!K$1,products!$A$1:$G$1,0))</f>
        <v>0.2</v>
      </c>
      <c r="L410" s="6">
        <f>INDEX(products!$A$1:$G$49, MATCH(orders!$D882,products!$A$1:$A929,0), MATCH(orders!L$1,products!$A$1:$G$1,0))</f>
        <v>3.5849999999999995</v>
      </c>
      <c r="M410" s="6">
        <f t="shared" si="18"/>
        <v>7.169999999999999</v>
      </c>
      <c r="N410" t="str">
        <f t="shared" si="19"/>
        <v>Robusta</v>
      </c>
      <c r="O410" t="str">
        <f t="shared" si="20"/>
        <v>Light</v>
      </c>
      <c r="P410" t="str">
        <f>_xlfn.XLOOKUP(Orders[[#This Row],[Customer ID]],customers!$A$1:$A$1001,customers!$I$1:$I$1001,,0)</f>
        <v>No</v>
      </c>
      <c r="Q410">
        <f>COUNTIF(Orders[Order ID],Orders[[#This Row],[Order ID]])</f>
        <v>1</v>
      </c>
      <c r="R410" s="10">
        <f>SUMIF(Orders[Order ID], Orders[[#This Row],[Order ID]],Orders[Sales])/Orders[[#This Row],[Order Frequency]]</f>
        <v>7.169999999999999</v>
      </c>
      <c r="S410" t="str">
        <f>IF(Orders[[#This Row],[Order Frequency]]&gt;4, "More than 4", IF(AND(Orders[[#This Row],[Order Frequency]]&lt;=4,Orders[[#This Row],[Order Frequency]]&gt;=2), "Between 4 and 2", "Less than 2"))</f>
        <v>Less than 2</v>
      </c>
      <c r="T410" t="str">
        <f>IF(Orders[[#This Row],[Frequency Group]]="less than 2", "Low Value", IF(Orders[[#This Row],[Frequency Group]]="between 4 and 2", "Medium Value", "High Value"))</f>
        <v>Low Value</v>
      </c>
      <c r="U410" t="str">
        <f>IF(Orders[[#This Row],[Sales]]&lt;50, "$0-50", IF(AND(Orders[[#This Row],[Sales]]&gt;=50,Orders[[#This Row],[Sales]]&lt;=100), "$50-100", IF(AND(Orders[[#This Row],[Sales]]&gt;100,Orders[[#This Row],[Sales]]&lt;=150), "$101-150", "$150+")))</f>
        <v>$0-50</v>
      </c>
      <c r="V410" t="str">
        <f>IF(Orders[[#This Row],[Sales]]&gt;MEDIAN(M:M), "High Price", "Low Price")</f>
        <v>Low Price</v>
      </c>
      <c r="W410" t="str">
        <f>IF(Orders[[#This Row],[Quantity]]&gt;MEDIAN(E:E), "High Volume", "Low Volume")</f>
        <v>Low Volume</v>
      </c>
      <c r="X410" t="str">
        <f>Orders[[#This Row],[Sales Tier]] &amp; "-" &amp; Orders[[#This Row],[Quantity Tier]]</f>
        <v>Low Price-Low Volume</v>
      </c>
      <c r="Y410" t="str">
        <f>TEXT(Orders[[#This Row],[Order Date]], "mmmm")</f>
        <v>November</v>
      </c>
      <c r="Z41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410" t="str">
        <f>Orders[[#This Row],[Coffee Type Name]] &amp; "-" &amp; Orders[[#This Row],[Roast Type Name]]</f>
        <v>Robusta-Light</v>
      </c>
      <c r="AB41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411" spans="1:28" x14ac:dyDescent="0.25">
      <c r="A411" s="2" t="s">
        <v>2204</v>
      </c>
      <c r="B411" s="4">
        <v>43828</v>
      </c>
      <c r="C411" s="2" t="s">
        <v>2245</v>
      </c>
      <c r="D411" t="s">
        <v>6167</v>
      </c>
      <c r="E411" s="2">
        <v>1</v>
      </c>
      <c r="F411" s="2" t="str">
        <f>_xlfn.XLOOKUP(C411,customers!$A$1:$A$1001,customers!$B$1:$B$1001,,0)</f>
        <v>Claudetta Rushe</v>
      </c>
      <c r="G411" s="2" t="str">
        <f>IF(_xlfn.XLOOKUP(C411,customers!$A$1:$A$1001,customers!$C$1:$C$1001,,0)=0,"",_xlfn.XLOOKUP(C411,customers!$A$1:$A$1001,customers!$C$1:$C$1001,,0))</f>
        <v>crushe8n@about.me</v>
      </c>
      <c r="H411" s="2" t="str">
        <f>_xlfn.XLOOKUP(C411,customers!$A$1:$A$1001,customers!$G$1:$G$1001,,0)</f>
        <v>United States</v>
      </c>
      <c r="I411" t="str">
        <f>INDEX(products!$A$1:$G$49, MATCH(orders!$D306,products!$A$1:$A353,0), MATCH(orders!I$1,products!$A$1:$G$1,0))</f>
        <v>Ara</v>
      </c>
      <c r="J411" t="str">
        <f>INDEX(products!$A$1:$G$49, MATCH(orders!$D306,products!$A$1:$A353,0), MATCH(orders!J$1,products!$A$1:$G$1,0))</f>
        <v>L</v>
      </c>
      <c r="K411" s="5">
        <f>INDEX(products!$A$1:$G$49, MATCH(orders!$D306,products!$A$1:$A353,0), MATCH(orders!K$1,products!$A$1:$G$1,0))</f>
        <v>0.2</v>
      </c>
      <c r="L411" s="6">
        <f>INDEX(products!$A$1:$G$49, MATCH(orders!$D306,products!$A$1:$A353,0), MATCH(orders!L$1,products!$A$1:$G$1,0))</f>
        <v>3.8849999999999998</v>
      </c>
      <c r="M411" s="6">
        <f t="shared" si="18"/>
        <v>3.8849999999999998</v>
      </c>
      <c r="N411" t="str">
        <f t="shared" si="19"/>
        <v>Arabica</v>
      </c>
      <c r="O411" t="str">
        <f t="shared" si="20"/>
        <v>Light</v>
      </c>
      <c r="P411" t="str">
        <f>_xlfn.XLOOKUP(Orders[[#This Row],[Customer ID]],customers!$A$1:$A$1001,customers!$I$1:$I$1001,,0)</f>
        <v>Yes</v>
      </c>
      <c r="Q411">
        <f>COUNTIF(Orders[Order ID],Orders[[#This Row],[Order ID]])</f>
        <v>1</v>
      </c>
      <c r="R411" s="10">
        <f>SUMIF(Orders[Order ID], Orders[[#This Row],[Order ID]],Orders[Sales])/Orders[[#This Row],[Order Frequency]]</f>
        <v>3.8849999999999998</v>
      </c>
      <c r="S411" t="str">
        <f>IF(Orders[[#This Row],[Order Frequency]]&gt;4, "More than 4", IF(AND(Orders[[#This Row],[Order Frequency]]&lt;=4,Orders[[#This Row],[Order Frequency]]&gt;=2), "Between 4 and 2", "Less than 2"))</f>
        <v>Less than 2</v>
      </c>
      <c r="T411" t="str">
        <f>IF(Orders[[#This Row],[Frequency Group]]="less than 2", "Low Value", IF(Orders[[#This Row],[Frequency Group]]="between 4 and 2", "Medium Value", "High Value"))</f>
        <v>Low Value</v>
      </c>
      <c r="U411" t="str">
        <f>IF(Orders[[#This Row],[Sales]]&lt;50, "$0-50", IF(AND(Orders[[#This Row],[Sales]]&gt;=50,Orders[[#This Row],[Sales]]&lt;=100), "$50-100", IF(AND(Orders[[#This Row],[Sales]]&gt;100,Orders[[#This Row],[Sales]]&lt;=150), "$101-150", "$150+")))</f>
        <v>$0-50</v>
      </c>
      <c r="V411" t="str">
        <f>IF(Orders[[#This Row],[Sales]]&gt;MEDIAN(M:M), "High Price", "Low Price")</f>
        <v>Low Price</v>
      </c>
      <c r="W411" t="str">
        <f>IF(Orders[[#This Row],[Quantity]]&gt;MEDIAN(E:E), "High Volume", "Low Volume")</f>
        <v>Low Volume</v>
      </c>
      <c r="X411" t="str">
        <f>Orders[[#This Row],[Sales Tier]] &amp; "-" &amp; Orders[[#This Row],[Quantity Tier]]</f>
        <v>Low Price-Low Volume</v>
      </c>
      <c r="Y411" t="str">
        <f>TEXT(Orders[[#This Row],[Order Date]], "mmmm")</f>
        <v>December</v>
      </c>
      <c r="Z41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411" t="str">
        <f>Orders[[#This Row],[Coffee Type Name]] &amp; "-" &amp; Orders[[#This Row],[Roast Type Name]]</f>
        <v>Arabica-Light</v>
      </c>
      <c r="AB41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412" spans="1:28" x14ac:dyDescent="0.25">
      <c r="A412" s="2" t="s">
        <v>6035</v>
      </c>
      <c r="B412" s="4">
        <v>44397</v>
      </c>
      <c r="C412" s="2" t="s">
        <v>6036</v>
      </c>
      <c r="D412" t="s">
        <v>6153</v>
      </c>
      <c r="E412" s="2">
        <v>6</v>
      </c>
      <c r="F412" s="2" t="str">
        <f>_xlfn.XLOOKUP(C412,customers!$A$1:$A$1001,customers!$B$1:$B$1001,,0)</f>
        <v>Chloette Bernardot</v>
      </c>
      <c r="G412" s="2" t="str">
        <f>IF(_xlfn.XLOOKUP(C412,customers!$A$1:$A$1001,customers!$C$1:$C$1001,,0)=0,"",_xlfn.XLOOKUP(C412,customers!$A$1:$A$1001,customers!$C$1:$C$1001,,0))</f>
        <v>cbernardotr9@wix.com</v>
      </c>
      <c r="H412" s="2" t="str">
        <f>_xlfn.XLOOKUP(C412,customers!$A$1:$A$1001,customers!$G$1:$G$1001,,0)</f>
        <v>United States</v>
      </c>
      <c r="I412" t="str">
        <f>INDEX(products!$A$1:$G$49, MATCH(orders!$D983,products!$A$1:$A1030,0), MATCH(orders!I$1,products!$A$1:$G$1,0))</f>
        <v>Exc</v>
      </c>
      <c r="J412" t="str">
        <f>INDEX(products!$A$1:$G$49, MATCH(orders!$D983,products!$A$1:$A1030,0), MATCH(orders!J$1,products!$A$1:$G$1,0))</f>
        <v>D</v>
      </c>
      <c r="K412" s="5">
        <f>INDEX(products!$A$1:$G$49, MATCH(orders!$D983,products!$A$1:$A1030,0), MATCH(orders!K$1,products!$A$1:$G$1,0))</f>
        <v>0.2</v>
      </c>
      <c r="L412" s="6">
        <f>INDEX(products!$A$1:$G$49, MATCH(orders!$D983,products!$A$1:$A1030,0), MATCH(orders!L$1,products!$A$1:$G$1,0))</f>
        <v>3.645</v>
      </c>
      <c r="M412" s="6">
        <f t="shared" si="18"/>
        <v>21.87</v>
      </c>
      <c r="N412" t="str">
        <f t="shared" si="19"/>
        <v>Excelsa</v>
      </c>
      <c r="O412" t="str">
        <f t="shared" si="20"/>
        <v>Dark</v>
      </c>
      <c r="P412" t="str">
        <f>_xlfn.XLOOKUP(Orders[[#This Row],[Customer ID]],customers!$A$1:$A$1001,customers!$I$1:$I$1001,,0)</f>
        <v>Yes</v>
      </c>
      <c r="Q412">
        <f>COUNTIF(Orders[Order ID],Orders[[#This Row],[Order ID]])</f>
        <v>1</v>
      </c>
      <c r="R412" s="10">
        <f>SUMIF(Orders[Order ID], Orders[[#This Row],[Order ID]],Orders[Sales])/Orders[[#This Row],[Order Frequency]]</f>
        <v>21.87</v>
      </c>
      <c r="S412" t="str">
        <f>IF(Orders[[#This Row],[Order Frequency]]&gt;4, "More than 4", IF(AND(Orders[[#This Row],[Order Frequency]]&lt;=4,Orders[[#This Row],[Order Frequency]]&gt;=2), "Between 4 and 2", "Less than 2"))</f>
        <v>Less than 2</v>
      </c>
      <c r="T412" t="str">
        <f>IF(Orders[[#This Row],[Frequency Group]]="less than 2", "Low Value", IF(Orders[[#This Row],[Frequency Group]]="between 4 and 2", "Medium Value", "High Value"))</f>
        <v>Low Value</v>
      </c>
      <c r="U412" t="str">
        <f>IF(Orders[[#This Row],[Sales]]&lt;50, "$0-50", IF(AND(Orders[[#This Row],[Sales]]&gt;=50,Orders[[#This Row],[Sales]]&lt;=100), "$50-100", IF(AND(Orders[[#This Row],[Sales]]&gt;100,Orders[[#This Row],[Sales]]&lt;=150), "$101-150", "$150+")))</f>
        <v>$0-50</v>
      </c>
      <c r="V412" t="str">
        <f>IF(Orders[[#This Row],[Sales]]&gt;MEDIAN(M:M), "High Price", "Low Price")</f>
        <v>Low Price</v>
      </c>
      <c r="W412" t="str">
        <f>IF(Orders[[#This Row],[Quantity]]&gt;MEDIAN(E:E), "High Volume", "Low Volume")</f>
        <v>High Volume</v>
      </c>
      <c r="X412" t="str">
        <f>Orders[[#This Row],[Sales Tier]] &amp; "-" &amp; Orders[[#This Row],[Quantity Tier]]</f>
        <v>Low Price-High Volume</v>
      </c>
      <c r="Y412" t="str">
        <f>TEXT(Orders[[#This Row],[Order Date]], "mmmm")</f>
        <v>July</v>
      </c>
      <c r="Z41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412" t="str">
        <f>Orders[[#This Row],[Coffee Type Name]] &amp; "-" &amp; Orders[[#This Row],[Roast Type Name]]</f>
        <v>Excelsa-Dark</v>
      </c>
      <c r="AB41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413" spans="1:28" x14ac:dyDescent="0.25">
      <c r="A413" s="2" t="s">
        <v>5570</v>
      </c>
      <c r="B413" s="4">
        <v>44089</v>
      </c>
      <c r="C413" s="2" t="s">
        <v>5571</v>
      </c>
      <c r="D413" t="s">
        <v>6173</v>
      </c>
      <c r="E413" s="2">
        <v>5</v>
      </c>
      <c r="F413" s="2" t="str">
        <f>_xlfn.XLOOKUP(C413,customers!$A$1:$A$1001,customers!$B$1:$B$1001,,0)</f>
        <v>Daryn Cassius</v>
      </c>
      <c r="G413" s="2" t="str">
        <f>IF(_xlfn.XLOOKUP(C413,customers!$A$1:$A$1001,customers!$C$1:$C$1001,,0)=0,"",_xlfn.XLOOKUP(C413,customers!$A$1:$A$1001,customers!$C$1:$C$1001,,0))</f>
        <v/>
      </c>
      <c r="H413" s="2" t="str">
        <f>_xlfn.XLOOKUP(C413,customers!$A$1:$A$1001,customers!$G$1:$G$1001,,0)</f>
        <v>United States</v>
      </c>
      <c r="I413" t="str">
        <f>INDEX(products!$A$1:$G$49, MATCH(orders!$D900,products!$A$1:$A947,0), MATCH(orders!I$1,products!$A$1:$G$1,0))</f>
        <v>Rob</v>
      </c>
      <c r="J413" t="str">
        <f>INDEX(products!$A$1:$G$49, MATCH(orders!$D900,products!$A$1:$A947,0), MATCH(orders!J$1,products!$A$1:$G$1,0))</f>
        <v>L</v>
      </c>
      <c r="K413" s="5">
        <f>INDEX(products!$A$1:$G$49, MATCH(orders!$D900,products!$A$1:$A947,0), MATCH(orders!K$1,products!$A$1:$G$1,0))</f>
        <v>0.5</v>
      </c>
      <c r="L413" s="6">
        <f>INDEX(products!$A$1:$G$49, MATCH(orders!$D900,products!$A$1:$A947,0), MATCH(orders!L$1,products!$A$1:$G$1,0))</f>
        <v>7.169999999999999</v>
      </c>
      <c r="M413" s="6">
        <f t="shared" si="18"/>
        <v>35.849999999999994</v>
      </c>
      <c r="N413" t="str">
        <f t="shared" si="19"/>
        <v>Robusta</v>
      </c>
      <c r="O413" t="str">
        <f t="shared" si="20"/>
        <v>Light</v>
      </c>
      <c r="P413" t="str">
        <f>_xlfn.XLOOKUP(Orders[[#This Row],[Customer ID]],customers!$A$1:$A$1001,customers!$I$1:$I$1001,,0)</f>
        <v>No</v>
      </c>
      <c r="Q413">
        <f>COUNTIF(Orders[Order ID],Orders[[#This Row],[Order ID]])</f>
        <v>1</v>
      </c>
      <c r="R413" s="10">
        <f>SUMIF(Orders[Order ID], Orders[[#This Row],[Order ID]],Orders[Sales])/Orders[[#This Row],[Order Frequency]]</f>
        <v>35.849999999999994</v>
      </c>
      <c r="S413" t="str">
        <f>IF(Orders[[#This Row],[Order Frequency]]&gt;4, "More than 4", IF(AND(Orders[[#This Row],[Order Frequency]]&lt;=4,Orders[[#This Row],[Order Frequency]]&gt;=2), "Between 4 and 2", "Less than 2"))</f>
        <v>Less than 2</v>
      </c>
      <c r="T413" t="str">
        <f>IF(Orders[[#This Row],[Frequency Group]]="less than 2", "Low Value", IF(Orders[[#This Row],[Frequency Group]]="between 4 and 2", "Medium Value", "High Value"))</f>
        <v>Low Value</v>
      </c>
      <c r="U413" t="str">
        <f>IF(Orders[[#This Row],[Sales]]&lt;50, "$0-50", IF(AND(Orders[[#This Row],[Sales]]&gt;=50,Orders[[#This Row],[Sales]]&lt;=100), "$50-100", IF(AND(Orders[[#This Row],[Sales]]&gt;100,Orders[[#This Row],[Sales]]&lt;=150), "$101-150", "$150+")))</f>
        <v>$0-50</v>
      </c>
      <c r="V413" t="str">
        <f>IF(Orders[[#This Row],[Sales]]&gt;MEDIAN(M:M), "High Price", "Low Price")</f>
        <v>High Price</v>
      </c>
      <c r="W413" t="str">
        <f>IF(Orders[[#This Row],[Quantity]]&gt;MEDIAN(E:E), "High Volume", "Low Volume")</f>
        <v>High Volume</v>
      </c>
      <c r="X413" t="str">
        <f>Orders[[#This Row],[Sales Tier]] &amp; "-" &amp; Orders[[#This Row],[Quantity Tier]]</f>
        <v>High Price-High Volume</v>
      </c>
      <c r="Y413" t="str">
        <f>TEXT(Orders[[#This Row],[Order Date]], "mmmm")</f>
        <v>September</v>
      </c>
      <c r="Z41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413" t="str">
        <f>Orders[[#This Row],[Coffee Type Name]] &amp; "-" &amp; Orders[[#This Row],[Roast Type Name]]</f>
        <v>Robusta-Light</v>
      </c>
      <c r="AB41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414" spans="1:28" x14ac:dyDescent="0.25">
      <c r="A414" s="2" t="s">
        <v>954</v>
      </c>
      <c r="B414" s="4">
        <v>43721</v>
      </c>
      <c r="C414" s="2" t="s">
        <v>955</v>
      </c>
      <c r="D414" t="s">
        <v>6181</v>
      </c>
      <c r="E414" s="2">
        <v>3</v>
      </c>
      <c r="F414" s="2" t="str">
        <f>_xlfn.XLOOKUP(C414,customers!$A$1:$A$1001,customers!$B$1:$B$1001,,0)</f>
        <v>Bunny Naulls</v>
      </c>
      <c r="G414" s="2" t="str">
        <f>IF(_xlfn.XLOOKUP(C414,customers!$A$1:$A$1001,customers!$C$1:$C$1001,,0)=0,"",_xlfn.XLOOKUP(C414,customers!$A$1:$A$1001,customers!$C$1:$C$1001,,0))</f>
        <v>bnaulls2a@tiny.cc</v>
      </c>
      <c r="H414" s="2" t="str">
        <f>_xlfn.XLOOKUP(C414,customers!$A$1:$A$1001,customers!$G$1:$G$1001,,0)</f>
        <v>Ireland</v>
      </c>
      <c r="I414" t="str">
        <f>INDEX(products!$A$1:$G$49, MATCH(orders!$D84,products!$A$1:$A131,0), MATCH(orders!I$1,products!$A$1:$G$1,0))</f>
        <v>Lib</v>
      </c>
      <c r="J414" t="str">
        <f>INDEX(products!$A$1:$G$49, MATCH(orders!$D84,products!$A$1:$A131,0), MATCH(orders!J$1,products!$A$1:$G$1,0))</f>
        <v>M</v>
      </c>
      <c r="K414" s="5">
        <f>INDEX(products!$A$1:$G$49, MATCH(orders!$D84,products!$A$1:$A131,0), MATCH(orders!K$1,products!$A$1:$G$1,0))</f>
        <v>2.5</v>
      </c>
      <c r="L414" s="6">
        <f>INDEX(products!$A$1:$G$49, MATCH(orders!$D84,products!$A$1:$A131,0), MATCH(orders!L$1,products!$A$1:$G$1,0))</f>
        <v>33.464999999999996</v>
      </c>
      <c r="M414" s="6">
        <f t="shared" si="18"/>
        <v>100.39499999999998</v>
      </c>
      <c r="N414" t="str">
        <f t="shared" si="19"/>
        <v>Liberica</v>
      </c>
      <c r="O414" t="str">
        <f t="shared" si="20"/>
        <v>Medium</v>
      </c>
      <c r="P414" t="str">
        <f>_xlfn.XLOOKUP(Orders[[#This Row],[Customer ID]],customers!$A$1:$A$1001,customers!$I$1:$I$1001,,0)</f>
        <v>Yes</v>
      </c>
      <c r="Q414">
        <f>COUNTIF(Orders[Order ID],Orders[[#This Row],[Order ID]])</f>
        <v>1</v>
      </c>
      <c r="R414" s="10">
        <f>SUMIF(Orders[Order ID], Orders[[#This Row],[Order ID]],Orders[Sales])/Orders[[#This Row],[Order Frequency]]</f>
        <v>100.39499999999998</v>
      </c>
      <c r="S414" t="str">
        <f>IF(Orders[[#This Row],[Order Frequency]]&gt;4, "More than 4", IF(AND(Orders[[#This Row],[Order Frequency]]&lt;=4,Orders[[#This Row],[Order Frequency]]&gt;=2), "Between 4 and 2", "Less than 2"))</f>
        <v>Less than 2</v>
      </c>
      <c r="T414" t="str">
        <f>IF(Orders[[#This Row],[Frequency Group]]="less than 2", "Low Value", IF(Orders[[#This Row],[Frequency Group]]="between 4 and 2", "Medium Value", "High Value"))</f>
        <v>Low Value</v>
      </c>
      <c r="U414" t="str">
        <f>IF(Orders[[#This Row],[Sales]]&lt;50, "$0-50", IF(AND(Orders[[#This Row],[Sales]]&gt;=50,Orders[[#This Row],[Sales]]&lt;=100), "$50-100", IF(AND(Orders[[#This Row],[Sales]]&gt;100,Orders[[#This Row],[Sales]]&lt;=150), "$101-150", "$150+")))</f>
        <v>$101-150</v>
      </c>
      <c r="V414" t="str">
        <f>IF(Orders[[#This Row],[Sales]]&gt;MEDIAN(M:M), "High Price", "Low Price")</f>
        <v>High Price</v>
      </c>
      <c r="W414" t="str">
        <f>IF(Orders[[#This Row],[Quantity]]&gt;MEDIAN(E:E), "High Volume", "Low Volume")</f>
        <v>Low Volume</v>
      </c>
      <c r="X414" t="str">
        <f>Orders[[#This Row],[Sales Tier]] &amp; "-" &amp; Orders[[#This Row],[Quantity Tier]]</f>
        <v>High Price-Low Volume</v>
      </c>
      <c r="Y414" t="str">
        <f>TEXT(Orders[[#This Row],[Order Date]], "mmmm")</f>
        <v>September</v>
      </c>
      <c r="Z41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414" t="str">
        <f>Orders[[#This Row],[Coffee Type Name]] &amp; "-" &amp; Orders[[#This Row],[Roast Type Name]]</f>
        <v>Liberica-Medium</v>
      </c>
      <c r="AB41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415" spans="1:28" x14ac:dyDescent="0.25">
      <c r="A415" s="2" t="s">
        <v>3170</v>
      </c>
      <c r="B415" s="4">
        <v>44014</v>
      </c>
      <c r="C415" s="2" t="s">
        <v>3171</v>
      </c>
      <c r="D415" t="s">
        <v>6166</v>
      </c>
      <c r="E415" s="2">
        <v>1</v>
      </c>
      <c r="F415" s="2" t="str">
        <f>_xlfn.XLOOKUP(C415,customers!$A$1:$A$1001,customers!$B$1:$B$1001,,0)</f>
        <v>Granger Smallcombe</v>
      </c>
      <c r="G415" s="2" t="str">
        <f>IF(_xlfn.XLOOKUP(C415,customers!$A$1:$A$1001,customers!$C$1:$C$1001,,0)=0,"",_xlfn.XLOOKUP(C415,customers!$A$1:$A$1001,customers!$C$1:$C$1001,,0))</f>
        <v>gsmallcombed6@ucla.edu</v>
      </c>
      <c r="H415" s="2" t="str">
        <f>_xlfn.XLOOKUP(C415,customers!$A$1:$A$1001,customers!$G$1:$G$1001,,0)</f>
        <v>Ireland</v>
      </c>
      <c r="I415" t="str">
        <f>INDEX(products!$A$1:$G$49, MATCH(orders!$D476,products!$A$1:$A523,0), MATCH(orders!I$1,products!$A$1:$G$1,0))</f>
        <v>Exc</v>
      </c>
      <c r="J415" t="str">
        <f>INDEX(products!$A$1:$G$49, MATCH(orders!$D476,products!$A$1:$A523,0), MATCH(orders!J$1,products!$A$1:$G$1,0))</f>
        <v>M</v>
      </c>
      <c r="K415" s="5">
        <f>INDEX(products!$A$1:$G$49, MATCH(orders!$D476,products!$A$1:$A523,0), MATCH(orders!K$1,products!$A$1:$G$1,0))</f>
        <v>2.5</v>
      </c>
      <c r="L415" s="6">
        <f>INDEX(products!$A$1:$G$49, MATCH(orders!$D476,products!$A$1:$A523,0), MATCH(orders!L$1,products!$A$1:$G$1,0))</f>
        <v>31.624999999999996</v>
      </c>
      <c r="M415" s="6">
        <f t="shared" si="18"/>
        <v>31.624999999999996</v>
      </c>
      <c r="N415" t="str">
        <f t="shared" si="19"/>
        <v>Excelsa</v>
      </c>
      <c r="O415" t="str">
        <f t="shared" si="20"/>
        <v>Medium</v>
      </c>
      <c r="P415" t="str">
        <f>_xlfn.XLOOKUP(Orders[[#This Row],[Customer ID]],customers!$A$1:$A$1001,customers!$I$1:$I$1001,,0)</f>
        <v>Yes</v>
      </c>
      <c r="Q415">
        <f>COUNTIF(Orders[Order ID],Orders[[#This Row],[Order ID]])</f>
        <v>1</v>
      </c>
      <c r="R415" s="10">
        <f>SUMIF(Orders[Order ID], Orders[[#This Row],[Order ID]],Orders[Sales])/Orders[[#This Row],[Order Frequency]]</f>
        <v>31.624999999999996</v>
      </c>
      <c r="S415" t="str">
        <f>IF(Orders[[#This Row],[Order Frequency]]&gt;4, "More than 4", IF(AND(Orders[[#This Row],[Order Frequency]]&lt;=4,Orders[[#This Row],[Order Frequency]]&gt;=2), "Between 4 and 2", "Less than 2"))</f>
        <v>Less than 2</v>
      </c>
      <c r="T415" t="str">
        <f>IF(Orders[[#This Row],[Frequency Group]]="less than 2", "Low Value", IF(Orders[[#This Row],[Frequency Group]]="between 4 and 2", "Medium Value", "High Value"))</f>
        <v>Low Value</v>
      </c>
      <c r="U415" t="str">
        <f>IF(Orders[[#This Row],[Sales]]&lt;50, "$0-50", IF(AND(Orders[[#This Row],[Sales]]&gt;=50,Orders[[#This Row],[Sales]]&lt;=100), "$50-100", IF(AND(Orders[[#This Row],[Sales]]&gt;100,Orders[[#This Row],[Sales]]&lt;=150), "$101-150", "$150+")))</f>
        <v>$0-50</v>
      </c>
      <c r="V415" t="str">
        <f>IF(Orders[[#This Row],[Sales]]&gt;MEDIAN(M:M), "High Price", "Low Price")</f>
        <v>High Price</v>
      </c>
      <c r="W415" t="str">
        <f>IF(Orders[[#This Row],[Quantity]]&gt;MEDIAN(E:E), "High Volume", "Low Volume")</f>
        <v>Low Volume</v>
      </c>
      <c r="X415" t="str">
        <f>Orders[[#This Row],[Sales Tier]] &amp; "-" &amp; Orders[[#This Row],[Quantity Tier]]</f>
        <v>High Price-Low Volume</v>
      </c>
      <c r="Y415" t="str">
        <f>TEXT(Orders[[#This Row],[Order Date]], "mmmm")</f>
        <v>July</v>
      </c>
      <c r="Z41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415" t="str">
        <f>Orders[[#This Row],[Coffee Type Name]] &amp; "-" &amp; Orders[[#This Row],[Roast Type Name]]</f>
        <v>Excelsa-Medium</v>
      </c>
      <c r="AB41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416" spans="1:28" x14ac:dyDescent="0.25">
      <c r="A416" s="2" t="s">
        <v>885</v>
      </c>
      <c r="B416" s="4">
        <v>43646</v>
      </c>
      <c r="C416" s="2" t="s">
        <v>886</v>
      </c>
      <c r="D416" t="s">
        <v>6148</v>
      </c>
      <c r="E416" s="2">
        <v>4</v>
      </c>
      <c r="F416" s="2" t="str">
        <f>_xlfn.XLOOKUP(C416,customers!$A$1:$A$1001,customers!$B$1:$B$1001,,0)</f>
        <v>Shannon List</v>
      </c>
      <c r="G416" s="2" t="str">
        <f>IF(_xlfn.XLOOKUP(C416,customers!$A$1:$A$1001,customers!$C$1:$C$1001,,0)=0,"",_xlfn.XLOOKUP(C416,customers!$A$1:$A$1001,customers!$C$1:$C$1001,,0))</f>
        <v>slist1y@mapquest.com</v>
      </c>
      <c r="H416" s="2" t="str">
        <f>_xlfn.XLOOKUP(C416,customers!$A$1:$A$1001,customers!$G$1:$G$1001,,0)</f>
        <v>United States</v>
      </c>
      <c r="I416" t="str">
        <f>INDEX(products!$A$1:$G$49, MATCH(orders!$D72,products!$A$1:$A119,0), MATCH(orders!I$1,products!$A$1:$G$1,0))</f>
        <v>Exc</v>
      </c>
      <c r="J416" t="str">
        <f>INDEX(products!$A$1:$G$49, MATCH(orders!$D72,products!$A$1:$A119,0), MATCH(orders!J$1,products!$A$1:$G$1,0))</f>
        <v>L</v>
      </c>
      <c r="K416" s="5">
        <f>INDEX(products!$A$1:$G$49, MATCH(orders!$D72,products!$A$1:$A119,0), MATCH(orders!K$1,products!$A$1:$G$1,0))</f>
        <v>2.5</v>
      </c>
      <c r="L416" s="6">
        <f>INDEX(products!$A$1:$G$49, MATCH(orders!$D72,products!$A$1:$A119,0), MATCH(orders!L$1,products!$A$1:$G$1,0))</f>
        <v>34.154999999999994</v>
      </c>
      <c r="M416" s="6">
        <f t="shared" si="18"/>
        <v>136.61999999999998</v>
      </c>
      <c r="N416" t="str">
        <f t="shared" si="19"/>
        <v>Excelsa</v>
      </c>
      <c r="O416" t="str">
        <f t="shared" si="20"/>
        <v>Light</v>
      </c>
      <c r="P416" t="str">
        <f>_xlfn.XLOOKUP(Orders[[#This Row],[Customer ID]],customers!$A$1:$A$1001,customers!$I$1:$I$1001,,0)</f>
        <v>No</v>
      </c>
      <c r="Q416">
        <f>COUNTIF(Orders[Order ID],Orders[[#This Row],[Order ID]])</f>
        <v>1</v>
      </c>
      <c r="R416" s="10">
        <f>SUMIF(Orders[Order ID], Orders[[#This Row],[Order ID]],Orders[Sales])/Orders[[#This Row],[Order Frequency]]</f>
        <v>136.61999999999998</v>
      </c>
      <c r="S416" t="str">
        <f>IF(Orders[[#This Row],[Order Frequency]]&gt;4, "More than 4", IF(AND(Orders[[#This Row],[Order Frequency]]&lt;=4,Orders[[#This Row],[Order Frequency]]&gt;=2), "Between 4 and 2", "Less than 2"))</f>
        <v>Less than 2</v>
      </c>
      <c r="T416" t="str">
        <f>IF(Orders[[#This Row],[Frequency Group]]="less than 2", "Low Value", IF(Orders[[#This Row],[Frequency Group]]="between 4 and 2", "Medium Value", "High Value"))</f>
        <v>Low Value</v>
      </c>
      <c r="U416" t="str">
        <f>IF(Orders[[#This Row],[Sales]]&lt;50, "$0-50", IF(AND(Orders[[#This Row],[Sales]]&gt;=50,Orders[[#This Row],[Sales]]&lt;=100), "$50-100", IF(AND(Orders[[#This Row],[Sales]]&gt;100,Orders[[#This Row],[Sales]]&lt;=150), "$101-150", "$150+")))</f>
        <v>$101-150</v>
      </c>
      <c r="V416" t="str">
        <f>IF(Orders[[#This Row],[Sales]]&gt;MEDIAN(M:M), "High Price", "Low Price")</f>
        <v>High Price</v>
      </c>
      <c r="W416" t="str">
        <f>IF(Orders[[#This Row],[Quantity]]&gt;MEDIAN(E:E), "High Volume", "Low Volume")</f>
        <v>Low Volume</v>
      </c>
      <c r="X416" t="str">
        <f>Orders[[#This Row],[Sales Tier]] &amp; "-" &amp; Orders[[#This Row],[Quantity Tier]]</f>
        <v>High Price-Low Volume</v>
      </c>
      <c r="Y416" t="str">
        <f>TEXT(Orders[[#This Row],[Order Date]], "mmmm")</f>
        <v>June</v>
      </c>
      <c r="Z41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16" t="str">
        <f>Orders[[#This Row],[Coffee Type Name]] &amp; "-" &amp; Orders[[#This Row],[Roast Type Name]]</f>
        <v>Excelsa-Light</v>
      </c>
      <c r="AB41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417" spans="1:28" x14ac:dyDescent="0.25">
      <c r="A417" s="2" t="s">
        <v>2148</v>
      </c>
      <c r="B417" s="4">
        <v>44659</v>
      </c>
      <c r="C417" s="2" t="s">
        <v>2149</v>
      </c>
      <c r="D417" t="s">
        <v>6171</v>
      </c>
      <c r="E417" s="2">
        <v>3</v>
      </c>
      <c r="F417" s="2" t="str">
        <f>_xlfn.XLOOKUP(C417,customers!$A$1:$A$1001,customers!$B$1:$B$1001,,0)</f>
        <v>Micki Fero</v>
      </c>
      <c r="G417" s="2" t="str">
        <f>IF(_xlfn.XLOOKUP(C417,customers!$A$1:$A$1001,customers!$C$1:$C$1001,,0)=0,"",_xlfn.XLOOKUP(C417,customers!$A$1:$A$1001,customers!$C$1:$C$1001,,0))</f>
        <v/>
      </c>
      <c r="H417" s="2" t="str">
        <f>_xlfn.XLOOKUP(C417,customers!$A$1:$A$1001,customers!$G$1:$G$1001,,0)</f>
        <v>United States</v>
      </c>
      <c r="I417" t="str">
        <f>INDEX(products!$A$1:$G$49, MATCH(orders!$D296,products!$A$1:$A343,0), MATCH(orders!I$1,products!$A$1:$G$1,0))</f>
        <v>Exc</v>
      </c>
      <c r="J417" t="str">
        <f>INDEX(products!$A$1:$G$49, MATCH(orders!$D296,products!$A$1:$A343,0), MATCH(orders!J$1,products!$A$1:$G$1,0))</f>
        <v>L</v>
      </c>
      <c r="K417" s="5">
        <f>INDEX(products!$A$1:$G$49, MATCH(orders!$D296,products!$A$1:$A343,0), MATCH(orders!K$1,products!$A$1:$G$1,0))</f>
        <v>1</v>
      </c>
      <c r="L417" s="6">
        <f>INDEX(products!$A$1:$G$49, MATCH(orders!$D296,products!$A$1:$A343,0), MATCH(orders!L$1,products!$A$1:$G$1,0))</f>
        <v>14.85</v>
      </c>
      <c r="M417" s="6">
        <f t="shared" si="18"/>
        <v>44.55</v>
      </c>
      <c r="N417" t="str">
        <f t="shared" si="19"/>
        <v>Excelsa</v>
      </c>
      <c r="O417" t="str">
        <f t="shared" si="20"/>
        <v>Light</v>
      </c>
      <c r="P417" t="str">
        <f>_xlfn.XLOOKUP(Orders[[#This Row],[Customer ID]],customers!$A$1:$A$1001,customers!$I$1:$I$1001,,0)</f>
        <v>No</v>
      </c>
      <c r="Q417">
        <f>COUNTIF(Orders[Order ID],Orders[[#This Row],[Order ID]])</f>
        <v>1</v>
      </c>
      <c r="R417" s="10">
        <f>SUMIF(Orders[Order ID], Orders[[#This Row],[Order ID]],Orders[Sales])/Orders[[#This Row],[Order Frequency]]</f>
        <v>44.55</v>
      </c>
      <c r="S417" t="str">
        <f>IF(Orders[[#This Row],[Order Frequency]]&gt;4, "More than 4", IF(AND(Orders[[#This Row],[Order Frequency]]&lt;=4,Orders[[#This Row],[Order Frequency]]&gt;=2), "Between 4 and 2", "Less than 2"))</f>
        <v>Less than 2</v>
      </c>
      <c r="T417" t="str">
        <f>IF(Orders[[#This Row],[Frequency Group]]="less than 2", "Low Value", IF(Orders[[#This Row],[Frequency Group]]="between 4 and 2", "Medium Value", "High Value"))</f>
        <v>Low Value</v>
      </c>
      <c r="U417" t="str">
        <f>IF(Orders[[#This Row],[Sales]]&lt;50, "$0-50", IF(AND(Orders[[#This Row],[Sales]]&gt;=50,Orders[[#This Row],[Sales]]&lt;=100), "$50-100", IF(AND(Orders[[#This Row],[Sales]]&gt;100,Orders[[#This Row],[Sales]]&lt;=150), "$101-150", "$150+")))</f>
        <v>$0-50</v>
      </c>
      <c r="V417" t="str">
        <f>IF(Orders[[#This Row],[Sales]]&gt;MEDIAN(M:M), "High Price", "Low Price")</f>
        <v>High Price</v>
      </c>
      <c r="W417" t="str">
        <f>IF(Orders[[#This Row],[Quantity]]&gt;MEDIAN(E:E), "High Volume", "Low Volume")</f>
        <v>Low Volume</v>
      </c>
      <c r="X417" t="str">
        <f>Orders[[#This Row],[Sales Tier]] &amp; "-" &amp; Orders[[#This Row],[Quantity Tier]]</f>
        <v>High Price-Low Volume</v>
      </c>
      <c r="Y417" t="str">
        <f>TEXT(Orders[[#This Row],[Order Date]], "mmmm")</f>
        <v>April</v>
      </c>
      <c r="Z41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17" t="str">
        <f>Orders[[#This Row],[Coffee Type Name]] &amp; "-" &amp; Orders[[#This Row],[Roast Type Name]]</f>
        <v>Excelsa-Light</v>
      </c>
      <c r="AB41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18" spans="1:28" x14ac:dyDescent="0.25">
      <c r="A418" s="2" t="s">
        <v>1812</v>
      </c>
      <c r="B418" s="4">
        <v>44602</v>
      </c>
      <c r="C418" s="2" t="s">
        <v>1813</v>
      </c>
      <c r="D418" t="s">
        <v>6164</v>
      </c>
      <c r="E418" s="2">
        <v>1</v>
      </c>
      <c r="F418" s="2" t="str">
        <f>_xlfn.XLOOKUP(C418,customers!$A$1:$A$1001,customers!$B$1:$B$1001,,0)</f>
        <v>Tomas Sutty</v>
      </c>
      <c r="G418" s="2" t="str">
        <f>IF(_xlfn.XLOOKUP(C418,customers!$A$1:$A$1001,customers!$C$1:$C$1001,,0)=0,"",_xlfn.XLOOKUP(C418,customers!$A$1:$A$1001,customers!$C$1:$C$1001,,0))</f>
        <v>tsutty6i@google.es</v>
      </c>
      <c r="H418" s="2" t="str">
        <f>_xlfn.XLOOKUP(C418,customers!$A$1:$A$1001,customers!$G$1:$G$1001,,0)</f>
        <v>United States</v>
      </c>
      <c r="I418" t="str">
        <f>INDEX(products!$A$1:$G$49, MATCH(orders!$D236,products!$A$1:$A283,0), MATCH(orders!I$1,products!$A$1:$G$1,0))</f>
        <v>Lib</v>
      </c>
      <c r="J418" t="str">
        <f>INDEX(products!$A$1:$G$49, MATCH(orders!$D236,products!$A$1:$A283,0), MATCH(orders!J$1,products!$A$1:$G$1,0))</f>
        <v>L</v>
      </c>
      <c r="K418" s="5">
        <f>INDEX(products!$A$1:$G$49, MATCH(orders!$D236,products!$A$1:$A283,0), MATCH(orders!K$1,products!$A$1:$G$1,0))</f>
        <v>2.5</v>
      </c>
      <c r="L418" s="6">
        <f>INDEX(products!$A$1:$G$49, MATCH(orders!$D236,products!$A$1:$A283,0), MATCH(orders!L$1,products!$A$1:$G$1,0))</f>
        <v>36.454999999999998</v>
      </c>
      <c r="M418" s="6">
        <f t="shared" si="18"/>
        <v>36.454999999999998</v>
      </c>
      <c r="N418" t="str">
        <f t="shared" si="19"/>
        <v>Liberica</v>
      </c>
      <c r="O418" t="str">
        <f t="shared" si="20"/>
        <v>Light</v>
      </c>
      <c r="P418" t="str">
        <f>_xlfn.XLOOKUP(Orders[[#This Row],[Customer ID]],customers!$A$1:$A$1001,customers!$I$1:$I$1001,,0)</f>
        <v>No</v>
      </c>
      <c r="Q418">
        <f>COUNTIF(Orders[Order ID],Orders[[#This Row],[Order ID]])</f>
        <v>1</v>
      </c>
      <c r="R418" s="10">
        <f>SUMIF(Orders[Order ID], Orders[[#This Row],[Order ID]],Orders[Sales])/Orders[[#This Row],[Order Frequency]]</f>
        <v>36.454999999999998</v>
      </c>
      <c r="S418" t="str">
        <f>IF(Orders[[#This Row],[Order Frequency]]&gt;4, "More than 4", IF(AND(Orders[[#This Row],[Order Frequency]]&lt;=4,Orders[[#This Row],[Order Frequency]]&gt;=2), "Between 4 and 2", "Less than 2"))</f>
        <v>Less than 2</v>
      </c>
      <c r="T418" t="str">
        <f>IF(Orders[[#This Row],[Frequency Group]]="less than 2", "Low Value", IF(Orders[[#This Row],[Frequency Group]]="between 4 and 2", "Medium Value", "High Value"))</f>
        <v>Low Value</v>
      </c>
      <c r="U418" t="str">
        <f>IF(Orders[[#This Row],[Sales]]&lt;50, "$0-50", IF(AND(Orders[[#This Row],[Sales]]&gt;=50,Orders[[#This Row],[Sales]]&lt;=100), "$50-100", IF(AND(Orders[[#This Row],[Sales]]&gt;100,Orders[[#This Row],[Sales]]&lt;=150), "$101-150", "$150+")))</f>
        <v>$0-50</v>
      </c>
      <c r="V418" t="str">
        <f>IF(Orders[[#This Row],[Sales]]&gt;MEDIAN(M:M), "High Price", "Low Price")</f>
        <v>High Price</v>
      </c>
      <c r="W418" t="str">
        <f>IF(Orders[[#This Row],[Quantity]]&gt;MEDIAN(E:E), "High Volume", "Low Volume")</f>
        <v>Low Volume</v>
      </c>
      <c r="X418" t="str">
        <f>Orders[[#This Row],[Sales Tier]] &amp; "-" &amp; Orders[[#This Row],[Quantity Tier]]</f>
        <v>High Price-Low Volume</v>
      </c>
      <c r="Y418" t="str">
        <f>TEXT(Orders[[#This Row],[Order Date]], "mmmm")</f>
        <v>February</v>
      </c>
      <c r="Z41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418" t="str">
        <f>Orders[[#This Row],[Coffee Type Name]] &amp; "-" &amp; Orders[[#This Row],[Roast Type Name]]</f>
        <v>Liberica-Light</v>
      </c>
      <c r="AB41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419" spans="1:28" x14ac:dyDescent="0.25">
      <c r="A419" s="2" t="s">
        <v>2787</v>
      </c>
      <c r="B419" s="4">
        <v>44595</v>
      </c>
      <c r="C419" s="2" t="s">
        <v>2788</v>
      </c>
      <c r="D419" t="s">
        <v>6139</v>
      </c>
      <c r="E419" s="2">
        <v>6</v>
      </c>
      <c r="F419" s="2" t="str">
        <f>_xlfn.XLOOKUP(C419,customers!$A$1:$A$1001,customers!$B$1:$B$1001,,0)</f>
        <v>Lorin Guerrazzi</v>
      </c>
      <c r="G419" s="2" t="str">
        <f>IF(_xlfn.XLOOKUP(C419,customers!$A$1:$A$1001,customers!$C$1:$C$1001,,0)=0,"",_xlfn.XLOOKUP(C419,customers!$A$1:$A$1001,customers!$C$1:$C$1001,,0))</f>
        <v/>
      </c>
      <c r="H419" s="2" t="str">
        <f>_xlfn.XLOOKUP(C419,customers!$A$1:$A$1001,customers!$G$1:$G$1001,,0)</f>
        <v>Ireland</v>
      </c>
      <c r="I419" t="str">
        <f>INDEX(products!$A$1:$G$49, MATCH(orders!$D409,products!$A$1:$A456,0), MATCH(orders!I$1,products!$A$1:$G$1,0))</f>
        <v>Exc</v>
      </c>
      <c r="J419" t="str">
        <f>INDEX(products!$A$1:$G$49, MATCH(orders!$D409,products!$A$1:$A456,0), MATCH(orders!J$1,products!$A$1:$G$1,0))</f>
        <v>M</v>
      </c>
      <c r="K419" s="5">
        <f>INDEX(products!$A$1:$G$49, MATCH(orders!$D409,products!$A$1:$A456,0), MATCH(orders!K$1,products!$A$1:$G$1,0))</f>
        <v>0.5</v>
      </c>
      <c r="L419" s="6">
        <f>INDEX(products!$A$1:$G$49, MATCH(orders!$D409,products!$A$1:$A456,0), MATCH(orders!L$1,products!$A$1:$G$1,0))</f>
        <v>8.25</v>
      </c>
      <c r="M419" s="6">
        <f t="shared" si="18"/>
        <v>49.5</v>
      </c>
      <c r="N419" t="str">
        <f t="shared" si="19"/>
        <v>Excelsa</v>
      </c>
      <c r="O419" t="str">
        <f t="shared" si="20"/>
        <v>Medium</v>
      </c>
      <c r="P419" t="str">
        <f>_xlfn.XLOOKUP(Orders[[#This Row],[Customer ID]],customers!$A$1:$A$1001,customers!$I$1:$I$1001,,0)</f>
        <v>No</v>
      </c>
      <c r="Q419">
        <f>COUNTIF(Orders[Order ID],Orders[[#This Row],[Order ID]])</f>
        <v>1</v>
      </c>
      <c r="R419" s="10">
        <f>SUMIF(Orders[Order ID], Orders[[#This Row],[Order ID]],Orders[Sales])/Orders[[#This Row],[Order Frequency]]</f>
        <v>49.5</v>
      </c>
      <c r="S419" t="str">
        <f>IF(Orders[[#This Row],[Order Frequency]]&gt;4, "More than 4", IF(AND(Orders[[#This Row],[Order Frequency]]&lt;=4,Orders[[#This Row],[Order Frequency]]&gt;=2), "Between 4 and 2", "Less than 2"))</f>
        <v>Less than 2</v>
      </c>
      <c r="T419" t="str">
        <f>IF(Orders[[#This Row],[Frequency Group]]="less than 2", "Low Value", IF(Orders[[#This Row],[Frequency Group]]="between 4 and 2", "Medium Value", "High Value"))</f>
        <v>Low Value</v>
      </c>
      <c r="U419" t="str">
        <f>IF(Orders[[#This Row],[Sales]]&lt;50, "$0-50", IF(AND(Orders[[#This Row],[Sales]]&gt;=50,Orders[[#This Row],[Sales]]&lt;=100), "$50-100", IF(AND(Orders[[#This Row],[Sales]]&gt;100,Orders[[#This Row],[Sales]]&lt;=150), "$101-150", "$150+")))</f>
        <v>$0-50</v>
      </c>
      <c r="V419" t="str">
        <f>IF(Orders[[#This Row],[Sales]]&gt;MEDIAN(M:M), "High Price", "Low Price")</f>
        <v>High Price</v>
      </c>
      <c r="W419" t="str">
        <f>IF(Orders[[#This Row],[Quantity]]&gt;MEDIAN(E:E), "High Volume", "Low Volume")</f>
        <v>High Volume</v>
      </c>
      <c r="X419" t="str">
        <f>Orders[[#This Row],[Sales Tier]] &amp; "-" &amp; Orders[[#This Row],[Quantity Tier]]</f>
        <v>High Price-High Volume</v>
      </c>
      <c r="Y419" t="str">
        <f>TEXT(Orders[[#This Row],[Order Date]], "mmmm")</f>
        <v>February</v>
      </c>
      <c r="Z41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419" t="str">
        <f>Orders[[#This Row],[Coffee Type Name]] &amp; "-" &amp; Orders[[#This Row],[Roast Type Name]]</f>
        <v>Excelsa-Medium</v>
      </c>
      <c r="AB41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420" spans="1:28" x14ac:dyDescent="0.25">
      <c r="A420" s="2" t="s">
        <v>1719</v>
      </c>
      <c r="B420" s="4">
        <v>44317</v>
      </c>
      <c r="C420" s="2" t="s">
        <v>1720</v>
      </c>
      <c r="D420" t="s">
        <v>6155</v>
      </c>
      <c r="E420" s="2">
        <v>5</v>
      </c>
      <c r="F420" s="2" t="str">
        <f>_xlfn.XLOOKUP(C420,customers!$A$1:$A$1001,customers!$B$1:$B$1001,,0)</f>
        <v>Rem Furman</v>
      </c>
      <c r="G420" s="2" t="str">
        <f>IF(_xlfn.XLOOKUP(C420,customers!$A$1:$A$1001,customers!$C$1:$C$1001,,0)=0,"",_xlfn.XLOOKUP(C420,customers!$A$1:$A$1001,customers!$C$1:$C$1001,,0))</f>
        <v>rfurman62@t.co</v>
      </c>
      <c r="H420" s="2" t="str">
        <f>_xlfn.XLOOKUP(C420,customers!$A$1:$A$1001,customers!$G$1:$G$1001,,0)</f>
        <v>Ireland</v>
      </c>
      <c r="I420" t="str">
        <f>INDEX(products!$A$1:$G$49, MATCH(orders!$D220,products!$A$1:$A267,0), MATCH(orders!I$1,products!$A$1:$G$1,0))</f>
        <v>Ara</v>
      </c>
      <c r="J420" t="str">
        <f>INDEX(products!$A$1:$G$49, MATCH(orders!$D220,products!$A$1:$A267,0), MATCH(orders!J$1,products!$A$1:$G$1,0))</f>
        <v>M</v>
      </c>
      <c r="K420" s="5">
        <f>INDEX(products!$A$1:$G$49, MATCH(orders!$D220,products!$A$1:$A267,0), MATCH(orders!K$1,products!$A$1:$G$1,0))</f>
        <v>1</v>
      </c>
      <c r="L420" s="6">
        <f>INDEX(products!$A$1:$G$49, MATCH(orders!$D220,products!$A$1:$A267,0), MATCH(orders!L$1,products!$A$1:$G$1,0))</f>
        <v>11.25</v>
      </c>
      <c r="M420" s="6">
        <f t="shared" si="18"/>
        <v>56.25</v>
      </c>
      <c r="N420" t="str">
        <f t="shared" si="19"/>
        <v>Arabica</v>
      </c>
      <c r="O420" t="str">
        <f t="shared" si="20"/>
        <v>Medium</v>
      </c>
      <c r="P420" t="str">
        <f>_xlfn.XLOOKUP(Orders[[#This Row],[Customer ID]],customers!$A$1:$A$1001,customers!$I$1:$I$1001,,0)</f>
        <v>Yes</v>
      </c>
      <c r="Q420">
        <f>COUNTIF(Orders[Order ID],Orders[[#This Row],[Order ID]])</f>
        <v>1</v>
      </c>
      <c r="R420" s="10">
        <f>SUMIF(Orders[Order ID], Orders[[#This Row],[Order ID]],Orders[Sales])/Orders[[#This Row],[Order Frequency]]</f>
        <v>56.25</v>
      </c>
      <c r="S420" t="str">
        <f>IF(Orders[[#This Row],[Order Frequency]]&gt;4, "More than 4", IF(AND(Orders[[#This Row],[Order Frequency]]&lt;=4,Orders[[#This Row],[Order Frequency]]&gt;=2), "Between 4 and 2", "Less than 2"))</f>
        <v>Less than 2</v>
      </c>
      <c r="T420" t="str">
        <f>IF(Orders[[#This Row],[Frequency Group]]="less than 2", "Low Value", IF(Orders[[#This Row],[Frequency Group]]="between 4 and 2", "Medium Value", "High Value"))</f>
        <v>Low Value</v>
      </c>
      <c r="U420" t="str">
        <f>IF(Orders[[#This Row],[Sales]]&lt;50, "$0-50", IF(AND(Orders[[#This Row],[Sales]]&gt;=50,Orders[[#This Row],[Sales]]&lt;=100), "$50-100", IF(AND(Orders[[#This Row],[Sales]]&gt;100,Orders[[#This Row],[Sales]]&lt;=150), "$101-150", "$150+")))</f>
        <v>$50-100</v>
      </c>
      <c r="V420" t="str">
        <f>IF(Orders[[#This Row],[Sales]]&gt;MEDIAN(M:M), "High Price", "Low Price")</f>
        <v>High Price</v>
      </c>
      <c r="W420" t="str">
        <f>IF(Orders[[#This Row],[Quantity]]&gt;MEDIAN(E:E), "High Volume", "Low Volume")</f>
        <v>High Volume</v>
      </c>
      <c r="X420" t="str">
        <f>Orders[[#This Row],[Sales Tier]] &amp; "-" &amp; Orders[[#This Row],[Quantity Tier]]</f>
        <v>High Price-High Volume</v>
      </c>
      <c r="Y420" t="str">
        <f>TEXT(Orders[[#This Row],[Order Date]], "mmmm")</f>
        <v>May</v>
      </c>
      <c r="Z42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20" t="str">
        <f>Orders[[#This Row],[Coffee Type Name]] &amp; "-" &amp; Orders[[#This Row],[Roast Type Name]]</f>
        <v>Arabica-Medium</v>
      </c>
      <c r="AB42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21" spans="1:28" x14ac:dyDescent="0.25">
      <c r="A421" s="2" t="s">
        <v>1022</v>
      </c>
      <c r="B421" s="4">
        <v>43816</v>
      </c>
      <c r="C421" s="2" t="s">
        <v>1023</v>
      </c>
      <c r="D421" t="s">
        <v>6175</v>
      </c>
      <c r="E421" s="2">
        <v>6</v>
      </c>
      <c r="F421" s="2" t="str">
        <f>_xlfn.XLOOKUP(C421,customers!$A$1:$A$1001,customers!$B$1:$B$1001,,0)</f>
        <v>Norene Magauran</v>
      </c>
      <c r="G421" s="2" t="str">
        <f>IF(_xlfn.XLOOKUP(C421,customers!$A$1:$A$1001,customers!$C$1:$C$1001,,0)=0,"",_xlfn.XLOOKUP(C421,customers!$A$1:$A$1001,customers!$C$1:$C$1001,,0))</f>
        <v>nmagauran2n@51.la</v>
      </c>
      <c r="H421" s="2" t="str">
        <f>_xlfn.XLOOKUP(C421,customers!$A$1:$A$1001,customers!$G$1:$G$1001,,0)</f>
        <v>United States</v>
      </c>
      <c r="I421" t="str">
        <f>INDEX(products!$A$1:$G$49, MATCH(orders!$D97,products!$A$1:$A144,0), MATCH(orders!I$1,products!$A$1:$G$1,0))</f>
        <v>Ara</v>
      </c>
      <c r="J421" t="str">
        <f>INDEX(products!$A$1:$G$49, MATCH(orders!$D97,products!$A$1:$A144,0), MATCH(orders!J$1,products!$A$1:$G$1,0))</f>
        <v>M</v>
      </c>
      <c r="K421" s="5">
        <f>INDEX(products!$A$1:$G$49, MATCH(orders!$D97,products!$A$1:$A144,0), MATCH(orders!K$1,products!$A$1:$G$1,0))</f>
        <v>2.5</v>
      </c>
      <c r="L421" s="6">
        <f>INDEX(products!$A$1:$G$49, MATCH(orders!$D97,products!$A$1:$A144,0), MATCH(orders!L$1,products!$A$1:$G$1,0))</f>
        <v>25.874999999999996</v>
      </c>
      <c r="M421" s="6">
        <f t="shared" si="18"/>
        <v>155.24999999999997</v>
      </c>
      <c r="N421" t="str">
        <f t="shared" si="19"/>
        <v>Arabica</v>
      </c>
      <c r="O421" t="str">
        <f t="shared" si="20"/>
        <v>Medium</v>
      </c>
      <c r="P421" t="str">
        <f>_xlfn.XLOOKUP(Orders[[#This Row],[Customer ID]],customers!$A$1:$A$1001,customers!$I$1:$I$1001,,0)</f>
        <v>No</v>
      </c>
      <c r="Q421">
        <f>COUNTIF(Orders[Order ID],Orders[[#This Row],[Order ID]])</f>
        <v>1</v>
      </c>
      <c r="R421" s="10">
        <f>SUMIF(Orders[Order ID], Orders[[#This Row],[Order ID]],Orders[Sales])/Orders[[#This Row],[Order Frequency]]</f>
        <v>155.24999999999997</v>
      </c>
      <c r="S421" t="str">
        <f>IF(Orders[[#This Row],[Order Frequency]]&gt;4, "More than 4", IF(AND(Orders[[#This Row],[Order Frequency]]&lt;=4,Orders[[#This Row],[Order Frequency]]&gt;=2), "Between 4 and 2", "Less than 2"))</f>
        <v>Less than 2</v>
      </c>
      <c r="T421" t="str">
        <f>IF(Orders[[#This Row],[Frequency Group]]="less than 2", "Low Value", IF(Orders[[#This Row],[Frequency Group]]="between 4 and 2", "Medium Value", "High Value"))</f>
        <v>Low Value</v>
      </c>
      <c r="U421" t="str">
        <f>IF(Orders[[#This Row],[Sales]]&lt;50, "$0-50", IF(AND(Orders[[#This Row],[Sales]]&gt;=50,Orders[[#This Row],[Sales]]&lt;=100), "$50-100", IF(AND(Orders[[#This Row],[Sales]]&gt;100,Orders[[#This Row],[Sales]]&lt;=150), "$101-150", "$150+")))</f>
        <v>$150+</v>
      </c>
      <c r="V421" t="str">
        <f>IF(Orders[[#This Row],[Sales]]&gt;MEDIAN(M:M), "High Price", "Low Price")</f>
        <v>High Price</v>
      </c>
      <c r="W421" t="str">
        <f>IF(Orders[[#This Row],[Quantity]]&gt;MEDIAN(E:E), "High Volume", "Low Volume")</f>
        <v>High Volume</v>
      </c>
      <c r="X421" t="str">
        <f>Orders[[#This Row],[Sales Tier]] &amp; "-" &amp; Orders[[#This Row],[Quantity Tier]]</f>
        <v>High Price-High Volume</v>
      </c>
      <c r="Y421" t="str">
        <f>TEXT(Orders[[#This Row],[Order Date]], "mmmm")</f>
        <v>December</v>
      </c>
      <c r="Z42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421" t="str">
        <f>Orders[[#This Row],[Coffee Type Name]] &amp; "-" &amp; Orders[[#This Row],[Roast Type Name]]</f>
        <v>Arabica-Medium</v>
      </c>
      <c r="AB42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422" spans="1:28" x14ac:dyDescent="0.25">
      <c r="A422" s="2" t="s">
        <v>2733</v>
      </c>
      <c r="B422" s="4">
        <v>43677</v>
      </c>
      <c r="C422" s="2" t="s">
        <v>2734</v>
      </c>
      <c r="D422" t="s">
        <v>6154</v>
      </c>
      <c r="E422" s="2">
        <v>6</v>
      </c>
      <c r="F422" s="2" t="str">
        <f>_xlfn.XLOOKUP(C422,customers!$A$1:$A$1001,customers!$B$1:$B$1001,,0)</f>
        <v>Gran Sibray</v>
      </c>
      <c r="G422" s="2" t="str">
        <f>IF(_xlfn.XLOOKUP(C422,customers!$A$1:$A$1001,customers!$C$1:$C$1001,,0)=0,"",_xlfn.XLOOKUP(C422,customers!$A$1:$A$1001,customers!$C$1:$C$1001,,0))</f>
        <v>gsibrayb2@wsj.com</v>
      </c>
      <c r="H422" s="2" t="str">
        <f>_xlfn.XLOOKUP(C422,customers!$A$1:$A$1001,customers!$G$1:$G$1001,,0)</f>
        <v>United States</v>
      </c>
      <c r="I422" t="str">
        <f>INDEX(products!$A$1:$G$49, MATCH(orders!$D400,products!$A$1:$A447,0), MATCH(orders!I$1,products!$A$1:$G$1,0))</f>
        <v>Ara</v>
      </c>
      <c r="J422" t="str">
        <f>INDEX(products!$A$1:$G$49, MATCH(orders!$D400,products!$A$1:$A447,0), MATCH(orders!J$1,products!$A$1:$G$1,0))</f>
        <v>D</v>
      </c>
      <c r="K422" s="5">
        <f>INDEX(products!$A$1:$G$49, MATCH(orders!$D400,products!$A$1:$A447,0), MATCH(orders!K$1,products!$A$1:$G$1,0))</f>
        <v>0.2</v>
      </c>
      <c r="L422" s="6">
        <f>INDEX(products!$A$1:$G$49, MATCH(orders!$D400,products!$A$1:$A447,0), MATCH(orders!L$1,products!$A$1:$G$1,0))</f>
        <v>2.9849999999999999</v>
      </c>
      <c r="M422" s="6">
        <f t="shared" si="18"/>
        <v>17.91</v>
      </c>
      <c r="N422" t="str">
        <f t="shared" si="19"/>
        <v>Arabica</v>
      </c>
      <c r="O422" t="str">
        <f t="shared" si="20"/>
        <v>Dark</v>
      </c>
      <c r="P422" t="str">
        <f>_xlfn.XLOOKUP(Orders[[#This Row],[Customer ID]],customers!$A$1:$A$1001,customers!$I$1:$I$1001,,0)</f>
        <v>Yes</v>
      </c>
      <c r="Q422">
        <f>COUNTIF(Orders[Order ID],Orders[[#This Row],[Order ID]])</f>
        <v>1</v>
      </c>
      <c r="R422" s="10">
        <f>SUMIF(Orders[Order ID], Orders[[#This Row],[Order ID]],Orders[Sales])/Orders[[#This Row],[Order Frequency]]</f>
        <v>17.91</v>
      </c>
      <c r="S422" t="str">
        <f>IF(Orders[[#This Row],[Order Frequency]]&gt;4, "More than 4", IF(AND(Orders[[#This Row],[Order Frequency]]&lt;=4,Orders[[#This Row],[Order Frequency]]&gt;=2), "Between 4 and 2", "Less than 2"))</f>
        <v>Less than 2</v>
      </c>
      <c r="T422" t="str">
        <f>IF(Orders[[#This Row],[Frequency Group]]="less than 2", "Low Value", IF(Orders[[#This Row],[Frequency Group]]="between 4 and 2", "Medium Value", "High Value"))</f>
        <v>Low Value</v>
      </c>
      <c r="U422" t="str">
        <f>IF(Orders[[#This Row],[Sales]]&lt;50, "$0-50", IF(AND(Orders[[#This Row],[Sales]]&gt;=50,Orders[[#This Row],[Sales]]&lt;=100), "$50-100", IF(AND(Orders[[#This Row],[Sales]]&gt;100,Orders[[#This Row],[Sales]]&lt;=150), "$101-150", "$150+")))</f>
        <v>$0-50</v>
      </c>
      <c r="V422" t="str">
        <f>IF(Orders[[#This Row],[Sales]]&gt;MEDIAN(M:M), "High Price", "Low Price")</f>
        <v>Low Price</v>
      </c>
      <c r="W422" t="str">
        <f>IF(Orders[[#This Row],[Quantity]]&gt;MEDIAN(E:E), "High Volume", "Low Volume")</f>
        <v>High Volume</v>
      </c>
      <c r="X422" t="str">
        <f>Orders[[#This Row],[Sales Tier]] &amp; "-" &amp; Orders[[#This Row],[Quantity Tier]]</f>
        <v>Low Price-High Volume</v>
      </c>
      <c r="Y422" t="str">
        <f>TEXT(Orders[[#This Row],[Order Date]], "mmmm")</f>
        <v>July</v>
      </c>
      <c r="Z42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422" t="str">
        <f>Orders[[#This Row],[Coffee Type Name]] &amp; "-" &amp; Orders[[#This Row],[Roast Type Name]]</f>
        <v>Arabica-Dark</v>
      </c>
      <c r="AB42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423" spans="1:28" x14ac:dyDescent="0.25">
      <c r="A423" s="2" t="s">
        <v>5519</v>
      </c>
      <c r="B423" s="4">
        <v>43633</v>
      </c>
      <c r="C423" s="2" t="s">
        <v>5520</v>
      </c>
      <c r="D423" t="s">
        <v>6163</v>
      </c>
      <c r="E423" s="2">
        <v>1</v>
      </c>
      <c r="F423" s="2" t="str">
        <f>_xlfn.XLOOKUP(C423,customers!$A$1:$A$1001,customers!$B$1:$B$1001,,0)</f>
        <v>Scarlett Oliffe</v>
      </c>
      <c r="G423" s="2" t="str">
        <f>IF(_xlfn.XLOOKUP(C423,customers!$A$1:$A$1001,customers!$C$1:$C$1001,,0)=0,"",_xlfn.XLOOKUP(C423,customers!$A$1:$A$1001,customers!$C$1:$C$1001,,0))</f>
        <v>soliffeop@yellowbook.com</v>
      </c>
      <c r="H423" s="2" t="str">
        <f>_xlfn.XLOOKUP(C423,customers!$A$1:$A$1001,customers!$G$1:$G$1001,,0)</f>
        <v>United States</v>
      </c>
      <c r="I423" t="str">
        <f>INDEX(products!$A$1:$G$49, MATCH(orders!$D891,products!$A$1:$A938,0), MATCH(orders!I$1,products!$A$1:$G$1,0))</f>
        <v>Rob</v>
      </c>
      <c r="J423" t="str">
        <f>INDEX(products!$A$1:$G$49, MATCH(orders!$D891,products!$A$1:$A938,0), MATCH(orders!J$1,products!$A$1:$G$1,0))</f>
        <v>D</v>
      </c>
      <c r="K423" s="5">
        <f>INDEX(products!$A$1:$G$49, MATCH(orders!$D891,products!$A$1:$A938,0), MATCH(orders!K$1,products!$A$1:$G$1,0))</f>
        <v>0.2</v>
      </c>
      <c r="L423" s="6">
        <f>INDEX(products!$A$1:$G$49, MATCH(orders!$D891,products!$A$1:$A938,0), MATCH(orders!L$1,products!$A$1:$G$1,0))</f>
        <v>2.6849999999999996</v>
      </c>
      <c r="M423" s="6">
        <f t="shared" si="18"/>
        <v>2.6849999999999996</v>
      </c>
      <c r="N423" t="str">
        <f t="shared" si="19"/>
        <v>Robusta</v>
      </c>
      <c r="O423" t="str">
        <f t="shared" si="20"/>
        <v>Dark</v>
      </c>
      <c r="P423" t="str">
        <f>_xlfn.XLOOKUP(Orders[[#This Row],[Customer ID]],customers!$A$1:$A$1001,customers!$I$1:$I$1001,,0)</f>
        <v>Yes</v>
      </c>
      <c r="Q423">
        <f>COUNTIF(Orders[Order ID],Orders[[#This Row],[Order ID]])</f>
        <v>1</v>
      </c>
      <c r="R423" s="10">
        <f>SUMIF(Orders[Order ID], Orders[[#This Row],[Order ID]],Orders[Sales])/Orders[[#This Row],[Order Frequency]]</f>
        <v>2.6849999999999996</v>
      </c>
      <c r="S423" t="str">
        <f>IF(Orders[[#This Row],[Order Frequency]]&gt;4, "More than 4", IF(AND(Orders[[#This Row],[Order Frequency]]&lt;=4,Orders[[#This Row],[Order Frequency]]&gt;=2), "Between 4 and 2", "Less than 2"))</f>
        <v>Less than 2</v>
      </c>
      <c r="T423" t="str">
        <f>IF(Orders[[#This Row],[Frequency Group]]="less than 2", "Low Value", IF(Orders[[#This Row],[Frequency Group]]="between 4 and 2", "Medium Value", "High Value"))</f>
        <v>Low Value</v>
      </c>
      <c r="U423" t="str">
        <f>IF(Orders[[#This Row],[Sales]]&lt;50, "$0-50", IF(AND(Orders[[#This Row],[Sales]]&gt;=50,Orders[[#This Row],[Sales]]&lt;=100), "$50-100", IF(AND(Orders[[#This Row],[Sales]]&gt;100,Orders[[#This Row],[Sales]]&lt;=150), "$101-150", "$150+")))</f>
        <v>$0-50</v>
      </c>
      <c r="V423" t="str">
        <f>IF(Orders[[#This Row],[Sales]]&gt;MEDIAN(M:M), "High Price", "Low Price")</f>
        <v>Low Price</v>
      </c>
      <c r="W423" t="str">
        <f>IF(Orders[[#This Row],[Quantity]]&gt;MEDIAN(E:E), "High Volume", "Low Volume")</f>
        <v>Low Volume</v>
      </c>
      <c r="X423" t="str">
        <f>Orders[[#This Row],[Sales Tier]] &amp; "-" &amp; Orders[[#This Row],[Quantity Tier]]</f>
        <v>Low Price-Low Volume</v>
      </c>
      <c r="Y423" t="str">
        <f>TEXT(Orders[[#This Row],[Order Date]], "mmmm")</f>
        <v>June</v>
      </c>
      <c r="Z42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23" t="str">
        <f>Orders[[#This Row],[Coffee Type Name]] &amp; "-" &amp; Orders[[#This Row],[Roast Type Name]]</f>
        <v>Robusta-Dark</v>
      </c>
      <c r="AB42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424" spans="1:28" x14ac:dyDescent="0.25">
      <c r="A424" s="2" t="s">
        <v>5456</v>
      </c>
      <c r="B424" s="4">
        <v>44323</v>
      </c>
      <c r="C424" s="2" t="s">
        <v>5457</v>
      </c>
      <c r="D424" t="s">
        <v>6142</v>
      </c>
      <c r="E424" s="2">
        <v>1</v>
      </c>
      <c r="F424" s="2" t="str">
        <f>_xlfn.XLOOKUP(C424,customers!$A$1:$A$1001,customers!$B$1:$B$1001,,0)</f>
        <v>Izaak Primak</v>
      </c>
      <c r="G424" s="2" t="str">
        <f>IF(_xlfn.XLOOKUP(C424,customers!$A$1:$A$1001,customers!$C$1:$C$1001,,0)=0,"",_xlfn.XLOOKUP(C424,customers!$A$1:$A$1001,customers!$C$1:$C$1001,,0))</f>
        <v/>
      </c>
      <c r="H424" s="2" t="str">
        <f>_xlfn.XLOOKUP(C424,customers!$A$1:$A$1001,customers!$G$1:$G$1001,,0)</f>
        <v>United States</v>
      </c>
      <c r="I424" t="str">
        <f>INDEX(products!$A$1:$G$49, MATCH(orders!$D880,products!$A$1:$A927,0), MATCH(orders!I$1,products!$A$1:$G$1,0))</f>
        <v>Rob</v>
      </c>
      <c r="J424" t="str">
        <f>INDEX(products!$A$1:$G$49, MATCH(orders!$D880,products!$A$1:$A927,0), MATCH(orders!J$1,products!$A$1:$G$1,0))</f>
        <v>L</v>
      </c>
      <c r="K424" s="5">
        <f>INDEX(products!$A$1:$G$49, MATCH(orders!$D880,products!$A$1:$A927,0), MATCH(orders!K$1,products!$A$1:$G$1,0))</f>
        <v>2.5</v>
      </c>
      <c r="L424" s="6">
        <f>INDEX(products!$A$1:$G$49, MATCH(orders!$D880,products!$A$1:$A927,0), MATCH(orders!L$1,products!$A$1:$G$1,0))</f>
        <v>27.484999999999996</v>
      </c>
      <c r="M424" s="6">
        <f t="shared" si="18"/>
        <v>27.484999999999996</v>
      </c>
      <c r="N424" t="str">
        <f t="shared" si="19"/>
        <v>Robusta</v>
      </c>
      <c r="O424" t="str">
        <f t="shared" si="20"/>
        <v>Light</v>
      </c>
      <c r="P424" t="str">
        <f>_xlfn.XLOOKUP(Orders[[#This Row],[Customer ID]],customers!$A$1:$A$1001,customers!$I$1:$I$1001,,0)</f>
        <v>Yes</v>
      </c>
      <c r="Q424">
        <f>COUNTIF(Orders[Order ID],Orders[[#This Row],[Order ID]])</f>
        <v>1</v>
      </c>
      <c r="R424" s="10">
        <f>SUMIF(Orders[Order ID], Orders[[#This Row],[Order ID]],Orders[Sales])/Orders[[#This Row],[Order Frequency]]</f>
        <v>27.484999999999996</v>
      </c>
      <c r="S424" t="str">
        <f>IF(Orders[[#This Row],[Order Frequency]]&gt;4, "More than 4", IF(AND(Orders[[#This Row],[Order Frequency]]&lt;=4,Orders[[#This Row],[Order Frequency]]&gt;=2), "Between 4 and 2", "Less than 2"))</f>
        <v>Less than 2</v>
      </c>
      <c r="T424" t="str">
        <f>IF(Orders[[#This Row],[Frequency Group]]="less than 2", "Low Value", IF(Orders[[#This Row],[Frequency Group]]="between 4 and 2", "Medium Value", "High Value"))</f>
        <v>Low Value</v>
      </c>
      <c r="U424" t="str">
        <f>IF(Orders[[#This Row],[Sales]]&lt;50, "$0-50", IF(AND(Orders[[#This Row],[Sales]]&gt;=50,Orders[[#This Row],[Sales]]&lt;=100), "$50-100", IF(AND(Orders[[#This Row],[Sales]]&gt;100,Orders[[#This Row],[Sales]]&lt;=150), "$101-150", "$150+")))</f>
        <v>$0-50</v>
      </c>
      <c r="V424" t="str">
        <f>IF(Orders[[#This Row],[Sales]]&gt;MEDIAN(M:M), "High Price", "Low Price")</f>
        <v>Low Price</v>
      </c>
      <c r="W424" t="str">
        <f>IF(Orders[[#This Row],[Quantity]]&gt;MEDIAN(E:E), "High Volume", "Low Volume")</f>
        <v>Low Volume</v>
      </c>
      <c r="X424" t="str">
        <f>Orders[[#This Row],[Sales Tier]] &amp; "-" &amp; Orders[[#This Row],[Quantity Tier]]</f>
        <v>Low Price-Low Volume</v>
      </c>
      <c r="Y424" t="str">
        <f>TEXT(Orders[[#This Row],[Order Date]], "mmmm")</f>
        <v>May</v>
      </c>
      <c r="Z42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24" t="str">
        <f>Orders[[#This Row],[Coffee Type Name]] &amp; "-" &amp; Orders[[#This Row],[Roast Type Name]]</f>
        <v>Robusta-Light</v>
      </c>
      <c r="AB42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25" spans="1:28" x14ac:dyDescent="0.25">
      <c r="A425" s="2" t="s">
        <v>4614</v>
      </c>
      <c r="B425" s="4">
        <v>43475</v>
      </c>
      <c r="C425" s="2" t="s">
        <v>4615</v>
      </c>
      <c r="D425" t="s">
        <v>6164</v>
      </c>
      <c r="E425" s="2">
        <v>1</v>
      </c>
      <c r="F425" s="2" t="str">
        <f>_xlfn.XLOOKUP(C425,customers!$A$1:$A$1001,customers!$B$1:$B$1001,,0)</f>
        <v>Andie Rudram</v>
      </c>
      <c r="G425" s="2" t="str">
        <f>IF(_xlfn.XLOOKUP(C425,customers!$A$1:$A$1001,customers!$C$1:$C$1001,,0)=0,"",_xlfn.XLOOKUP(C425,customers!$A$1:$A$1001,customers!$C$1:$C$1001,,0))</f>
        <v>arudramka@prnewswire.com</v>
      </c>
      <c r="H425" s="2" t="str">
        <f>_xlfn.XLOOKUP(C425,customers!$A$1:$A$1001,customers!$G$1:$G$1001,,0)</f>
        <v>United States</v>
      </c>
      <c r="I425" t="str">
        <f>INDEX(products!$A$1:$G$49, MATCH(orders!$D732,products!$A$1:$A779,0), MATCH(orders!I$1,products!$A$1:$G$1,0))</f>
        <v>Lib</v>
      </c>
      <c r="J425" t="str">
        <f>INDEX(products!$A$1:$G$49, MATCH(orders!$D732,products!$A$1:$A779,0), MATCH(orders!J$1,products!$A$1:$G$1,0))</f>
        <v>L</v>
      </c>
      <c r="K425" s="5">
        <f>INDEX(products!$A$1:$G$49, MATCH(orders!$D732,products!$A$1:$A779,0), MATCH(orders!K$1,products!$A$1:$G$1,0))</f>
        <v>2.5</v>
      </c>
      <c r="L425" s="6">
        <f>INDEX(products!$A$1:$G$49, MATCH(orders!$D732,products!$A$1:$A779,0), MATCH(orders!L$1,products!$A$1:$G$1,0))</f>
        <v>36.454999999999998</v>
      </c>
      <c r="M425" s="6">
        <f t="shared" si="18"/>
        <v>36.454999999999998</v>
      </c>
      <c r="N425" t="str">
        <f t="shared" si="19"/>
        <v>Liberica</v>
      </c>
      <c r="O425" t="str">
        <f t="shared" si="20"/>
        <v>Light</v>
      </c>
      <c r="P425" t="str">
        <f>_xlfn.XLOOKUP(Orders[[#This Row],[Customer ID]],customers!$A$1:$A$1001,customers!$I$1:$I$1001,,0)</f>
        <v>No</v>
      </c>
      <c r="Q425">
        <f>COUNTIF(Orders[Order ID],Orders[[#This Row],[Order ID]])</f>
        <v>1</v>
      </c>
      <c r="R425" s="10">
        <f>SUMIF(Orders[Order ID], Orders[[#This Row],[Order ID]],Orders[Sales])/Orders[[#This Row],[Order Frequency]]</f>
        <v>36.454999999999998</v>
      </c>
      <c r="S425" t="str">
        <f>IF(Orders[[#This Row],[Order Frequency]]&gt;4, "More than 4", IF(AND(Orders[[#This Row],[Order Frequency]]&lt;=4,Orders[[#This Row],[Order Frequency]]&gt;=2), "Between 4 and 2", "Less than 2"))</f>
        <v>Less than 2</v>
      </c>
      <c r="T425" t="str">
        <f>IF(Orders[[#This Row],[Frequency Group]]="less than 2", "Low Value", IF(Orders[[#This Row],[Frequency Group]]="between 4 and 2", "Medium Value", "High Value"))</f>
        <v>Low Value</v>
      </c>
      <c r="U425" t="str">
        <f>IF(Orders[[#This Row],[Sales]]&lt;50, "$0-50", IF(AND(Orders[[#This Row],[Sales]]&gt;=50,Orders[[#This Row],[Sales]]&lt;=100), "$50-100", IF(AND(Orders[[#This Row],[Sales]]&gt;100,Orders[[#This Row],[Sales]]&lt;=150), "$101-150", "$150+")))</f>
        <v>$0-50</v>
      </c>
      <c r="V425" t="str">
        <f>IF(Orders[[#This Row],[Sales]]&gt;MEDIAN(M:M), "High Price", "Low Price")</f>
        <v>High Price</v>
      </c>
      <c r="W425" t="str">
        <f>IF(Orders[[#This Row],[Quantity]]&gt;MEDIAN(E:E), "High Volume", "Low Volume")</f>
        <v>Low Volume</v>
      </c>
      <c r="X425" t="str">
        <f>Orders[[#This Row],[Sales Tier]] &amp; "-" &amp; Orders[[#This Row],[Quantity Tier]]</f>
        <v>High Price-Low Volume</v>
      </c>
      <c r="Y425" t="str">
        <f>TEXT(Orders[[#This Row],[Order Date]], "mmmm")</f>
        <v>January</v>
      </c>
      <c r="Z42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425" t="str">
        <f>Orders[[#This Row],[Coffee Type Name]] &amp; "-" &amp; Orders[[#This Row],[Roast Type Name]]</f>
        <v>Liberica-Light</v>
      </c>
      <c r="AB42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426" spans="1:28" x14ac:dyDescent="0.25">
      <c r="A426" s="2" t="s">
        <v>902</v>
      </c>
      <c r="B426" s="4">
        <v>44362</v>
      </c>
      <c r="C426" s="2" t="s">
        <v>903</v>
      </c>
      <c r="D426" t="s">
        <v>6159</v>
      </c>
      <c r="E426" s="2">
        <v>5</v>
      </c>
      <c r="F426" s="2" t="str">
        <f>_xlfn.XLOOKUP(C426,customers!$A$1:$A$1001,customers!$B$1:$B$1001,,0)</f>
        <v>Alikee Carryer</v>
      </c>
      <c r="G426" s="2" t="str">
        <f>IF(_xlfn.XLOOKUP(C426,customers!$A$1:$A$1001,customers!$C$1:$C$1001,,0)=0,"",_xlfn.XLOOKUP(C426,customers!$A$1:$A$1001,customers!$C$1:$C$1001,,0))</f>
        <v/>
      </c>
      <c r="H426" s="2" t="str">
        <f>_xlfn.XLOOKUP(C426,customers!$A$1:$A$1001,customers!$G$1:$G$1001,,0)</f>
        <v>United States</v>
      </c>
      <c r="I426" t="str">
        <f>INDEX(products!$A$1:$G$49, MATCH(orders!$D75,products!$A$1:$A122,0), MATCH(orders!I$1,products!$A$1:$G$1,0))</f>
        <v>Lib</v>
      </c>
      <c r="J426" t="str">
        <f>INDEX(products!$A$1:$G$49, MATCH(orders!$D75,products!$A$1:$A122,0), MATCH(orders!J$1,products!$A$1:$G$1,0))</f>
        <v>M</v>
      </c>
      <c r="K426" s="5">
        <f>INDEX(products!$A$1:$G$49, MATCH(orders!$D75,products!$A$1:$A122,0), MATCH(orders!K$1,products!$A$1:$G$1,0))</f>
        <v>0.2</v>
      </c>
      <c r="L426" s="6">
        <f>INDEX(products!$A$1:$G$49, MATCH(orders!$D75,products!$A$1:$A122,0), MATCH(orders!L$1,products!$A$1:$G$1,0))</f>
        <v>4.3650000000000002</v>
      </c>
      <c r="M426" s="6">
        <f t="shared" si="18"/>
        <v>21.825000000000003</v>
      </c>
      <c r="N426" t="str">
        <f t="shared" si="19"/>
        <v>Liberica</v>
      </c>
      <c r="O426" t="str">
        <f t="shared" si="20"/>
        <v>Medium</v>
      </c>
      <c r="P426" t="str">
        <f>_xlfn.XLOOKUP(Orders[[#This Row],[Customer ID]],customers!$A$1:$A$1001,customers!$I$1:$I$1001,,0)</f>
        <v>Yes</v>
      </c>
      <c r="Q426">
        <f>COUNTIF(Orders[Order ID],Orders[[#This Row],[Order ID]])</f>
        <v>1</v>
      </c>
      <c r="R426" s="10">
        <f>SUMIF(Orders[Order ID], Orders[[#This Row],[Order ID]],Orders[Sales])/Orders[[#This Row],[Order Frequency]]</f>
        <v>21.825000000000003</v>
      </c>
      <c r="S426" t="str">
        <f>IF(Orders[[#This Row],[Order Frequency]]&gt;4, "More than 4", IF(AND(Orders[[#This Row],[Order Frequency]]&lt;=4,Orders[[#This Row],[Order Frequency]]&gt;=2), "Between 4 and 2", "Less than 2"))</f>
        <v>Less than 2</v>
      </c>
      <c r="T426" t="str">
        <f>IF(Orders[[#This Row],[Frequency Group]]="less than 2", "Low Value", IF(Orders[[#This Row],[Frequency Group]]="between 4 and 2", "Medium Value", "High Value"))</f>
        <v>Low Value</v>
      </c>
      <c r="U426" t="str">
        <f>IF(Orders[[#This Row],[Sales]]&lt;50, "$0-50", IF(AND(Orders[[#This Row],[Sales]]&gt;=50,Orders[[#This Row],[Sales]]&lt;=100), "$50-100", IF(AND(Orders[[#This Row],[Sales]]&gt;100,Orders[[#This Row],[Sales]]&lt;=150), "$101-150", "$150+")))</f>
        <v>$0-50</v>
      </c>
      <c r="V426" t="str">
        <f>IF(Orders[[#This Row],[Sales]]&gt;MEDIAN(M:M), "High Price", "Low Price")</f>
        <v>Low Price</v>
      </c>
      <c r="W426" t="str">
        <f>IF(Orders[[#This Row],[Quantity]]&gt;MEDIAN(E:E), "High Volume", "Low Volume")</f>
        <v>High Volume</v>
      </c>
      <c r="X426" t="str">
        <f>Orders[[#This Row],[Sales Tier]] &amp; "-" &amp; Orders[[#This Row],[Quantity Tier]]</f>
        <v>Low Price-High Volume</v>
      </c>
      <c r="Y426" t="str">
        <f>TEXT(Orders[[#This Row],[Order Date]], "mmmm")</f>
        <v>June</v>
      </c>
      <c r="Z42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26" t="str">
        <f>Orders[[#This Row],[Coffee Type Name]] &amp; "-" &amp; Orders[[#This Row],[Roast Type Name]]</f>
        <v>Liberica-Medium</v>
      </c>
      <c r="AB42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427" spans="1:28" x14ac:dyDescent="0.25">
      <c r="A427" s="2" t="s">
        <v>699</v>
      </c>
      <c r="B427" s="4">
        <v>43580</v>
      </c>
      <c r="C427" s="2" t="s">
        <v>700</v>
      </c>
      <c r="D427" t="s">
        <v>6161</v>
      </c>
      <c r="E427" s="2">
        <v>3</v>
      </c>
      <c r="F427" s="2" t="str">
        <f>_xlfn.XLOOKUP(C427,customers!$A$1:$A$1001,customers!$B$1:$B$1001,,0)</f>
        <v>Silvio Strase</v>
      </c>
      <c r="G427" s="2" t="str">
        <f>IF(_xlfn.XLOOKUP(C427,customers!$A$1:$A$1001,customers!$C$1:$C$1001,,0)=0,"",_xlfn.XLOOKUP(C427,customers!$A$1:$A$1001,customers!$C$1:$C$1001,,0))</f>
        <v>sstrase11@booking.com</v>
      </c>
      <c r="H427" s="2" t="str">
        <f>_xlfn.XLOOKUP(C427,customers!$A$1:$A$1001,customers!$G$1:$G$1001,,0)</f>
        <v>United States</v>
      </c>
      <c r="I427" t="str">
        <f>INDEX(products!$A$1:$G$49, MATCH(orders!$D39,products!$A$1:$A86,0), MATCH(orders!I$1,products!$A$1:$G$1,0))</f>
        <v>Lib</v>
      </c>
      <c r="J427" t="str">
        <f>INDEX(products!$A$1:$G$49, MATCH(orders!$D39,products!$A$1:$A86,0), MATCH(orders!J$1,products!$A$1:$G$1,0))</f>
        <v>L</v>
      </c>
      <c r="K427" s="5">
        <f>INDEX(products!$A$1:$G$49, MATCH(orders!$D39,products!$A$1:$A86,0), MATCH(orders!K$1,products!$A$1:$G$1,0))</f>
        <v>0.5</v>
      </c>
      <c r="L427" s="6">
        <f>INDEX(products!$A$1:$G$49, MATCH(orders!$D39,products!$A$1:$A86,0), MATCH(orders!L$1,products!$A$1:$G$1,0))</f>
        <v>9.51</v>
      </c>
      <c r="M427" s="6">
        <f t="shared" si="18"/>
        <v>28.53</v>
      </c>
      <c r="N427" t="str">
        <f t="shared" si="19"/>
        <v>Liberica</v>
      </c>
      <c r="O427" t="str">
        <f t="shared" si="20"/>
        <v>Light</v>
      </c>
      <c r="P427" t="str">
        <f>_xlfn.XLOOKUP(Orders[[#This Row],[Customer ID]],customers!$A$1:$A$1001,customers!$I$1:$I$1001,,0)</f>
        <v>No</v>
      </c>
      <c r="Q427">
        <f>COUNTIF(Orders[Order ID],Orders[[#This Row],[Order ID]])</f>
        <v>1</v>
      </c>
      <c r="R427" s="10">
        <f>SUMIF(Orders[Order ID], Orders[[#This Row],[Order ID]],Orders[Sales])/Orders[[#This Row],[Order Frequency]]</f>
        <v>28.53</v>
      </c>
      <c r="S427" t="str">
        <f>IF(Orders[[#This Row],[Order Frequency]]&gt;4, "More than 4", IF(AND(Orders[[#This Row],[Order Frequency]]&lt;=4,Orders[[#This Row],[Order Frequency]]&gt;=2), "Between 4 and 2", "Less than 2"))</f>
        <v>Less than 2</v>
      </c>
      <c r="T427" t="str">
        <f>IF(Orders[[#This Row],[Frequency Group]]="less than 2", "Low Value", IF(Orders[[#This Row],[Frequency Group]]="between 4 and 2", "Medium Value", "High Value"))</f>
        <v>Low Value</v>
      </c>
      <c r="U427" t="str">
        <f>IF(Orders[[#This Row],[Sales]]&lt;50, "$0-50", IF(AND(Orders[[#This Row],[Sales]]&gt;=50,Orders[[#This Row],[Sales]]&lt;=100), "$50-100", IF(AND(Orders[[#This Row],[Sales]]&gt;100,Orders[[#This Row],[Sales]]&lt;=150), "$101-150", "$150+")))</f>
        <v>$0-50</v>
      </c>
      <c r="V427" t="str">
        <f>IF(Orders[[#This Row],[Sales]]&gt;MEDIAN(M:M), "High Price", "Low Price")</f>
        <v>Low Price</v>
      </c>
      <c r="W427" t="str">
        <f>IF(Orders[[#This Row],[Quantity]]&gt;MEDIAN(E:E), "High Volume", "Low Volume")</f>
        <v>Low Volume</v>
      </c>
      <c r="X427" t="str">
        <f>Orders[[#This Row],[Sales Tier]] &amp; "-" &amp; Orders[[#This Row],[Quantity Tier]]</f>
        <v>Low Price-Low Volume</v>
      </c>
      <c r="Y427" t="str">
        <f>TEXT(Orders[[#This Row],[Order Date]], "mmmm")</f>
        <v>April</v>
      </c>
      <c r="Z42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27" t="str">
        <f>Orders[[#This Row],[Coffee Type Name]] &amp; "-" &amp; Orders[[#This Row],[Roast Type Name]]</f>
        <v>Liberica-Light</v>
      </c>
      <c r="AB42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28" spans="1:28" x14ac:dyDescent="0.25">
      <c r="A428" s="2" t="s">
        <v>3872</v>
      </c>
      <c r="B428" s="4">
        <v>44321</v>
      </c>
      <c r="C428" s="2" t="s">
        <v>3873</v>
      </c>
      <c r="D428" t="s">
        <v>6154</v>
      </c>
      <c r="E428" s="2">
        <v>4</v>
      </c>
      <c r="F428" s="2" t="str">
        <f>_xlfn.XLOOKUP(C428,customers!$A$1:$A$1001,customers!$B$1:$B$1001,,0)</f>
        <v>Alisha Hulburt</v>
      </c>
      <c r="G428" s="2" t="str">
        <f>IF(_xlfn.XLOOKUP(C428,customers!$A$1:$A$1001,customers!$C$1:$C$1001,,0)=0,"",_xlfn.XLOOKUP(C428,customers!$A$1:$A$1001,customers!$C$1:$C$1001,,0))</f>
        <v>ahulburtgn@fda.gov</v>
      </c>
      <c r="H428" s="2" t="str">
        <f>_xlfn.XLOOKUP(C428,customers!$A$1:$A$1001,customers!$G$1:$G$1001,,0)</f>
        <v>United States</v>
      </c>
      <c r="I428" t="str">
        <f>INDEX(products!$A$1:$G$49, MATCH(orders!$D601,products!$A$1:$A648,0), MATCH(orders!I$1,products!$A$1:$G$1,0))</f>
        <v>Ara</v>
      </c>
      <c r="J428" t="str">
        <f>INDEX(products!$A$1:$G$49, MATCH(orders!$D601,products!$A$1:$A648,0), MATCH(orders!J$1,products!$A$1:$G$1,0))</f>
        <v>D</v>
      </c>
      <c r="K428" s="5">
        <f>INDEX(products!$A$1:$G$49, MATCH(orders!$D601,products!$A$1:$A648,0), MATCH(orders!K$1,products!$A$1:$G$1,0))</f>
        <v>0.2</v>
      </c>
      <c r="L428" s="6">
        <f>INDEX(products!$A$1:$G$49, MATCH(orders!$D601,products!$A$1:$A648,0), MATCH(orders!L$1,products!$A$1:$G$1,0))</f>
        <v>2.9849999999999999</v>
      </c>
      <c r="M428" s="6">
        <f t="shared" si="18"/>
        <v>11.94</v>
      </c>
      <c r="N428" t="str">
        <f t="shared" si="19"/>
        <v>Arabica</v>
      </c>
      <c r="O428" t="str">
        <f t="shared" si="20"/>
        <v>Dark</v>
      </c>
      <c r="P428" t="str">
        <f>_xlfn.XLOOKUP(Orders[[#This Row],[Customer ID]],customers!$A$1:$A$1001,customers!$I$1:$I$1001,,0)</f>
        <v>Yes</v>
      </c>
      <c r="Q428">
        <f>COUNTIF(Orders[Order ID],Orders[[#This Row],[Order ID]])</f>
        <v>1</v>
      </c>
      <c r="R428" s="10">
        <f>SUMIF(Orders[Order ID], Orders[[#This Row],[Order ID]],Orders[Sales])/Orders[[#This Row],[Order Frequency]]</f>
        <v>11.94</v>
      </c>
      <c r="S428" t="str">
        <f>IF(Orders[[#This Row],[Order Frequency]]&gt;4, "More than 4", IF(AND(Orders[[#This Row],[Order Frequency]]&lt;=4,Orders[[#This Row],[Order Frequency]]&gt;=2), "Between 4 and 2", "Less than 2"))</f>
        <v>Less than 2</v>
      </c>
      <c r="T428" t="str">
        <f>IF(Orders[[#This Row],[Frequency Group]]="less than 2", "Low Value", IF(Orders[[#This Row],[Frequency Group]]="between 4 and 2", "Medium Value", "High Value"))</f>
        <v>Low Value</v>
      </c>
      <c r="U428" t="str">
        <f>IF(Orders[[#This Row],[Sales]]&lt;50, "$0-50", IF(AND(Orders[[#This Row],[Sales]]&gt;=50,Orders[[#This Row],[Sales]]&lt;=100), "$50-100", IF(AND(Orders[[#This Row],[Sales]]&gt;100,Orders[[#This Row],[Sales]]&lt;=150), "$101-150", "$150+")))</f>
        <v>$0-50</v>
      </c>
      <c r="V428" t="str">
        <f>IF(Orders[[#This Row],[Sales]]&gt;MEDIAN(M:M), "High Price", "Low Price")</f>
        <v>Low Price</v>
      </c>
      <c r="W428" t="str">
        <f>IF(Orders[[#This Row],[Quantity]]&gt;MEDIAN(E:E), "High Volume", "Low Volume")</f>
        <v>Low Volume</v>
      </c>
      <c r="X428" t="str">
        <f>Orders[[#This Row],[Sales Tier]] &amp; "-" &amp; Orders[[#This Row],[Quantity Tier]]</f>
        <v>Low Price-Low Volume</v>
      </c>
      <c r="Y428" t="str">
        <f>TEXT(Orders[[#This Row],[Order Date]], "mmmm")</f>
        <v>May</v>
      </c>
      <c r="Z42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28" t="str">
        <f>Orders[[#This Row],[Coffee Type Name]] &amp; "-" &amp; Orders[[#This Row],[Roast Type Name]]</f>
        <v>Arabica-Dark</v>
      </c>
      <c r="AB42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29" spans="1:28" x14ac:dyDescent="0.25">
      <c r="A429" s="2" t="s">
        <v>849</v>
      </c>
      <c r="B429" s="4">
        <v>43913</v>
      </c>
      <c r="C429" s="2" t="s">
        <v>850</v>
      </c>
      <c r="D429" t="s">
        <v>6146</v>
      </c>
      <c r="E429" s="2">
        <v>6</v>
      </c>
      <c r="F429" s="2" t="str">
        <f>_xlfn.XLOOKUP(C429,customers!$A$1:$A$1001,customers!$B$1:$B$1001,,0)</f>
        <v>Felecia Dodgson</v>
      </c>
      <c r="G429" s="2" t="str">
        <f>IF(_xlfn.XLOOKUP(C429,customers!$A$1:$A$1001,customers!$C$1:$C$1001,,0)=0,"",_xlfn.XLOOKUP(C429,customers!$A$1:$A$1001,customers!$C$1:$C$1001,,0))</f>
        <v/>
      </c>
      <c r="H429" s="2" t="str">
        <f>_xlfn.XLOOKUP(C429,customers!$A$1:$A$1001,customers!$G$1:$G$1001,,0)</f>
        <v>United States</v>
      </c>
      <c r="I429" t="str">
        <f>INDEX(products!$A$1:$G$49, MATCH(orders!$D66,products!$A$1:$A113,0), MATCH(orders!I$1,products!$A$1:$G$1,0))</f>
        <v>Rob</v>
      </c>
      <c r="J429" t="str">
        <f>INDEX(products!$A$1:$G$49, MATCH(orders!$D66,products!$A$1:$A113,0), MATCH(orders!J$1,products!$A$1:$G$1,0))</f>
        <v>M</v>
      </c>
      <c r="K429" s="5">
        <f>INDEX(products!$A$1:$G$49, MATCH(orders!$D66,products!$A$1:$A113,0), MATCH(orders!K$1,products!$A$1:$G$1,0))</f>
        <v>0.5</v>
      </c>
      <c r="L429" s="6">
        <f>INDEX(products!$A$1:$G$49, MATCH(orders!$D66,products!$A$1:$A113,0), MATCH(orders!L$1,products!$A$1:$G$1,0))</f>
        <v>5.97</v>
      </c>
      <c r="M429" s="6">
        <f t="shared" si="18"/>
        <v>35.82</v>
      </c>
      <c r="N429" t="str">
        <f t="shared" si="19"/>
        <v>Robusta</v>
      </c>
      <c r="O429" t="str">
        <f t="shared" si="20"/>
        <v>Medium</v>
      </c>
      <c r="P429" t="str">
        <f>_xlfn.XLOOKUP(Orders[[#This Row],[Customer ID]],customers!$A$1:$A$1001,customers!$I$1:$I$1001,,0)</f>
        <v>Yes</v>
      </c>
      <c r="Q429">
        <f>COUNTIF(Orders[Order ID],Orders[[#This Row],[Order ID]])</f>
        <v>1</v>
      </c>
      <c r="R429" s="10">
        <f>SUMIF(Orders[Order ID], Orders[[#This Row],[Order ID]],Orders[Sales])/Orders[[#This Row],[Order Frequency]]</f>
        <v>35.82</v>
      </c>
      <c r="S429" t="str">
        <f>IF(Orders[[#This Row],[Order Frequency]]&gt;4, "More than 4", IF(AND(Orders[[#This Row],[Order Frequency]]&lt;=4,Orders[[#This Row],[Order Frequency]]&gt;=2), "Between 4 and 2", "Less than 2"))</f>
        <v>Less than 2</v>
      </c>
      <c r="T429" t="str">
        <f>IF(Orders[[#This Row],[Frequency Group]]="less than 2", "Low Value", IF(Orders[[#This Row],[Frequency Group]]="between 4 and 2", "Medium Value", "High Value"))</f>
        <v>Low Value</v>
      </c>
      <c r="U429" t="str">
        <f>IF(Orders[[#This Row],[Sales]]&lt;50, "$0-50", IF(AND(Orders[[#This Row],[Sales]]&gt;=50,Orders[[#This Row],[Sales]]&lt;=100), "$50-100", IF(AND(Orders[[#This Row],[Sales]]&gt;100,Orders[[#This Row],[Sales]]&lt;=150), "$101-150", "$150+")))</f>
        <v>$0-50</v>
      </c>
      <c r="V429" t="str">
        <f>IF(Orders[[#This Row],[Sales]]&gt;MEDIAN(M:M), "High Price", "Low Price")</f>
        <v>High Price</v>
      </c>
      <c r="W429" t="str">
        <f>IF(Orders[[#This Row],[Quantity]]&gt;MEDIAN(E:E), "High Volume", "Low Volume")</f>
        <v>High Volume</v>
      </c>
      <c r="X429" t="str">
        <f>Orders[[#This Row],[Sales Tier]] &amp; "-" &amp; Orders[[#This Row],[Quantity Tier]]</f>
        <v>High Price-High Volume</v>
      </c>
      <c r="Y429" t="str">
        <f>TEXT(Orders[[#This Row],[Order Date]], "mmmm")</f>
        <v>March</v>
      </c>
      <c r="Z42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429" t="str">
        <f>Orders[[#This Row],[Coffee Type Name]] &amp; "-" &amp; Orders[[#This Row],[Roast Type Name]]</f>
        <v>Robusta-Medium</v>
      </c>
      <c r="AB42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30" spans="1:28" x14ac:dyDescent="0.25">
      <c r="A430" s="2" t="s">
        <v>6058</v>
      </c>
      <c r="B430" s="4">
        <v>44561</v>
      </c>
      <c r="C430" s="2" t="s">
        <v>6059</v>
      </c>
      <c r="D430" t="s">
        <v>6179</v>
      </c>
      <c r="E430" s="2">
        <v>4</v>
      </c>
      <c r="F430" s="2" t="str">
        <f>_xlfn.XLOOKUP(C430,customers!$A$1:$A$1001,customers!$B$1:$B$1001,,0)</f>
        <v>Koressa O'Geneay</v>
      </c>
      <c r="G430" s="2" t="str">
        <f>IF(_xlfn.XLOOKUP(C430,customers!$A$1:$A$1001,customers!$C$1:$C$1001,,0)=0,"",_xlfn.XLOOKUP(C430,customers!$A$1:$A$1001,customers!$C$1:$C$1001,,0))</f>
        <v>kogeneayrd@utexas.edu</v>
      </c>
      <c r="H430" s="2" t="str">
        <f>_xlfn.XLOOKUP(C430,customers!$A$1:$A$1001,customers!$G$1:$G$1001,,0)</f>
        <v>United States</v>
      </c>
      <c r="I430" t="str">
        <f>INDEX(products!$A$1:$G$49, MATCH(orders!$D987,products!$A$1:$A1034,0), MATCH(orders!I$1,products!$A$1:$G$1,0))</f>
        <v>Rob</v>
      </c>
      <c r="J430" t="str">
        <f>INDEX(products!$A$1:$G$49, MATCH(orders!$D987,products!$A$1:$A1034,0), MATCH(orders!J$1,products!$A$1:$G$1,0))</f>
        <v>L</v>
      </c>
      <c r="K430" s="5">
        <f>INDEX(products!$A$1:$G$49, MATCH(orders!$D987,products!$A$1:$A1034,0), MATCH(orders!K$1,products!$A$1:$G$1,0))</f>
        <v>1</v>
      </c>
      <c r="L430" s="6">
        <f>INDEX(products!$A$1:$G$49, MATCH(orders!$D987,products!$A$1:$A1034,0), MATCH(orders!L$1,products!$A$1:$G$1,0))</f>
        <v>11.95</v>
      </c>
      <c r="M430" s="6">
        <f t="shared" si="18"/>
        <v>47.8</v>
      </c>
      <c r="N430" t="str">
        <f t="shared" si="19"/>
        <v>Robusta</v>
      </c>
      <c r="O430" t="str">
        <f t="shared" si="20"/>
        <v>Light</v>
      </c>
      <c r="P430" t="str">
        <f>_xlfn.XLOOKUP(Orders[[#This Row],[Customer ID]],customers!$A$1:$A$1001,customers!$I$1:$I$1001,,0)</f>
        <v>No</v>
      </c>
      <c r="Q430">
        <f>COUNTIF(Orders[Order ID],Orders[[#This Row],[Order ID]])</f>
        <v>1</v>
      </c>
      <c r="R430" s="10">
        <f>SUMIF(Orders[Order ID], Orders[[#This Row],[Order ID]],Orders[Sales])/Orders[[#This Row],[Order Frequency]]</f>
        <v>47.8</v>
      </c>
      <c r="S430" t="str">
        <f>IF(Orders[[#This Row],[Order Frequency]]&gt;4, "More than 4", IF(AND(Orders[[#This Row],[Order Frequency]]&lt;=4,Orders[[#This Row],[Order Frequency]]&gt;=2), "Between 4 and 2", "Less than 2"))</f>
        <v>Less than 2</v>
      </c>
      <c r="T430" t="str">
        <f>IF(Orders[[#This Row],[Frequency Group]]="less than 2", "Low Value", IF(Orders[[#This Row],[Frequency Group]]="between 4 and 2", "Medium Value", "High Value"))</f>
        <v>Low Value</v>
      </c>
      <c r="U430" t="str">
        <f>IF(Orders[[#This Row],[Sales]]&lt;50, "$0-50", IF(AND(Orders[[#This Row],[Sales]]&gt;=50,Orders[[#This Row],[Sales]]&lt;=100), "$50-100", IF(AND(Orders[[#This Row],[Sales]]&gt;100,Orders[[#This Row],[Sales]]&lt;=150), "$101-150", "$150+")))</f>
        <v>$0-50</v>
      </c>
      <c r="V430" t="str">
        <f>IF(Orders[[#This Row],[Sales]]&gt;MEDIAN(M:M), "High Price", "Low Price")</f>
        <v>High Price</v>
      </c>
      <c r="W430" t="str">
        <f>IF(Orders[[#This Row],[Quantity]]&gt;MEDIAN(E:E), "High Volume", "Low Volume")</f>
        <v>Low Volume</v>
      </c>
      <c r="X430" t="str">
        <f>Orders[[#This Row],[Sales Tier]] &amp; "-" &amp; Orders[[#This Row],[Quantity Tier]]</f>
        <v>High Price-Low Volume</v>
      </c>
      <c r="Y430" t="str">
        <f>TEXT(Orders[[#This Row],[Order Date]], "mmmm")</f>
        <v>December</v>
      </c>
      <c r="Z43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430" t="str">
        <f>Orders[[#This Row],[Coffee Type Name]] &amp; "-" &amp; Orders[[#This Row],[Roast Type Name]]</f>
        <v>Robusta-Light</v>
      </c>
      <c r="AB43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431" spans="1:28" x14ac:dyDescent="0.25">
      <c r="A431" s="2" t="s">
        <v>4670</v>
      </c>
      <c r="B431" s="4">
        <v>44643</v>
      </c>
      <c r="C431" s="2" t="s">
        <v>4671</v>
      </c>
      <c r="D431" t="s">
        <v>6173</v>
      </c>
      <c r="E431" s="2">
        <v>4</v>
      </c>
      <c r="F431" s="2" t="str">
        <f>_xlfn.XLOOKUP(C431,customers!$A$1:$A$1001,customers!$B$1:$B$1001,,0)</f>
        <v>Kandace Cragell</v>
      </c>
      <c r="G431" s="2" t="str">
        <f>IF(_xlfn.XLOOKUP(C431,customers!$A$1:$A$1001,customers!$C$1:$C$1001,,0)=0,"",_xlfn.XLOOKUP(C431,customers!$A$1:$A$1001,customers!$C$1:$C$1001,,0))</f>
        <v>kcragellkk@google.com</v>
      </c>
      <c r="H431" s="2" t="str">
        <f>_xlfn.XLOOKUP(C431,customers!$A$1:$A$1001,customers!$G$1:$G$1001,,0)</f>
        <v>Ireland</v>
      </c>
      <c r="I431" t="str">
        <f>INDEX(products!$A$1:$G$49, MATCH(orders!$D742,products!$A$1:$A789,0), MATCH(orders!I$1,products!$A$1:$G$1,0))</f>
        <v>Rob</v>
      </c>
      <c r="J431" t="str">
        <f>INDEX(products!$A$1:$G$49, MATCH(orders!$D742,products!$A$1:$A789,0), MATCH(orders!J$1,products!$A$1:$G$1,0))</f>
        <v>L</v>
      </c>
      <c r="K431" s="5">
        <f>INDEX(products!$A$1:$G$49, MATCH(orders!$D742,products!$A$1:$A789,0), MATCH(orders!K$1,products!$A$1:$G$1,0))</f>
        <v>0.5</v>
      </c>
      <c r="L431" s="6">
        <f>INDEX(products!$A$1:$G$49, MATCH(orders!$D742,products!$A$1:$A789,0), MATCH(orders!L$1,products!$A$1:$G$1,0))</f>
        <v>7.169999999999999</v>
      </c>
      <c r="M431" s="6">
        <f t="shared" si="18"/>
        <v>28.679999999999996</v>
      </c>
      <c r="N431" t="str">
        <f t="shared" si="19"/>
        <v>Robusta</v>
      </c>
      <c r="O431" t="str">
        <f t="shared" si="20"/>
        <v>Light</v>
      </c>
      <c r="P431" t="str">
        <f>_xlfn.XLOOKUP(Orders[[#This Row],[Customer ID]],customers!$A$1:$A$1001,customers!$I$1:$I$1001,,0)</f>
        <v>No</v>
      </c>
      <c r="Q431">
        <f>COUNTIF(Orders[Order ID],Orders[[#This Row],[Order ID]])</f>
        <v>1</v>
      </c>
      <c r="R431" s="10">
        <f>SUMIF(Orders[Order ID], Orders[[#This Row],[Order ID]],Orders[Sales])/Orders[[#This Row],[Order Frequency]]</f>
        <v>28.679999999999996</v>
      </c>
      <c r="S431" t="str">
        <f>IF(Orders[[#This Row],[Order Frequency]]&gt;4, "More than 4", IF(AND(Orders[[#This Row],[Order Frequency]]&lt;=4,Orders[[#This Row],[Order Frequency]]&gt;=2), "Between 4 and 2", "Less than 2"))</f>
        <v>Less than 2</v>
      </c>
      <c r="T431" t="str">
        <f>IF(Orders[[#This Row],[Frequency Group]]="less than 2", "Low Value", IF(Orders[[#This Row],[Frequency Group]]="between 4 and 2", "Medium Value", "High Value"))</f>
        <v>Low Value</v>
      </c>
      <c r="U431" t="str">
        <f>IF(Orders[[#This Row],[Sales]]&lt;50, "$0-50", IF(AND(Orders[[#This Row],[Sales]]&gt;=50,Orders[[#This Row],[Sales]]&lt;=100), "$50-100", IF(AND(Orders[[#This Row],[Sales]]&gt;100,Orders[[#This Row],[Sales]]&lt;=150), "$101-150", "$150+")))</f>
        <v>$0-50</v>
      </c>
      <c r="V431" t="str">
        <f>IF(Orders[[#This Row],[Sales]]&gt;MEDIAN(M:M), "High Price", "Low Price")</f>
        <v>Low Price</v>
      </c>
      <c r="W431" t="str">
        <f>IF(Orders[[#This Row],[Quantity]]&gt;MEDIAN(E:E), "High Volume", "Low Volume")</f>
        <v>Low Volume</v>
      </c>
      <c r="X431" t="str">
        <f>Orders[[#This Row],[Sales Tier]] &amp; "-" &amp; Orders[[#This Row],[Quantity Tier]]</f>
        <v>Low Price-Low Volume</v>
      </c>
      <c r="Y431" t="str">
        <f>TEXT(Orders[[#This Row],[Order Date]], "mmmm")</f>
        <v>March</v>
      </c>
      <c r="Z43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431" t="str">
        <f>Orders[[#This Row],[Coffee Type Name]] &amp; "-" &amp; Orders[[#This Row],[Roast Type Name]]</f>
        <v>Robusta-Light</v>
      </c>
      <c r="AB43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32" spans="1:28" x14ac:dyDescent="0.25">
      <c r="A432" s="2" t="s">
        <v>3112</v>
      </c>
      <c r="B432" s="4">
        <v>43989</v>
      </c>
      <c r="C432" s="2" t="s">
        <v>3113</v>
      </c>
      <c r="D432" t="s">
        <v>6165</v>
      </c>
      <c r="E432" s="2">
        <v>4</v>
      </c>
      <c r="F432" s="2" t="str">
        <f>_xlfn.XLOOKUP(C432,customers!$A$1:$A$1001,customers!$B$1:$B$1001,,0)</f>
        <v>Annetta Brentnall</v>
      </c>
      <c r="G432" s="2" t="str">
        <f>IF(_xlfn.XLOOKUP(C432,customers!$A$1:$A$1001,customers!$C$1:$C$1001,,0)=0,"",_xlfn.XLOOKUP(C432,customers!$A$1:$A$1001,customers!$C$1:$C$1001,,0))</f>
        <v>abrentnallcw@biglobe.ne.jp</v>
      </c>
      <c r="H432" s="2" t="str">
        <f>_xlfn.XLOOKUP(C432,customers!$A$1:$A$1001,customers!$G$1:$G$1001,,0)</f>
        <v>United Kingdom</v>
      </c>
      <c r="I432" t="str">
        <f>INDEX(products!$A$1:$G$49, MATCH(orders!$D466,products!$A$1:$A513,0), MATCH(orders!I$1,products!$A$1:$G$1,0))</f>
        <v>Lib</v>
      </c>
      <c r="J432" t="str">
        <f>INDEX(products!$A$1:$G$49, MATCH(orders!$D466,products!$A$1:$A513,0), MATCH(orders!J$1,products!$A$1:$G$1,0))</f>
        <v>D</v>
      </c>
      <c r="K432" s="5">
        <f>INDEX(products!$A$1:$G$49, MATCH(orders!$D466,products!$A$1:$A513,0), MATCH(orders!K$1,products!$A$1:$G$1,0))</f>
        <v>2.5</v>
      </c>
      <c r="L432" s="6">
        <f>INDEX(products!$A$1:$G$49, MATCH(orders!$D466,products!$A$1:$A513,0), MATCH(orders!L$1,products!$A$1:$G$1,0))</f>
        <v>29.784999999999997</v>
      </c>
      <c r="M432" s="6">
        <f t="shared" si="18"/>
        <v>119.13999999999999</v>
      </c>
      <c r="N432" t="str">
        <f t="shared" si="19"/>
        <v>Liberica</v>
      </c>
      <c r="O432" t="str">
        <f t="shared" si="20"/>
        <v>Dark</v>
      </c>
      <c r="P432" t="str">
        <f>_xlfn.XLOOKUP(Orders[[#This Row],[Customer ID]],customers!$A$1:$A$1001,customers!$I$1:$I$1001,,0)</f>
        <v>No</v>
      </c>
      <c r="Q432">
        <f>COUNTIF(Orders[Order ID],Orders[[#This Row],[Order ID]])</f>
        <v>1</v>
      </c>
      <c r="R432" s="10">
        <f>SUMIF(Orders[Order ID], Orders[[#This Row],[Order ID]],Orders[Sales])/Orders[[#This Row],[Order Frequency]]</f>
        <v>119.13999999999999</v>
      </c>
      <c r="S432" t="str">
        <f>IF(Orders[[#This Row],[Order Frequency]]&gt;4, "More than 4", IF(AND(Orders[[#This Row],[Order Frequency]]&lt;=4,Orders[[#This Row],[Order Frequency]]&gt;=2), "Between 4 and 2", "Less than 2"))</f>
        <v>Less than 2</v>
      </c>
      <c r="T432" t="str">
        <f>IF(Orders[[#This Row],[Frequency Group]]="less than 2", "Low Value", IF(Orders[[#This Row],[Frequency Group]]="between 4 and 2", "Medium Value", "High Value"))</f>
        <v>Low Value</v>
      </c>
      <c r="U432" t="str">
        <f>IF(Orders[[#This Row],[Sales]]&lt;50, "$0-50", IF(AND(Orders[[#This Row],[Sales]]&gt;=50,Orders[[#This Row],[Sales]]&lt;=100), "$50-100", IF(AND(Orders[[#This Row],[Sales]]&gt;100,Orders[[#This Row],[Sales]]&lt;=150), "$101-150", "$150+")))</f>
        <v>$101-150</v>
      </c>
      <c r="V432" t="str">
        <f>IF(Orders[[#This Row],[Sales]]&gt;MEDIAN(M:M), "High Price", "Low Price")</f>
        <v>High Price</v>
      </c>
      <c r="W432" t="str">
        <f>IF(Orders[[#This Row],[Quantity]]&gt;MEDIAN(E:E), "High Volume", "Low Volume")</f>
        <v>Low Volume</v>
      </c>
      <c r="X432" t="str">
        <f>Orders[[#This Row],[Sales Tier]] &amp; "-" &amp; Orders[[#This Row],[Quantity Tier]]</f>
        <v>High Price-Low Volume</v>
      </c>
      <c r="Y432" t="str">
        <f>TEXT(Orders[[#This Row],[Order Date]], "mmmm")</f>
        <v>June</v>
      </c>
      <c r="Z43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32" t="str">
        <f>Orders[[#This Row],[Coffee Type Name]] &amp; "-" &amp; Orders[[#This Row],[Roast Type Name]]</f>
        <v>Liberica-Dark</v>
      </c>
      <c r="AB43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433" spans="1:28" x14ac:dyDescent="0.25">
      <c r="A433" s="2" t="s">
        <v>4104</v>
      </c>
      <c r="B433" s="4">
        <v>44547</v>
      </c>
      <c r="C433" s="2" t="s">
        <v>4152</v>
      </c>
      <c r="D433" t="s">
        <v>6142</v>
      </c>
      <c r="E433" s="2">
        <v>5</v>
      </c>
      <c r="F433" s="2" t="str">
        <f>_xlfn.XLOOKUP(C433,customers!$A$1:$A$1001,customers!$B$1:$B$1001,,0)</f>
        <v>Tuckie Mathonnet</v>
      </c>
      <c r="G433" s="2" t="str">
        <f>IF(_xlfn.XLOOKUP(C433,customers!$A$1:$A$1001,customers!$C$1:$C$1001,,0)=0,"",_xlfn.XLOOKUP(C433,customers!$A$1:$A$1001,customers!$C$1:$C$1001,,0))</f>
        <v>tmathonneti0@google.co.jp</v>
      </c>
      <c r="H433" s="2" t="str">
        <f>_xlfn.XLOOKUP(C433,customers!$A$1:$A$1001,customers!$G$1:$G$1001,,0)</f>
        <v>United States</v>
      </c>
      <c r="I433" t="str">
        <f>INDEX(products!$A$1:$G$49, MATCH(orders!$D642,products!$A$1:$A689,0), MATCH(orders!I$1,products!$A$1:$G$1,0))</f>
        <v>Rob</v>
      </c>
      <c r="J433" t="str">
        <f>INDEX(products!$A$1:$G$49, MATCH(orders!$D642,products!$A$1:$A689,0), MATCH(orders!J$1,products!$A$1:$G$1,0))</f>
        <v>L</v>
      </c>
      <c r="K433" s="5">
        <f>INDEX(products!$A$1:$G$49, MATCH(orders!$D642,products!$A$1:$A689,0), MATCH(orders!K$1,products!$A$1:$G$1,0))</f>
        <v>2.5</v>
      </c>
      <c r="L433" s="6">
        <f>INDEX(products!$A$1:$G$49, MATCH(orders!$D642,products!$A$1:$A689,0), MATCH(orders!L$1,products!$A$1:$G$1,0))</f>
        <v>27.484999999999996</v>
      </c>
      <c r="M433" s="6">
        <f t="shared" si="18"/>
        <v>137.42499999999998</v>
      </c>
      <c r="N433" t="str">
        <f t="shared" si="19"/>
        <v>Robusta</v>
      </c>
      <c r="O433" t="str">
        <f t="shared" si="20"/>
        <v>Light</v>
      </c>
      <c r="P433" t="str">
        <f>_xlfn.XLOOKUP(Orders[[#This Row],[Customer ID]],customers!$A$1:$A$1001,customers!$I$1:$I$1001,,0)</f>
        <v>No</v>
      </c>
      <c r="Q433">
        <f>COUNTIF(Orders[Order ID],Orders[[#This Row],[Order ID]])</f>
        <v>1</v>
      </c>
      <c r="R433" s="10">
        <f>SUMIF(Orders[Order ID], Orders[[#This Row],[Order ID]],Orders[Sales])/Orders[[#This Row],[Order Frequency]]</f>
        <v>137.42499999999998</v>
      </c>
      <c r="S433" t="str">
        <f>IF(Orders[[#This Row],[Order Frequency]]&gt;4, "More than 4", IF(AND(Orders[[#This Row],[Order Frequency]]&lt;=4,Orders[[#This Row],[Order Frequency]]&gt;=2), "Between 4 and 2", "Less than 2"))</f>
        <v>Less than 2</v>
      </c>
      <c r="T433" t="str">
        <f>IF(Orders[[#This Row],[Frequency Group]]="less than 2", "Low Value", IF(Orders[[#This Row],[Frequency Group]]="between 4 and 2", "Medium Value", "High Value"))</f>
        <v>Low Value</v>
      </c>
      <c r="U433" t="str">
        <f>IF(Orders[[#This Row],[Sales]]&lt;50, "$0-50", IF(AND(Orders[[#This Row],[Sales]]&gt;=50,Orders[[#This Row],[Sales]]&lt;=100), "$50-100", IF(AND(Orders[[#This Row],[Sales]]&gt;100,Orders[[#This Row],[Sales]]&lt;=150), "$101-150", "$150+")))</f>
        <v>$101-150</v>
      </c>
      <c r="V433" t="str">
        <f>IF(Orders[[#This Row],[Sales]]&gt;MEDIAN(M:M), "High Price", "Low Price")</f>
        <v>High Price</v>
      </c>
      <c r="W433" t="str">
        <f>IF(Orders[[#This Row],[Quantity]]&gt;MEDIAN(E:E), "High Volume", "Low Volume")</f>
        <v>High Volume</v>
      </c>
      <c r="X433" t="str">
        <f>Orders[[#This Row],[Sales Tier]] &amp; "-" &amp; Orders[[#This Row],[Quantity Tier]]</f>
        <v>High Price-High Volume</v>
      </c>
      <c r="Y433" t="str">
        <f>TEXT(Orders[[#This Row],[Order Date]], "mmmm")</f>
        <v>December</v>
      </c>
      <c r="Z43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433" t="str">
        <f>Orders[[#This Row],[Coffee Type Name]] &amp; "-" &amp; Orders[[#This Row],[Roast Type Name]]</f>
        <v>Robusta-Light</v>
      </c>
      <c r="AB43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434" spans="1:28" x14ac:dyDescent="0.25">
      <c r="A434" s="2" t="s">
        <v>3248</v>
      </c>
      <c r="B434" s="4">
        <v>43954</v>
      </c>
      <c r="C434" s="2" t="s">
        <v>3249</v>
      </c>
      <c r="D434" t="s">
        <v>6174</v>
      </c>
      <c r="E434" s="2">
        <v>5</v>
      </c>
      <c r="F434" s="2" t="str">
        <f>_xlfn.XLOOKUP(C434,customers!$A$1:$A$1001,customers!$B$1:$B$1001,,0)</f>
        <v>Becky Semkins</v>
      </c>
      <c r="G434" s="2" t="str">
        <f>IF(_xlfn.XLOOKUP(C434,customers!$A$1:$A$1001,customers!$C$1:$C$1001,,0)=0,"",_xlfn.XLOOKUP(C434,customers!$A$1:$A$1001,customers!$C$1:$C$1001,,0))</f>
        <v>bsemkinsdk@unc.edu</v>
      </c>
      <c r="H434" s="2" t="str">
        <f>_xlfn.XLOOKUP(C434,customers!$A$1:$A$1001,customers!$G$1:$G$1001,,0)</f>
        <v>Ireland</v>
      </c>
      <c r="I434" t="str">
        <f>INDEX(products!$A$1:$G$49, MATCH(orders!$D490,products!$A$1:$A537,0), MATCH(orders!I$1,products!$A$1:$G$1,0))</f>
        <v>Rob</v>
      </c>
      <c r="J434" t="str">
        <f>INDEX(products!$A$1:$G$49, MATCH(orders!$D490,products!$A$1:$A537,0), MATCH(orders!J$1,products!$A$1:$G$1,0))</f>
        <v>M</v>
      </c>
      <c r="K434" s="5">
        <f>INDEX(products!$A$1:$G$49, MATCH(orders!$D490,products!$A$1:$A537,0), MATCH(orders!K$1,products!$A$1:$G$1,0))</f>
        <v>0.2</v>
      </c>
      <c r="L434" s="6">
        <f>INDEX(products!$A$1:$G$49, MATCH(orders!$D490,products!$A$1:$A537,0), MATCH(orders!L$1,products!$A$1:$G$1,0))</f>
        <v>2.9849999999999999</v>
      </c>
      <c r="M434" s="6">
        <f t="shared" si="18"/>
        <v>14.924999999999999</v>
      </c>
      <c r="N434" t="str">
        <f t="shared" si="19"/>
        <v>Robusta</v>
      </c>
      <c r="O434" t="str">
        <f t="shared" si="20"/>
        <v>Medium</v>
      </c>
      <c r="P434" t="str">
        <f>_xlfn.XLOOKUP(Orders[[#This Row],[Customer ID]],customers!$A$1:$A$1001,customers!$I$1:$I$1001,,0)</f>
        <v>Yes</v>
      </c>
      <c r="Q434">
        <f>COUNTIF(Orders[Order ID],Orders[[#This Row],[Order ID]])</f>
        <v>1</v>
      </c>
      <c r="R434" s="10">
        <f>SUMIF(Orders[Order ID], Orders[[#This Row],[Order ID]],Orders[Sales])/Orders[[#This Row],[Order Frequency]]</f>
        <v>14.924999999999999</v>
      </c>
      <c r="S434" t="str">
        <f>IF(Orders[[#This Row],[Order Frequency]]&gt;4, "More than 4", IF(AND(Orders[[#This Row],[Order Frequency]]&lt;=4,Orders[[#This Row],[Order Frequency]]&gt;=2), "Between 4 and 2", "Less than 2"))</f>
        <v>Less than 2</v>
      </c>
      <c r="T434" t="str">
        <f>IF(Orders[[#This Row],[Frequency Group]]="less than 2", "Low Value", IF(Orders[[#This Row],[Frequency Group]]="between 4 and 2", "Medium Value", "High Value"))</f>
        <v>Low Value</v>
      </c>
      <c r="U434" t="str">
        <f>IF(Orders[[#This Row],[Sales]]&lt;50, "$0-50", IF(AND(Orders[[#This Row],[Sales]]&gt;=50,Orders[[#This Row],[Sales]]&lt;=100), "$50-100", IF(AND(Orders[[#This Row],[Sales]]&gt;100,Orders[[#This Row],[Sales]]&lt;=150), "$101-150", "$150+")))</f>
        <v>$0-50</v>
      </c>
      <c r="V434" t="str">
        <f>IF(Orders[[#This Row],[Sales]]&gt;MEDIAN(M:M), "High Price", "Low Price")</f>
        <v>Low Price</v>
      </c>
      <c r="W434" t="str">
        <f>IF(Orders[[#This Row],[Quantity]]&gt;MEDIAN(E:E), "High Volume", "Low Volume")</f>
        <v>High Volume</v>
      </c>
      <c r="X434" t="str">
        <f>Orders[[#This Row],[Sales Tier]] &amp; "-" &amp; Orders[[#This Row],[Quantity Tier]]</f>
        <v>Low Price-High Volume</v>
      </c>
      <c r="Y434" t="str">
        <f>TEXT(Orders[[#This Row],[Order Date]], "mmmm")</f>
        <v>May</v>
      </c>
      <c r="Z43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34" t="str">
        <f>Orders[[#This Row],[Coffee Type Name]] &amp; "-" &amp; Orders[[#This Row],[Roast Type Name]]</f>
        <v>Robusta-Medium</v>
      </c>
      <c r="AB43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35" spans="1:28" x14ac:dyDescent="0.25">
      <c r="A435" s="2" t="s">
        <v>1283</v>
      </c>
      <c r="B435" s="4">
        <v>43970</v>
      </c>
      <c r="C435" s="2" t="s">
        <v>1284</v>
      </c>
      <c r="D435" t="s">
        <v>6167</v>
      </c>
      <c r="E435" s="2">
        <v>4</v>
      </c>
      <c r="F435" s="2" t="str">
        <f>_xlfn.XLOOKUP(C435,customers!$A$1:$A$1001,customers!$B$1:$B$1001,,0)</f>
        <v>Boyd Bett</v>
      </c>
      <c r="G435" s="2" t="str">
        <f>IF(_xlfn.XLOOKUP(C435,customers!$A$1:$A$1001,customers!$C$1:$C$1001,,0)=0,"",_xlfn.XLOOKUP(C435,customers!$A$1:$A$1001,customers!$C$1:$C$1001,,0))</f>
        <v>bbett3x@google.de</v>
      </c>
      <c r="H435" s="2" t="str">
        <f>_xlfn.XLOOKUP(C435,customers!$A$1:$A$1001,customers!$G$1:$G$1001,,0)</f>
        <v>United States</v>
      </c>
      <c r="I435" t="str">
        <f>INDEX(products!$A$1:$G$49, MATCH(orders!$D143,products!$A$1:$A190,0), MATCH(orders!I$1,products!$A$1:$G$1,0))</f>
        <v>Ara</v>
      </c>
      <c r="J435" t="str">
        <f>INDEX(products!$A$1:$G$49, MATCH(orders!$D143,products!$A$1:$A190,0), MATCH(orders!J$1,products!$A$1:$G$1,0))</f>
        <v>L</v>
      </c>
      <c r="K435" s="5">
        <f>INDEX(products!$A$1:$G$49, MATCH(orders!$D143,products!$A$1:$A190,0), MATCH(orders!K$1,products!$A$1:$G$1,0))</f>
        <v>0.2</v>
      </c>
      <c r="L435" s="6">
        <f>INDEX(products!$A$1:$G$49, MATCH(orders!$D143,products!$A$1:$A190,0), MATCH(orders!L$1,products!$A$1:$G$1,0))</f>
        <v>3.8849999999999998</v>
      </c>
      <c r="M435" s="6">
        <f t="shared" si="18"/>
        <v>15.54</v>
      </c>
      <c r="N435" t="str">
        <f t="shared" si="19"/>
        <v>Arabica</v>
      </c>
      <c r="O435" t="str">
        <f t="shared" si="20"/>
        <v>Light</v>
      </c>
      <c r="P435" t="str">
        <f>_xlfn.XLOOKUP(Orders[[#This Row],[Customer ID]],customers!$A$1:$A$1001,customers!$I$1:$I$1001,,0)</f>
        <v>Yes</v>
      </c>
      <c r="Q435">
        <f>COUNTIF(Orders[Order ID],Orders[[#This Row],[Order ID]])</f>
        <v>1</v>
      </c>
      <c r="R435" s="10">
        <f>SUMIF(Orders[Order ID], Orders[[#This Row],[Order ID]],Orders[Sales])/Orders[[#This Row],[Order Frequency]]</f>
        <v>15.54</v>
      </c>
      <c r="S435" t="str">
        <f>IF(Orders[[#This Row],[Order Frequency]]&gt;4, "More than 4", IF(AND(Orders[[#This Row],[Order Frequency]]&lt;=4,Orders[[#This Row],[Order Frequency]]&gt;=2), "Between 4 and 2", "Less than 2"))</f>
        <v>Less than 2</v>
      </c>
      <c r="T435" t="str">
        <f>IF(Orders[[#This Row],[Frequency Group]]="less than 2", "Low Value", IF(Orders[[#This Row],[Frequency Group]]="between 4 and 2", "Medium Value", "High Value"))</f>
        <v>Low Value</v>
      </c>
      <c r="U435" t="str">
        <f>IF(Orders[[#This Row],[Sales]]&lt;50, "$0-50", IF(AND(Orders[[#This Row],[Sales]]&gt;=50,Orders[[#This Row],[Sales]]&lt;=100), "$50-100", IF(AND(Orders[[#This Row],[Sales]]&gt;100,Orders[[#This Row],[Sales]]&lt;=150), "$101-150", "$150+")))</f>
        <v>$0-50</v>
      </c>
      <c r="V435" t="str">
        <f>IF(Orders[[#This Row],[Sales]]&gt;MEDIAN(M:M), "High Price", "Low Price")</f>
        <v>Low Price</v>
      </c>
      <c r="W435" t="str">
        <f>IF(Orders[[#This Row],[Quantity]]&gt;MEDIAN(E:E), "High Volume", "Low Volume")</f>
        <v>Low Volume</v>
      </c>
      <c r="X435" t="str">
        <f>Orders[[#This Row],[Sales Tier]] &amp; "-" &amp; Orders[[#This Row],[Quantity Tier]]</f>
        <v>Low Price-Low Volume</v>
      </c>
      <c r="Y435" t="str">
        <f>TEXT(Orders[[#This Row],[Order Date]], "mmmm")</f>
        <v>May</v>
      </c>
      <c r="Z43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35" t="str">
        <f>Orders[[#This Row],[Coffee Type Name]] &amp; "-" &amp; Orders[[#This Row],[Roast Type Name]]</f>
        <v>Arabica-Light</v>
      </c>
      <c r="AB43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36" spans="1:28" x14ac:dyDescent="0.25">
      <c r="A436" s="2" t="s">
        <v>4864</v>
      </c>
      <c r="B436" s="4">
        <v>44756</v>
      </c>
      <c r="C436" s="2" t="s">
        <v>4865</v>
      </c>
      <c r="D436" t="s">
        <v>6138</v>
      </c>
      <c r="E436" s="2">
        <v>2</v>
      </c>
      <c r="F436" s="2" t="str">
        <f>_xlfn.XLOOKUP(C436,customers!$A$1:$A$1001,customers!$B$1:$B$1001,,0)</f>
        <v>Dorette Hinemoor</v>
      </c>
      <c r="G436" s="2" t="str">
        <f>IF(_xlfn.XLOOKUP(C436,customers!$A$1:$A$1001,customers!$C$1:$C$1001,,0)=0,"",_xlfn.XLOOKUP(C436,customers!$A$1:$A$1001,customers!$C$1:$C$1001,,0))</f>
        <v/>
      </c>
      <c r="H436" s="2" t="str">
        <f>_xlfn.XLOOKUP(C436,customers!$A$1:$A$1001,customers!$G$1:$G$1001,,0)</f>
        <v>United States</v>
      </c>
      <c r="I436" t="str">
        <f>INDEX(products!$A$1:$G$49, MATCH(orders!$D776,products!$A$1:$A823,0), MATCH(orders!I$1,products!$A$1:$G$1,0))</f>
        <v>Rob</v>
      </c>
      <c r="J436" t="str">
        <f>INDEX(products!$A$1:$G$49, MATCH(orders!$D776,products!$A$1:$A823,0), MATCH(orders!J$1,products!$A$1:$G$1,0))</f>
        <v>M</v>
      </c>
      <c r="K436" s="5">
        <f>INDEX(products!$A$1:$G$49, MATCH(orders!$D776,products!$A$1:$A823,0), MATCH(orders!K$1,products!$A$1:$G$1,0))</f>
        <v>1</v>
      </c>
      <c r="L436" s="6">
        <f>INDEX(products!$A$1:$G$49, MATCH(orders!$D776,products!$A$1:$A823,0), MATCH(orders!L$1,products!$A$1:$G$1,0))</f>
        <v>9.9499999999999993</v>
      </c>
      <c r="M436" s="6">
        <f t="shared" si="18"/>
        <v>19.899999999999999</v>
      </c>
      <c r="N436" t="str">
        <f t="shared" si="19"/>
        <v>Robusta</v>
      </c>
      <c r="O436" t="str">
        <f t="shared" si="20"/>
        <v>Medium</v>
      </c>
      <c r="P436" t="str">
        <f>_xlfn.XLOOKUP(Orders[[#This Row],[Customer ID]],customers!$A$1:$A$1001,customers!$I$1:$I$1001,,0)</f>
        <v>Yes</v>
      </c>
      <c r="Q436">
        <f>COUNTIF(Orders[Order ID],Orders[[#This Row],[Order ID]])</f>
        <v>1</v>
      </c>
      <c r="R436" s="10">
        <f>SUMIF(Orders[Order ID], Orders[[#This Row],[Order ID]],Orders[Sales])/Orders[[#This Row],[Order Frequency]]</f>
        <v>19.899999999999999</v>
      </c>
      <c r="S436" t="str">
        <f>IF(Orders[[#This Row],[Order Frequency]]&gt;4, "More than 4", IF(AND(Orders[[#This Row],[Order Frequency]]&lt;=4,Orders[[#This Row],[Order Frequency]]&gt;=2), "Between 4 and 2", "Less than 2"))</f>
        <v>Less than 2</v>
      </c>
      <c r="T436" t="str">
        <f>IF(Orders[[#This Row],[Frequency Group]]="less than 2", "Low Value", IF(Orders[[#This Row],[Frequency Group]]="between 4 and 2", "Medium Value", "High Value"))</f>
        <v>Low Value</v>
      </c>
      <c r="U436" t="str">
        <f>IF(Orders[[#This Row],[Sales]]&lt;50, "$0-50", IF(AND(Orders[[#This Row],[Sales]]&gt;=50,Orders[[#This Row],[Sales]]&lt;=100), "$50-100", IF(AND(Orders[[#This Row],[Sales]]&gt;100,Orders[[#This Row],[Sales]]&lt;=150), "$101-150", "$150+")))</f>
        <v>$0-50</v>
      </c>
      <c r="V436" t="str">
        <f>IF(Orders[[#This Row],[Sales]]&gt;MEDIAN(M:M), "High Price", "Low Price")</f>
        <v>Low Price</v>
      </c>
      <c r="W436" t="str">
        <f>IF(Orders[[#This Row],[Quantity]]&gt;MEDIAN(E:E), "High Volume", "Low Volume")</f>
        <v>Low Volume</v>
      </c>
      <c r="X436" t="str">
        <f>Orders[[#This Row],[Sales Tier]] &amp; "-" &amp; Orders[[#This Row],[Quantity Tier]]</f>
        <v>Low Price-Low Volume</v>
      </c>
      <c r="Y436" t="str">
        <f>TEXT(Orders[[#This Row],[Order Date]], "mmmm")</f>
        <v>July</v>
      </c>
      <c r="Z43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436" t="str">
        <f>Orders[[#This Row],[Coffee Type Name]] &amp; "-" &amp; Orders[[#This Row],[Roast Type Name]]</f>
        <v>Robusta-Medium</v>
      </c>
      <c r="AB43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437" spans="1:28" x14ac:dyDescent="0.25">
      <c r="A437" s="2" t="s">
        <v>2335</v>
      </c>
      <c r="B437" s="4">
        <v>43579</v>
      </c>
      <c r="C437" s="2" t="s">
        <v>2336</v>
      </c>
      <c r="D437" t="s">
        <v>6177</v>
      </c>
      <c r="E437" s="2">
        <v>5</v>
      </c>
      <c r="F437" s="2" t="str">
        <f>_xlfn.XLOOKUP(C437,customers!$A$1:$A$1001,customers!$B$1:$B$1001,,0)</f>
        <v>Baudoin Alldridge</v>
      </c>
      <c r="G437" s="2" t="str">
        <f>IF(_xlfn.XLOOKUP(C437,customers!$A$1:$A$1001,customers!$C$1:$C$1001,,0)=0,"",_xlfn.XLOOKUP(C437,customers!$A$1:$A$1001,customers!$C$1:$C$1001,,0))</f>
        <v>balldridge93@yandex.ru</v>
      </c>
      <c r="H437" s="2" t="str">
        <f>_xlfn.XLOOKUP(C437,customers!$A$1:$A$1001,customers!$G$1:$G$1001,,0)</f>
        <v>United States</v>
      </c>
      <c r="I437" t="str">
        <f>INDEX(products!$A$1:$G$49, MATCH(orders!$D329,products!$A$1:$A376,0), MATCH(orders!I$1,products!$A$1:$G$1,0))</f>
        <v>Rob</v>
      </c>
      <c r="J437" t="str">
        <f>INDEX(products!$A$1:$G$49, MATCH(orders!$D329,products!$A$1:$A376,0), MATCH(orders!J$1,products!$A$1:$G$1,0))</f>
        <v>D</v>
      </c>
      <c r="K437" s="5">
        <f>INDEX(products!$A$1:$G$49, MATCH(orders!$D329,products!$A$1:$A376,0), MATCH(orders!K$1,products!$A$1:$G$1,0))</f>
        <v>1</v>
      </c>
      <c r="L437" s="6">
        <f>INDEX(products!$A$1:$G$49, MATCH(orders!$D329,products!$A$1:$A376,0), MATCH(orders!L$1,products!$A$1:$G$1,0))</f>
        <v>8.9499999999999993</v>
      </c>
      <c r="M437" s="6">
        <f t="shared" si="18"/>
        <v>44.75</v>
      </c>
      <c r="N437" t="str">
        <f t="shared" si="19"/>
        <v>Robusta</v>
      </c>
      <c r="O437" t="str">
        <f t="shared" si="20"/>
        <v>Dark</v>
      </c>
      <c r="P437" t="str">
        <f>_xlfn.XLOOKUP(Orders[[#This Row],[Customer ID]],customers!$A$1:$A$1001,customers!$I$1:$I$1001,,0)</f>
        <v>Yes</v>
      </c>
      <c r="Q437">
        <f>COUNTIF(Orders[Order ID],Orders[[#This Row],[Order ID]])</f>
        <v>1</v>
      </c>
      <c r="R437" s="10">
        <f>SUMIF(Orders[Order ID], Orders[[#This Row],[Order ID]],Orders[Sales])/Orders[[#This Row],[Order Frequency]]</f>
        <v>44.75</v>
      </c>
      <c r="S437" t="str">
        <f>IF(Orders[[#This Row],[Order Frequency]]&gt;4, "More than 4", IF(AND(Orders[[#This Row],[Order Frequency]]&lt;=4,Orders[[#This Row],[Order Frequency]]&gt;=2), "Between 4 and 2", "Less than 2"))</f>
        <v>Less than 2</v>
      </c>
      <c r="T437" t="str">
        <f>IF(Orders[[#This Row],[Frequency Group]]="less than 2", "Low Value", IF(Orders[[#This Row],[Frequency Group]]="between 4 and 2", "Medium Value", "High Value"))</f>
        <v>Low Value</v>
      </c>
      <c r="U437" t="str">
        <f>IF(Orders[[#This Row],[Sales]]&lt;50, "$0-50", IF(AND(Orders[[#This Row],[Sales]]&gt;=50,Orders[[#This Row],[Sales]]&lt;=100), "$50-100", IF(AND(Orders[[#This Row],[Sales]]&gt;100,Orders[[#This Row],[Sales]]&lt;=150), "$101-150", "$150+")))</f>
        <v>$0-50</v>
      </c>
      <c r="V437" t="str">
        <f>IF(Orders[[#This Row],[Sales]]&gt;MEDIAN(M:M), "High Price", "Low Price")</f>
        <v>High Price</v>
      </c>
      <c r="W437" t="str">
        <f>IF(Orders[[#This Row],[Quantity]]&gt;MEDIAN(E:E), "High Volume", "Low Volume")</f>
        <v>High Volume</v>
      </c>
      <c r="X437" t="str">
        <f>Orders[[#This Row],[Sales Tier]] &amp; "-" &amp; Orders[[#This Row],[Quantity Tier]]</f>
        <v>High Price-High Volume</v>
      </c>
      <c r="Y437" t="str">
        <f>TEXT(Orders[[#This Row],[Order Date]], "mmmm")</f>
        <v>April</v>
      </c>
      <c r="Z43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37" t="str">
        <f>Orders[[#This Row],[Coffee Type Name]] &amp; "-" &amp; Orders[[#This Row],[Roast Type Name]]</f>
        <v>Robusta-Dark</v>
      </c>
      <c r="AB43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38" spans="1:28" x14ac:dyDescent="0.25">
      <c r="A438" s="2" t="s">
        <v>1059</v>
      </c>
      <c r="B438" s="4">
        <v>44488</v>
      </c>
      <c r="C438" s="2" t="s">
        <v>1060</v>
      </c>
      <c r="D438" t="s">
        <v>6143</v>
      </c>
      <c r="E438" s="2">
        <v>3</v>
      </c>
      <c r="F438" s="2" t="str">
        <f>_xlfn.XLOOKUP(C438,customers!$A$1:$A$1001,customers!$B$1:$B$1001,,0)</f>
        <v>Dyanna Aizikovitz</v>
      </c>
      <c r="G438" s="2" t="str">
        <f>IF(_xlfn.XLOOKUP(C438,customers!$A$1:$A$1001,customers!$C$1:$C$1001,,0)=0,"",_xlfn.XLOOKUP(C438,customers!$A$1:$A$1001,customers!$C$1:$C$1001,,0))</f>
        <v>daizikovitz2u@answers.com</v>
      </c>
      <c r="H438" s="2" t="str">
        <f>_xlfn.XLOOKUP(C438,customers!$A$1:$A$1001,customers!$G$1:$G$1001,,0)</f>
        <v>Ireland</v>
      </c>
      <c r="I438" t="str">
        <f>INDEX(products!$A$1:$G$49, MATCH(orders!$D104,products!$A$1:$A151,0), MATCH(orders!I$1,products!$A$1:$G$1,0))</f>
        <v>Lib</v>
      </c>
      <c r="J438" t="str">
        <f>INDEX(products!$A$1:$G$49, MATCH(orders!$D104,products!$A$1:$A151,0), MATCH(orders!J$1,products!$A$1:$G$1,0))</f>
        <v>D</v>
      </c>
      <c r="K438" s="5">
        <f>INDEX(products!$A$1:$G$49, MATCH(orders!$D104,products!$A$1:$A151,0), MATCH(orders!K$1,products!$A$1:$G$1,0))</f>
        <v>1</v>
      </c>
      <c r="L438" s="6">
        <f>INDEX(products!$A$1:$G$49, MATCH(orders!$D104,products!$A$1:$A151,0), MATCH(orders!L$1,products!$A$1:$G$1,0))</f>
        <v>12.95</v>
      </c>
      <c r="M438" s="6">
        <f t="shared" si="18"/>
        <v>38.849999999999994</v>
      </c>
      <c r="N438" t="str">
        <f t="shared" si="19"/>
        <v>Liberica</v>
      </c>
      <c r="O438" t="str">
        <f t="shared" si="20"/>
        <v>Dark</v>
      </c>
      <c r="P438" t="str">
        <f>_xlfn.XLOOKUP(Orders[[#This Row],[Customer ID]],customers!$A$1:$A$1001,customers!$I$1:$I$1001,,0)</f>
        <v>Yes</v>
      </c>
      <c r="Q438">
        <f>COUNTIF(Orders[Order ID],Orders[[#This Row],[Order ID]])</f>
        <v>1</v>
      </c>
      <c r="R438" s="10">
        <f>SUMIF(Orders[Order ID], Orders[[#This Row],[Order ID]],Orders[Sales])/Orders[[#This Row],[Order Frequency]]</f>
        <v>38.849999999999994</v>
      </c>
      <c r="S438" t="str">
        <f>IF(Orders[[#This Row],[Order Frequency]]&gt;4, "More than 4", IF(AND(Orders[[#This Row],[Order Frequency]]&lt;=4,Orders[[#This Row],[Order Frequency]]&gt;=2), "Between 4 and 2", "Less than 2"))</f>
        <v>Less than 2</v>
      </c>
      <c r="T438" t="str">
        <f>IF(Orders[[#This Row],[Frequency Group]]="less than 2", "Low Value", IF(Orders[[#This Row],[Frequency Group]]="between 4 and 2", "Medium Value", "High Value"))</f>
        <v>Low Value</v>
      </c>
      <c r="U438" t="str">
        <f>IF(Orders[[#This Row],[Sales]]&lt;50, "$0-50", IF(AND(Orders[[#This Row],[Sales]]&gt;=50,Orders[[#This Row],[Sales]]&lt;=100), "$50-100", IF(AND(Orders[[#This Row],[Sales]]&gt;100,Orders[[#This Row],[Sales]]&lt;=150), "$101-150", "$150+")))</f>
        <v>$0-50</v>
      </c>
      <c r="V438" t="str">
        <f>IF(Orders[[#This Row],[Sales]]&gt;MEDIAN(M:M), "High Price", "Low Price")</f>
        <v>High Price</v>
      </c>
      <c r="W438" t="str">
        <f>IF(Orders[[#This Row],[Quantity]]&gt;MEDIAN(E:E), "High Volume", "Low Volume")</f>
        <v>Low Volume</v>
      </c>
      <c r="X438" t="str">
        <f>Orders[[#This Row],[Sales Tier]] &amp; "-" &amp; Orders[[#This Row],[Quantity Tier]]</f>
        <v>High Price-Low Volume</v>
      </c>
      <c r="Y438" t="str">
        <f>TEXT(Orders[[#This Row],[Order Date]], "mmmm")</f>
        <v>October</v>
      </c>
      <c r="Z43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438" t="str">
        <f>Orders[[#This Row],[Coffee Type Name]] &amp; "-" &amp; Orders[[#This Row],[Roast Type Name]]</f>
        <v>Liberica-Dark</v>
      </c>
      <c r="AB43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439" spans="1:28" x14ac:dyDescent="0.25">
      <c r="A439" s="2" t="s">
        <v>800</v>
      </c>
      <c r="B439" s="4">
        <v>44168</v>
      </c>
      <c r="C439" s="2" t="s">
        <v>801</v>
      </c>
      <c r="D439" t="s">
        <v>6170</v>
      </c>
      <c r="E439" s="2">
        <v>3</v>
      </c>
      <c r="F439" s="2" t="str">
        <f>_xlfn.XLOOKUP(C439,customers!$A$1:$A$1001,customers!$B$1:$B$1001,,0)</f>
        <v>Salomo Cushworth</v>
      </c>
      <c r="G439" s="2" t="str">
        <f>IF(_xlfn.XLOOKUP(C439,customers!$A$1:$A$1001,customers!$C$1:$C$1001,,0)=0,"",_xlfn.XLOOKUP(C439,customers!$A$1:$A$1001,customers!$C$1:$C$1001,,0))</f>
        <v/>
      </c>
      <c r="H439" s="2" t="str">
        <f>_xlfn.XLOOKUP(C439,customers!$A$1:$A$1001,customers!$G$1:$G$1001,,0)</f>
        <v>United States</v>
      </c>
      <c r="I439" t="str">
        <f>INDEX(products!$A$1:$G$49, MATCH(orders!$D57,products!$A$1:$A104,0), MATCH(orders!I$1,products!$A$1:$G$1,0))</f>
        <v>Lib</v>
      </c>
      <c r="J439" t="str">
        <f>INDEX(products!$A$1:$G$49, MATCH(orders!$D57,products!$A$1:$A104,0), MATCH(orders!J$1,products!$A$1:$G$1,0))</f>
        <v>L</v>
      </c>
      <c r="K439" s="5">
        <f>INDEX(products!$A$1:$G$49, MATCH(orders!$D57,products!$A$1:$A104,0), MATCH(orders!K$1,products!$A$1:$G$1,0))</f>
        <v>1</v>
      </c>
      <c r="L439" s="6">
        <f>INDEX(products!$A$1:$G$49, MATCH(orders!$D57,products!$A$1:$A104,0), MATCH(orders!L$1,products!$A$1:$G$1,0))</f>
        <v>15.85</v>
      </c>
      <c r="M439" s="6">
        <f t="shared" si="18"/>
        <v>47.55</v>
      </c>
      <c r="N439" t="str">
        <f t="shared" si="19"/>
        <v>Liberica</v>
      </c>
      <c r="O439" t="str">
        <f t="shared" si="20"/>
        <v>Light</v>
      </c>
      <c r="P439" t="str">
        <f>_xlfn.XLOOKUP(Orders[[#This Row],[Customer ID]],customers!$A$1:$A$1001,customers!$I$1:$I$1001,,0)</f>
        <v>No</v>
      </c>
      <c r="Q439">
        <f>COUNTIF(Orders[Order ID],Orders[[#This Row],[Order ID]])</f>
        <v>1</v>
      </c>
      <c r="R439" s="10">
        <f>SUMIF(Orders[Order ID], Orders[[#This Row],[Order ID]],Orders[Sales])/Orders[[#This Row],[Order Frequency]]</f>
        <v>47.55</v>
      </c>
      <c r="S439" t="str">
        <f>IF(Orders[[#This Row],[Order Frequency]]&gt;4, "More than 4", IF(AND(Orders[[#This Row],[Order Frequency]]&lt;=4,Orders[[#This Row],[Order Frequency]]&gt;=2), "Between 4 and 2", "Less than 2"))</f>
        <v>Less than 2</v>
      </c>
      <c r="T439" t="str">
        <f>IF(Orders[[#This Row],[Frequency Group]]="less than 2", "Low Value", IF(Orders[[#This Row],[Frequency Group]]="between 4 and 2", "Medium Value", "High Value"))</f>
        <v>Low Value</v>
      </c>
      <c r="U439" t="str">
        <f>IF(Orders[[#This Row],[Sales]]&lt;50, "$0-50", IF(AND(Orders[[#This Row],[Sales]]&gt;=50,Orders[[#This Row],[Sales]]&lt;=100), "$50-100", IF(AND(Orders[[#This Row],[Sales]]&gt;100,Orders[[#This Row],[Sales]]&lt;=150), "$101-150", "$150+")))</f>
        <v>$0-50</v>
      </c>
      <c r="V439" t="str">
        <f>IF(Orders[[#This Row],[Sales]]&gt;MEDIAN(M:M), "High Price", "Low Price")</f>
        <v>High Price</v>
      </c>
      <c r="W439" t="str">
        <f>IF(Orders[[#This Row],[Quantity]]&gt;MEDIAN(E:E), "High Volume", "Low Volume")</f>
        <v>Low Volume</v>
      </c>
      <c r="X439" t="str">
        <f>Orders[[#This Row],[Sales Tier]] &amp; "-" &amp; Orders[[#This Row],[Quantity Tier]]</f>
        <v>High Price-Low Volume</v>
      </c>
      <c r="Y439" t="str">
        <f>TEXT(Orders[[#This Row],[Order Date]], "mmmm")</f>
        <v>December</v>
      </c>
      <c r="Z43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439" t="str">
        <f>Orders[[#This Row],[Coffee Type Name]] &amp; "-" &amp; Orders[[#This Row],[Roast Type Name]]</f>
        <v>Liberica-Light</v>
      </c>
      <c r="AB43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440" spans="1:28" x14ac:dyDescent="0.25">
      <c r="A440" s="2" t="s">
        <v>3254</v>
      </c>
      <c r="B440" s="4">
        <v>43654</v>
      </c>
      <c r="C440" s="2" t="s">
        <v>3255</v>
      </c>
      <c r="D440" t="s">
        <v>6170</v>
      </c>
      <c r="E440" s="2">
        <v>6</v>
      </c>
      <c r="F440" s="2" t="str">
        <f>_xlfn.XLOOKUP(C440,customers!$A$1:$A$1001,customers!$B$1:$B$1001,,0)</f>
        <v>Sean Lorenzetti</v>
      </c>
      <c r="G440" s="2" t="str">
        <f>IF(_xlfn.XLOOKUP(C440,customers!$A$1:$A$1001,customers!$C$1:$C$1001,,0)=0,"",_xlfn.XLOOKUP(C440,customers!$A$1:$A$1001,customers!$C$1:$C$1001,,0))</f>
        <v>slorenzettidl@is.gd</v>
      </c>
      <c r="H440" s="2" t="str">
        <f>_xlfn.XLOOKUP(C440,customers!$A$1:$A$1001,customers!$G$1:$G$1001,,0)</f>
        <v>United States</v>
      </c>
      <c r="I440" t="str">
        <f>INDEX(products!$A$1:$G$49, MATCH(orders!$D491,products!$A$1:$A538,0), MATCH(orders!I$1,products!$A$1:$G$1,0))</f>
        <v>Lib</v>
      </c>
      <c r="J440" t="str">
        <f>INDEX(products!$A$1:$G$49, MATCH(orders!$D491,products!$A$1:$A538,0), MATCH(orders!J$1,products!$A$1:$G$1,0))</f>
        <v>L</v>
      </c>
      <c r="K440" s="5">
        <f>INDEX(products!$A$1:$G$49, MATCH(orders!$D491,products!$A$1:$A538,0), MATCH(orders!K$1,products!$A$1:$G$1,0))</f>
        <v>1</v>
      </c>
      <c r="L440" s="6">
        <f>INDEX(products!$A$1:$G$49, MATCH(orders!$D491,products!$A$1:$A538,0), MATCH(orders!L$1,products!$A$1:$G$1,0))</f>
        <v>15.85</v>
      </c>
      <c r="M440" s="6">
        <f t="shared" si="18"/>
        <v>95.1</v>
      </c>
      <c r="N440" t="str">
        <f t="shared" si="19"/>
        <v>Liberica</v>
      </c>
      <c r="O440" t="str">
        <f t="shared" si="20"/>
        <v>Light</v>
      </c>
      <c r="P440" t="str">
        <f>_xlfn.XLOOKUP(Orders[[#This Row],[Customer ID]],customers!$A$1:$A$1001,customers!$I$1:$I$1001,,0)</f>
        <v>No</v>
      </c>
      <c r="Q440">
        <f>COUNTIF(Orders[Order ID],Orders[[#This Row],[Order ID]])</f>
        <v>1</v>
      </c>
      <c r="R440" s="10">
        <f>SUMIF(Orders[Order ID], Orders[[#This Row],[Order ID]],Orders[Sales])/Orders[[#This Row],[Order Frequency]]</f>
        <v>95.1</v>
      </c>
      <c r="S440" t="str">
        <f>IF(Orders[[#This Row],[Order Frequency]]&gt;4, "More than 4", IF(AND(Orders[[#This Row],[Order Frequency]]&lt;=4,Orders[[#This Row],[Order Frequency]]&gt;=2), "Between 4 and 2", "Less than 2"))</f>
        <v>Less than 2</v>
      </c>
      <c r="T440" t="str">
        <f>IF(Orders[[#This Row],[Frequency Group]]="less than 2", "Low Value", IF(Orders[[#This Row],[Frequency Group]]="between 4 and 2", "Medium Value", "High Value"))</f>
        <v>Low Value</v>
      </c>
      <c r="U440" t="str">
        <f>IF(Orders[[#This Row],[Sales]]&lt;50, "$0-50", IF(AND(Orders[[#This Row],[Sales]]&gt;=50,Orders[[#This Row],[Sales]]&lt;=100), "$50-100", IF(AND(Orders[[#This Row],[Sales]]&gt;100,Orders[[#This Row],[Sales]]&lt;=150), "$101-150", "$150+")))</f>
        <v>$50-100</v>
      </c>
      <c r="V440" t="str">
        <f>IF(Orders[[#This Row],[Sales]]&gt;MEDIAN(M:M), "High Price", "Low Price")</f>
        <v>High Price</v>
      </c>
      <c r="W440" t="str">
        <f>IF(Orders[[#This Row],[Quantity]]&gt;MEDIAN(E:E), "High Volume", "Low Volume")</f>
        <v>High Volume</v>
      </c>
      <c r="X440" t="str">
        <f>Orders[[#This Row],[Sales Tier]] &amp; "-" &amp; Orders[[#This Row],[Quantity Tier]]</f>
        <v>High Price-High Volume</v>
      </c>
      <c r="Y440" t="str">
        <f>TEXT(Orders[[#This Row],[Order Date]], "mmmm")</f>
        <v>July</v>
      </c>
      <c r="Z44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440" t="str">
        <f>Orders[[#This Row],[Coffee Type Name]] &amp; "-" &amp; Orders[[#This Row],[Roast Type Name]]</f>
        <v>Liberica-Light</v>
      </c>
      <c r="AB44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441" spans="1:28" x14ac:dyDescent="0.25">
      <c r="A441" s="2" t="s">
        <v>2085</v>
      </c>
      <c r="B441" s="4">
        <v>43520</v>
      </c>
      <c r="C441" s="2" t="s">
        <v>2086</v>
      </c>
      <c r="D441" t="s">
        <v>6180</v>
      </c>
      <c r="E441" s="2">
        <v>1</v>
      </c>
      <c r="F441" s="2" t="str">
        <f>_xlfn.XLOOKUP(C441,customers!$A$1:$A$1001,customers!$B$1:$B$1001,,0)</f>
        <v>Flory Crumpe</v>
      </c>
      <c r="G441" s="2" t="str">
        <f>IF(_xlfn.XLOOKUP(C441,customers!$A$1:$A$1001,customers!$C$1:$C$1001,,0)=0,"",_xlfn.XLOOKUP(C441,customers!$A$1:$A$1001,customers!$C$1:$C$1001,,0))</f>
        <v>fcrumpe7u@ftc.gov</v>
      </c>
      <c r="H441" s="2" t="str">
        <f>_xlfn.XLOOKUP(C441,customers!$A$1:$A$1001,customers!$G$1:$G$1001,,0)</f>
        <v>United Kingdom</v>
      </c>
      <c r="I441" t="str">
        <f>INDEX(products!$A$1:$G$49, MATCH(orders!$D284,products!$A$1:$A331,0), MATCH(orders!I$1,products!$A$1:$G$1,0))</f>
        <v>Ara</v>
      </c>
      <c r="J441" t="str">
        <f>INDEX(products!$A$1:$G$49, MATCH(orders!$D284,products!$A$1:$A331,0), MATCH(orders!J$1,products!$A$1:$G$1,0))</f>
        <v>L</v>
      </c>
      <c r="K441" s="5">
        <f>INDEX(products!$A$1:$G$49, MATCH(orders!$D284,products!$A$1:$A331,0), MATCH(orders!K$1,products!$A$1:$G$1,0))</f>
        <v>0.5</v>
      </c>
      <c r="L441" s="6">
        <f>INDEX(products!$A$1:$G$49, MATCH(orders!$D284,products!$A$1:$A331,0), MATCH(orders!L$1,products!$A$1:$G$1,0))</f>
        <v>7.77</v>
      </c>
      <c r="M441" s="6">
        <f t="shared" si="18"/>
        <v>7.77</v>
      </c>
      <c r="N441" t="str">
        <f t="shared" si="19"/>
        <v>Arabica</v>
      </c>
      <c r="O441" t="str">
        <f t="shared" si="20"/>
        <v>Light</v>
      </c>
      <c r="P441" t="str">
        <f>_xlfn.XLOOKUP(Orders[[#This Row],[Customer ID]],customers!$A$1:$A$1001,customers!$I$1:$I$1001,,0)</f>
        <v>No</v>
      </c>
      <c r="Q441">
        <f>COUNTIF(Orders[Order ID],Orders[[#This Row],[Order ID]])</f>
        <v>1</v>
      </c>
      <c r="R441" s="10">
        <f>SUMIF(Orders[Order ID], Orders[[#This Row],[Order ID]],Orders[Sales])/Orders[[#This Row],[Order Frequency]]</f>
        <v>7.77</v>
      </c>
      <c r="S441" t="str">
        <f>IF(Orders[[#This Row],[Order Frequency]]&gt;4, "More than 4", IF(AND(Orders[[#This Row],[Order Frequency]]&lt;=4,Orders[[#This Row],[Order Frequency]]&gt;=2), "Between 4 and 2", "Less than 2"))</f>
        <v>Less than 2</v>
      </c>
      <c r="T441" t="str">
        <f>IF(Orders[[#This Row],[Frequency Group]]="less than 2", "Low Value", IF(Orders[[#This Row],[Frequency Group]]="between 4 and 2", "Medium Value", "High Value"))</f>
        <v>Low Value</v>
      </c>
      <c r="U441" t="str">
        <f>IF(Orders[[#This Row],[Sales]]&lt;50, "$0-50", IF(AND(Orders[[#This Row],[Sales]]&gt;=50,Orders[[#This Row],[Sales]]&lt;=100), "$50-100", IF(AND(Orders[[#This Row],[Sales]]&gt;100,Orders[[#This Row],[Sales]]&lt;=150), "$101-150", "$150+")))</f>
        <v>$0-50</v>
      </c>
      <c r="V441" t="str">
        <f>IF(Orders[[#This Row],[Sales]]&gt;MEDIAN(M:M), "High Price", "Low Price")</f>
        <v>Low Price</v>
      </c>
      <c r="W441" t="str">
        <f>IF(Orders[[#This Row],[Quantity]]&gt;MEDIAN(E:E), "High Volume", "Low Volume")</f>
        <v>Low Volume</v>
      </c>
      <c r="X441" t="str">
        <f>Orders[[#This Row],[Sales Tier]] &amp; "-" &amp; Orders[[#This Row],[Quantity Tier]]</f>
        <v>Low Price-Low Volume</v>
      </c>
      <c r="Y441" t="str">
        <f>TEXT(Orders[[#This Row],[Order Date]], "mmmm")</f>
        <v>February</v>
      </c>
      <c r="Z44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441" t="str">
        <f>Orders[[#This Row],[Coffee Type Name]] &amp; "-" &amp; Orders[[#This Row],[Roast Type Name]]</f>
        <v>Arabica-Light</v>
      </c>
      <c r="AB44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442" spans="1:28" x14ac:dyDescent="0.25">
      <c r="A442" s="2" t="s">
        <v>4389</v>
      </c>
      <c r="B442" s="4">
        <v>44754</v>
      </c>
      <c r="C442" s="2" t="s">
        <v>4390</v>
      </c>
      <c r="D442" t="s">
        <v>6165</v>
      </c>
      <c r="E442" s="2">
        <v>6</v>
      </c>
      <c r="F442" s="2" t="str">
        <f>_xlfn.XLOOKUP(C442,customers!$A$1:$A$1001,customers!$B$1:$B$1001,,0)</f>
        <v>Francesco Dressel</v>
      </c>
      <c r="G442" s="2" t="str">
        <f>IF(_xlfn.XLOOKUP(C442,customers!$A$1:$A$1001,customers!$C$1:$C$1001,,0)=0,"",_xlfn.XLOOKUP(C442,customers!$A$1:$A$1001,customers!$C$1:$C$1001,,0))</f>
        <v/>
      </c>
      <c r="H442" s="2" t="str">
        <f>_xlfn.XLOOKUP(C442,customers!$A$1:$A$1001,customers!$G$1:$G$1001,,0)</f>
        <v>United States</v>
      </c>
      <c r="I442" t="str">
        <f>INDEX(products!$A$1:$G$49, MATCH(orders!$D692,products!$A$1:$A739,0), MATCH(orders!I$1,products!$A$1:$G$1,0))</f>
        <v>Lib</v>
      </c>
      <c r="J442" t="str">
        <f>INDEX(products!$A$1:$G$49, MATCH(orders!$D692,products!$A$1:$A739,0), MATCH(orders!J$1,products!$A$1:$G$1,0))</f>
        <v>D</v>
      </c>
      <c r="K442" s="5">
        <f>INDEX(products!$A$1:$G$49, MATCH(orders!$D692,products!$A$1:$A739,0), MATCH(orders!K$1,products!$A$1:$G$1,0))</f>
        <v>2.5</v>
      </c>
      <c r="L442" s="6">
        <f>INDEX(products!$A$1:$G$49, MATCH(orders!$D692,products!$A$1:$A739,0), MATCH(orders!L$1,products!$A$1:$G$1,0))</f>
        <v>29.784999999999997</v>
      </c>
      <c r="M442" s="6">
        <f t="shared" si="18"/>
        <v>178.70999999999998</v>
      </c>
      <c r="N442" t="str">
        <f t="shared" si="19"/>
        <v>Liberica</v>
      </c>
      <c r="O442" t="str">
        <f t="shared" si="20"/>
        <v>Dark</v>
      </c>
      <c r="P442" t="str">
        <f>_xlfn.XLOOKUP(Orders[[#This Row],[Customer ID]],customers!$A$1:$A$1001,customers!$I$1:$I$1001,,0)</f>
        <v>No</v>
      </c>
      <c r="Q442">
        <f>COUNTIF(Orders[Order ID],Orders[[#This Row],[Order ID]])</f>
        <v>1</v>
      </c>
      <c r="R442" s="10">
        <f>SUMIF(Orders[Order ID], Orders[[#This Row],[Order ID]],Orders[Sales])/Orders[[#This Row],[Order Frequency]]</f>
        <v>178.70999999999998</v>
      </c>
      <c r="S442" t="str">
        <f>IF(Orders[[#This Row],[Order Frequency]]&gt;4, "More than 4", IF(AND(Orders[[#This Row],[Order Frequency]]&lt;=4,Orders[[#This Row],[Order Frequency]]&gt;=2), "Between 4 and 2", "Less than 2"))</f>
        <v>Less than 2</v>
      </c>
      <c r="T442" t="str">
        <f>IF(Orders[[#This Row],[Frequency Group]]="less than 2", "Low Value", IF(Orders[[#This Row],[Frequency Group]]="between 4 and 2", "Medium Value", "High Value"))</f>
        <v>Low Value</v>
      </c>
      <c r="U442" t="str">
        <f>IF(Orders[[#This Row],[Sales]]&lt;50, "$0-50", IF(AND(Orders[[#This Row],[Sales]]&gt;=50,Orders[[#This Row],[Sales]]&lt;=100), "$50-100", IF(AND(Orders[[#This Row],[Sales]]&gt;100,Orders[[#This Row],[Sales]]&lt;=150), "$101-150", "$150+")))</f>
        <v>$150+</v>
      </c>
      <c r="V442" t="str">
        <f>IF(Orders[[#This Row],[Sales]]&gt;MEDIAN(M:M), "High Price", "Low Price")</f>
        <v>High Price</v>
      </c>
      <c r="W442" t="str">
        <f>IF(Orders[[#This Row],[Quantity]]&gt;MEDIAN(E:E), "High Volume", "Low Volume")</f>
        <v>High Volume</v>
      </c>
      <c r="X442" t="str">
        <f>Orders[[#This Row],[Sales Tier]] &amp; "-" &amp; Orders[[#This Row],[Quantity Tier]]</f>
        <v>High Price-High Volume</v>
      </c>
      <c r="Y442" t="str">
        <f>TEXT(Orders[[#This Row],[Order Date]], "mmmm")</f>
        <v>July</v>
      </c>
      <c r="Z44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442" t="str">
        <f>Orders[[#This Row],[Coffee Type Name]] &amp; "-" &amp; Orders[[#This Row],[Roast Type Name]]</f>
        <v>Liberica-Dark</v>
      </c>
      <c r="AB44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443" spans="1:28" x14ac:dyDescent="0.25">
      <c r="A443" s="2" t="s">
        <v>6007</v>
      </c>
      <c r="B443" s="4">
        <v>43643</v>
      </c>
      <c r="C443" s="2" t="s">
        <v>6008</v>
      </c>
      <c r="D443" t="s">
        <v>6142</v>
      </c>
      <c r="E443" s="2">
        <v>5</v>
      </c>
      <c r="F443" s="2" t="str">
        <f>_xlfn.XLOOKUP(C443,customers!$A$1:$A$1001,customers!$B$1:$B$1001,,0)</f>
        <v>Kacy Canto</v>
      </c>
      <c r="G443" s="2" t="str">
        <f>IF(_xlfn.XLOOKUP(C443,customers!$A$1:$A$1001,customers!$C$1:$C$1001,,0)=0,"",_xlfn.XLOOKUP(C443,customers!$A$1:$A$1001,customers!$C$1:$C$1001,,0))</f>
        <v>kcantor4@gmpg.org</v>
      </c>
      <c r="H443" s="2" t="str">
        <f>_xlfn.XLOOKUP(C443,customers!$A$1:$A$1001,customers!$G$1:$G$1001,,0)</f>
        <v>United States</v>
      </c>
      <c r="I443" t="str">
        <f>INDEX(products!$A$1:$G$49, MATCH(orders!$D978,products!$A$1:$A1025,0), MATCH(orders!I$1,products!$A$1:$G$1,0))</f>
        <v>Rob</v>
      </c>
      <c r="J443" t="str">
        <f>INDEX(products!$A$1:$G$49, MATCH(orders!$D978,products!$A$1:$A1025,0), MATCH(orders!J$1,products!$A$1:$G$1,0))</f>
        <v>L</v>
      </c>
      <c r="K443" s="5">
        <f>INDEX(products!$A$1:$G$49, MATCH(orders!$D978,products!$A$1:$A1025,0), MATCH(orders!K$1,products!$A$1:$G$1,0))</f>
        <v>2.5</v>
      </c>
      <c r="L443" s="6">
        <f>INDEX(products!$A$1:$G$49, MATCH(orders!$D978,products!$A$1:$A1025,0), MATCH(orders!L$1,products!$A$1:$G$1,0))</f>
        <v>27.484999999999996</v>
      </c>
      <c r="M443" s="6">
        <f t="shared" si="18"/>
        <v>137.42499999999998</v>
      </c>
      <c r="N443" t="str">
        <f t="shared" si="19"/>
        <v>Robusta</v>
      </c>
      <c r="O443" t="str">
        <f t="shared" si="20"/>
        <v>Light</v>
      </c>
      <c r="P443" t="str">
        <f>_xlfn.XLOOKUP(Orders[[#This Row],[Customer ID]],customers!$A$1:$A$1001,customers!$I$1:$I$1001,,0)</f>
        <v>Yes</v>
      </c>
      <c r="Q443">
        <f>COUNTIF(Orders[Order ID],Orders[[#This Row],[Order ID]])</f>
        <v>1</v>
      </c>
      <c r="R443" s="10">
        <f>SUMIF(Orders[Order ID], Orders[[#This Row],[Order ID]],Orders[Sales])/Orders[[#This Row],[Order Frequency]]</f>
        <v>137.42499999999998</v>
      </c>
      <c r="S443" t="str">
        <f>IF(Orders[[#This Row],[Order Frequency]]&gt;4, "More than 4", IF(AND(Orders[[#This Row],[Order Frequency]]&lt;=4,Orders[[#This Row],[Order Frequency]]&gt;=2), "Between 4 and 2", "Less than 2"))</f>
        <v>Less than 2</v>
      </c>
      <c r="T443" t="str">
        <f>IF(Orders[[#This Row],[Frequency Group]]="less than 2", "Low Value", IF(Orders[[#This Row],[Frequency Group]]="between 4 and 2", "Medium Value", "High Value"))</f>
        <v>Low Value</v>
      </c>
      <c r="U443" t="str">
        <f>IF(Orders[[#This Row],[Sales]]&lt;50, "$0-50", IF(AND(Orders[[#This Row],[Sales]]&gt;=50,Orders[[#This Row],[Sales]]&lt;=100), "$50-100", IF(AND(Orders[[#This Row],[Sales]]&gt;100,Orders[[#This Row],[Sales]]&lt;=150), "$101-150", "$150+")))</f>
        <v>$101-150</v>
      </c>
      <c r="V443" t="str">
        <f>IF(Orders[[#This Row],[Sales]]&gt;MEDIAN(M:M), "High Price", "Low Price")</f>
        <v>High Price</v>
      </c>
      <c r="W443" t="str">
        <f>IF(Orders[[#This Row],[Quantity]]&gt;MEDIAN(E:E), "High Volume", "Low Volume")</f>
        <v>High Volume</v>
      </c>
      <c r="X443" t="str">
        <f>Orders[[#This Row],[Sales Tier]] &amp; "-" &amp; Orders[[#This Row],[Quantity Tier]]</f>
        <v>High Price-High Volume</v>
      </c>
      <c r="Y443" t="str">
        <f>TEXT(Orders[[#This Row],[Order Date]], "mmmm")</f>
        <v>June</v>
      </c>
      <c r="Z44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43" t="str">
        <f>Orders[[#This Row],[Coffee Type Name]] &amp; "-" &amp; Orders[[#This Row],[Roast Type Name]]</f>
        <v>Robusta-Light</v>
      </c>
      <c r="AB44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444" spans="1:28" x14ac:dyDescent="0.25">
      <c r="A444" s="2" t="s">
        <v>1923</v>
      </c>
      <c r="B444" s="4">
        <v>44482</v>
      </c>
      <c r="C444" s="2" t="s">
        <v>1924</v>
      </c>
      <c r="D444" t="s">
        <v>6173</v>
      </c>
      <c r="E444" s="2">
        <v>4</v>
      </c>
      <c r="F444" s="2" t="str">
        <f>_xlfn.XLOOKUP(C444,customers!$A$1:$A$1001,customers!$B$1:$B$1001,,0)</f>
        <v>Rosaline McLae</v>
      </c>
      <c r="G444" s="2" t="str">
        <f>IF(_xlfn.XLOOKUP(C444,customers!$A$1:$A$1001,customers!$C$1:$C$1001,,0)=0,"",_xlfn.XLOOKUP(C444,customers!$A$1:$A$1001,customers!$C$1:$C$1001,,0))</f>
        <v>rmclae72@dailymotion.com</v>
      </c>
      <c r="H444" s="2" t="str">
        <f>_xlfn.XLOOKUP(C444,customers!$A$1:$A$1001,customers!$G$1:$G$1001,,0)</f>
        <v>United Kingdom</v>
      </c>
      <c r="I444" t="str">
        <f>INDEX(products!$A$1:$G$49, MATCH(orders!$D256,products!$A$1:$A303,0), MATCH(orders!I$1,products!$A$1:$G$1,0))</f>
        <v>Rob</v>
      </c>
      <c r="J444" t="str">
        <f>INDEX(products!$A$1:$G$49, MATCH(orders!$D256,products!$A$1:$A303,0), MATCH(orders!J$1,products!$A$1:$G$1,0))</f>
        <v>L</v>
      </c>
      <c r="K444" s="5">
        <f>INDEX(products!$A$1:$G$49, MATCH(orders!$D256,products!$A$1:$A303,0), MATCH(orders!K$1,products!$A$1:$G$1,0))</f>
        <v>0.5</v>
      </c>
      <c r="L444" s="6">
        <f>INDEX(products!$A$1:$G$49, MATCH(orders!$D256,products!$A$1:$A303,0), MATCH(orders!L$1,products!$A$1:$G$1,0))</f>
        <v>7.169999999999999</v>
      </c>
      <c r="M444" s="6">
        <f t="shared" si="18"/>
        <v>28.679999999999996</v>
      </c>
      <c r="N444" t="str">
        <f t="shared" si="19"/>
        <v>Robusta</v>
      </c>
      <c r="O444" t="str">
        <f t="shared" si="20"/>
        <v>Light</v>
      </c>
      <c r="P444" t="str">
        <f>_xlfn.XLOOKUP(Orders[[#This Row],[Customer ID]],customers!$A$1:$A$1001,customers!$I$1:$I$1001,,0)</f>
        <v>No</v>
      </c>
      <c r="Q444">
        <f>COUNTIF(Orders[Order ID],Orders[[#This Row],[Order ID]])</f>
        <v>1</v>
      </c>
      <c r="R444" s="10">
        <f>SUMIF(Orders[Order ID], Orders[[#This Row],[Order ID]],Orders[Sales])/Orders[[#This Row],[Order Frequency]]</f>
        <v>28.679999999999996</v>
      </c>
      <c r="S444" t="str">
        <f>IF(Orders[[#This Row],[Order Frequency]]&gt;4, "More than 4", IF(AND(Orders[[#This Row],[Order Frequency]]&lt;=4,Orders[[#This Row],[Order Frequency]]&gt;=2), "Between 4 and 2", "Less than 2"))</f>
        <v>Less than 2</v>
      </c>
      <c r="T444" t="str">
        <f>IF(Orders[[#This Row],[Frequency Group]]="less than 2", "Low Value", IF(Orders[[#This Row],[Frequency Group]]="between 4 and 2", "Medium Value", "High Value"))</f>
        <v>Low Value</v>
      </c>
      <c r="U444" t="str">
        <f>IF(Orders[[#This Row],[Sales]]&lt;50, "$0-50", IF(AND(Orders[[#This Row],[Sales]]&gt;=50,Orders[[#This Row],[Sales]]&lt;=100), "$50-100", IF(AND(Orders[[#This Row],[Sales]]&gt;100,Orders[[#This Row],[Sales]]&lt;=150), "$101-150", "$150+")))</f>
        <v>$0-50</v>
      </c>
      <c r="V444" t="str">
        <f>IF(Orders[[#This Row],[Sales]]&gt;MEDIAN(M:M), "High Price", "Low Price")</f>
        <v>Low Price</v>
      </c>
      <c r="W444" t="str">
        <f>IF(Orders[[#This Row],[Quantity]]&gt;MEDIAN(E:E), "High Volume", "Low Volume")</f>
        <v>Low Volume</v>
      </c>
      <c r="X444" t="str">
        <f>Orders[[#This Row],[Sales Tier]] &amp; "-" &amp; Orders[[#This Row],[Quantity Tier]]</f>
        <v>Low Price-Low Volume</v>
      </c>
      <c r="Y444" t="str">
        <f>TEXT(Orders[[#This Row],[Order Date]], "mmmm")</f>
        <v>October</v>
      </c>
      <c r="Z44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444" t="str">
        <f>Orders[[#This Row],[Coffee Type Name]] &amp; "-" &amp; Orders[[#This Row],[Roast Type Name]]</f>
        <v>Robusta-Light</v>
      </c>
      <c r="AB44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445" spans="1:28" x14ac:dyDescent="0.25">
      <c r="A445" s="2" t="s">
        <v>4803</v>
      </c>
      <c r="B445" s="4">
        <v>44587</v>
      </c>
      <c r="C445" s="2" t="s">
        <v>4804</v>
      </c>
      <c r="D445" t="s">
        <v>6180</v>
      </c>
      <c r="E445" s="2">
        <v>3</v>
      </c>
      <c r="F445" s="2" t="str">
        <f>_xlfn.XLOOKUP(C445,customers!$A$1:$A$1001,customers!$B$1:$B$1001,,0)</f>
        <v>Sarajane Potter</v>
      </c>
      <c r="G445" s="2" t="str">
        <f>IF(_xlfn.XLOOKUP(C445,customers!$A$1:$A$1001,customers!$C$1:$C$1001,,0)=0,"",_xlfn.XLOOKUP(C445,customers!$A$1:$A$1001,customers!$C$1:$C$1001,,0))</f>
        <v/>
      </c>
      <c r="H445" s="2" t="str">
        <f>_xlfn.XLOOKUP(C445,customers!$A$1:$A$1001,customers!$G$1:$G$1001,,0)</f>
        <v>United States</v>
      </c>
      <c r="I445" t="str">
        <f>INDEX(products!$A$1:$G$49, MATCH(orders!$D765,products!$A$1:$A812,0), MATCH(orders!I$1,products!$A$1:$G$1,0))</f>
        <v>Ara</v>
      </c>
      <c r="J445" t="str">
        <f>INDEX(products!$A$1:$G$49, MATCH(orders!$D765,products!$A$1:$A812,0), MATCH(orders!J$1,products!$A$1:$G$1,0))</f>
        <v>L</v>
      </c>
      <c r="K445" s="5">
        <f>INDEX(products!$A$1:$G$49, MATCH(orders!$D765,products!$A$1:$A812,0), MATCH(orders!K$1,products!$A$1:$G$1,0))</f>
        <v>0.5</v>
      </c>
      <c r="L445" s="6">
        <f>INDEX(products!$A$1:$G$49, MATCH(orders!$D765,products!$A$1:$A812,0), MATCH(orders!L$1,products!$A$1:$G$1,0))</f>
        <v>7.77</v>
      </c>
      <c r="M445" s="6">
        <f t="shared" si="18"/>
        <v>23.31</v>
      </c>
      <c r="N445" t="str">
        <f t="shared" si="19"/>
        <v>Arabica</v>
      </c>
      <c r="O445" t="str">
        <f t="shared" si="20"/>
        <v>Light</v>
      </c>
      <c r="P445" t="str">
        <f>_xlfn.XLOOKUP(Orders[[#This Row],[Customer ID]],customers!$A$1:$A$1001,customers!$I$1:$I$1001,,0)</f>
        <v>No</v>
      </c>
      <c r="Q445">
        <f>COUNTIF(Orders[Order ID],Orders[[#This Row],[Order ID]])</f>
        <v>1</v>
      </c>
      <c r="R445" s="10">
        <f>SUMIF(Orders[Order ID], Orders[[#This Row],[Order ID]],Orders[Sales])/Orders[[#This Row],[Order Frequency]]</f>
        <v>23.31</v>
      </c>
      <c r="S445" t="str">
        <f>IF(Orders[[#This Row],[Order Frequency]]&gt;4, "More than 4", IF(AND(Orders[[#This Row],[Order Frequency]]&lt;=4,Orders[[#This Row],[Order Frequency]]&gt;=2), "Between 4 and 2", "Less than 2"))</f>
        <v>Less than 2</v>
      </c>
      <c r="T445" t="str">
        <f>IF(Orders[[#This Row],[Frequency Group]]="less than 2", "Low Value", IF(Orders[[#This Row],[Frequency Group]]="between 4 and 2", "Medium Value", "High Value"))</f>
        <v>Low Value</v>
      </c>
      <c r="U445" t="str">
        <f>IF(Orders[[#This Row],[Sales]]&lt;50, "$0-50", IF(AND(Orders[[#This Row],[Sales]]&gt;=50,Orders[[#This Row],[Sales]]&lt;=100), "$50-100", IF(AND(Orders[[#This Row],[Sales]]&gt;100,Orders[[#This Row],[Sales]]&lt;=150), "$101-150", "$150+")))</f>
        <v>$0-50</v>
      </c>
      <c r="V445" t="str">
        <f>IF(Orders[[#This Row],[Sales]]&gt;MEDIAN(M:M), "High Price", "Low Price")</f>
        <v>Low Price</v>
      </c>
      <c r="W445" t="str">
        <f>IF(Orders[[#This Row],[Quantity]]&gt;MEDIAN(E:E), "High Volume", "Low Volume")</f>
        <v>Low Volume</v>
      </c>
      <c r="X445" t="str">
        <f>Orders[[#This Row],[Sales Tier]] &amp; "-" &amp; Orders[[#This Row],[Quantity Tier]]</f>
        <v>Low Price-Low Volume</v>
      </c>
      <c r="Y445" t="str">
        <f>TEXT(Orders[[#This Row],[Order Date]], "mmmm")</f>
        <v>January</v>
      </c>
      <c r="Z44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445" t="str">
        <f>Orders[[#This Row],[Coffee Type Name]] &amp; "-" &amp; Orders[[#This Row],[Roast Type Name]]</f>
        <v>Arabica-Light</v>
      </c>
      <c r="AB44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446" spans="1:28" x14ac:dyDescent="0.25">
      <c r="A446" s="2" t="s">
        <v>3905</v>
      </c>
      <c r="B446" s="4">
        <v>44028</v>
      </c>
      <c r="C446" s="2" t="s">
        <v>3906</v>
      </c>
      <c r="D446" t="s">
        <v>6182</v>
      </c>
      <c r="E446" s="2">
        <v>5</v>
      </c>
      <c r="F446" s="2" t="str">
        <f>_xlfn.XLOOKUP(C446,customers!$A$1:$A$1001,customers!$B$1:$B$1001,,0)</f>
        <v>Wang Powlesland</v>
      </c>
      <c r="G446" s="2" t="str">
        <f>IF(_xlfn.XLOOKUP(C446,customers!$A$1:$A$1001,customers!$C$1:$C$1001,,0)=0,"",_xlfn.XLOOKUP(C446,customers!$A$1:$A$1001,customers!$C$1:$C$1001,,0))</f>
        <v>wpowleslandgt@soundcloud.com</v>
      </c>
      <c r="H446" s="2" t="str">
        <f>_xlfn.XLOOKUP(C446,customers!$A$1:$A$1001,customers!$G$1:$G$1001,,0)</f>
        <v>United States</v>
      </c>
      <c r="I446" t="str">
        <f>INDEX(products!$A$1:$G$49, MATCH(orders!$D607,products!$A$1:$A654,0), MATCH(orders!I$1,products!$A$1:$G$1,0))</f>
        <v>Ara</v>
      </c>
      <c r="J446" t="str">
        <f>INDEX(products!$A$1:$G$49, MATCH(orders!$D607,products!$A$1:$A654,0), MATCH(orders!J$1,products!$A$1:$G$1,0))</f>
        <v>L</v>
      </c>
      <c r="K446" s="5">
        <f>INDEX(products!$A$1:$G$49, MATCH(orders!$D607,products!$A$1:$A654,0), MATCH(orders!K$1,products!$A$1:$G$1,0))</f>
        <v>2.5</v>
      </c>
      <c r="L446" s="6">
        <f>INDEX(products!$A$1:$G$49, MATCH(orders!$D607,products!$A$1:$A654,0), MATCH(orders!L$1,products!$A$1:$G$1,0))</f>
        <v>29.784999999999997</v>
      </c>
      <c r="M446" s="6">
        <f t="shared" si="18"/>
        <v>148.92499999999998</v>
      </c>
      <c r="N446" t="str">
        <f t="shared" si="19"/>
        <v>Arabica</v>
      </c>
      <c r="O446" t="str">
        <f t="shared" si="20"/>
        <v>Light</v>
      </c>
      <c r="P446" t="str">
        <f>_xlfn.XLOOKUP(Orders[[#This Row],[Customer ID]],customers!$A$1:$A$1001,customers!$I$1:$I$1001,,0)</f>
        <v>Yes</v>
      </c>
      <c r="Q446">
        <f>COUNTIF(Orders[Order ID],Orders[[#This Row],[Order ID]])</f>
        <v>1</v>
      </c>
      <c r="R446" s="10">
        <f>SUMIF(Orders[Order ID], Orders[[#This Row],[Order ID]],Orders[Sales])/Orders[[#This Row],[Order Frequency]]</f>
        <v>148.92499999999998</v>
      </c>
      <c r="S446" t="str">
        <f>IF(Orders[[#This Row],[Order Frequency]]&gt;4, "More than 4", IF(AND(Orders[[#This Row],[Order Frequency]]&lt;=4,Orders[[#This Row],[Order Frequency]]&gt;=2), "Between 4 and 2", "Less than 2"))</f>
        <v>Less than 2</v>
      </c>
      <c r="T446" t="str">
        <f>IF(Orders[[#This Row],[Frequency Group]]="less than 2", "Low Value", IF(Orders[[#This Row],[Frequency Group]]="between 4 and 2", "Medium Value", "High Value"))</f>
        <v>Low Value</v>
      </c>
      <c r="U446" t="str">
        <f>IF(Orders[[#This Row],[Sales]]&lt;50, "$0-50", IF(AND(Orders[[#This Row],[Sales]]&gt;=50,Orders[[#This Row],[Sales]]&lt;=100), "$50-100", IF(AND(Orders[[#This Row],[Sales]]&gt;100,Orders[[#This Row],[Sales]]&lt;=150), "$101-150", "$150+")))</f>
        <v>$101-150</v>
      </c>
      <c r="V446" t="str">
        <f>IF(Orders[[#This Row],[Sales]]&gt;MEDIAN(M:M), "High Price", "Low Price")</f>
        <v>High Price</v>
      </c>
      <c r="W446" t="str">
        <f>IF(Orders[[#This Row],[Quantity]]&gt;MEDIAN(E:E), "High Volume", "Low Volume")</f>
        <v>High Volume</v>
      </c>
      <c r="X446" t="str">
        <f>Orders[[#This Row],[Sales Tier]] &amp; "-" &amp; Orders[[#This Row],[Quantity Tier]]</f>
        <v>High Price-High Volume</v>
      </c>
      <c r="Y446" t="str">
        <f>TEXT(Orders[[#This Row],[Order Date]], "mmmm")</f>
        <v>July</v>
      </c>
      <c r="Z44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446" t="str">
        <f>Orders[[#This Row],[Coffee Type Name]] &amp; "-" &amp; Orders[[#This Row],[Roast Type Name]]</f>
        <v>Arabica-Light</v>
      </c>
      <c r="AB44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447" spans="1:28" x14ac:dyDescent="0.25">
      <c r="A447" s="2" t="s">
        <v>715</v>
      </c>
      <c r="B447" s="4">
        <v>44305</v>
      </c>
      <c r="C447" s="2" t="s">
        <v>716</v>
      </c>
      <c r="D447" t="s">
        <v>6162</v>
      </c>
      <c r="E447" s="2">
        <v>3</v>
      </c>
      <c r="F447" s="2" t="str">
        <f>_xlfn.XLOOKUP(C447,customers!$A$1:$A$1001,customers!$B$1:$B$1001,,0)</f>
        <v>Jessica McNess</v>
      </c>
      <c r="G447" s="2" t="str">
        <f>IF(_xlfn.XLOOKUP(C447,customers!$A$1:$A$1001,customers!$C$1:$C$1001,,0)=0,"",_xlfn.XLOOKUP(C447,customers!$A$1:$A$1001,customers!$C$1:$C$1001,,0))</f>
        <v/>
      </c>
      <c r="H447" s="2" t="str">
        <f>_xlfn.XLOOKUP(C447,customers!$A$1:$A$1001,customers!$G$1:$G$1001,,0)</f>
        <v>United States</v>
      </c>
      <c r="I447" t="str">
        <f>INDEX(products!$A$1:$G$49, MATCH(orders!$D42,products!$A$1:$A89,0), MATCH(orders!I$1,products!$A$1:$G$1,0))</f>
        <v>Lib</v>
      </c>
      <c r="J447" t="str">
        <f>INDEX(products!$A$1:$G$49, MATCH(orders!$D42,products!$A$1:$A89,0), MATCH(orders!J$1,products!$A$1:$G$1,0))</f>
        <v>M</v>
      </c>
      <c r="K447" s="5">
        <f>INDEX(products!$A$1:$G$49, MATCH(orders!$D42,products!$A$1:$A89,0), MATCH(orders!K$1,products!$A$1:$G$1,0))</f>
        <v>1</v>
      </c>
      <c r="L447" s="6">
        <f>INDEX(products!$A$1:$G$49, MATCH(orders!$D42,products!$A$1:$A89,0), MATCH(orders!L$1,products!$A$1:$G$1,0))</f>
        <v>14.55</v>
      </c>
      <c r="M447" s="6">
        <f t="shared" si="18"/>
        <v>43.650000000000006</v>
      </c>
      <c r="N447" t="str">
        <f t="shared" si="19"/>
        <v>Liberica</v>
      </c>
      <c r="O447" t="str">
        <f t="shared" si="20"/>
        <v>Medium</v>
      </c>
      <c r="P447" t="str">
        <f>_xlfn.XLOOKUP(Orders[[#This Row],[Customer ID]],customers!$A$1:$A$1001,customers!$I$1:$I$1001,,0)</f>
        <v>No</v>
      </c>
      <c r="Q447">
        <f>COUNTIF(Orders[Order ID],Orders[[#This Row],[Order ID]])</f>
        <v>1</v>
      </c>
      <c r="R447" s="10">
        <f>SUMIF(Orders[Order ID], Orders[[#This Row],[Order ID]],Orders[Sales])/Orders[[#This Row],[Order Frequency]]</f>
        <v>43.650000000000006</v>
      </c>
      <c r="S447" t="str">
        <f>IF(Orders[[#This Row],[Order Frequency]]&gt;4, "More than 4", IF(AND(Orders[[#This Row],[Order Frequency]]&lt;=4,Orders[[#This Row],[Order Frequency]]&gt;=2), "Between 4 and 2", "Less than 2"))</f>
        <v>Less than 2</v>
      </c>
      <c r="T447" t="str">
        <f>IF(Orders[[#This Row],[Frequency Group]]="less than 2", "Low Value", IF(Orders[[#This Row],[Frequency Group]]="between 4 and 2", "Medium Value", "High Value"))</f>
        <v>Low Value</v>
      </c>
      <c r="U447" t="str">
        <f>IF(Orders[[#This Row],[Sales]]&lt;50, "$0-50", IF(AND(Orders[[#This Row],[Sales]]&gt;=50,Orders[[#This Row],[Sales]]&lt;=100), "$50-100", IF(AND(Orders[[#This Row],[Sales]]&gt;100,Orders[[#This Row],[Sales]]&lt;=150), "$101-150", "$150+")))</f>
        <v>$0-50</v>
      </c>
      <c r="V447" t="str">
        <f>IF(Orders[[#This Row],[Sales]]&gt;MEDIAN(M:M), "High Price", "Low Price")</f>
        <v>High Price</v>
      </c>
      <c r="W447" t="str">
        <f>IF(Orders[[#This Row],[Quantity]]&gt;MEDIAN(E:E), "High Volume", "Low Volume")</f>
        <v>Low Volume</v>
      </c>
      <c r="X447" t="str">
        <f>Orders[[#This Row],[Sales Tier]] &amp; "-" &amp; Orders[[#This Row],[Quantity Tier]]</f>
        <v>High Price-Low Volume</v>
      </c>
      <c r="Y447" t="str">
        <f>TEXT(Orders[[#This Row],[Order Date]], "mmmm")</f>
        <v>April</v>
      </c>
      <c r="Z44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47" t="str">
        <f>Orders[[#This Row],[Coffee Type Name]] &amp; "-" &amp; Orders[[#This Row],[Roast Type Name]]</f>
        <v>Liberica-Medium</v>
      </c>
      <c r="AB44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48" spans="1:28" x14ac:dyDescent="0.25">
      <c r="A448" s="2" t="s">
        <v>3510</v>
      </c>
      <c r="B448" s="4">
        <v>44563</v>
      </c>
      <c r="C448" s="2" t="s">
        <v>3511</v>
      </c>
      <c r="D448" t="s">
        <v>6151</v>
      </c>
      <c r="E448" s="2">
        <v>2</v>
      </c>
      <c r="F448" s="2" t="str">
        <f>_xlfn.XLOOKUP(C448,customers!$A$1:$A$1001,customers!$B$1:$B$1001,,0)</f>
        <v>Kris O'Cullen</v>
      </c>
      <c r="G448" s="2" t="str">
        <f>IF(_xlfn.XLOOKUP(C448,customers!$A$1:$A$1001,customers!$C$1:$C$1001,,0)=0,"",_xlfn.XLOOKUP(C448,customers!$A$1:$A$1001,customers!$C$1:$C$1001,,0))</f>
        <v>koculleneu@ca.gov</v>
      </c>
      <c r="H448" s="2" t="str">
        <f>_xlfn.XLOOKUP(C448,customers!$A$1:$A$1001,customers!$G$1:$G$1001,,0)</f>
        <v>Ireland</v>
      </c>
      <c r="I448" t="str">
        <f>INDEX(products!$A$1:$G$49, MATCH(orders!$D536,products!$A$1:$A583,0), MATCH(orders!I$1,products!$A$1:$G$1,0))</f>
        <v>Rob</v>
      </c>
      <c r="J448" t="str">
        <f>INDEX(products!$A$1:$G$49, MATCH(orders!$D536,products!$A$1:$A583,0), MATCH(orders!J$1,products!$A$1:$G$1,0))</f>
        <v>M</v>
      </c>
      <c r="K448" s="5">
        <f>INDEX(products!$A$1:$G$49, MATCH(orders!$D536,products!$A$1:$A583,0), MATCH(orders!K$1,products!$A$1:$G$1,0))</f>
        <v>2.5</v>
      </c>
      <c r="L448" s="6">
        <f>INDEX(products!$A$1:$G$49, MATCH(orders!$D536,products!$A$1:$A583,0), MATCH(orders!L$1,products!$A$1:$G$1,0))</f>
        <v>22.884999999999998</v>
      </c>
      <c r="M448" s="6">
        <f t="shared" si="18"/>
        <v>45.769999999999996</v>
      </c>
      <c r="N448" t="str">
        <f t="shared" si="19"/>
        <v>Robusta</v>
      </c>
      <c r="O448" t="str">
        <f t="shared" si="20"/>
        <v>Medium</v>
      </c>
      <c r="P448" t="str">
        <f>_xlfn.XLOOKUP(Orders[[#This Row],[Customer ID]],customers!$A$1:$A$1001,customers!$I$1:$I$1001,,0)</f>
        <v>Yes</v>
      </c>
      <c r="Q448">
        <f>COUNTIF(Orders[Order ID],Orders[[#This Row],[Order ID]])</f>
        <v>1</v>
      </c>
      <c r="R448" s="10">
        <f>SUMIF(Orders[Order ID], Orders[[#This Row],[Order ID]],Orders[Sales])/Orders[[#This Row],[Order Frequency]]</f>
        <v>45.769999999999996</v>
      </c>
      <c r="S448" t="str">
        <f>IF(Orders[[#This Row],[Order Frequency]]&gt;4, "More than 4", IF(AND(Orders[[#This Row],[Order Frequency]]&lt;=4,Orders[[#This Row],[Order Frequency]]&gt;=2), "Between 4 and 2", "Less than 2"))</f>
        <v>Less than 2</v>
      </c>
      <c r="T448" t="str">
        <f>IF(Orders[[#This Row],[Frequency Group]]="less than 2", "Low Value", IF(Orders[[#This Row],[Frequency Group]]="between 4 and 2", "Medium Value", "High Value"))</f>
        <v>Low Value</v>
      </c>
      <c r="U448" t="str">
        <f>IF(Orders[[#This Row],[Sales]]&lt;50, "$0-50", IF(AND(Orders[[#This Row],[Sales]]&gt;=50,Orders[[#This Row],[Sales]]&lt;=100), "$50-100", IF(AND(Orders[[#This Row],[Sales]]&gt;100,Orders[[#This Row],[Sales]]&lt;=150), "$101-150", "$150+")))</f>
        <v>$0-50</v>
      </c>
      <c r="V448" t="str">
        <f>IF(Orders[[#This Row],[Sales]]&gt;MEDIAN(M:M), "High Price", "Low Price")</f>
        <v>High Price</v>
      </c>
      <c r="W448" t="str">
        <f>IF(Orders[[#This Row],[Quantity]]&gt;MEDIAN(E:E), "High Volume", "Low Volume")</f>
        <v>Low Volume</v>
      </c>
      <c r="X448" t="str">
        <f>Orders[[#This Row],[Sales Tier]] &amp; "-" &amp; Orders[[#This Row],[Quantity Tier]]</f>
        <v>High Price-Low Volume</v>
      </c>
      <c r="Y448" t="str">
        <f>TEXT(Orders[[#This Row],[Order Date]], "mmmm")</f>
        <v>January</v>
      </c>
      <c r="Z44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448" t="str">
        <f>Orders[[#This Row],[Coffee Type Name]] &amp; "-" &amp; Orders[[#This Row],[Roast Type Name]]</f>
        <v>Robusta-Medium</v>
      </c>
      <c r="AB44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449" spans="1:28" x14ac:dyDescent="0.25">
      <c r="A449" s="2" t="s">
        <v>4770</v>
      </c>
      <c r="B449" s="4">
        <v>43977</v>
      </c>
      <c r="C449" s="2" t="s">
        <v>4771</v>
      </c>
      <c r="D449" t="s">
        <v>6158</v>
      </c>
      <c r="E449" s="2">
        <v>3</v>
      </c>
      <c r="F449" s="2" t="str">
        <f>_xlfn.XLOOKUP(C449,customers!$A$1:$A$1001,customers!$B$1:$B$1001,,0)</f>
        <v>Dorotea Hollyman</v>
      </c>
      <c r="G449" s="2" t="str">
        <f>IF(_xlfn.XLOOKUP(C449,customers!$A$1:$A$1001,customers!$C$1:$C$1001,,0)=0,"",_xlfn.XLOOKUP(C449,customers!$A$1:$A$1001,customers!$C$1:$C$1001,,0))</f>
        <v>dhollymanl1@ibm.com</v>
      </c>
      <c r="H449" s="2" t="str">
        <f>_xlfn.XLOOKUP(C449,customers!$A$1:$A$1001,customers!$G$1:$G$1001,,0)</f>
        <v>United States</v>
      </c>
      <c r="I449" t="str">
        <f>INDEX(products!$A$1:$G$49, MATCH(orders!$D759,products!$A$1:$A806,0), MATCH(orders!I$1,products!$A$1:$G$1,0))</f>
        <v>Ara</v>
      </c>
      <c r="J449" t="str">
        <f>INDEX(products!$A$1:$G$49, MATCH(orders!$D759,products!$A$1:$A806,0), MATCH(orders!J$1,products!$A$1:$G$1,0))</f>
        <v>D</v>
      </c>
      <c r="K449" s="5">
        <f>INDEX(products!$A$1:$G$49, MATCH(orders!$D759,products!$A$1:$A806,0), MATCH(orders!K$1,products!$A$1:$G$1,0))</f>
        <v>0.5</v>
      </c>
      <c r="L449" s="6">
        <f>INDEX(products!$A$1:$G$49, MATCH(orders!$D759,products!$A$1:$A806,0), MATCH(orders!L$1,products!$A$1:$G$1,0))</f>
        <v>5.97</v>
      </c>
      <c r="M449" s="6">
        <f t="shared" si="18"/>
        <v>17.91</v>
      </c>
      <c r="N449" t="str">
        <f t="shared" si="19"/>
        <v>Arabica</v>
      </c>
      <c r="O449" t="str">
        <f t="shared" si="20"/>
        <v>Dark</v>
      </c>
      <c r="P449" t="str">
        <f>_xlfn.XLOOKUP(Orders[[#This Row],[Customer ID]],customers!$A$1:$A$1001,customers!$I$1:$I$1001,,0)</f>
        <v>Yes</v>
      </c>
      <c r="Q449">
        <f>COUNTIF(Orders[Order ID],Orders[[#This Row],[Order ID]])</f>
        <v>1</v>
      </c>
      <c r="R449" s="10">
        <f>SUMIF(Orders[Order ID], Orders[[#This Row],[Order ID]],Orders[Sales])/Orders[[#This Row],[Order Frequency]]</f>
        <v>17.91</v>
      </c>
      <c r="S449" t="str">
        <f>IF(Orders[[#This Row],[Order Frequency]]&gt;4, "More than 4", IF(AND(Orders[[#This Row],[Order Frequency]]&lt;=4,Orders[[#This Row],[Order Frequency]]&gt;=2), "Between 4 and 2", "Less than 2"))</f>
        <v>Less than 2</v>
      </c>
      <c r="T449" t="str">
        <f>IF(Orders[[#This Row],[Frequency Group]]="less than 2", "Low Value", IF(Orders[[#This Row],[Frequency Group]]="between 4 and 2", "Medium Value", "High Value"))</f>
        <v>Low Value</v>
      </c>
      <c r="U449" t="str">
        <f>IF(Orders[[#This Row],[Sales]]&lt;50, "$0-50", IF(AND(Orders[[#This Row],[Sales]]&gt;=50,Orders[[#This Row],[Sales]]&lt;=100), "$50-100", IF(AND(Orders[[#This Row],[Sales]]&gt;100,Orders[[#This Row],[Sales]]&lt;=150), "$101-150", "$150+")))</f>
        <v>$0-50</v>
      </c>
      <c r="V449" t="str">
        <f>IF(Orders[[#This Row],[Sales]]&gt;MEDIAN(M:M), "High Price", "Low Price")</f>
        <v>Low Price</v>
      </c>
      <c r="W449" t="str">
        <f>IF(Orders[[#This Row],[Quantity]]&gt;MEDIAN(E:E), "High Volume", "Low Volume")</f>
        <v>Low Volume</v>
      </c>
      <c r="X449" t="str">
        <f>Orders[[#This Row],[Sales Tier]] &amp; "-" &amp; Orders[[#This Row],[Quantity Tier]]</f>
        <v>Low Price-Low Volume</v>
      </c>
      <c r="Y449" t="str">
        <f>TEXT(Orders[[#This Row],[Order Date]], "mmmm")</f>
        <v>May</v>
      </c>
      <c r="Z44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49" t="str">
        <f>Orders[[#This Row],[Coffee Type Name]] &amp; "-" &amp; Orders[[#This Row],[Roast Type Name]]</f>
        <v>Arabica-Dark</v>
      </c>
      <c r="AB44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50" spans="1:28" x14ac:dyDescent="0.25">
      <c r="A450" s="2" t="s">
        <v>5774</v>
      </c>
      <c r="B450" s="4">
        <v>44153</v>
      </c>
      <c r="C450" s="2" t="s">
        <v>5775</v>
      </c>
      <c r="D450" t="s">
        <v>6175</v>
      </c>
      <c r="E450" s="2">
        <v>6</v>
      </c>
      <c r="F450" s="2" t="str">
        <f>_xlfn.XLOOKUP(C450,customers!$A$1:$A$1001,customers!$B$1:$B$1001,,0)</f>
        <v>Michale Delves</v>
      </c>
      <c r="G450" s="2" t="str">
        <f>IF(_xlfn.XLOOKUP(C450,customers!$A$1:$A$1001,customers!$C$1:$C$1001,,0)=0,"",_xlfn.XLOOKUP(C450,customers!$A$1:$A$1001,customers!$C$1:$C$1001,,0))</f>
        <v>mdelvespz@nature.com</v>
      </c>
      <c r="H450" s="2" t="str">
        <f>_xlfn.XLOOKUP(C450,customers!$A$1:$A$1001,customers!$G$1:$G$1001,,0)</f>
        <v>United States</v>
      </c>
      <c r="I450" t="str">
        <f>INDEX(products!$A$1:$G$49, MATCH(orders!$D937,products!$A$1:$A984,0), MATCH(orders!I$1,products!$A$1:$G$1,0))</f>
        <v>Ara</v>
      </c>
      <c r="J450" t="str">
        <f>INDEX(products!$A$1:$G$49, MATCH(orders!$D937,products!$A$1:$A984,0), MATCH(orders!J$1,products!$A$1:$G$1,0))</f>
        <v>M</v>
      </c>
      <c r="K450" s="5">
        <f>INDEX(products!$A$1:$G$49, MATCH(orders!$D937,products!$A$1:$A984,0), MATCH(orders!K$1,products!$A$1:$G$1,0))</f>
        <v>2.5</v>
      </c>
      <c r="L450" s="6">
        <f>INDEX(products!$A$1:$G$49, MATCH(orders!$D937,products!$A$1:$A984,0), MATCH(orders!L$1,products!$A$1:$G$1,0))</f>
        <v>25.874999999999996</v>
      </c>
      <c r="M450" s="6">
        <f t="shared" ref="M450:M513" si="21">L450*E450</f>
        <v>155.24999999999997</v>
      </c>
      <c r="N450" t="str">
        <f t="shared" ref="N450:N513" si="22">IF(I450="Rob", "Robusta", IF(I450="Exc", "Excelsa", IF(I450="Ara","Arabica", IF(I450="Lib", "Liberica",""))))</f>
        <v>Arabica</v>
      </c>
      <c r="O450" t="str">
        <f t="shared" ref="O450:O513" si="23">IF(J450="M", "Medium", IF(J450="L", "Light", IF(J450="D", "Dark", "")))</f>
        <v>Medium</v>
      </c>
      <c r="P450" t="str">
        <f>_xlfn.XLOOKUP(Orders[[#This Row],[Customer ID]],customers!$A$1:$A$1001,customers!$I$1:$I$1001,,0)</f>
        <v>Yes</v>
      </c>
      <c r="Q450">
        <f>COUNTIF(Orders[Order ID],Orders[[#This Row],[Order ID]])</f>
        <v>1</v>
      </c>
      <c r="R450" s="10">
        <f>SUMIF(Orders[Order ID], Orders[[#This Row],[Order ID]],Orders[Sales])/Orders[[#This Row],[Order Frequency]]</f>
        <v>155.24999999999997</v>
      </c>
      <c r="S450" t="str">
        <f>IF(Orders[[#This Row],[Order Frequency]]&gt;4, "More than 4", IF(AND(Orders[[#This Row],[Order Frequency]]&lt;=4,Orders[[#This Row],[Order Frequency]]&gt;=2), "Between 4 and 2", "Less than 2"))</f>
        <v>Less than 2</v>
      </c>
      <c r="T450" t="str">
        <f>IF(Orders[[#This Row],[Frequency Group]]="less than 2", "Low Value", IF(Orders[[#This Row],[Frequency Group]]="between 4 and 2", "Medium Value", "High Value"))</f>
        <v>Low Value</v>
      </c>
      <c r="U450" t="str">
        <f>IF(Orders[[#This Row],[Sales]]&lt;50, "$0-50", IF(AND(Orders[[#This Row],[Sales]]&gt;=50,Orders[[#This Row],[Sales]]&lt;=100), "$50-100", IF(AND(Orders[[#This Row],[Sales]]&gt;100,Orders[[#This Row],[Sales]]&lt;=150), "$101-150", "$150+")))</f>
        <v>$150+</v>
      </c>
      <c r="V450" t="str">
        <f>IF(Orders[[#This Row],[Sales]]&gt;MEDIAN(M:M), "High Price", "Low Price")</f>
        <v>High Price</v>
      </c>
      <c r="W450" t="str">
        <f>IF(Orders[[#This Row],[Quantity]]&gt;MEDIAN(E:E), "High Volume", "Low Volume")</f>
        <v>High Volume</v>
      </c>
      <c r="X450" t="str">
        <f>Orders[[#This Row],[Sales Tier]] &amp; "-" &amp; Orders[[#This Row],[Quantity Tier]]</f>
        <v>High Price-High Volume</v>
      </c>
      <c r="Y450" t="str">
        <f>TEXT(Orders[[#This Row],[Order Date]], "mmmm")</f>
        <v>November</v>
      </c>
      <c r="Z45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450" t="str">
        <f>Orders[[#This Row],[Coffee Type Name]] &amp; "-" &amp; Orders[[#This Row],[Roast Type Name]]</f>
        <v>Arabica-Medium</v>
      </c>
      <c r="AB45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451" spans="1:28" x14ac:dyDescent="0.25">
      <c r="A451" s="2" t="s">
        <v>4533</v>
      </c>
      <c r="B451" s="4">
        <v>44612</v>
      </c>
      <c r="C451" s="2" t="s">
        <v>4434</v>
      </c>
      <c r="D451" t="s">
        <v>6179</v>
      </c>
      <c r="E451" s="2">
        <v>3</v>
      </c>
      <c r="F451" s="2" t="str">
        <f>_xlfn.XLOOKUP(C451,customers!$A$1:$A$1001,customers!$B$1:$B$1001,,0)</f>
        <v>Jimmy Dymoke</v>
      </c>
      <c r="G451" s="2" t="str">
        <f>IF(_xlfn.XLOOKUP(C451,customers!$A$1:$A$1001,customers!$C$1:$C$1001,,0)=0,"",_xlfn.XLOOKUP(C451,customers!$A$1:$A$1001,customers!$C$1:$C$1001,,0))</f>
        <v>jdymokeje@prnewswire.com</v>
      </c>
      <c r="H451" s="2" t="str">
        <f>_xlfn.XLOOKUP(C451,customers!$A$1:$A$1001,customers!$G$1:$G$1001,,0)</f>
        <v>Ireland</v>
      </c>
      <c r="I451" t="str">
        <f>INDEX(products!$A$1:$G$49, MATCH(orders!$D718,products!$A$1:$A765,0), MATCH(orders!I$1,products!$A$1:$G$1,0))</f>
        <v>Rob</v>
      </c>
      <c r="J451" t="str">
        <f>INDEX(products!$A$1:$G$49, MATCH(orders!$D718,products!$A$1:$A765,0), MATCH(orders!J$1,products!$A$1:$G$1,0))</f>
        <v>L</v>
      </c>
      <c r="K451" s="5">
        <f>INDEX(products!$A$1:$G$49, MATCH(orders!$D718,products!$A$1:$A765,0), MATCH(orders!K$1,products!$A$1:$G$1,0))</f>
        <v>1</v>
      </c>
      <c r="L451" s="6">
        <f>INDEX(products!$A$1:$G$49, MATCH(orders!$D718,products!$A$1:$A765,0), MATCH(orders!L$1,products!$A$1:$G$1,0))</f>
        <v>11.95</v>
      </c>
      <c r="M451" s="6">
        <f t="shared" si="21"/>
        <v>35.849999999999994</v>
      </c>
      <c r="N451" t="str">
        <f t="shared" si="22"/>
        <v>Robusta</v>
      </c>
      <c r="O451" t="str">
        <f t="shared" si="23"/>
        <v>Light</v>
      </c>
      <c r="P451" t="str">
        <f>_xlfn.XLOOKUP(Orders[[#This Row],[Customer ID]],customers!$A$1:$A$1001,customers!$I$1:$I$1001,,0)</f>
        <v>No</v>
      </c>
      <c r="Q451">
        <f>COUNTIF(Orders[Order ID],Orders[[#This Row],[Order ID]])</f>
        <v>1</v>
      </c>
      <c r="R451" s="10">
        <f>SUMIF(Orders[Order ID], Orders[[#This Row],[Order ID]],Orders[Sales])/Orders[[#This Row],[Order Frequency]]</f>
        <v>35.849999999999994</v>
      </c>
      <c r="S451" t="str">
        <f>IF(Orders[[#This Row],[Order Frequency]]&gt;4, "More than 4", IF(AND(Orders[[#This Row],[Order Frequency]]&lt;=4,Orders[[#This Row],[Order Frequency]]&gt;=2), "Between 4 and 2", "Less than 2"))</f>
        <v>Less than 2</v>
      </c>
      <c r="T451" t="str">
        <f>IF(Orders[[#This Row],[Frequency Group]]="less than 2", "Low Value", IF(Orders[[#This Row],[Frequency Group]]="between 4 and 2", "Medium Value", "High Value"))</f>
        <v>Low Value</v>
      </c>
      <c r="U451" t="str">
        <f>IF(Orders[[#This Row],[Sales]]&lt;50, "$0-50", IF(AND(Orders[[#This Row],[Sales]]&gt;=50,Orders[[#This Row],[Sales]]&lt;=100), "$50-100", IF(AND(Orders[[#This Row],[Sales]]&gt;100,Orders[[#This Row],[Sales]]&lt;=150), "$101-150", "$150+")))</f>
        <v>$0-50</v>
      </c>
      <c r="V451" t="str">
        <f>IF(Orders[[#This Row],[Sales]]&gt;MEDIAN(M:M), "High Price", "Low Price")</f>
        <v>High Price</v>
      </c>
      <c r="W451" t="str">
        <f>IF(Orders[[#This Row],[Quantity]]&gt;MEDIAN(E:E), "High Volume", "Low Volume")</f>
        <v>Low Volume</v>
      </c>
      <c r="X451" t="str">
        <f>Orders[[#This Row],[Sales Tier]] &amp; "-" &amp; Orders[[#This Row],[Quantity Tier]]</f>
        <v>High Price-Low Volume</v>
      </c>
      <c r="Y451" t="str">
        <f>TEXT(Orders[[#This Row],[Order Date]], "mmmm")</f>
        <v>February</v>
      </c>
      <c r="Z45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451" t="str">
        <f>Orders[[#This Row],[Coffee Type Name]] &amp; "-" &amp; Orders[[#This Row],[Roast Type Name]]</f>
        <v>Robusta-Light</v>
      </c>
      <c r="AB45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452" spans="1:28" x14ac:dyDescent="0.25">
      <c r="A452" s="2" t="s">
        <v>5018</v>
      </c>
      <c r="B452" s="4">
        <v>44025</v>
      </c>
      <c r="C452" s="2" t="s">
        <v>5019</v>
      </c>
      <c r="D452" t="s">
        <v>6149</v>
      </c>
      <c r="E452" s="2">
        <v>2</v>
      </c>
      <c r="F452" s="2" t="str">
        <f>_xlfn.XLOOKUP(C452,customers!$A$1:$A$1001,customers!$B$1:$B$1001,,0)</f>
        <v>Boyce Tarte</v>
      </c>
      <c r="G452" s="2" t="str">
        <f>IF(_xlfn.XLOOKUP(C452,customers!$A$1:$A$1001,customers!$C$1:$C$1001,,0)=0,"",_xlfn.XLOOKUP(C452,customers!$A$1:$A$1001,customers!$C$1:$C$1001,,0))</f>
        <v>btartem9@aol.com</v>
      </c>
      <c r="H452" s="2" t="str">
        <f>_xlfn.XLOOKUP(C452,customers!$A$1:$A$1001,customers!$G$1:$G$1001,,0)</f>
        <v>United States</v>
      </c>
      <c r="I452" t="str">
        <f>INDEX(products!$A$1:$G$49, MATCH(orders!$D803,products!$A$1:$A850,0), MATCH(orders!I$1,products!$A$1:$G$1,0))</f>
        <v>Rob</v>
      </c>
      <c r="J452" t="str">
        <f>INDEX(products!$A$1:$G$49, MATCH(orders!$D803,products!$A$1:$A850,0), MATCH(orders!J$1,products!$A$1:$G$1,0))</f>
        <v>D</v>
      </c>
      <c r="K452" s="5">
        <f>INDEX(products!$A$1:$G$49, MATCH(orders!$D803,products!$A$1:$A850,0), MATCH(orders!K$1,products!$A$1:$G$1,0))</f>
        <v>2.5</v>
      </c>
      <c r="L452" s="6">
        <f>INDEX(products!$A$1:$G$49, MATCH(orders!$D803,products!$A$1:$A850,0), MATCH(orders!L$1,products!$A$1:$G$1,0))</f>
        <v>20.584999999999997</v>
      </c>
      <c r="M452" s="6">
        <f t="shared" si="21"/>
        <v>41.169999999999995</v>
      </c>
      <c r="N452" t="str">
        <f t="shared" si="22"/>
        <v>Robusta</v>
      </c>
      <c r="O452" t="str">
        <f t="shared" si="23"/>
        <v>Dark</v>
      </c>
      <c r="P452" t="str">
        <f>_xlfn.XLOOKUP(Orders[[#This Row],[Customer ID]],customers!$A$1:$A$1001,customers!$I$1:$I$1001,,0)</f>
        <v>Yes</v>
      </c>
      <c r="Q452">
        <f>COUNTIF(Orders[Order ID],Orders[[#This Row],[Order ID]])</f>
        <v>1</v>
      </c>
      <c r="R452" s="10">
        <f>SUMIF(Orders[Order ID], Orders[[#This Row],[Order ID]],Orders[Sales])/Orders[[#This Row],[Order Frequency]]</f>
        <v>41.169999999999995</v>
      </c>
      <c r="S452" t="str">
        <f>IF(Orders[[#This Row],[Order Frequency]]&gt;4, "More than 4", IF(AND(Orders[[#This Row],[Order Frequency]]&lt;=4,Orders[[#This Row],[Order Frequency]]&gt;=2), "Between 4 and 2", "Less than 2"))</f>
        <v>Less than 2</v>
      </c>
      <c r="T452" t="str">
        <f>IF(Orders[[#This Row],[Frequency Group]]="less than 2", "Low Value", IF(Orders[[#This Row],[Frequency Group]]="between 4 and 2", "Medium Value", "High Value"))</f>
        <v>Low Value</v>
      </c>
      <c r="U452" t="str">
        <f>IF(Orders[[#This Row],[Sales]]&lt;50, "$0-50", IF(AND(Orders[[#This Row],[Sales]]&gt;=50,Orders[[#This Row],[Sales]]&lt;=100), "$50-100", IF(AND(Orders[[#This Row],[Sales]]&gt;100,Orders[[#This Row],[Sales]]&lt;=150), "$101-150", "$150+")))</f>
        <v>$0-50</v>
      </c>
      <c r="V452" t="str">
        <f>IF(Orders[[#This Row],[Sales]]&gt;MEDIAN(M:M), "High Price", "Low Price")</f>
        <v>High Price</v>
      </c>
      <c r="W452" t="str">
        <f>IF(Orders[[#This Row],[Quantity]]&gt;MEDIAN(E:E), "High Volume", "Low Volume")</f>
        <v>Low Volume</v>
      </c>
      <c r="X452" t="str">
        <f>Orders[[#This Row],[Sales Tier]] &amp; "-" &amp; Orders[[#This Row],[Quantity Tier]]</f>
        <v>High Price-Low Volume</v>
      </c>
      <c r="Y452" t="str">
        <f>TEXT(Orders[[#This Row],[Order Date]], "mmmm")</f>
        <v>July</v>
      </c>
      <c r="Z45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452" t="str">
        <f>Orders[[#This Row],[Coffee Type Name]] &amp; "-" &amp; Orders[[#This Row],[Roast Type Name]]</f>
        <v>Robusta-Dark</v>
      </c>
      <c r="AB45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453" spans="1:28" x14ac:dyDescent="0.25">
      <c r="A453" s="2" t="s">
        <v>5803</v>
      </c>
      <c r="B453" s="4">
        <v>44332</v>
      </c>
      <c r="C453" s="2" t="s">
        <v>5804</v>
      </c>
      <c r="D453" t="s">
        <v>6173</v>
      </c>
      <c r="E453" s="2">
        <v>2</v>
      </c>
      <c r="F453" s="2" t="str">
        <f>_xlfn.XLOOKUP(C453,customers!$A$1:$A$1001,customers!$B$1:$B$1001,,0)</f>
        <v>Geoffrey Siuda</v>
      </c>
      <c r="G453" s="2" t="str">
        <f>IF(_xlfn.XLOOKUP(C453,customers!$A$1:$A$1001,customers!$C$1:$C$1001,,0)=0,"",_xlfn.XLOOKUP(C453,customers!$A$1:$A$1001,customers!$C$1:$C$1001,,0))</f>
        <v>gsiudaq4@nytimes.com</v>
      </c>
      <c r="H453" s="2" t="str">
        <f>_xlfn.XLOOKUP(C453,customers!$A$1:$A$1001,customers!$G$1:$G$1001,,0)</f>
        <v>United States</v>
      </c>
      <c r="I453" t="str">
        <f>INDEX(products!$A$1:$G$49, MATCH(orders!$D942,products!$A$1:$A989,0), MATCH(orders!I$1,products!$A$1:$G$1,0))</f>
        <v>Rob</v>
      </c>
      <c r="J453" t="str">
        <f>INDEX(products!$A$1:$G$49, MATCH(orders!$D942,products!$A$1:$A989,0), MATCH(orders!J$1,products!$A$1:$G$1,0))</f>
        <v>L</v>
      </c>
      <c r="K453" s="5">
        <f>INDEX(products!$A$1:$G$49, MATCH(orders!$D942,products!$A$1:$A989,0), MATCH(orders!K$1,products!$A$1:$G$1,0))</f>
        <v>0.5</v>
      </c>
      <c r="L453" s="6">
        <f>INDEX(products!$A$1:$G$49, MATCH(orders!$D942,products!$A$1:$A989,0), MATCH(orders!L$1,products!$A$1:$G$1,0))</f>
        <v>7.169999999999999</v>
      </c>
      <c r="M453" s="6">
        <f t="shared" si="21"/>
        <v>14.339999999999998</v>
      </c>
      <c r="N453" t="str">
        <f t="shared" si="22"/>
        <v>Robusta</v>
      </c>
      <c r="O453" t="str">
        <f t="shared" si="23"/>
        <v>Light</v>
      </c>
      <c r="P453" t="str">
        <f>_xlfn.XLOOKUP(Orders[[#This Row],[Customer ID]],customers!$A$1:$A$1001,customers!$I$1:$I$1001,,0)</f>
        <v>Yes</v>
      </c>
      <c r="Q453">
        <f>COUNTIF(Orders[Order ID],Orders[[#This Row],[Order ID]])</f>
        <v>1</v>
      </c>
      <c r="R453" s="10">
        <f>SUMIF(Orders[Order ID], Orders[[#This Row],[Order ID]],Orders[Sales])/Orders[[#This Row],[Order Frequency]]</f>
        <v>14.339999999999998</v>
      </c>
      <c r="S453" t="str">
        <f>IF(Orders[[#This Row],[Order Frequency]]&gt;4, "More than 4", IF(AND(Orders[[#This Row],[Order Frequency]]&lt;=4,Orders[[#This Row],[Order Frequency]]&gt;=2), "Between 4 and 2", "Less than 2"))</f>
        <v>Less than 2</v>
      </c>
      <c r="T453" t="str">
        <f>IF(Orders[[#This Row],[Frequency Group]]="less than 2", "Low Value", IF(Orders[[#This Row],[Frequency Group]]="between 4 and 2", "Medium Value", "High Value"))</f>
        <v>Low Value</v>
      </c>
      <c r="U453" t="str">
        <f>IF(Orders[[#This Row],[Sales]]&lt;50, "$0-50", IF(AND(Orders[[#This Row],[Sales]]&gt;=50,Orders[[#This Row],[Sales]]&lt;=100), "$50-100", IF(AND(Orders[[#This Row],[Sales]]&gt;100,Orders[[#This Row],[Sales]]&lt;=150), "$101-150", "$150+")))</f>
        <v>$0-50</v>
      </c>
      <c r="V453" t="str">
        <f>IF(Orders[[#This Row],[Sales]]&gt;MEDIAN(M:M), "High Price", "Low Price")</f>
        <v>Low Price</v>
      </c>
      <c r="W453" t="str">
        <f>IF(Orders[[#This Row],[Quantity]]&gt;MEDIAN(E:E), "High Volume", "Low Volume")</f>
        <v>Low Volume</v>
      </c>
      <c r="X453" t="str">
        <f>Orders[[#This Row],[Sales Tier]] &amp; "-" &amp; Orders[[#This Row],[Quantity Tier]]</f>
        <v>Low Price-Low Volume</v>
      </c>
      <c r="Y453" t="str">
        <f>TEXT(Orders[[#This Row],[Order Date]], "mmmm")</f>
        <v>May</v>
      </c>
      <c r="Z45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53" t="str">
        <f>Orders[[#This Row],[Coffee Type Name]] &amp; "-" &amp; Orders[[#This Row],[Roast Type Name]]</f>
        <v>Robusta-Light</v>
      </c>
      <c r="AB45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54" spans="1:28" x14ac:dyDescent="0.25">
      <c r="A454" s="2" t="s">
        <v>2118</v>
      </c>
      <c r="B454" s="4">
        <v>44279</v>
      </c>
      <c r="C454" s="2" t="s">
        <v>2119</v>
      </c>
      <c r="D454" t="s">
        <v>6139</v>
      </c>
      <c r="E454" s="2">
        <v>1</v>
      </c>
      <c r="F454" s="2" t="str">
        <f>_xlfn.XLOOKUP(C454,customers!$A$1:$A$1001,customers!$B$1:$B$1001,,0)</f>
        <v>Mathew Goulter</v>
      </c>
      <c r="G454" s="2" t="str">
        <f>IF(_xlfn.XLOOKUP(C454,customers!$A$1:$A$1001,customers!$C$1:$C$1001,,0)=0,"",_xlfn.XLOOKUP(C454,customers!$A$1:$A$1001,customers!$C$1:$C$1001,,0))</f>
        <v/>
      </c>
      <c r="H454" s="2" t="str">
        <f>_xlfn.XLOOKUP(C454,customers!$A$1:$A$1001,customers!$G$1:$G$1001,,0)</f>
        <v>Ireland</v>
      </c>
      <c r="I454" t="str">
        <f>INDEX(products!$A$1:$G$49, MATCH(orders!$D290,products!$A$1:$A337,0), MATCH(orders!I$1,products!$A$1:$G$1,0))</f>
        <v>Exc</v>
      </c>
      <c r="J454" t="str">
        <f>INDEX(products!$A$1:$G$49, MATCH(orders!$D290,products!$A$1:$A337,0), MATCH(orders!J$1,products!$A$1:$G$1,0))</f>
        <v>M</v>
      </c>
      <c r="K454" s="5">
        <f>INDEX(products!$A$1:$G$49, MATCH(orders!$D290,products!$A$1:$A337,0), MATCH(orders!K$1,products!$A$1:$G$1,0))</f>
        <v>0.5</v>
      </c>
      <c r="L454" s="6">
        <f>INDEX(products!$A$1:$G$49, MATCH(orders!$D290,products!$A$1:$A337,0), MATCH(orders!L$1,products!$A$1:$G$1,0))</f>
        <v>8.25</v>
      </c>
      <c r="M454" s="6">
        <f t="shared" si="21"/>
        <v>8.25</v>
      </c>
      <c r="N454" t="str">
        <f t="shared" si="22"/>
        <v>Excelsa</v>
      </c>
      <c r="O454" t="str">
        <f t="shared" si="23"/>
        <v>Medium</v>
      </c>
      <c r="P454" t="str">
        <f>_xlfn.XLOOKUP(Orders[[#This Row],[Customer ID]],customers!$A$1:$A$1001,customers!$I$1:$I$1001,,0)</f>
        <v>Yes</v>
      </c>
      <c r="Q454">
        <f>COUNTIF(Orders[Order ID],Orders[[#This Row],[Order ID]])</f>
        <v>1</v>
      </c>
      <c r="R454" s="10">
        <f>SUMIF(Orders[Order ID], Orders[[#This Row],[Order ID]],Orders[Sales])/Orders[[#This Row],[Order Frequency]]</f>
        <v>8.25</v>
      </c>
      <c r="S454" t="str">
        <f>IF(Orders[[#This Row],[Order Frequency]]&gt;4, "More than 4", IF(AND(Orders[[#This Row],[Order Frequency]]&lt;=4,Orders[[#This Row],[Order Frequency]]&gt;=2), "Between 4 and 2", "Less than 2"))</f>
        <v>Less than 2</v>
      </c>
      <c r="T454" t="str">
        <f>IF(Orders[[#This Row],[Frequency Group]]="less than 2", "Low Value", IF(Orders[[#This Row],[Frequency Group]]="between 4 and 2", "Medium Value", "High Value"))</f>
        <v>Low Value</v>
      </c>
      <c r="U454" t="str">
        <f>IF(Orders[[#This Row],[Sales]]&lt;50, "$0-50", IF(AND(Orders[[#This Row],[Sales]]&gt;=50,Orders[[#This Row],[Sales]]&lt;=100), "$50-100", IF(AND(Orders[[#This Row],[Sales]]&gt;100,Orders[[#This Row],[Sales]]&lt;=150), "$101-150", "$150+")))</f>
        <v>$0-50</v>
      </c>
      <c r="V454" t="str">
        <f>IF(Orders[[#This Row],[Sales]]&gt;MEDIAN(M:M), "High Price", "Low Price")</f>
        <v>Low Price</v>
      </c>
      <c r="W454" t="str">
        <f>IF(Orders[[#This Row],[Quantity]]&gt;MEDIAN(E:E), "High Volume", "Low Volume")</f>
        <v>Low Volume</v>
      </c>
      <c r="X454" t="str">
        <f>Orders[[#This Row],[Sales Tier]] &amp; "-" &amp; Orders[[#This Row],[Quantity Tier]]</f>
        <v>Low Price-Low Volume</v>
      </c>
      <c r="Y454" t="str">
        <f>TEXT(Orders[[#This Row],[Order Date]], "mmmm")</f>
        <v>March</v>
      </c>
      <c r="Z45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454" t="str">
        <f>Orders[[#This Row],[Coffee Type Name]] &amp; "-" &amp; Orders[[#This Row],[Roast Type Name]]</f>
        <v>Excelsa-Medium</v>
      </c>
      <c r="AB45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55" spans="1:28" x14ac:dyDescent="0.25">
      <c r="A455" s="2" t="s">
        <v>4580</v>
      </c>
      <c r="B455" s="4">
        <v>44076</v>
      </c>
      <c r="C455" s="2" t="s">
        <v>4581</v>
      </c>
      <c r="D455" t="s">
        <v>6152</v>
      </c>
      <c r="E455" s="2">
        <v>2</v>
      </c>
      <c r="F455" s="2" t="str">
        <f>_xlfn.XLOOKUP(C455,customers!$A$1:$A$1001,customers!$B$1:$B$1001,,0)</f>
        <v>Nico Hubert</v>
      </c>
      <c r="G455" s="2" t="str">
        <f>IF(_xlfn.XLOOKUP(C455,customers!$A$1:$A$1001,customers!$C$1:$C$1001,,0)=0,"",_xlfn.XLOOKUP(C455,customers!$A$1:$A$1001,customers!$C$1:$C$1001,,0))</f>
        <v/>
      </c>
      <c r="H455" s="2" t="str">
        <f>_xlfn.XLOOKUP(C455,customers!$A$1:$A$1001,customers!$G$1:$G$1001,,0)</f>
        <v>United States</v>
      </c>
      <c r="I455" t="str">
        <f>INDEX(products!$A$1:$G$49, MATCH(orders!$D726,products!$A$1:$A773,0), MATCH(orders!I$1,products!$A$1:$G$1,0))</f>
        <v>Ara</v>
      </c>
      <c r="J455" t="str">
        <f>INDEX(products!$A$1:$G$49, MATCH(orders!$D726,products!$A$1:$A773,0), MATCH(orders!J$1,products!$A$1:$G$1,0))</f>
        <v>M</v>
      </c>
      <c r="K455" s="5">
        <f>INDEX(products!$A$1:$G$49, MATCH(orders!$D726,products!$A$1:$A773,0), MATCH(orders!K$1,products!$A$1:$G$1,0))</f>
        <v>0.2</v>
      </c>
      <c r="L455" s="6">
        <f>INDEX(products!$A$1:$G$49, MATCH(orders!$D726,products!$A$1:$A773,0), MATCH(orders!L$1,products!$A$1:$G$1,0))</f>
        <v>3.375</v>
      </c>
      <c r="M455" s="6">
        <f t="shared" si="21"/>
        <v>6.75</v>
      </c>
      <c r="N455" t="str">
        <f t="shared" si="22"/>
        <v>Arabica</v>
      </c>
      <c r="O455" t="str">
        <f t="shared" si="23"/>
        <v>Medium</v>
      </c>
      <c r="P455" t="str">
        <f>_xlfn.XLOOKUP(Orders[[#This Row],[Customer ID]],customers!$A$1:$A$1001,customers!$I$1:$I$1001,,0)</f>
        <v>Yes</v>
      </c>
      <c r="Q455">
        <f>COUNTIF(Orders[Order ID],Orders[[#This Row],[Order ID]])</f>
        <v>1</v>
      </c>
      <c r="R455" s="10">
        <f>SUMIF(Orders[Order ID], Orders[[#This Row],[Order ID]],Orders[Sales])/Orders[[#This Row],[Order Frequency]]</f>
        <v>6.75</v>
      </c>
      <c r="S455" t="str">
        <f>IF(Orders[[#This Row],[Order Frequency]]&gt;4, "More than 4", IF(AND(Orders[[#This Row],[Order Frequency]]&lt;=4,Orders[[#This Row],[Order Frequency]]&gt;=2), "Between 4 and 2", "Less than 2"))</f>
        <v>Less than 2</v>
      </c>
      <c r="T455" t="str">
        <f>IF(Orders[[#This Row],[Frequency Group]]="less than 2", "Low Value", IF(Orders[[#This Row],[Frequency Group]]="between 4 and 2", "Medium Value", "High Value"))</f>
        <v>Low Value</v>
      </c>
      <c r="U455" t="str">
        <f>IF(Orders[[#This Row],[Sales]]&lt;50, "$0-50", IF(AND(Orders[[#This Row],[Sales]]&gt;=50,Orders[[#This Row],[Sales]]&lt;=100), "$50-100", IF(AND(Orders[[#This Row],[Sales]]&gt;100,Orders[[#This Row],[Sales]]&lt;=150), "$101-150", "$150+")))</f>
        <v>$0-50</v>
      </c>
      <c r="V455" t="str">
        <f>IF(Orders[[#This Row],[Sales]]&gt;MEDIAN(M:M), "High Price", "Low Price")</f>
        <v>Low Price</v>
      </c>
      <c r="W455" t="str">
        <f>IF(Orders[[#This Row],[Quantity]]&gt;MEDIAN(E:E), "High Volume", "Low Volume")</f>
        <v>Low Volume</v>
      </c>
      <c r="X455" t="str">
        <f>Orders[[#This Row],[Sales Tier]] &amp; "-" &amp; Orders[[#This Row],[Quantity Tier]]</f>
        <v>Low Price-Low Volume</v>
      </c>
      <c r="Y455" t="str">
        <f>TEXT(Orders[[#This Row],[Order Date]], "mmmm")</f>
        <v>September</v>
      </c>
      <c r="Z45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455" t="str">
        <f>Orders[[#This Row],[Coffee Type Name]] &amp; "-" &amp; Orders[[#This Row],[Roast Type Name]]</f>
        <v>Arabica-Medium</v>
      </c>
      <c r="AB45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456" spans="1:28" x14ac:dyDescent="0.25">
      <c r="A456" s="2" t="s">
        <v>3289</v>
      </c>
      <c r="B456" s="4">
        <v>43710</v>
      </c>
      <c r="C456" s="2" t="s">
        <v>3290</v>
      </c>
      <c r="D456" t="s">
        <v>6170</v>
      </c>
      <c r="E456" s="2">
        <v>5</v>
      </c>
      <c r="F456" s="2" t="str">
        <f>_xlfn.XLOOKUP(C456,customers!$A$1:$A$1001,customers!$B$1:$B$1001,,0)</f>
        <v>Currey MacAllister</v>
      </c>
      <c r="G456" s="2" t="str">
        <f>IF(_xlfn.XLOOKUP(C456,customers!$A$1:$A$1001,customers!$C$1:$C$1001,,0)=0,"",_xlfn.XLOOKUP(C456,customers!$A$1:$A$1001,customers!$C$1:$C$1001,,0))</f>
        <v/>
      </c>
      <c r="H456" s="2" t="str">
        <f>_xlfn.XLOOKUP(C456,customers!$A$1:$A$1001,customers!$G$1:$G$1001,,0)</f>
        <v>United States</v>
      </c>
      <c r="I456" t="str">
        <f>INDEX(products!$A$1:$G$49, MATCH(orders!$D497,products!$A$1:$A544,0), MATCH(orders!I$1,products!$A$1:$G$1,0))</f>
        <v>Lib</v>
      </c>
      <c r="J456" t="str">
        <f>INDEX(products!$A$1:$G$49, MATCH(orders!$D497,products!$A$1:$A544,0), MATCH(orders!J$1,products!$A$1:$G$1,0))</f>
        <v>L</v>
      </c>
      <c r="K456" s="5">
        <f>INDEX(products!$A$1:$G$49, MATCH(orders!$D497,products!$A$1:$A544,0), MATCH(orders!K$1,products!$A$1:$G$1,0))</f>
        <v>1</v>
      </c>
      <c r="L456" s="6">
        <f>INDEX(products!$A$1:$G$49, MATCH(orders!$D497,products!$A$1:$A544,0), MATCH(orders!L$1,products!$A$1:$G$1,0))</f>
        <v>15.85</v>
      </c>
      <c r="M456" s="6">
        <f t="shared" si="21"/>
        <v>79.25</v>
      </c>
      <c r="N456" t="str">
        <f t="shared" si="22"/>
        <v>Liberica</v>
      </c>
      <c r="O456" t="str">
        <f t="shared" si="23"/>
        <v>Light</v>
      </c>
      <c r="P456" t="str">
        <f>_xlfn.XLOOKUP(Orders[[#This Row],[Customer ID]],customers!$A$1:$A$1001,customers!$I$1:$I$1001,,0)</f>
        <v>Yes</v>
      </c>
      <c r="Q456">
        <f>COUNTIF(Orders[Order ID],Orders[[#This Row],[Order ID]])</f>
        <v>1</v>
      </c>
      <c r="R456" s="10">
        <f>SUMIF(Orders[Order ID], Orders[[#This Row],[Order ID]],Orders[Sales])/Orders[[#This Row],[Order Frequency]]</f>
        <v>79.25</v>
      </c>
      <c r="S456" t="str">
        <f>IF(Orders[[#This Row],[Order Frequency]]&gt;4, "More than 4", IF(AND(Orders[[#This Row],[Order Frequency]]&lt;=4,Orders[[#This Row],[Order Frequency]]&gt;=2), "Between 4 and 2", "Less than 2"))</f>
        <v>Less than 2</v>
      </c>
      <c r="T456" t="str">
        <f>IF(Orders[[#This Row],[Frequency Group]]="less than 2", "Low Value", IF(Orders[[#This Row],[Frequency Group]]="between 4 and 2", "Medium Value", "High Value"))</f>
        <v>Low Value</v>
      </c>
      <c r="U456" t="str">
        <f>IF(Orders[[#This Row],[Sales]]&lt;50, "$0-50", IF(AND(Orders[[#This Row],[Sales]]&gt;=50,Orders[[#This Row],[Sales]]&lt;=100), "$50-100", IF(AND(Orders[[#This Row],[Sales]]&gt;100,Orders[[#This Row],[Sales]]&lt;=150), "$101-150", "$150+")))</f>
        <v>$50-100</v>
      </c>
      <c r="V456" t="str">
        <f>IF(Orders[[#This Row],[Sales]]&gt;MEDIAN(M:M), "High Price", "Low Price")</f>
        <v>High Price</v>
      </c>
      <c r="W456" t="str">
        <f>IF(Orders[[#This Row],[Quantity]]&gt;MEDIAN(E:E), "High Volume", "Low Volume")</f>
        <v>High Volume</v>
      </c>
      <c r="X456" t="str">
        <f>Orders[[#This Row],[Sales Tier]] &amp; "-" &amp; Orders[[#This Row],[Quantity Tier]]</f>
        <v>High Price-High Volume</v>
      </c>
      <c r="Y456" t="str">
        <f>TEXT(Orders[[#This Row],[Order Date]], "mmmm")</f>
        <v>September</v>
      </c>
      <c r="Z45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456" t="str">
        <f>Orders[[#This Row],[Coffee Type Name]] &amp; "-" &amp; Orders[[#This Row],[Roast Type Name]]</f>
        <v>Liberica-Light</v>
      </c>
      <c r="AB45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457" spans="1:28" x14ac:dyDescent="0.25">
      <c r="A457" s="2" t="s">
        <v>2683</v>
      </c>
      <c r="B457" s="4">
        <v>43536</v>
      </c>
      <c r="C457" s="2" t="s">
        <v>2684</v>
      </c>
      <c r="D457" t="s">
        <v>6169</v>
      </c>
      <c r="E457" s="2">
        <v>3</v>
      </c>
      <c r="F457" s="2" t="str">
        <f>_xlfn.XLOOKUP(C457,customers!$A$1:$A$1001,customers!$B$1:$B$1001,,0)</f>
        <v>Andrej Havick</v>
      </c>
      <c r="G457" s="2" t="str">
        <f>IF(_xlfn.XLOOKUP(C457,customers!$A$1:$A$1001,customers!$C$1:$C$1001,,0)=0,"",_xlfn.XLOOKUP(C457,customers!$A$1:$A$1001,customers!$C$1:$C$1001,,0))</f>
        <v>ahavickat@nsw.gov.au</v>
      </c>
      <c r="H457" s="2" t="str">
        <f>_xlfn.XLOOKUP(C457,customers!$A$1:$A$1001,customers!$G$1:$G$1001,,0)</f>
        <v>United States</v>
      </c>
      <c r="I457" t="str">
        <f>INDEX(products!$A$1:$G$49, MATCH(orders!$D391,products!$A$1:$A438,0), MATCH(orders!I$1,products!$A$1:$G$1,0))</f>
        <v>Lib</v>
      </c>
      <c r="J457" t="str">
        <f>INDEX(products!$A$1:$G$49, MATCH(orders!$D391,products!$A$1:$A438,0), MATCH(orders!J$1,products!$A$1:$G$1,0))</f>
        <v>D</v>
      </c>
      <c r="K457" s="5">
        <f>INDEX(products!$A$1:$G$49, MATCH(orders!$D391,products!$A$1:$A438,0), MATCH(orders!K$1,products!$A$1:$G$1,0))</f>
        <v>0.5</v>
      </c>
      <c r="L457" s="6">
        <f>INDEX(products!$A$1:$G$49, MATCH(orders!$D391,products!$A$1:$A438,0), MATCH(orders!L$1,products!$A$1:$G$1,0))</f>
        <v>7.77</v>
      </c>
      <c r="M457" s="6">
        <f t="shared" si="21"/>
        <v>23.31</v>
      </c>
      <c r="N457" t="str">
        <f t="shared" si="22"/>
        <v>Liberica</v>
      </c>
      <c r="O457" t="str">
        <f t="shared" si="23"/>
        <v>Dark</v>
      </c>
      <c r="P457" t="str">
        <f>_xlfn.XLOOKUP(Orders[[#This Row],[Customer ID]],customers!$A$1:$A$1001,customers!$I$1:$I$1001,,0)</f>
        <v>Yes</v>
      </c>
      <c r="Q457">
        <f>COUNTIF(Orders[Order ID],Orders[[#This Row],[Order ID]])</f>
        <v>1</v>
      </c>
      <c r="R457" s="10">
        <f>SUMIF(Orders[Order ID], Orders[[#This Row],[Order ID]],Orders[Sales])/Orders[[#This Row],[Order Frequency]]</f>
        <v>23.31</v>
      </c>
      <c r="S457" t="str">
        <f>IF(Orders[[#This Row],[Order Frequency]]&gt;4, "More than 4", IF(AND(Orders[[#This Row],[Order Frequency]]&lt;=4,Orders[[#This Row],[Order Frequency]]&gt;=2), "Between 4 and 2", "Less than 2"))</f>
        <v>Less than 2</v>
      </c>
      <c r="T457" t="str">
        <f>IF(Orders[[#This Row],[Frequency Group]]="less than 2", "Low Value", IF(Orders[[#This Row],[Frequency Group]]="between 4 and 2", "Medium Value", "High Value"))</f>
        <v>Low Value</v>
      </c>
      <c r="U457" t="str">
        <f>IF(Orders[[#This Row],[Sales]]&lt;50, "$0-50", IF(AND(Orders[[#This Row],[Sales]]&gt;=50,Orders[[#This Row],[Sales]]&lt;=100), "$50-100", IF(AND(Orders[[#This Row],[Sales]]&gt;100,Orders[[#This Row],[Sales]]&lt;=150), "$101-150", "$150+")))</f>
        <v>$0-50</v>
      </c>
      <c r="V457" t="str">
        <f>IF(Orders[[#This Row],[Sales]]&gt;MEDIAN(M:M), "High Price", "Low Price")</f>
        <v>Low Price</v>
      </c>
      <c r="W457" t="str">
        <f>IF(Orders[[#This Row],[Quantity]]&gt;MEDIAN(E:E), "High Volume", "Low Volume")</f>
        <v>Low Volume</v>
      </c>
      <c r="X457" t="str">
        <f>Orders[[#This Row],[Sales Tier]] &amp; "-" &amp; Orders[[#This Row],[Quantity Tier]]</f>
        <v>Low Price-Low Volume</v>
      </c>
      <c r="Y457" t="str">
        <f>TEXT(Orders[[#This Row],[Order Date]], "mmmm")</f>
        <v>March</v>
      </c>
      <c r="Z45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457" t="str">
        <f>Orders[[#This Row],[Coffee Type Name]] &amp; "-" &amp; Orders[[#This Row],[Roast Type Name]]</f>
        <v>Liberica-Dark</v>
      </c>
      <c r="AB45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58" spans="1:28" x14ac:dyDescent="0.25">
      <c r="A458" s="2" t="s">
        <v>3391</v>
      </c>
      <c r="B458" s="4">
        <v>44691</v>
      </c>
      <c r="C458" s="2" t="s">
        <v>3392</v>
      </c>
      <c r="D458" t="s">
        <v>6170</v>
      </c>
      <c r="E458" s="2">
        <v>5</v>
      </c>
      <c r="F458" s="2" t="str">
        <f>_xlfn.XLOOKUP(C458,customers!$A$1:$A$1001,customers!$B$1:$B$1001,,0)</f>
        <v>Nataniel Helkin</v>
      </c>
      <c r="G458" s="2" t="str">
        <f>IF(_xlfn.XLOOKUP(C458,customers!$A$1:$A$1001,customers!$C$1:$C$1001,,0)=0,"",_xlfn.XLOOKUP(C458,customers!$A$1:$A$1001,customers!$C$1:$C$1001,,0))</f>
        <v>nhelkine9@example.com</v>
      </c>
      <c r="H458" s="2" t="str">
        <f>_xlfn.XLOOKUP(C458,customers!$A$1:$A$1001,customers!$G$1:$G$1001,,0)</f>
        <v>United States</v>
      </c>
      <c r="I458" t="str">
        <f>INDEX(products!$A$1:$G$49, MATCH(orders!$D515,products!$A$1:$A562,0), MATCH(orders!I$1,products!$A$1:$G$1,0))</f>
        <v>Lib</v>
      </c>
      <c r="J458" t="str">
        <f>INDEX(products!$A$1:$G$49, MATCH(orders!$D515,products!$A$1:$A562,0), MATCH(orders!J$1,products!$A$1:$G$1,0))</f>
        <v>L</v>
      </c>
      <c r="K458" s="5">
        <f>INDEX(products!$A$1:$G$49, MATCH(orders!$D515,products!$A$1:$A562,0), MATCH(orders!K$1,products!$A$1:$G$1,0))</f>
        <v>1</v>
      </c>
      <c r="L458" s="6">
        <f>INDEX(products!$A$1:$G$49, MATCH(orders!$D515,products!$A$1:$A562,0), MATCH(orders!L$1,products!$A$1:$G$1,0))</f>
        <v>15.85</v>
      </c>
      <c r="M458" s="6">
        <f t="shared" si="21"/>
        <v>79.25</v>
      </c>
      <c r="N458" t="str">
        <f t="shared" si="22"/>
        <v>Liberica</v>
      </c>
      <c r="O458" t="str">
        <f t="shared" si="23"/>
        <v>Light</v>
      </c>
      <c r="P458" t="str">
        <f>_xlfn.XLOOKUP(Orders[[#This Row],[Customer ID]],customers!$A$1:$A$1001,customers!$I$1:$I$1001,,0)</f>
        <v>No</v>
      </c>
      <c r="Q458">
        <f>COUNTIF(Orders[Order ID],Orders[[#This Row],[Order ID]])</f>
        <v>1</v>
      </c>
      <c r="R458" s="10">
        <f>SUMIF(Orders[Order ID], Orders[[#This Row],[Order ID]],Orders[Sales])/Orders[[#This Row],[Order Frequency]]</f>
        <v>79.25</v>
      </c>
      <c r="S458" t="str">
        <f>IF(Orders[[#This Row],[Order Frequency]]&gt;4, "More than 4", IF(AND(Orders[[#This Row],[Order Frequency]]&lt;=4,Orders[[#This Row],[Order Frequency]]&gt;=2), "Between 4 and 2", "Less than 2"))</f>
        <v>Less than 2</v>
      </c>
      <c r="T458" t="str">
        <f>IF(Orders[[#This Row],[Frequency Group]]="less than 2", "Low Value", IF(Orders[[#This Row],[Frequency Group]]="between 4 and 2", "Medium Value", "High Value"))</f>
        <v>Low Value</v>
      </c>
      <c r="U458" t="str">
        <f>IF(Orders[[#This Row],[Sales]]&lt;50, "$0-50", IF(AND(Orders[[#This Row],[Sales]]&gt;=50,Orders[[#This Row],[Sales]]&lt;=100), "$50-100", IF(AND(Orders[[#This Row],[Sales]]&gt;100,Orders[[#This Row],[Sales]]&lt;=150), "$101-150", "$150+")))</f>
        <v>$50-100</v>
      </c>
      <c r="V458" t="str">
        <f>IF(Orders[[#This Row],[Sales]]&gt;MEDIAN(M:M), "High Price", "Low Price")</f>
        <v>High Price</v>
      </c>
      <c r="W458" t="str">
        <f>IF(Orders[[#This Row],[Quantity]]&gt;MEDIAN(E:E), "High Volume", "Low Volume")</f>
        <v>High Volume</v>
      </c>
      <c r="X458" t="str">
        <f>Orders[[#This Row],[Sales Tier]] &amp; "-" &amp; Orders[[#This Row],[Quantity Tier]]</f>
        <v>High Price-High Volume</v>
      </c>
      <c r="Y458" t="str">
        <f>TEXT(Orders[[#This Row],[Order Date]], "mmmm")</f>
        <v>May</v>
      </c>
      <c r="Z45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58" t="str">
        <f>Orders[[#This Row],[Coffee Type Name]] &amp; "-" &amp; Orders[[#This Row],[Roast Type Name]]</f>
        <v>Liberica-Light</v>
      </c>
      <c r="AB45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59" spans="1:28" x14ac:dyDescent="0.25">
      <c r="A459" s="2" t="s">
        <v>2032</v>
      </c>
      <c r="B459" s="4">
        <v>44681</v>
      </c>
      <c r="C459" s="2" t="s">
        <v>2033</v>
      </c>
      <c r="D459" t="s">
        <v>6167</v>
      </c>
      <c r="E459" s="2">
        <v>2</v>
      </c>
      <c r="F459" s="2" t="str">
        <f>_xlfn.XLOOKUP(C459,customers!$A$1:$A$1001,customers!$B$1:$B$1001,,0)</f>
        <v>Warner Maddox</v>
      </c>
      <c r="G459" s="2" t="str">
        <f>IF(_xlfn.XLOOKUP(C459,customers!$A$1:$A$1001,customers!$C$1:$C$1001,,0)=0,"",_xlfn.XLOOKUP(C459,customers!$A$1:$A$1001,customers!$C$1:$C$1001,,0))</f>
        <v>wmaddox7l@timesonline.co.uk</v>
      </c>
      <c r="H459" s="2" t="str">
        <f>_xlfn.XLOOKUP(C459,customers!$A$1:$A$1001,customers!$G$1:$G$1001,,0)</f>
        <v>United States</v>
      </c>
      <c r="I459" t="str">
        <f>INDEX(products!$A$1:$G$49, MATCH(orders!$D275,products!$A$1:$A322,0), MATCH(orders!I$1,products!$A$1:$G$1,0))</f>
        <v>Ara</v>
      </c>
      <c r="J459" t="str">
        <f>INDEX(products!$A$1:$G$49, MATCH(orders!$D275,products!$A$1:$A322,0), MATCH(orders!J$1,products!$A$1:$G$1,0))</f>
        <v>L</v>
      </c>
      <c r="K459" s="5">
        <f>INDEX(products!$A$1:$G$49, MATCH(orders!$D275,products!$A$1:$A322,0), MATCH(orders!K$1,products!$A$1:$G$1,0))</f>
        <v>0.2</v>
      </c>
      <c r="L459" s="6">
        <f>INDEX(products!$A$1:$G$49, MATCH(orders!$D275,products!$A$1:$A322,0), MATCH(orders!L$1,products!$A$1:$G$1,0))</f>
        <v>3.8849999999999998</v>
      </c>
      <c r="M459" s="6">
        <f t="shared" si="21"/>
        <v>7.77</v>
      </c>
      <c r="N459" t="str">
        <f t="shared" si="22"/>
        <v>Arabica</v>
      </c>
      <c r="O459" t="str">
        <f t="shared" si="23"/>
        <v>Light</v>
      </c>
      <c r="P459" t="str">
        <f>_xlfn.XLOOKUP(Orders[[#This Row],[Customer ID]],customers!$A$1:$A$1001,customers!$I$1:$I$1001,,0)</f>
        <v>No</v>
      </c>
      <c r="Q459">
        <f>COUNTIF(Orders[Order ID],Orders[[#This Row],[Order ID]])</f>
        <v>1</v>
      </c>
      <c r="R459" s="10">
        <f>SUMIF(Orders[Order ID], Orders[[#This Row],[Order ID]],Orders[Sales])/Orders[[#This Row],[Order Frequency]]</f>
        <v>7.77</v>
      </c>
      <c r="S459" t="str">
        <f>IF(Orders[[#This Row],[Order Frequency]]&gt;4, "More than 4", IF(AND(Orders[[#This Row],[Order Frequency]]&lt;=4,Orders[[#This Row],[Order Frequency]]&gt;=2), "Between 4 and 2", "Less than 2"))</f>
        <v>Less than 2</v>
      </c>
      <c r="T459" t="str">
        <f>IF(Orders[[#This Row],[Frequency Group]]="less than 2", "Low Value", IF(Orders[[#This Row],[Frequency Group]]="between 4 and 2", "Medium Value", "High Value"))</f>
        <v>Low Value</v>
      </c>
      <c r="U459" t="str">
        <f>IF(Orders[[#This Row],[Sales]]&lt;50, "$0-50", IF(AND(Orders[[#This Row],[Sales]]&gt;=50,Orders[[#This Row],[Sales]]&lt;=100), "$50-100", IF(AND(Orders[[#This Row],[Sales]]&gt;100,Orders[[#This Row],[Sales]]&lt;=150), "$101-150", "$150+")))</f>
        <v>$0-50</v>
      </c>
      <c r="V459" t="str">
        <f>IF(Orders[[#This Row],[Sales]]&gt;MEDIAN(M:M), "High Price", "Low Price")</f>
        <v>Low Price</v>
      </c>
      <c r="W459" t="str">
        <f>IF(Orders[[#This Row],[Quantity]]&gt;MEDIAN(E:E), "High Volume", "Low Volume")</f>
        <v>Low Volume</v>
      </c>
      <c r="X459" t="str">
        <f>Orders[[#This Row],[Sales Tier]] &amp; "-" &amp; Orders[[#This Row],[Quantity Tier]]</f>
        <v>Low Price-Low Volume</v>
      </c>
      <c r="Y459" t="str">
        <f>TEXT(Orders[[#This Row],[Order Date]], "mmmm")</f>
        <v>April</v>
      </c>
      <c r="Z45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59" t="str">
        <f>Orders[[#This Row],[Coffee Type Name]] &amp; "-" &amp; Orders[[#This Row],[Roast Type Name]]</f>
        <v>Arabica-Light</v>
      </c>
      <c r="AB45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60" spans="1:28" x14ac:dyDescent="0.25">
      <c r="A460" s="2" t="s">
        <v>3553</v>
      </c>
      <c r="B460" s="4">
        <v>44335</v>
      </c>
      <c r="C460" s="2" t="s">
        <v>3554</v>
      </c>
      <c r="D460" t="s">
        <v>6175</v>
      </c>
      <c r="E460" s="2">
        <v>4</v>
      </c>
      <c r="F460" s="2" t="str">
        <f>_xlfn.XLOOKUP(C460,customers!$A$1:$A$1001,customers!$B$1:$B$1001,,0)</f>
        <v>Zack Pellett</v>
      </c>
      <c r="G460" s="2" t="str">
        <f>IF(_xlfn.XLOOKUP(C460,customers!$A$1:$A$1001,customers!$C$1:$C$1001,,0)=0,"",_xlfn.XLOOKUP(C460,customers!$A$1:$A$1001,customers!$C$1:$C$1001,,0))</f>
        <v>zpellettf2@dailymotion.com</v>
      </c>
      <c r="H460" s="2" t="str">
        <f>_xlfn.XLOOKUP(C460,customers!$A$1:$A$1001,customers!$G$1:$G$1001,,0)</f>
        <v>United States</v>
      </c>
      <c r="I460" t="str">
        <f>INDEX(products!$A$1:$G$49, MATCH(orders!$D544,products!$A$1:$A591,0), MATCH(orders!I$1,products!$A$1:$G$1,0))</f>
        <v>Ara</v>
      </c>
      <c r="J460" t="str">
        <f>INDEX(products!$A$1:$G$49, MATCH(orders!$D544,products!$A$1:$A591,0), MATCH(orders!J$1,products!$A$1:$G$1,0))</f>
        <v>M</v>
      </c>
      <c r="K460" s="5">
        <f>INDEX(products!$A$1:$G$49, MATCH(orders!$D544,products!$A$1:$A591,0), MATCH(orders!K$1,products!$A$1:$G$1,0))</f>
        <v>2.5</v>
      </c>
      <c r="L460" s="6">
        <f>INDEX(products!$A$1:$G$49, MATCH(orders!$D544,products!$A$1:$A591,0), MATCH(orders!L$1,products!$A$1:$G$1,0))</f>
        <v>25.874999999999996</v>
      </c>
      <c r="M460" s="6">
        <f t="shared" si="21"/>
        <v>103.49999999999999</v>
      </c>
      <c r="N460" t="str">
        <f t="shared" si="22"/>
        <v>Arabica</v>
      </c>
      <c r="O460" t="str">
        <f t="shared" si="23"/>
        <v>Medium</v>
      </c>
      <c r="P460" t="str">
        <f>_xlfn.XLOOKUP(Orders[[#This Row],[Customer ID]],customers!$A$1:$A$1001,customers!$I$1:$I$1001,,0)</f>
        <v>No</v>
      </c>
      <c r="Q460">
        <f>COUNTIF(Orders[Order ID],Orders[[#This Row],[Order ID]])</f>
        <v>1</v>
      </c>
      <c r="R460" s="10">
        <f>SUMIF(Orders[Order ID], Orders[[#This Row],[Order ID]],Orders[Sales])/Orders[[#This Row],[Order Frequency]]</f>
        <v>103.49999999999999</v>
      </c>
      <c r="S460" t="str">
        <f>IF(Orders[[#This Row],[Order Frequency]]&gt;4, "More than 4", IF(AND(Orders[[#This Row],[Order Frequency]]&lt;=4,Orders[[#This Row],[Order Frequency]]&gt;=2), "Between 4 and 2", "Less than 2"))</f>
        <v>Less than 2</v>
      </c>
      <c r="T460" t="str">
        <f>IF(Orders[[#This Row],[Frequency Group]]="less than 2", "Low Value", IF(Orders[[#This Row],[Frequency Group]]="between 4 and 2", "Medium Value", "High Value"))</f>
        <v>Low Value</v>
      </c>
      <c r="U460" t="str">
        <f>IF(Orders[[#This Row],[Sales]]&lt;50, "$0-50", IF(AND(Orders[[#This Row],[Sales]]&gt;=50,Orders[[#This Row],[Sales]]&lt;=100), "$50-100", IF(AND(Orders[[#This Row],[Sales]]&gt;100,Orders[[#This Row],[Sales]]&lt;=150), "$101-150", "$150+")))</f>
        <v>$101-150</v>
      </c>
      <c r="V460" t="str">
        <f>IF(Orders[[#This Row],[Sales]]&gt;MEDIAN(M:M), "High Price", "Low Price")</f>
        <v>High Price</v>
      </c>
      <c r="W460" t="str">
        <f>IF(Orders[[#This Row],[Quantity]]&gt;MEDIAN(E:E), "High Volume", "Low Volume")</f>
        <v>Low Volume</v>
      </c>
      <c r="X460" t="str">
        <f>Orders[[#This Row],[Sales Tier]] &amp; "-" &amp; Orders[[#This Row],[Quantity Tier]]</f>
        <v>High Price-Low Volume</v>
      </c>
      <c r="Y460" t="str">
        <f>TEXT(Orders[[#This Row],[Order Date]], "mmmm")</f>
        <v>May</v>
      </c>
      <c r="Z46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60" t="str">
        <f>Orders[[#This Row],[Coffee Type Name]] &amp; "-" &amp; Orders[[#This Row],[Roast Type Name]]</f>
        <v>Arabica-Medium</v>
      </c>
      <c r="AB46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61" spans="1:28" x14ac:dyDescent="0.25">
      <c r="A461" s="2" t="s">
        <v>1373</v>
      </c>
      <c r="B461" s="4">
        <v>44374</v>
      </c>
      <c r="C461" s="2" t="s">
        <v>1374</v>
      </c>
      <c r="D461" t="s">
        <v>6149</v>
      </c>
      <c r="E461" s="2">
        <v>3</v>
      </c>
      <c r="F461" s="2" t="str">
        <f>_xlfn.XLOOKUP(C461,customers!$A$1:$A$1001,customers!$B$1:$B$1001,,0)</f>
        <v>Paulo Yea</v>
      </c>
      <c r="G461" s="2" t="str">
        <f>IF(_xlfn.XLOOKUP(C461,customers!$A$1:$A$1001,customers!$C$1:$C$1001,,0)=0,"",_xlfn.XLOOKUP(C461,customers!$A$1:$A$1001,customers!$C$1:$C$1001,,0))</f>
        <v>pyea4d@aol.com</v>
      </c>
      <c r="H461" s="2" t="str">
        <f>_xlfn.XLOOKUP(C461,customers!$A$1:$A$1001,customers!$G$1:$G$1001,,0)</f>
        <v>Ireland</v>
      </c>
      <c r="I461" t="str">
        <f>INDEX(products!$A$1:$G$49, MATCH(orders!$D159,products!$A$1:$A206,0), MATCH(orders!I$1,products!$A$1:$G$1,0))</f>
        <v>Rob</v>
      </c>
      <c r="J461" t="str">
        <f>INDEX(products!$A$1:$G$49, MATCH(orders!$D159,products!$A$1:$A206,0), MATCH(orders!J$1,products!$A$1:$G$1,0))</f>
        <v>D</v>
      </c>
      <c r="K461" s="5">
        <f>INDEX(products!$A$1:$G$49, MATCH(orders!$D159,products!$A$1:$A206,0), MATCH(orders!K$1,products!$A$1:$G$1,0))</f>
        <v>2.5</v>
      </c>
      <c r="L461" s="6">
        <f>INDEX(products!$A$1:$G$49, MATCH(orders!$D159,products!$A$1:$A206,0), MATCH(orders!L$1,products!$A$1:$G$1,0))</f>
        <v>20.584999999999997</v>
      </c>
      <c r="M461" s="6">
        <f t="shared" si="21"/>
        <v>61.754999999999995</v>
      </c>
      <c r="N461" t="str">
        <f t="shared" si="22"/>
        <v>Robusta</v>
      </c>
      <c r="O461" t="str">
        <f t="shared" si="23"/>
        <v>Dark</v>
      </c>
      <c r="P461" t="str">
        <f>_xlfn.XLOOKUP(Orders[[#This Row],[Customer ID]],customers!$A$1:$A$1001,customers!$I$1:$I$1001,,0)</f>
        <v>No</v>
      </c>
      <c r="Q461">
        <f>COUNTIF(Orders[Order ID],Orders[[#This Row],[Order ID]])</f>
        <v>1</v>
      </c>
      <c r="R461" s="10">
        <f>SUMIF(Orders[Order ID], Orders[[#This Row],[Order ID]],Orders[Sales])/Orders[[#This Row],[Order Frequency]]</f>
        <v>61.754999999999995</v>
      </c>
      <c r="S461" t="str">
        <f>IF(Orders[[#This Row],[Order Frequency]]&gt;4, "More than 4", IF(AND(Orders[[#This Row],[Order Frequency]]&lt;=4,Orders[[#This Row],[Order Frequency]]&gt;=2), "Between 4 and 2", "Less than 2"))</f>
        <v>Less than 2</v>
      </c>
      <c r="T461" t="str">
        <f>IF(Orders[[#This Row],[Frequency Group]]="less than 2", "Low Value", IF(Orders[[#This Row],[Frequency Group]]="between 4 and 2", "Medium Value", "High Value"))</f>
        <v>Low Value</v>
      </c>
      <c r="U461" t="str">
        <f>IF(Orders[[#This Row],[Sales]]&lt;50, "$0-50", IF(AND(Orders[[#This Row],[Sales]]&gt;=50,Orders[[#This Row],[Sales]]&lt;=100), "$50-100", IF(AND(Orders[[#This Row],[Sales]]&gt;100,Orders[[#This Row],[Sales]]&lt;=150), "$101-150", "$150+")))</f>
        <v>$50-100</v>
      </c>
      <c r="V461" t="str">
        <f>IF(Orders[[#This Row],[Sales]]&gt;MEDIAN(M:M), "High Price", "Low Price")</f>
        <v>High Price</v>
      </c>
      <c r="W461" t="str">
        <f>IF(Orders[[#This Row],[Quantity]]&gt;MEDIAN(E:E), "High Volume", "Low Volume")</f>
        <v>Low Volume</v>
      </c>
      <c r="X461" t="str">
        <f>Orders[[#This Row],[Sales Tier]] &amp; "-" &amp; Orders[[#This Row],[Quantity Tier]]</f>
        <v>High Price-Low Volume</v>
      </c>
      <c r="Y461" t="str">
        <f>TEXT(Orders[[#This Row],[Order Date]], "mmmm")</f>
        <v>June</v>
      </c>
      <c r="Z46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61" t="str">
        <f>Orders[[#This Row],[Coffee Type Name]] &amp; "-" &amp; Orders[[#This Row],[Roast Type Name]]</f>
        <v>Robusta-Dark</v>
      </c>
      <c r="AB46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462" spans="1:28" x14ac:dyDescent="0.25">
      <c r="A462" s="2" t="s">
        <v>5632</v>
      </c>
      <c r="B462" s="4">
        <v>44635</v>
      </c>
      <c r="C462" s="2" t="s">
        <v>5633</v>
      </c>
      <c r="D462" t="s">
        <v>6178</v>
      </c>
      <c r="E462" s="2">
        <v>3</v>
      </c>
      <c r="F462" s="2" t="str">
        <f>_xlfn.XLOOKUP(C462,customers!$A$1:$A$1001,customers!$B$1:$B$1001,,0)</f>
        <v>Bobbe Renner</v>
      </c>
      <c r="G462" s="2" t="str">
        <f>IF(_xlfn.XLOOKUP(C462,customers!$A$1:$A$1001,customers!$C$1:$C$1001,,0)=0,"",_xlfn.XLOOKUP(C462,customers!$A$1:$A$1001,customers!$C$1:$C$1001,,0))</f>
        <v/>
      </c>
      <c r="H462" s="2" t="str">
        <f>_xlfn.XLOOKUP(C462,customers!$A$1:$A$1001,customers!$G$1:$G$1001,,0)</f>
        <v>United States</v>
      </c>
      <c r="I462" t="str">
        <f>INDEX(products!$A$1:$G$49, MATCH(orders!$D911,products!$A$1:$A958,0), MATCH(orders!I$1,products!$A$1:$G$1,0))</f>
        <v>Rob</v>
      </c>
      <c r="J462" t="str">
        <f>INDEX(products!$A$1:$G$49, MATCH(orders!$D911,products!$A$1:$A958,0), MATCH(orders!J$1,products!$A$1:$G$1,0))</f>
        <v>L</v>
      </c>
      <c r="K462" s="5">
        <f>INDEX(products!$A$1:$G$49, MATCH(orders!$D911,products!$A$1:$A958,0), MATCH(orders!K$1,products!$A$1:$G$1,0))</f>
        <v>0.2</v>
      </c>
      <c r="L462" s="6">
        <f>INDEX(products!$A$1:$G$49, MATCH(orders!$D911,products!$A$1:$A958,0), MATCH(orders!L$1,products!$A$1:$G$1,0))</f>
        <v>3.5849999999999995</v>
      </c>
      <c r="M462" s="6">
        <f t="shared" si="21"/>
        <v>10.754999999999999</v>
      </c>
      <c r="N462" t="str">
        <f t="shared" si="22"/>
        <v>Robusta</v>
      </c>
      <c r="O462" t="str">
        <f t="shared" si="23"/>
        <v>Light</v>
      </c>
      <c r="P462" t="str">
        <f>_xlfn.XLOOKUP(Orders[[#This Row],[Customer ID]],customers!$A$1:$A$1001,customers!$I$1:$I$1001,,0)</f>
        <v>No</v>
      </c>
      <c r="Q462">
        <f>COUNTIF(Orders[Order ID],Orders[[#This Row],[Order ID]])</f>
        <v>1</v>
      </c>
      <c r="R462" s="10">
        <f>SUMIF(Orders[Order ID], Orders[[#This Row],[Order ID]],Orders[Sales])/Orders[[#This Row],[Order Frequency]]</f>
        <v>10.754999999999999</v>
      </c>
      <c r="S462" t="str">
        <f>IF(Orders[[#This Row],[Order Frequency]]&gt;4, "More than 4", IF(AND(Orders[[#This Row],[Order Frequency]]&lt;=4,Orders[[#This Row],[Order Frequency]]&gt;=2), "Between 4 and 2", "Less than 2"))</f>
        <v>Less than 2</v>
      </c>
      <c r="T462" t="str">
        <f>IF(Orders[[#This Row],[Frequency Group]]="less than 2", "Low Value", IF(Orders[[#This Row],[Frequency Group]]="between 4 and 2", "Medium Value", "High Value"))</f>
        <v>Low Value</v>
      </c>
      <c r="U462" t="str">
        <f>IF(Orders[[#This Row],[Sales]]&lt;50, "$0-50", IF(AND(Orders[[#This Row],[Sales]]&gt;=50,Orders[[#This Row],[Sales]]&lt;=100), "$50-100", IF(AND(Orders[[#This Row],[Sales]]&gt;100,Orders[[#This Row],[Sales]]&lt;=150), "$101-150", "$150+")))</f>
        <v>$0-50</v>
      </c>
      <c r="V462" t="str">
        <f>IF(Orders[[#This Row],[Sales]]&gt;MEDIAN(M:M), "High Price", "Low Price")</f>
        <v>Low Price</v>
      </c>
      <c r="W462" t="str">
        <f>IF(Orders[[#This Row],[Quantity]]&gt;MEDIAN(E:E), "High Volume", "Low Volume")</f>
        <v>Low Volume</v>
      </c>
      <c r="X462" t="str">
        <f>Orders[[#This Row],[Sales Tier]] &amp; "-" &amp; Orders[[#This Row],[Quantity Tier]]</f>
        <v>Low Price-Low Volume</v>
      </c>
      <c r="Y462" t="str">
        <f>TEXT(Orders[[#This Row],[Order Date]], "mmmm")</f>
        <v>March</v>
      </c>
      <c r="Z46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462" t="str">
        <f>Orders[[#This Row],[Coffee Type Name]] &amp; "-" &amp; Orders[[#This Row],[Roast Type Name]]</f>
        <v>Robusta-Light</v>
      </c>
      <c r="AB46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63" spans="1:28" x14ac:dyDescent="0.25">
      <c r="A463" s="2" t="s">
        <v>3617</v>
      </c>
      <c r="B463" s="4">
        <v>44085</v>
      </c>
      <c r="C463" s="2" t="s">
        <v>3618</v>
      </c>
      <c r="D463" t="s">
        <v>6141</v>
      </c>
      <c r="E463" s="2">
        <v>5</v>
      </c>
      <c r="F463" s="2" t="str">
        <f>_xlfn.XLOOKUP(C463,customers!$A$1:$A$1001,customers!$B$1:$B$1001,,0)</f>
        <v>Vasily Polglase</v>
      </c>
      <c r="G463" s="2" t="str">
        <f>IF(_xlfn.XLOOKUP(C463,customers!$A$1:$A$1001,customers!$C$1:$C$1001,,0)=0,"",_xlfn.XLOOKUP(C463,customers!$A$1:$A$1001,customers!$C$1:$C$1001,,0))</f>
        <v>vpolglasefd@about.me</v>
      </c>
      <c r="H463" s="2" t="str">
        <f>_xlfn.XLOOKUP(C463,customers!$A$1:$A$1001,customers!$G$1:$G$1001,,0)</f>
        <v>United States</v>
      </c>
      <c r="I463" t="str">
        <f>INDEX(products!$A$1:$G$49, MATCH(orders!$D555,products!$A$1:$A602,0), MATCH(orders!I$1,products!$A$1:$G$1,0))</f>
        <v>Exc</v>
      </c>
      <c r="J463" t="str">
        <f>INDEX(products!$A$1:$G$49, MATCH(orders!$D555,products!$A$1:$A602,0), MATCH(orders!J$1,products!$A$1:$G$1,0))</f>
        <v>M</v>
      </c>
      <c r="K463" s="5">
        <f>INDEX(products!$A$1:$G$49, MATCH(orders!$D555,products!$A$1:$A602,0), MATCH(orders!K$1,products!$A$1:$G$1,0))</f>
        <v>1</v>
      </c>
      <c r="L463" s="6">
        <f>INDEX(products!$A$1:$G$49, MATCH(orders!$D555,products!$A$1:$A602,0), MATCH(orders!L$1,products!$A$1:$G$1,0))</f>
        <v>13.75</v>
      </c>
      <c r="M463" s="6">
        <f t="shared" si="21"/>
        <v>68.75</v>
      </c>
      <c r="N463" t="str">
        <f t="shared" si="22"/>
        <v>Excelsa</v>
      </c>
      <c r="O463" t="str">
        <f t="shared" si="23"/>
        <v>Medium</v>
      </c>
      <c r="P463" t="str">
        <f>_xlfn.XLOOKUP(Orders[[#This Row],[Customer ID]],customers!$A$1:$A$1001,customers!$I$1:$I$1001,,0)</f>
        <v>No</v>
      </c>
      <c r="Q463">
        <f>COUNTIF(Orders[Order ID],Orders[[#This Row],[Order ID]])</f>
        <v>1</v>
      </c>
      <c r="R463" s="10">
        <f>SUMIF(Orders[Order ID], Orders[[#This Row],[Order ID]],Orders[Sales])/Orders[[#This Row],[Order Frequency]]</f>
        <v>68.75</v>
      </c>
      <c r="S463" t="str">
        <f>IF(Orders[[#This Row],[Order Frequency]]&gt;4, "More than 4", IF(AND(Orders[[#This Row],[Order Frequency]]&lt;=4,Orders[[#This Row],[Order Frequency]]&gt;=2), "Between 4 and 2", "Less than 2"))</f>
        <v>Less than 2</v>
      </c>
      <c r="T463" t="str">
        <f>IF(Orders[[#This Row],[Frequency Group]]="less than 2", "Low Value", IF(Orders[[#This Row],[Frequency Group]]="between 4 and 2", "Medium Value", "High Value"))</f>
        <v>Low Value</v>
      </c>
      <c r="U463" t="str">
        <f>IF(Orders[[#This Row],[Sales]]&lt;50, "$0-50", IF(AND(Orders[[#This Row],[Sales]]&gt;=50,Orders[[#This Row],[Sales]]&lt;=100), "$50-100", IF(AND(Orders[[#This Row],[Sales]]&gt;100,Orders[[#This Row],[Sales]]&lt;=150), "$101-150", "$150+")))</f>
        <v>$50-100</v>
      </c>
      <c r="V463" t="str">
        <f>IF(Orders[[#This Row],[Sales]]&gt;MEDIAN(M:M), "High Price", "Low Price")</f>
        <v>High Price</v>
      </c>
      <c r="W463" t="str">
        <f>IF(Orders[[#This Row],[Quantity]]&gt;MEDIAN(E:E), "High Volume", "Low Volume")</f>
        <v>High Volume</v>
      </c>
      <c r="X463" t="str">
        <f>Orders[[#This Row],[Sales Tier]] &amp; "-" &amp; Orders[[#This Row],[Quantity Tier]]</f>
        <v>High Price-High Volume</v>
      </c>
      <c r="Y463" t="str">
        <f>TEXT(Orders[[#This Row],[Order Date]], "mmmm")</f>
        <v>September</v>
      </c>
      <c r="Z46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463" t="str">
        <f>Orders[[#This Row],[Coffee Type Name]] &amp; "-" &amp; Orders[[#This Row],[Roast Type Name]]</f>
        <v>Excelsa-Medium</v>
      </c>
      <c r="AB46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464" spans="1:28" x14ac:dyDescent="0.25">
      <c r="A464" s="2" t="s">
        <v>3812</v>
      </c>
      <c r="B464" s="4">
        <v>44046</v>
      </c>
      <c r="C464" s="2" t="s">
        <v>3813</v>
      </c>
      <c r="D464" t="s">
        <v>6146</v>
      </c>
      <c r="E464" s="2">
        <v>2</v>
      </c>
      <c r="F464" s="2" t="str">
        <f>_xlfn.XLOOKUP(C464,customers!$A$1:$A$1001,customers!$B$1:$B$1001,,0)</f>
        <v>Valenka Stansbury</v>
      </c>
      <c r="G464" s="2" t="str">
        <f>IF(_xlfn.XLOOKUP(C464,customers!$A$1:$A$1001,customers!$C$1:$C$1001,,0)=0,"",_xlfn.XLOOKUP(C464,customers!$A$1:$A$1001,customers!$C$1:$C$1001,,0))</f>
        <v>vstansburygc@unblog.fr</v>
      </c>
      <c r="H464" s="2" t="str">
        <f>_xlfn.XLOOKUP(C464,customers!$A$1:$A$1001,customers!$G$1:$G$1001,,0)</f>
        <v>United States</v>
      </c>
      <c r="I464" t="str">
        <f>INDEX(products!$A$1:$G$49, MATCH(orders!$D590,products!$A$1:$A637,0), MATCH(orders!I$1,products!$A$1:$G$1,0))</f>
        <v>Rob</v>
      </c>
      <c r="J464" t="str">
        <f>INDEX(products!$A$1:$G$49, MATCH(orders!$D590,products!$A$1:$A637,0), MATCH(orders!J$1,products!$A$1:$G$1,0))</f>
        <v>M</v>
      </c>
      <c r="K464" s="5">
        <f>INDEX(products!$A$1:$G$49, MATCH(orders!$D590,products!$A$1:$A637,0), MATCH(orders!K$1,products!$A$1:$G$1,0))</f>
        <v>0.5</v>
      </c>
      <c r="L464" s="6">
        <f>INDEX(products!$A$1:$G$49, MATCH(orders!$D590,products!$A$1:$A637,0), MATCH(orders!L$1,products!$A$1:$G$1,0))</f>
        <v>5.97</v>
      </c>
      <c r="M464" s="6">
        <f t="shared" si="21"/>
        <v>11.94</v>
      </c>
      <c r="N464" t="str">
        <f t="shared" si="22"/>
        <v>Robusta</v>
      </c>
      <c r="O464" t="str">
        <f t="shared" si="23"/>
        <v>Medium</v>
      </c>
      <c r="P464" t="str">
        <f>_xlfn.XLOOKUP(Orders[[#This Row],[Customer ID]],customers!$A$1:$A$1001,customers!$I$1:$I$1001,,0)</f>
        <v>Yes</v>
      </c>
      <c r="Q464">
        <f>COUNTIF(Orders[Order ID],Orders[[#This Row],[Order ID]])</f>
        <v>1</v>
      </c>
      <c r="R464" s="10">
        <f>SUMIF(Orders[Order ID], Orders[[#This Row],[Order ID]],Orders[Sales])/Orders[[#This Row],[Order Frequency]]</f>
        <v>11.94</v>
      </c>
      <c r="S464" t="str">
        <f>IF(Orders[[#This Row],[Order Frequency]]&gt;4, "More than 4", IF(AND(Orders[[#This Row],[Order Frequency]]&lt;=4,Orders[[#This Row],[Order Frequency]]&gt;=2), "Between 4 and 2", "Less than 2"))</f>
        <v>Less than 2</v>
      </c>
      <c r="T464" t="str">
        <f>IF(Orders[[#This Row],[Frequency Group]]="less than 2", "Low Value", IF(Orders[[#This Row],[Frequency Group]]="between 4 and 2", "Medium Value", "High Value"))</f>
        <v>Low Value</v>
      </c>
      <c r="U464" t="str">
        <f>IF(Orders[[#This Row],[Sales]]&lt;50, "$0-50", IF(AND(Orders[[#This Row],[Sales]]&gt;=50,Orders[[#This Row],[Sales]]&lt;=100), "$50-100", IF(AND(Orders[[#This Row],[Sales]]&gt;100,Orders[[#This Row],[Sales]]&lt;=150), "$101-150", "$150+")))</f>
        <v>$0-50</v>
      </c>
      <c r="V464" t="str">
        <f>IF(Orders[[#This Row],[Sales]]&gt;MEDIAN(M:M), "High Price", "Low Price")</f>
        <v>Low Price</v>
      </c>
      <c r="W464" t="str">
        <f>IF(Orders[[#This Row],[Quantity]]&gt;MEDIAN(E:E), "High Volume", "Low Volume")</f>
        <v>Low Volume</v>
      </c>
      <c r="X464" t="str">
        <f>Orders[[#This Row],[Sales Tier]] &amp; "-" &amp; Orders[[#This Row],[Quantity Tier]]</f>
        <v>Low Price-Low Volume</v>
      </c>
      <c r="Y464" t="str">
        <f>TEXT(Orders[[#This Row],[Order Date]], "mmmm")</f>
        <v>August</v>
      </c>
      <c r="Z46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464" t="str">
        <f>Orders[[#This Row],[Coffee Type Name]] &amp; "-" &amp; Orders[[#This Row],[Roast Type Name]]</f>
        <v>Robusta-Medium</v>
      </c>
      <c r="AB46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465" spans="1:28" x14ac:dyDescent="0.25">
      <c r="A465" s="2" t="s">
        <v>1146</v>
      </c>
      <c r="B465" s="4">
        <v>44656</v>
      </c>
      <c r="C465" s="2" t="s">
        <v>1147</v>
      </c>
      <c r="D465" t="s">
        <v>6161</v>
      </c>
      <c r="E465" s="2">
        <v>4</v>
      </c>
      <c r="F465" s="2" t="str">
        <f>_xlfn.XLOOKUP(C465,customers!$A$1:$A$1001,customers!$B$1:$B$1001,,0)</f>
        <v>Brook Drage</v>
      </c>
      <c r="G465" s="2" t="str">
        <f>IF(_xlfn.XLOOKUP(C465,customers!$A$1:$A$1001,customers!$C$1:$C$1001,,0)=0,"",_xlfn.XLOOKUP(C465,customers!$A$1:$A$1001,customers!$C$1:$C$1001,,0))</f>
        <v>bdrage39@youku.com</v>
      </c>
      <c r="H465" s="2" t="str">
        <f>_xlfn.XLOOKUP(C465,customers!$A$1:$A$1001,customers!$G$1:$G$1001,,0)</f>
        <v>United States</v>
      </c>
      <c r="I465" t="str">
        <f>INDEX(products!$A$1:$G$49, MATCH(orders!$D119,products!$A$1:$A166,0), MATCH(orders!I$1,products!$A$1:$G$1,0))</f>
        <v>Lib</v>
      </c>
      <c r="J465" t="str">
        <f>INDEX(products!$A$1:$G$49, MATCH(orders!$D119,products!$A$1:$A166,0), MATCH(orders!J$1,products!$A$1:$G$1,0))</f>
        <v>L</v>
      </c>
      <c r="K465" s="5">
        <f>INDEX(products!$A$1:$G$49, MATCH(orders!$D119,products!$A$1:$A166,0), MATCH(orders!K$1,products!$A$1:$G$1,0))</f>
        <v>0.5</v>
      </c>
      <c r="L465" s="6">
        <f>INDEX(products!$A$1:$G$49, MATCH(orders!$D119,products!$A$1:$A166,0), MATCH(orders!L$1,products!$A$1:$G$1,0))</f>
        <v>9.51</v>
      </c>
      <c r="M465" s="6">
        <f t="shared" si="21"/>
        <v>38.04</v>
      </c>
      <c r="N465" t="str">
        <f t="shared" si="22"/>
        <v>Liberica</v>
      </c>
      <c r="O465" t="str">
        <f t="shared" si="23"/>
        <v>Light</v>
      </c>
      <c r="P465" t="str">
        <f>_xlfn.XLOOKUP(Orders[[#This Row],[Customer ID]],customers!$A$1:$A$1001,customers!$I$1:$I$1001,,0)</f>
        <v>No</v>
      </c>
      <c r="Q465">
        <f>COUNTIF(Orders[Order ID],Orders[[#This Row],[Order ID]])</f>
        <v>1</v>
      </c>
      <c r="R465" s="10">
        <f>SUMIF(Orders[Order ID], Orders[[#This Row],[Order ID]],Orders[Sales])/Orders[[#This Row],[Order Frequency]]</f>
        <v>38.04</v>
      </c>
      <c r="S465" t="str">
        <f>IF(Orders[[#This Row],[Order Frequency]]&gt;4, "More than 4", IF(AND(Orders[[#This Row],[Order Frequency]]&lt;=4,Orders[[#This Row],[Order Frequency]]&gt;=2), "Between 4 and 2", "Less than 2"))</f>
        <v>Less than 2</v>
      </c>
      <c r="T465" t="str">
        <f>IF(Orders[[#This Row],[Frequency Group]]="less than 2", "Low Value", IF(Orders[[#This Row],[Frequency Group]]="between 4 and 2", "Medium Value", "High Value"))</f>
        <v>Low Value</v>
      </c>
      <c r="U465" t="str">
        <f>IF(Orders[[#This Row],[Sales]]&lt;50, "$0-50", IF(AND(Orders[[#This Row],[Sales]]&gt;=50,Orders[[#This Row],[Sales]]&lt;=100), "$50-100", IF(AND(Orders[[#This Row],[Sales]]&gt;100,Orders[[#This Row],[Sales]]&lt;=150), "$101-150", "$150+")))</f>
        <v>$0-50</v>
      </c>
      <c r="V465" t="str">
        <f>IF(Orders[[#This Row],[Sales]]&gt;MEDIAN(M:M), "High Price", "Low Price")</f>
        <v>High Price</v>
      </c>
      <c r="W465" t="str">
        <f>IF(Orders[[#This Row],[Quantity]]&gt;MEDIAN(E:E), "High Volume", "Low Volume")</f>
        <v>Low Volume</v>
      </c>
      <c r="X465" t="str">
        <f>Orders[[#This Row],[Sales Tier]] &amp; "-" &amp; Orders[[#This Row],[Quantity Tier]]</f>
        <v>High Price-Low Volume</v>
      </c>
      <c r="Y465" t="str">
        <f>TEXT(Orders[[#This Row],[Order Date]], "mmmm")</f>
        <v>April</v>
      </c>
      <c r="Z46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65" t="str">
        <f>Orders[[#This Row],[Coffee Type Name]] &amp; "-" &amp; Orders[[#This Row],[Roast Type Name]]</f>
        <v>Liberica-Light</v>
      </c>
      <c r="AB46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66" spans="1:28" x14ac:dyDescent="0.25">
      <c r="A466" s="2" t="s">
        <v>5056</v>
      </c>
      <c r="B466" s="4">
        <v>43868</v>
      </c>
      <c r="C466" s="2" t="s">
        <v>5113</v>
      </c>
      <c r="D466" t="s">
        <v>6142</v>
      </c>
      <c r="E466" s="2">
        <v>5</v>
      </c>
      <c r="F466" s="2" t="str">
        <f>_xlfn.XLOOKUP(C466,customers!$A$1:$A$1001,customers!$B$1:$B$1001,,0)</f>
        <v>Allis Wilmore</v>
      </c>
      <c r="G466" s="2" t="str">
        <f>IF(_xlfn.XLOOKUP(C466,customers!$A$1:$A$1001,customers!$C$1:$C$1001,,0)=0,"",_xlfn.XLOOKUP(C466,customers!$A$1:$A$1001,customers!$C$1:$C$1001,,0))</f>
        <v/>
      </c>
      <c r="H466" s="2" t="str">
        <f>_xlfn.XLOOKUP(C466,customers!$A$1:$A$1001,customers!$G$1:$G$1001,,0)</f>
        <v>United States</v>
      </c>
      <c r="I466" t="str">
        <f>INDEX(products!$A$1:$G$49, MATCH(orders!$D810,products!$A$1:$A857,0), MATCH(orders!I$1,products!$A$1:$G$1,0))</f>
        <v>Rob</v>
      </c>
      <c r="J466" t="str">
        <f>INDEX(products!$A$1:$G$49, MATCH(orders!$D810,products!$A$1:$A857,0), MATCH(orders!J$1,products!$A$1:$G$1,0))</f>
        <v>L</v>
      </c>
      <c r="K466" s="5">
        <f>INDEX(products!$A$1:$G$49, MATCH(orders!$D810,products!$A$1:$A857,0), MATCH(orders!K$1,products!$A$1:$G$1,0))</f>
        <v>2.5</v>
      </c>
      <c r="L466" s="6">
        <f>INDEX(products!$A$1:$G$49, MATCH(orders!$D810,products!$A$1:$A857,0), MATCH(orders!L$1,products!$A$1:$G$1,0))</f>
        <v>27.484999999999996</v>
      </c>
      <c r="M466" s="6">
        <f t="shared" si="21"/>
        <v>137.42499999999998</v>
      </c>
      <c r="N466" t="str">
        <f t="shared" si="22"/>
        <v>Robusta</v>
      </c>
      <c r="O466" t="str">
        <f t="shared" si="23"/>
        <v>Light</v>
      </c>
      <c r="P466" t="str">
        <f>_xlfn.XLOOKUP(Orders[[#This Row],[Customer ID]],customers!$A$1:$A$1001,customers!$I$1:$I$1001,,0)</f>
        <v>No</v>
      </c>
      <c r="Q466">
        <f>COUNTIF(Orders[Order ID],Orders[[#This Row],[Order ID]])</f>
        <v>1</v>
      </c>
      <c r="R466" s="10">
        <f>SUMIF(Orders[Order ID], Orders[[#This Row],[Order ID]],Orders[Sales])/Orders[[#This Row],[Order Frequency]]</f>
        <v>137.42499999999998</v>
      </c>
      <c r="S466" t="str">
        <f>IF(Orders[[#This Row],[Order Frequency]]&gt;4, "More than 4", IF(AND(Orders[[#This Row],[Order Frequency]]&lt;=4,Orders[[#This Row],[Order Frequency]]&gt;=2), "Between 4 and 2", "Less than 2"))</f>
        <v>Less than 2</v>
      </c>
      <c r="T466" t="str">
        <f>IF(Orders[[#This Row],[Frequency Group]]="less than 2", "Low Value", IF(Orders[[#This Row],[Frequency Group]]="between 4 and 2", "Medium Value", "High Value"))</f>
        <v>Low Value</v>
      </c>
      <c r="U466" t="str">
        <f>IF(Orders[[#This Row],[Sales]]&lt;50, "$0-50", IF(AND(Orders[[#This Row],[Sales]]&gt;=50,Orders[[#This Row],[Sales]]&lt;=100), "$50-100", IF(AND(Orders[[#This Row],[Sales]]&gt;100,Orders[[#This Row],[Sales]]&lt;=150), "$101-150", "$150+")))</f>
        <v>$101-150</v>
      </c>
      <c r="V466" t="str">
        <f>IF(Orders[[#This Row],[Sales]]&gt;MEDIAN(M:M), "High Price", "Low Price")</f>
        <v>High Price</v>
      </c>
      <c r="W466" t="str">
        <f>IF(Orders[[#This Row],[Quantity]]&gt;MEDIAN(E:E), "High Volume", "Low Volume")</f>
        <v>High Volume</v>
      </c>
      <c r="X466" t="str">
        <f>Orders[[#This Row],[Sales Tier]] &amp; "-" &amp; Orders[[#This Row],[Quantity Tier]]</f>
        <v>High Price-High Volume</v>
      </c>
      <c r="Y466" t="str">
        <f>TEXT(Orders[[#This Row],[Order Date]], "mmmm")</f>
        <v>February</v>
      </c>
      <c r="Z46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466" t="str">
        <f>Orders[[#This Row],[Coffee Type Name]] &amp; "-" &amp; Orders[[#This Row],[Roast Type Name]]</f>
        <v>Robusta-Light</v>
      </c>
      <c r="AB46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467" spans="1:28" x14ac:dyDescent="0.25">
      <c r="A467" s="2" t="s">
        <v>4399</v>
      </c>
      <c r="B467" s="4">
        <v>43720</v>
      </c>
      <c r="C467" s="2" t="s">
        <v>4400</v>
      </c>
      <c r="D467" t="s">
        <v>6143</v>
      </c>
      <c r="E467" s="2">
        <v>1</v>
      </c>
      <c r="F467" s="2" t="str">
        <f>_xlfn.XLOOKUP(C467,customers!$A$1:$A$1001,customers!$B$1:$B$1001,,0)</f>
        <v>Ambrosio Weinmann</v>
      </c>
      <c r="G467" s="2" t="str">
        <f>IF(_xlfn.XLOOKUP(C467,customers!$A$1:$A$1001,customers!$C$1:$C$1001,,0)=0,"",_xlfn.XLOOKUP(C467,customers!$A$1:$A$1001,customers!$C$1:$C$1001,,0))</f>
        <v>aweinmannj8@shinystat.com</v>
      </c>
      <c r="H467" s="2" t="str">
        <f>_xlfn.XLOOKUP(C467,customers!$A$1:$A$1001,customers!$G$1:$G$1001,,0)</f>
        <v>United States</v>
      </c>
      <c r="I467" t="str">
        <f>INDEX(products!$A$1:$G$49, MATCH(orders!$D694,products!$A$1:$A741,0), MATCH(orders!I$1,products!$A$1:$G$1,0))</f>
        <v>Lib</v>
      </c>
      <c r="J467" t="str">
        <f>INDEX(products!$A$1:$G$49, MATCH(orders!$D694,products!$A$1:$A741,0), MATCH(orders!J$1,products!$A$1:$G$1,0))</f>
        <v>D</v>
      </c>
      <c r="K467" s="5">
        <f>INDEX(products!$A$1:$G$49, MATCH(orders!$D694,products!$A$1:$A741,0), MATCH(orders!K$1,products!$A$1:$G$1,0))</f>
        <v>1</v>
      </c>
      <c r="L467" s="6">
        <f>INDEX(products!$A$1:$G$49, MATCH(orders!$D694,products!$A$1:$A741,0), MATCH(orders!L$1,products!$A$1:$G$1,0))</f>
        <v>12.95</v>
      </c>
      <c r="M467" s="6">
        <f t="shared" si="21"/>
        <v>12.95</v>
      </c>
      <c r="N467" t="str">
        <f t="shared" si="22"/>
        <v>Liberica</v>
      </c>
      <c r="O467" t="str">
        <f t="shared" si="23"/>
        <v>Dark</v>
      </c>
      <c r="P467" t="str">
        <f>_xlfn.XLOOKUP(Orders[[#This Row],[Customer ID]],customers!$A$1:$A$1001,customers!$I$1:$I$1001,,0)</f>
        <v>No</v>
      </c>
      <c r="Q467">
        <f>COUNTIF(Orders[Order ID],Orders[[#This Row],[Order ID]])</f>
        <v>1</v>
      </c>
      <c r="R467" s="10">
        <f>SUMIF(Orders[Order ID], Orders[[#This Row],[Order ID]],Orders[Sales])/Orders[[#This Row],[Order Frequency]]</f>
        <v>12.95</v>
      </c>
      <c r="S467" t="str">
        <f>IF(Orders[[#This Row],[Order Frequency]]&gt;4, "More than 4", IF(AND(Orders[[#This Row],[Order Frequency]]&lt;=4,Orders[[#This Row],[Order Frequency]]&gt;=2), "Between 4 and 2", "Less than 2"))</f>
        <v>Less than 2</v>
      </c>
      <c r="T467" t="str">
        <f>IF(Orders[[#This Row],[Frequency Group]]="less than 2", "Low Value", IF(Orders[[#This Row],[Frequency Group]]="between 4 and 2", "Medium Value", "High Value"))</f>
        <v>Low Value</v>
      </c>
      <c r="U467" t="str">
        <f>IF(Orders[[#This Row],[Sales]]&lt;50, "$0-50", IF(AND(Orders[[#This Row],[Sales]]&gt;=50,Orders[[#This Row],[Sales]]&lt;=100), "$50-100", IF(AND(Orders[[#This Row],[Sales]]&gt;100,Orders[[#This Row],[Sales]]&lt;=150), "$101-150", "$150+")))</f>
        <v>$0-50</v>
      </c>
      <c r="V467" t="str">
        <f>IF(Orders[[#This Row],[Sales]]&gt;MEDIAN(M:M), "High Price", "Low Price")</f>
        <v>Low Price</v>
      </c>
      <c r="W467" t="str">
        <f>IF(Orders[[#This Row],[Quantity]]&gt;MEDIAN(E:E), "High Volume", "Low Volume")</f>
        <v>Low Volume</v>
      </c>
      <c r="X467" t="str">
        <f>Orders[[#This Row],[Sales Tier]] &amp; "-" &amp; Orders[[#This Row],[Quantity Tier]]</f>
        <v>Low Price-Low Volume</v>
      </c>
      <c r="Y467" t="str">
        <f>TEXT(Orders[[#This Row],[Order Date]], "mmmm")</f>
        <v>September</v>
      </c>
      <c r="Z46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467" t="str">
        <f>Orders[[#This Row],[Coffee Type Name]] &amp; "-" &amp; Orders[[#This Row],[Roast Type Name]]</f>
        <v>Liberica-Dark</v>
      </c>
      <c r="AB46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468" spans="1:28" x14ac:dyDescent="0.25">
      <c r="A468" s="2" t="s">
        <v>3230</v>
      </c>
      <c r="B468" s="4">
        <v>44413</v>
      </c>
      <c r="C468" s="2" t="s">
        <v>3231</v>
      </c>
      <c r="D468" t="s">
        <v>6178</v>
      </c>
      <c r="E468" s="2">
        <v>6</v>
      </c>
      <c r="F468" s="2" t="str">
        <f>_xlfn.XLOOKUP(C468,customers!$A$1:$A$1001,customers!$B$1:$B$1001,,0)</f>
        <v>Morna Hansed</v>
      </c>
      <c r="G468" s="2" t="str">
        <f>IF(_xlfn.XLOOKUP(C468,customers!$A$1:$A$1001,customers!$C$1:$C$1001,,0)=0,"",_xlfn.XLOOKUP(C468,customers!$A$1:$A$1001,customers!$C$1:$C$1001,,0))</f>
        <v>mhanseddh@instagram.com</v>
      </c>
      <c r="H468" s="2" t="str">
        <f>_xlfn.XLOOKUP(C468,customers!$A$1:$A$1001,customers!$G$1:$G$1001,,0)</f>
        <v>Ireland</v>
      </c>
      <c r="I468" t="str">
        <f>INDEX(products!$A$1:$G$49, MATCH(orders!$D487,products!$A$1:$A534,0), MATCH(orders!I$1,products!$A$1:$G$1,0))</f>
        <v>Rob</v>
      </c>
      <c r="J468" t="str">
        <f>INDEX(products!$A$1:$G$49, MATCH(orders!$D487,products!$A$1:$A534,0), MATCH(orders!J$1,products!$A$1:$G$1,0))</f>
        <v>L</v>
      </c>
      <c r="K468" s="5">
        <f>INDEX(products!$A$1:$G$49, MATCH(orders!$D487,products!$A$1:$A534,0), MATCH(orders!K$1,products!$A$1:$G$1,0))</f>
        <v>0.2</v>
      </c>
      <c r="L468" s="6">
        <f>INDEX(products!$A$1:$G$49, MATCH(orders!$D487,products!$A$1:$A534,0), MATCH(orders!L$1,products!$A$1:$G$1,0))</f>
        <v>3.5849999999999995</v>
      </c>
      <c r="M468" s="6">
        <f t="shared" si="21"/>
        <v>21.509999999999998</v>
      </c>
      <c r="N468" t="str">
        <f t="shared" si="22"/>
        <v>Robusta</v>
      </c>
      <c r="O468" t="str">
        <f t="shared" si="23"/>
        <v>Light</v>
      </c>
      <c r="P468" t="str">
        <f>_xlfn.XLOOKUP(Orders[[#This Row],[Customer ID]],customers!$A$1:$A$1001,customers!$I$1:$I$1001,,0)</f>
        <v>Yes</v>
      </c>
      <c r="Q468">
        <f>COUNTIF(Orders[Order ID],Orders[[#This Row],[Order ID]])</f>
        <v>1</v>
      </c>
      <c r="R468" s="10">
        <f>SUMIF(Orders[Order ID], Orders[[#This Row],[Order ID]],Orders[Sales])/Orders[[#This Row],[Order Frequency]]</f>
        <v>21.509999999999998</v>
      </c>
      <c r="S468" t="str">
        <f>IF(Orders[[#This Row],[Order Frequency]]&gt;4, "More than 4", IF(AND(Orders[[#This Row],[Order Frequency]]&lt;=4,Orders[[#This Row],[Order Frequency]]&gt;=2), "Between 4 and 2", "Less than 2"))</f>
        <v>Less than 2</v>
      </c>
      <c r="T468" t="str">
        <f>IF(Orders[[#This Row],[Frequency Group]]="less than 2", "Low Value", IF(Orders[[#This Row],[Frequency Group]]="between 4 and 2", "Medium Value", "High Value"))</f>
        <v>Low Value</v>
      </c>
      <c r="U468" t="str">
        <f>IF(Orders[[#This Row],[Sales]]&lt;50, "$0-50", IF(AND(Orders[[#This Row],[Sales]]&gt;=50,Orders[[#This Row],[Sales]]&lt;=100), "$50-100", IF(AND(Orders[[#This Row],[Sales]]&gt;100,Orders[[#This Row],[Sales]]&lt;=150), "$101-150", "$150+")))</f>
        <v>$0-50</v>
      </c>
      <c r="V468" t="str">
        <f>IF(Orders[[#This Row],[Sales]]&gt;MEDIAN(M:M), "High Price", "Low Price")</f>
        <v>Low Price</v>
      </c>
      <c r="W468" t="str">
        <f>IF(Orders[[#This Row],[Quantity]]&gt;MEDIAN(E:E), "High Volume", "Low Volume")</f>
        <v>High Volume</v>
      </c>
      <c r="X468" t="str">
        <f>Orders[[#This Row],[Sales Tier]] &amp; "-" &amp; Orders[[#This Row],[Quantity Tier]]</f>
        <v>Low Price-High Volume</v>
      </c>
      <c r="Y468" t="str">
        <f>TEXT(Orders[[#This Row],[Order Date]], "mmmm")</f>
        <v>August</v>
      </c>
      <c r="Z46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468" t="str">
        <f>Orders[[#This Row],[Coffee Type Name]] &amp; "-" &amp; Orders[[#This Row],[Roast Type Name]]</f>
        <v>Robusta-Light</v>
      </c>
      <c r="AB46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469" spans="1:28" x14ac:dyDescent="0.25">
      <c r="A469" s="2" t="s">
        <v>5433</v>
      </c>
      <c r="B469" s="4">
        <v>43680</v>
      </c>
      <c r="C469" s="2" t="s">
        <v>5434</v>
      </c>
      <c r="D469" t="s">
        <v>6140</v>
      </c>
      <c r="E469" s="2">
        <v>2</v>
      </c>
      <c r="F469" s="2" t="str">
        <f>_xlfn.XLOOKUP(C469,customers!$A$1:$A$1001,customers!$B$1:$B$1001,,0)</f>
        <v>Jaquenette Skentelbery</v>
      </c>
      <c r="G469" s="2" t="str">
        <f>IF(_xlfn.XLOOKUP(C469,customers!$A$1:$A$1001,customers!$C$1:$C$1001,,0)=0,"",_xlfn.XLOOKUP(C469,customers!$A$1:$A$1001,customers!$C$1:$C$1001,,0))</f>
        <v>jskentelberyoa@paypal.com</v>
      </c>
      <c r="H469" s="2" t="str">
        <f>_xlfn.XLOOKUP(C469,customers!$A$1:$A$1001,customers!$G$1:$G$1001,,0)</f>
        <v>United States</v>
      </c>
      <c r="I469" t="str">
        <f>INDEX(products!$A$1:$G$49, MATCH(orders!$D876,products!$A$1:$A923,0), MATCH(orders!I$1,products!$A$1:$G$1,0))</f>
        <v>Ara</v>
      </c>
      <c r="J469" t="str">
        <f>INDEX(products!$A$1:$G$49, MATCH(orders!$D876,products!$A$1:$A923,0), MATCH(orders!J$1,products!$A$1:$G$1,0))</f>
        <v>L</v>
      </c>
      <c r="K469" s="5">
        <f>INDEX(products!$A$1:$G$49, MATCH(orders!$D876,products!$A$1:$A923,0), MATCH(orders!K$1,products!$A$1:$G$1,0))</f>
        <v>1</v>
      </c>
      <c r="L469" s="6">
        <f>INDEX(products!$A$1:$G$49, MATCH(orders!$D876,products!$A$1:$A923,0), MATCH(orders!L$1,products!$A$1:$G$1,0))</f>
        <v>12.95</v>
      </c>
      <c r="M469" s="6">
        <f t="shared" si="21"/>
        <v>25.9</v>
      </c>
      <c r="N469" t="str">
        <f t="shared" si="22"/>
        <v>Arabica</v>
      </c>
      <c r="O469" t="str">
        <f t="shared" si="23"/>
        <v>Light</v>
      </c>
      <c r="P469" t="str">
        <f>_xlfn.XLOOKUP(Orders[[#This Row],[Customer ID]],customers!$A$1:$A$1001,customers!$I$1:$I$1001,,0)</f>
        <v>No</v>
      </c>
      <c r="Q469">
        <f>COUNTIF(Orders[Order ID],Orders[[#This Row],[Order ID]])</f>
        <v>1</v>
      </c>
      <c r="R469" s="10">
        <f>SUMIF(Orders[Order ID], Orders[[#This Row],[Order ID]],Orders[Sales])/Orders[[#This Row],[Order Frequency]]</f>
        <v>25.9</v>
      </c>
      <c r="S469" t="str">
        <f>IF(Orders[[#This Row],[Order Frequency]]&gt;4, "More than 4", IF(AND(Orders[[#This Row],[Order Frequency]]&lt;=4,Orders[[#This Row],[Order Frequency]]&gt;=2), "Between 4 and 2", "Less than 2"))</f>
        <v>Less than 2</v>
      </c>
      <c r="T469" t="str">
        <f>IF(Orders[[#This Row],[Frequency Group]]="less than 2", "Low Value", IF(Orders[[#This Row],[Frequency Group]]="between 4 and 2", "Medium Value", "High Value"))</f>
        <v>Low Value</v>
      </c>
      <c r="U469" t="str">
        <f>IF(Orders[[#This Row],[Sales]]&lt;50, "$0-50", IF(AND(Orders[[#This Row],[Sales]]&gt;=50,Orders[[#This Row],[Sales]]&lt;=100), "$50-100", IF(AND(Orders[[#This Row],[Sales]]&gt;100,Orders[[#This Row],[Sales]]&lt;=150), "$101-150", "$150+")))</f>
        <v>$0-50</v>
      </c>
      <c r="V469" t="str">
        <f>IF(Orders[[#This Row],[Sales]]&gt;MEDIAN(M:M), "High Price", "Low Price")</f>
        <v>Low Price</v>
      </c>
      <c r="W469" t="str">
        <f>IF(Orders[[#This Row],[Quantity]]&gt;MEDIAN(E:E), "High Volume", "Low Volume")</f>
        <v>Low Volume</v>
      </c>
      <c r="X469" t="str">
        <f>Orders[[#This Row],[Sales Tier]] &amp; "-" &amp; Orders[[#This Row],[Quantity Tier]]</f>
        <v>Low Price-Low Volume</v>
      </c>
      <c r="Y469" t="str">
        <f>TEXT(Orders[[#This Row],[Order Date]], "mmmm")</f>
        <v>August</v>
      </c>
      <c r="Z46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469" t="str">
        <f>Orders[[#This Row],[Coffee Type Name]] &amp; "-" &amp; Orders[[#This Row],[Roast Type Name]]</f>
        <v>Arabica-Light</v>
      </c>
      <c r="AB46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470" spans="1:28" x14ac:dyDescent="0.25">
      <c r="A470" s="2" t="s">
        <v>4450</v>
      </c>
      <c r="B470" s="4">
        <v>44727</v>
      </c>
      <c r="C470" s="2" t="s">
        <v>4451</v>
      </c>
      <c r="D470" t="s">
        <v>6158</v>
      </c>
      <c r="E470" s="2">
        <v>5</v>
      </c>
      <c r="F470" s="2" t="str">
        <f>_xlfn.XLOOKUP(C470,customers!$A$1:$A$1001,customers!$B$1:$B$1001,,0)</f>
        <v>Nathan Sictornes</v>
      </c>
      <c r="G470" s="2" t="str">
        <f>IF(_xlfn.XLOOKUP(C470,customers!$A$1:$A$1001,customers!$C$1:$C$1001,,0)=0,"",_xlfn.XLOOKUP(C470,customers!$A$1:$A$1001,customers!$C$1:$C$1001,,0))</f>
        <v>nsictornesjh@buzzfeed.com</v>
      </c>
      <c r="H470" s="2" t="str">
        <f>_xlfn.XLOOKUP(C470,customers!$A$1:$A$1001,customers!$G$1:$G$1001,,0)</f>
        <v>Ireland</v>
      </c>
      <c r="I470" t="str">
        <f>INDEX(products!$A$1:$G$49, MATCH(orders!$D703,products!$A$1:$A750,0), MATCH(orders!I$1,products!$A$1:$G$1,0))</f>
        <v>Ara</v>
      </c>
      <c r="J470" t="str">
        <f>INDEX(products!$A$1:$G$49, MATCH(orders!$D703,products!$A$1:$A750,0), MATCH(orders!J$1,products!$A$1:$G$1,0))</f>
        <v>D</v>
      </c>
      <c r="K470" s="5">
        <f>INDEX(products!$A$1:$G$49, MATCH(orders!$D703,products!$A$1:$A750,0), MATCH(orders!K$1,products!$A$1:$G$1,0))</f>
        <v>0.5</v>
      </c>
      <c r="L470" s="6">
        <f>INDEX(products!$A$1:$G$49, MATCH(orders!$D703,products!$A$1:$A750,0), MATCH(orders!L$1,products!$A$1:$G$1,0))</f>
        <v>5.97</v>
      </c>
      <c r="M470" s="6">
        <f t="shared" si="21"/>
        <v>29.849999999999998</v>
      </c>
      <c r="N470" t="str">
        <f t="shared" si="22"/>
        <v>Arabica</v>
      </c>
      <c r="O470" t="str">
        <f t="shared" si="23"/>
        <v>Dark</v>
      </c>
      <c r="P470" t="str">
        <f>_xlfn.XLOOKUP(Orders[[#This Row],[Customer ID]],customers!$A$1:$A$1001,customers!$I$1:$I$1001,,0)</f>
        <v>Yes</v>
      </c>
      <c r="Q470">
        <f>COUNTIF(Orders[Order ID],Orders[[#This Row],[Order ID]])</f>
        <v>1</v>
      </c>
      <c r="R470" s="10">
        <f>SUMIF(Orders[Order ID], Orders[[#This Row],[Order ID]],Orders[Sales])/Orders[[#This Row],[Order Frequency]]</f>
        <v>29.849999999999998</v>
      </c>
      <c r="S470" t="str">
        <f>IF(Orders[[#This Row],[Order Frequency]]&gt;4, "More than 4", IF(AND(Orders[[#This Row],[Order Frequency]]&lt;=4,Orders[[#This Row],[Order Frequency]]&gt;=2), "Between 4 and 2", "Less than 2"))</f>
        <v>Less than 2</v>
      </c>
      <c r="T470" t="str">
        <f>IF(Orders[[#This Row],[Frequency Group]]="less than 2", "Low Value", IF(Orders[[#This Row],[Frequency Group]]="between 4 and 2", "Medium Value", "High Value"))</f>
        <v>Low Value</v>
      </c>
      <c r="U470" t="str">
        <f>IF(Orders[[#This Row],[Sales]]&lt;50, "$0-50", IF(AND(Orders[[#This Row],[Sales]]&gt;=50,Orders[[#This Row],[Sales]]&lt;=100), "$50-100", IF(AND(Orders[[#This Row],[Sales]]&gt;100,Orders[[#This Row],[Sales]]&lt;=150), "$101-150", "$150+")))</f>
        <v>$0-50</v>
      </c>
      <c r="V470" t="str">
        <f>IF(Orders[[#This Row],[Sales]]&gt;MEDIAN(M:M), "High Price", "Low Price")</f>
        <v>High Price</v>
      </c>
      <c r="W470" t="str">
        <f>IF(Orders[[#This Row],[Quantity]]&gt;MEDIAN(E:E), "High Volume", "Low Volume")</f>
        <v>High Volume</v>
      </c>
      <c r="X470" t="str">
        <f>Orders[[#This Row],[Sales Tier]] &amp; "-" &amp; Orders[[#This Row],[Quantity Tier]]</f>
        <v>High Price-High Volume</v>
      </c>
      <c r="Y470" t="str">
        <f>TEXT(Orders[[#This Row],[Order Date]], "mmmm")</f>
        <v>June</v>
      </c>
      <c r="Z47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70" t="str">
        <f>Orders[[#This Row],[Coffee Type Name]] &amp; "-" &amp; Orders[[#This Row],[Roast Type Name]]</f>
        <v>Arabica-Dark</v>
      </c>
      <c r="AB47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471" spans="1:28" x14ac:dyDescent="0.25">
      <c r="A471" s="2" t="s">
        <v>4814</v>
      </c>
      <c r="B471" s="4">
        <v>43667</v>
      </c>
      <c r="C471" s="2" t="s">
        <v>4815</v>
      </c>
      <c r="D471" t="s">
        <v>6180</v>
      </c>
      <c r="E471" s="2">
        <v>2</v>
      </c>
      <c r="F471" s="2" t="str">
        <f>_xlfn.XLOOKUP(C471,customers!$A$1:$A$1001,customers!$B$1:$B$1001,,0)</f>
        <v>Rafferty Pursglove</v>
      </c>
      <c r="G471" s="2" t="str">
        <f>IF(_xlfn.XLOOKUP(C471,customers!$A$1:$A$1001,customers!$C$1:$C$1001,,0)=0,"",_xlfn.XLOOKUP(C471,customers!$A$1:$A$1001,customers!$C$1:$C$1001,,0))</f>
        <v>rpursglovel9@biblegateway.com</v>
      </c>
      <c r="H471" s="2" t="str">
        <f>_xlfn.XLOOKUP(C471,customers!$A$1:$A$1001,customers!$G$1:$G$1001,,0)</f>
        <v>United States</v>
      </c>
      <c r="I471" t="str">
        <f>INDEX(products!$A$1:$G$49, MATCH(orders!$D768,products!$A$1:$A815,0), MATCH(orders!I$1,products!$A$1:$G$1,0))</f>
        <v>Ara</v>
      </c>
      <c r="J471" t="str">
        <f>INDEX(products!$A$1:$G$49, MATCH(orders!$D768,products!$A$1:$A815,0), MATCH(orders!J$1,products!$A$1:$G$1,0))</f>
        <v>L</v>
      </c>
      <c r="K471" s="5">
        <f>INDEX(products!$A$1:$G$49, MATCH(orders!$D768,products!$A$1:$A815,0), MATCH(orders!K$1,products!$A$1:$G$1,0))</f>
        <v>0.5</v>
      </c>
      <c r="L471" s="6">
        <f>INDEX(products!$A$1:$G$49, MATCH(orders!$D768,products!$A$1:$A815,0), MATCH(orders!L$1,products!$A$1:$G$1,0))</f>
        <v>7.77</v>
      </c>
      <c r="M471" s="6">
        <f t="shared" si="21"/>
        <v>15.54</v>
      </c>
      <c r="N471" t="str">
        <f t="shared" si="22"/>
        <v>Arabica</v>
      </c>
      <c r="O471" t="str">
        <f t="shared" si="23"/>
        <v>Light</v>
      </c>
      <c r="P471" t="str">
        <f>_xlfn.XLOOKUP(Orders[[#This Row],[Customer ID]],customers!$A$1:$A$1001,customers!$I$1:$I$1001,,0)</f>
        <v>Yes</v>
      </c>
      <c r="Q471">
        <f>COUNTIF(Orders[Order ID],Orders[[#This Row],[Order ID]])</f>
        <v>2</v>
      </c>
      <c r="R471" s="10">
        <f>SUMIF(Orders[Order ID], Orders[[#This Row],[Order ID]],Orders[Sales])/Orders[[#This Row],[Order Frequency]]</f>
        <v>37.619999999999997</v>
      </c>
      <c r="S471" t="str">
        <f>IF(Orders[[#This Row],[Order Frequency]]&gt;4, "More than 4", IF(AND(Orders[[#This Row],[Order Frequency]]&lt;=4,Orders[[#This Row],[Order Frequency]]&gt;=2), "Between 4 and 2", "Less than 2"))</f>
        <v>Between 4 and 2</v>
      </c>
      <c r="T471" t="str">
        <f>IF(Orders[[#This Row],[Frequency Group]]="less than 2", "Low Value", IF(Orders[[#This Row],[Frequency Group]]="between 4 and 2", "Medium Value", "High Value"))</f>
        <v>Medium Value</v>
      </c>
      <c r="U471" t="str">
        <f>IF(Orders[[#This Row],[Sales]]&lt;50, "$0-50", IF(AND(Orders[[#This Row],[Sales]]&gt;=50,Orders[[#This Row],[Sales]]&lt;=100), "$50-100", IF(AND(Orders[[#This Row],[Sales]]&gt;100,Orders[[#This Row],[Sales]]&lt;=150), "$101-150", "$150+")))</f>
        <v>$0-50</v>
      </c>
      <c r="V471" t="str">
        <f>IF(Orders[[#This Row],[Sales]]&gt;MEDIAN(M:M), "High Price", "Low Price")</f>
        <v>Low Price</v>
      </c>
      <c r="W471" t="str">
        <f>IF(Orders[[#This Row],[Quantity]]&gt;MEDIAN(E:E), "High Volume", "Low Volume")</f>
        <v>Low Volume</v>
      </c>
      <c r="X471" t="str">
        <f>Orders[[#This Row],[Sales Tier]] &amp; "-" &amp; Orders[[#This Row],[Quantity Tier]]</f>
        <v>Low Price-Low Volume</v>
      </c>
      <c r="Y471" t="str">
        <f>TEXT(Orders[[#This Row],[Order Date]], "mmmm")</f>
        <v>July</v>
      </c>
      <c r="Z47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471" t="str">
        <f>Orders[[#This Row],[Coffee Type Name]] &amp; "-" &amp; Orders[[#This Row],[Roast Type Name]]</f>
        <v>Arabica-Light</v>
      </c>
      <c r="AB47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472" spans="1:28" x14ac:dyDescent="0.25">
      <c r="A472" s="2" t="s">
        <v>4814</v>
      </c>
      <c r="B472" s="4">
        <v>43667</v>
      </c>
      <c r="C472" s="2" t="s">
        <v>4815</v>
      </c>
      <c r="D472" t="s">
        <v>6138</v>
      </c>
      <c r="E472" s="2">
        <v>6</v>
      </c>
      <c r="F472" s="2" t="str">
        <f>_xlfn.XLOOKUP(C472,customers!$A$1:$A$1001,customers!$B$1:$B$1001,,0)</f>
        <v>Rafferty Pursglove</v>
      </c>
      <c r="G472" s="2" t="str">
        <f>IF(_xlfn.XLOOKUP(C472,customers!$A$1:$A$1001,customers!$C$1:$C$1001,,0)=0,"",_xlfn.XLOOKUP(C472,customers!$A$1:$A$1001,customers!$C$1:$C$1001,,0))</f>
        <v>rpursglovel9@biblegateway.com</v>
      </c>
      <c r="H472" s="2" t="str">
        <f>_xlfn.XLOOKUP(C472,customers!$A$1:$A$1001,customers!$G$1:$G$1001,,0)</f>
        <v>United States</v>
      </c>
      <c r="I472" t="str">
        <f>INDEX(products!$A$1:$G$49, MATCH(orders!$D767,products!$A$1:$A814,0), MATCH(orders!I$1,products!$A$1:$G$1,0))</f>
        <v>Rob</v>
      </c>
      <c r="J472" t="str">
        <f>INDEX(products!$A$1:$G$49, MATCH(orders!$D767,products!$A$1:$A814,0), MATCH(orders!J$1,products!$A$1:$G$1,0))</f>
        <v>M</v>
      </c>
      <c r="K472" s="5">
        <f>INDEX(products!$A$1:$G$49, MATCH(orders!$D767,products!$A$1:$A814,0), MATCH(orders!K$1,products!$A$1:$G$1,0))</f>
        <v>1</v>
      </c>
      <c r="L472" s="6">
        <f>INDEX(products!$A$1:$G$49, MATCH(orders!$D767,products!$A$1:$A814,0), MATCH(orders!L$1,products!$A$1:$G$1,0))</f>
        <v>9.9499999999999993</v>
      </c>
      <c r="M472" s="6">
        <f t="shared" si="21"/>
        <v>59.699999999999996</v>
      </c>
      <c r="N472" t="str">
        <f t="shared" si="22"/>
        <v>Robusta</v>
      </c>
      <c r="O472" t="str">
        <f t="shared" si="23"/>
        <v>Medium</v>
      </c>
      <c r="P472" t="str">
        <f>_xlfn.XLOOKUP(Orders[[#This Row],[Customer ID]],customers!$A$1:$A$1001,customers!$I$1:$I$1001,,0)</f>
        <v>Yes</v>
      </c>
      <c r="Q472">
        <f>COUNTIF(Orders[Order ID],Orders[[#This Row],[Order ID]])</f>
        <v>2</v>
      </c>
      <c r="R472" s="10">
        <f>SUMIF(Orders[Order ID], Orders[[#This Row],[Order ID]],Orders[Sales])/Orders[[#This Row],[Order Frequency]]</f>
        <v>37.619999999999997</v>
      </c>
      <c r="S472" t="str">
        <f>IF(Orders[[#This Row],[Order Frequency]]&gt;4, "More than 4", IF(AND(Orders[[#This Row],[Order Frequency]]&lt;=4,Orders[[#This Row],[Order Frequency]]&gt;=2), "Between 4 and 2", "Less than 2"))</f>
        <v>Between 4 and 2</v>
      </c>
      <c r="T472" t="str">
        <f>IF(Orders[[#This Row],[Frequency Group]]="less than 2", "Low Value", IF(Orders[[#This Row],[Frequency Group]]="between 4 and 2", "Medium Value", "High Value"))</f>
        <v>Medium Value</v>
      </c>
      <c r="U472" t="str">
        <f>IF(Orders[[#This Row],[Sales]]&lt;50, "$0-50", IF(AND(Orders[[#This Row],[Sales]]&gt;=50,Orders[[#This Row],[Sales]]&lt;=100), "$50-100", IF(AND(Orders[[#This Row],[Sales]]&gt;100,Orders[[#This Row],[Sales]]&lt;=150), "$101-150", "$150+")))</f>
        <v>$50-100</v>
      </c>
      <c r="V472" t="str">
        <f>IF(Orders[[#This Row],[Sales]]&gt;MEDIAN(M:M), "High Price", "Low Price")</f>
        <v>High Price</v>
      </c>
      <c r="W472" t="str">
        <f>IF(Orders[[#This Row],[Quantity]]&gt;MEDIAN(E:E), "High Volume", "Low Volume")</f>
        <v>High Volume</v>
      </c>
      <c r="X472" t="str">
        <f>Orders[[#This Row],[Sales Tier]] &amp; "-" &amp; Orders[[#This Row],[Quantity Tier]]</f>
        <v>High Price-High Volume</v>
      </c>
      <c r="Y472" t="str">
        <f>TEXT(Orders[[#This Row],[Order Date]], "mmmm")</f>
        <v>July</v>
      </c>
      <c r="Z47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472" t="str">
        <f>Orders[[#This Row],[Coffee Type Name]] &amp; "-" &amp; Orders[[#This Row],[Roast Type Name]]</f>
        <v>Robusta-Medium</v>
      </c>
      <c r="AB47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473" spans="1:28" x14ac:dyDescent="0.25">
      <c r="A473" s="2" t="s">
        <v>4217</v>
      </c>
      <c r="B473" s="4">
        <v>44084</v>
      </c>
      <c r="C473" s="2" t="s">
        <v>4218</v>
      </c>
      <c r="D473" t="s">
        <v>6176</v>
      </c>
      <c r="E473" s="2">
        <v>6</v>
      </c>
      <c r="F473" s="2" t="str">
        <f>_xlfn.XLOOKUP(C473,customers!$A$1:$A$1001,customers!$B$1:$B$1001,,0)</f>
        <v>Val Wakelin</v>
      </c>
      <c r="G473" s="2" t="str">
        <f>IF(_xlfn.XLOOKUP(C473,customers!$A$1:$A$1001,customers!$C$1:$C$1001,,0)=0,"",_xlfn.XLOOKUP(C473,customers!$A$1:$A$1001,customers!$C$1:$C$1001,,0))</f>
        <v>vwakelinic@unesco.org</v>
      </c>
      <c r="H473" s="2" t="str">
        <f>_xlfn.XLOOKUP(C473,customers!$A$1:$A$1001,customers!$G$1:$G$1001,,0)</f>
        <v>United States</v>
      </c>
      <c r="I473" t="str">
        <f>INDEX(products!$A$1:$G$49, MATCH(orders!$D662,products!$A$1:$A709,0), MATCH(orders!I$1,products!$A$1:$G$1,0))</f>
        <v>Exc</v>
      </c>
      <c r="J473" t="str">
        <f>INDEX(products!$A$1:$G$49, MATCH(orders!$D662,products!$A$1:$A709,0), MATCH(orders!J$1,products!$A$1:$G$1,0))</f>
        <v>L</v>
      </c>
      <c r="K473" s="5">
        <f>INDEX(products!$A$1:$G$49, MATCH(orders!$D662,products!$A$1:$A709,0), MATCH(orders!K$1,products!$A$1:$G$1,0))</f>
        <v>0.5</v>
      </c>
      <c r="L473" s="6">
        <f>INDEX(products!$A$1:$G$49, MATCH(orders!$D662,products!$A$1:$A709,0), MATCH(orders!L$1,products!$A$1:$G$1,0))</f>
        <v>8.91</v>
      </c>
      <c r="M473" s="6">
        <f t="shared" si="21"/>
        <v>53.46</v>
      </c>
      <c r="N473" t="str">
        <f t="shared" si="22"/>
        <v>Excelsa</v>
      </c>
      <c r="O473" t="str">
        <f t="shared" si="23"/>
        <v>Light</v>
      </c>
      <c r="P473" t="str">
        <f>_xlfn.XLOOKUP(Orders[[#This Row],[Customer ID]],customers!$A$1:$A$1001,customers!$I$1:$I$1001,,0)</f>
        <v>No</v>
      </c>
      <c r="Q473">
        <f>COUNTIF(Orders[Order ID],Orders[[#This Row],[Order ID]])</f>
        <v>1</v>
      </c>
      <c r="R473" s="10">
        <f>SUMIF(Orders[Order ID], Orders[[#This Row],[Order ID]],Orders[Sales])/Orders[[#This Row],[Order Frequency]]</f>
        <v>53.46</v>
      </c>
      <c r="S473" t="str">
        <f>IF(Orders[[#This Row],[Order Frequency]]&gt;4, "More than 4", IF(AND(Orders[[#This Row],[Order Frequency]]&lt;=4,Orders[[#This Row],[Order Frequency]]&gt;=2), "Between 4 and 2", "Less than 2"))</f>
        <v>Less than 2</v>
      </c>
      <c r="T473" t="str">
        <f>IF(Orders[[#This Row],[Frequency Group]]="less than 2", "Low Value", IF(Orders[[#This Row],[Frequency Group]]="between 4 and 2", "Medium Value", "High Value"))</f>
        <v>Low Value</v>
      </c>
      <c r="U473" t="str">
        <f>IF(Orders[[#This Row],[Sales]]&lt;50, "$0-50", IF(AND(Orders[[#This Row],[Sales]]&gt;=50,Orders[[#This Row],[Sales]]&lt;=100), "$50-100", IF(AND(Orders[[#This Row],[Sales]]&gt;100,Orders[[#This Row],[Sales]]&lt;=150), "$101-150", "$150+")))</f>
        <v>$50-100</v>
      </c>
      <c r="V473" t="str">
        <f>IF(Orders[[#This Row],[Sales]]&gt;MEDIAN(M:M), "High Price", "Low Price")</f>
        <v>High Price</v>
      </c>
      <c r="W473" t="str">
        <f>IF(Orders[[#This Row],[Quantity]]&gt;MEDIAN(E:E), "High Volume", "Low Volume")</f>
        <v>High Volume</v>
      </c>
      <c r="X473" t="str">
        <f>Orders[[#This Row],[Sales Tier]] &amp; "-" &amp; Orders[[#This Row],[Quantity Tier]]</f>
        <v>High Price-High Volume</v>
      </c>
      <c r="Y473" t="str">
        <f>TEXT(Orders[[#This Row],[Order Date]], "mmmm")</f>
        <v>September</v>
      </c>
      <c r="Z47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473" t="str">
        <f>Orders[[#This Row],[Coffee Type Name]] &amp; "-" &amp; Orders[[#This Row],[Roast Type Name]]</f>
        <v>Excelsa-Light</v>
      </c>
      <c r="AB47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474" spans="1:28" x14ac:dyDescent="0.25">
      <c r="A474" s="2" t="s">
        <v>3917</v>
      </c>
      <c r="B474" s="4">
        <v>44640</v>
      </c>
      <c r="C474" s="2" t="s">
        <v>3918</v>
      </c>
      <c r="D474" t="s">
        <v>6153</v>
      </c>
      <c r="E474" s="2">
        <v>1</v>
      </c>
      <c r="F474" s="2" t="str">
        <f>_xlfn.XLOOKUP(C474,customers!$A$1:$A$1001,customers!$B$1:$B$1001,,0)</f>
        <v>Laurence Ellingham</v>
      </c>
      <c r="G474" s="2" t="str">
        <f>IF(_xlfn.XLOOKUP(C474,customers!$A$1:$A$1001,customers!$C$1:$C$1001,,0)=0,"",_xlfn.XLOOKUP(C474,customers!$A$1:$A$1001,customers!$C$1:$C$1001,,0))</f>
        <v>lellinghamgv@sciencedaily.com</v>
      </c>
      <c r="H474" s="2" t="str">
        <f>_xlfn.XLOOKUP(C474,customers!$A$1:$A$1001,customers!$G$1:$G$1001,,0)</f>
        <v>United States</v>
      </c>
      <c r="I474" t="str">
        <f>INDEX(products!$A$1:$G$49, MATCH(orders!$D609,products!$A$1:$A656,0), MATCH(orders!I$1,products!$A$1:$G$1,0))</f>
        <v>Exc</v>
      </c>
      <c r="J474" t="str">
        <f>INDEX(products!$A$1:$G$49, MATCH(orders!$D609,products!$A$1:$A656,0), MATCH(orders!J$1,products!$A$1:$G$1,0))</f>
        <v>D</v>
      </c>
      <c r="K474" s="5">
        <f>INDEX(products!$A$1:$G$49, MATCH(orders!$D609,products!$A$1:$A656,0), MATCH(orders!K$1,products!$A$1:$G$1,0))</f>
        <v>0.2</v>
      </c>
      <c r="L474" s="6">
        <f>INDEX(products!$A$1:$G$49, MATCH(orders!$D609,products!$A$1:$A656,0), MATCH(orders!L$1,products!$A$1:$G$1,0))</f>
        <v>3.645</v>
      </c>
      <c r="M474" s="6">
        <f t="shared" si="21"/>
        <v>3.645</v>
      </c>
      <c r="N474" t="str">
        <f t="shared" si="22"/>
        <v>Excelsa</v>
      </c>
      <c r="O474" t="str">
        <f t="shared" si="23"/>
        <v>Dark</v>
      </c>
      <c r="P474" t="str">
        <f>_xlfn.XLOOKUP(Orders[[#This Row],[Customer ID]],customers!$A$1:$A$1001,customers!$I$1:$I$1001,,0)</f>
        <v>Yes</v>
      </c>
      <c r="Q474">
        <f>COUNTIF(Orders[Order ID],Orders[[#This Row],[Order ID]])</f>
        <v>1</v>
      </c>
      <c r="R474" s="10">
        <f>SUMIF(Orders[Order ID], Orders[[#This Row],[Order ID]],Orders[Sales])/Orders[[#This Row],[Order Frequency]]</f>
        <v>3.645</v>
      </c>
      <c r="S474" t="str">
        <f>IF(Orders[[#This Row],[Order Frequency]]&gt;4, "More than 4", IF(AND(Orders[[#This Row],[Order Frequency]]&lt;=4,Orders[[#This Row],[Order Frequency]]&gt;=2), "Between 4 and 2", "Less than 2"))</f>
        <v>Less than 2</v>
      </c>
      <c r="T474" t="str">
        <f>IF(Orders[[#This Row],[Frequency Group]]="less than 2", "Low Value", IF(Orders[[#This Row],[Frequency Group]]="between 4 and 2", "Medium Value", "High Value"))</f>
        <v>Low Value</v>
      </c>
      <c r="U474" t="str">
        <f>IF(Orders[[#This Row],[Sales]]&lt;50, "$0-50", IF(AND(Orders[[#This Row],[Sales]]&gt;=50,Orders[[#This Row],[Sales]]&lt;=100), "$50-100", IF(AND(Orders[[#This Row],[Sales]]&gt;100,Orders[[#This Row],[Sales]]&lt;=150), "$101-150", "$150+")))</f>
        <v>$0-50</v>
      </c>
      <c r="V474" t="str">
        <f>IF(Orders[[#This Row],[Sales]]&gt;MEDIAN(M:M), "High Price", "Low Price")</f>
        <v>Low Price</v>
      </c>
      <c r="W474" t="str">
        <f>IF(Orders[[#This Row],[Quantity]]&gt;MEDIAN(E:E), "High Volume", "Low Volume")</f>
        <v>Low Volume</v>
      </c>
      <c r="X474" t="str">
        <f>Orders[[#This Row],[Sales Tier]] &amp; "-" &amp; Orders[[#This Row],[Quantity Tier]]</f>
        <v>Low Price-Low Volume</v>
      </c>
      <c r="Y474" t="str">
        <f>TEXT(Orders[[#This Row],[Order Date]], "mmmm")</f>
        <v>March</v>
      </c>
      <c r="Z47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474" t="str">
        <f>Orders[[#This Row],[Coffee Type Name]] &amp; "-" &amp; Orders[[#This Row],[Roast Type Name]]</f>
        <v>Excelsa-Dark</v>
      </c>
      <c r="AB47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75" spans="1:28" x14ac:dyDescent="0.25">
      <c r="A475" s="2" t="s">
        <v>2227</v>
      </c>
      <c r="B475" s="4">
        <v>44729</v>
      </c>
      <c r="C475" s="2" t="s">
        <v>2228</v>
      </c>
      <c r="D475" t="s">
        <v>6155</v>
      </c>
      <c r="E475" s="2">
        <v>3</v>
      </c>
      <c r="F475" s="2" t="str">
        <f>_xlfn.XLOOKUP(C475,customers!$A$1:$A$1001,customers!$B$1:$B$1001,,0)</f>
        <v>Cos Fluin</v>
      </c>
      <c r="G475" s="2" t="str">
        <f>IF(_xlfn.XLOOKUP(C475,customers!$A$1:$A$1001,customers!$C$1:$C$1001,,0)=0,"",_xlfn.XLOOKUP(C475,customers!$A$1:$A$1001,customers!$C$1:$C$1001,,0))</f>
        <v>cfluin8k@flickr.com</v>
      </c>
      <c r="H475" s="2" t="str">
        <f>_xlfn.XLOOKUP(C475,customers!$A$1:$A$1001,customers!$G$1:$G$1001,,0)</f>
        <v>United Kingdom</v>
      </c>
      <c r="I475" t="str">
        <f>INDEX(products!$A$1:$G$49, MATCH(orders!$D310,products!$A$1:$A357,0), MATCH(orders!I$1,products!$A$1:$G$1,0))</f>
        <v>Ara</v>
      </c>
      <c r="J475" t="str">
        <f>INDEX(products!$A$1:$G$49, MATCH(orders!$D310,products!$A$1:$A357,0), MATCH(orders!J$1,products!$A$1:$G$1,0))</f>
        <v>M</v>
      </c>
      <c r="K475" s="5">
        <f>INDEX(products!$A$1:$G$49, MATCH(orders!$D310,products!$A$1:$A357,0), MATCH(orders!K$1,products!$A$1:$G$1,0))</f>
        <v>1</v>
      </c>
      <c r="L475" s="6">
        <f>INDEX(products!$A$1:$G$49, MATCH(orders!$D310,products!$A$1:$A357,0), MATCH(orders!L$1,products!$A$1:$G$1,0))</f>
        <v>11.25</v>
      </c>
      <c r="M475" s="6">
        <f t="shared" si="21"/>
        <v>33.75</v>
      </c>
      <c r="N475" t="str">
        <f t="shared" si="22"/>
        <v>Arabica</v>
      </c>
      <c r="O475" t="str">
        <f t="shared" si="23"/>
        <v>Medium</v>
      </c>
      <c r="P475" t="str">
        <f>_xlfn.XLOOKUP(Orders[[#This Row],[Customer ID]],customers!$A$1:$A$1001,customers!$I$1:$I$1001,,0)</f>
        <v>No</v>
      </c>
      <c r="Q475">
        <f>COUNTIF(Orders[Order ID],Orders[[#This Row],[Order ID]])</f>
        <v>1</v>
      </c>
      <c r="R475" s="10">
        <f>SUMIF(Orders[Order ID], Orders[[#This Row],[Order ID]],Orders[Sales])/Orders[[#This Row],[Order Frequency]]</f>
        <v>33.75</v>
      </c>
      <c r="S475" t="str">
        <f>IF(Orders[[#This Row],[Order Frequency]]&gt;4, "More than 4", IF(AND(Orders[[#This Row],[Order Frequency]]&lt;=4,Orders[[#This Row],[Order Frequency]]&gt;=2), "Between 4 and 2", "Less than 2"))</f>
        <v>Less than 2</v>
      </c>
      <c r="T475" t="str">
        <f>IF(Orders[[#This Row],[Frequency Group]]="less than 2", "Low Value", IF(Orders[[#This Row],[Frequency Group]]="between 4 and 2", "Medium Value", "High Value"))</f>
        <v>Low Value</v>
      </c>
      <c r="U475" t="str">
        <f>IF(Orders[[#This Row],[Sales]]&lt;50, "$0-50", IF(AND(Orders[[#This Row],[Sales]]&gt;=50,Orders[[#This Row],[Sales]]&lt;=100), "$50-100", IF(AND(Orders[[#This Row],[Sales]]&gt;100,Orders[[#This Row],[Sales]]&lt;=150), "$101-150", "$150+")))</f>
        <v>$0-50</v>
      </c>
      <c r="V475" t="str">
        <f>IF(Orders[[#This Row],[Sales]]&gt;MEDIAN(M:M), "High Price", "Low Price")</f>
        <v>High Price</v>
      </c>
      <c r="W475" t="str">
        <f>IF(Orders[[#This Row],[Quantity]]&gt;MEDIAN(E:E), "High Volume", "Low Volume")</f>
        <v>Low Volume</v>
      </c>
      <c r="X475" t="str">
        <f>Orders[[#This Row],[Sales Tier]] &amp; "-" &amp; Orders[[#This Row],[Quantity Tier]]</f>
        <v>High Price-Low Volume</v>
      </c>
      <c r="Y475" t="str">
        <f>TEXT(Orders[[#This Row],[Order Date]], "mmmm")</f>
        <v>June</v>
      </c>
      <c r="Z47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75" t="str">
        <f>Orders[[#This Row],[Coffee Type Name]] &amp; "-" &amp; Orders[[#This Row],[Roast Type Name]]</f>
        <v>Arabica-Medium</v>
      </c>
      <c r="AB47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476" spans="1:28" x14ac:dyDescent="0.25">
      <c r="A476" s="2" t="s">
        <v>1071</v>
      </c>
      <c r="B476" s="4">
        <v>43694</v>
      </c>
      <c r="C476" s="2" t="s">
        <v>1072</v>
      </c>
      <c r="D476" t="s">
        <v>6162</v>
      </c>
      <c r="E476" s="2">
        <v>6</v>
      </c>
      <c r="F476" s="2" t="str">
        <f>_xlfn.XLOOKUP(C476,customers!$A$1:$A$1001,customers!$B$1:$B$1001,,0)</f>
        <v>Emiline Priddis</v>
      </c>
      <c r="G476" s="2" t="str">
        <f>IF(_xlfn.XLOOKUP(C476,customers!$A$1:$A$1001,customers!$C$1:$C$1001,,0)=0,"",_xlfn.XLOOKUP(C476,customers!$A$1:$A$1001,customers!$C$1:$C$1001,,0))</f>
        <v>epriddis2w@nationalgeographic.com</v>
      </c>
      <c r="H476" s="2" t="str">
        <f>_xlfn.XLOOKUP(C476,customers!$A$1:$A$1001,customers!$G$1:$G$1001,,0)</f>
        <v>United States</v>
      </c>
      <c r="I476" t="str">
        <f>INDEX(products!$A$1:$G$49, MATCH(orders!$D106,products!$A$1:$A153,0), MATCH(orders!I$1,products!$A$1:$G$1,0))</f>
        <v>Lib</v>
      </c>
      <c r="J476" t="str">
        <f>INDEX(products!$A$1:$G$49, MATCH(orders!$D106,products!$A$1:$A153,0), MATCH(orders!J$1,products!$A$1:$G$1,0))</f>
        <v>M</v>
      </c>
      <c r="K476" s="5">
        <f>INDEX(products!$A$1:$G$49, MATCH(orders!$D106,products!$A$1:$A153,0), MATCH(orders!K$1,products!$A$1:$G$1,0))</f>
        <v>1</v>
      </c>
      <c r="L476" s="6">
        <f>INDEX(products!$A$1:$G$49, MATCH(orders!$D106,products!$A$1:$A153,0), MATCH(orders!L$1,products!$A$1:$G$1,0))</f>
        <v>14.55</v>
      </c>
      <c r="M476" s="6">
        <f t="shared" si="21"/>
        <v>87.300000000000011</v>
      </c>
      <c r="N476" t="str">
        <f t="shared" si="22"/>
        <v>Liberica</v>
      </c>
      <c r="O476" t="str">
        <f t="shared" si="23"/>
        <v>Medium</v>
      </c>
      <c r="P476" t="str">
        <f>_xlfn.XLOOKUP(Orders[[#This Row],[Customer ID]],customers!$A$1:$A$1001,customers!$I$1:$I$1001,,0)</f>
        <v>No</v>
      </c>
      <c r="Q476">
        <f>COUNTIF(Orders[Order ID],Orders[[#This Row],[Order ID]])</f>
        <v>1</v>
      </c>
      <c r="R476" s="10">
        <f>SUMIF(Orders[Order ID], Orders[[#This Row],[Order ID]],Orders[Sales])/Orders[[#This Row],[Order Frequency]]</f>
        <v>87.300000000000011</v>
      </c>
      <c r="S476" t="str">
        <f>IF(Orders[[#This Row],[Order Frequency]]&gt;4, "More than 4", IF(AND(Orders[[#This Row],[Order Frequency]]&lt;=4,Orders[[#This Row],[Order Frequency]]&gt;=2), "Between 4 and 2", "Less than 2"))</f>
        <v>Less than 2</v>
      </c>
      <c r="T476" t="str">
        <f>IF(Orders[[#This Row],[Frequency Group]]="less than 2", "Low Value", IF(Orders[[#This Row],[Frequency Group]]="between 4 and 2", "Medium Value", "High Value"))</f>
        <v>Low Value</v>
      </c>
      <c r="U476" t="str">
        <f>IF(Orders[[#This Row],[Sales]]&lt;50, "$0-50", IF(AND(Orders[[#This Row],[Sales]]&gt;=50,Orders[[#This Row],[Sales]]&lt;=100), "$50-100", IF(AND(Orders[[#This Row],[Sales]]&gt;100,Orders[[#This Row],[Sales]]&lt;=150), "$101-150", "$150+")))</f>
        <v>$50-100</v>
      </c>
      <c r="V476" t="str">
        <f>IF(Orders[[#This Row],[Sales]]&gt;MEDIAN(M:M), "High Price", "Low Price")</f>
        <v>High Price</v>
      </c>
      <c r="W476" t="str">
        <f>IF(Orders[[#This Row],[Quantity]]&gt;MEDIAN(E:E), "High Volume", "Low Volume")</f>
        <v>High Volume</v>
      </c>
      <c r="X476" t="str">
        <f>Orders[[#This Row],[Sales Tier]] &amp; "-" &amp; Orders[[#This Row],[Quantity Tier]]</f>
        <v>High Price-High Volume</v>
      </c>
      <c r="Y476" t="str">
        <f>TEXT(Orders[[#This Row],[Order Date]], "mmmm")</f>
        <v>August</v>
      </c>
      <c r="Z47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476" t="str">
        <f>Orders[[#This Row],[Coffee Type Name]] &amp; "-" &amp; Orders[[#This Row],[Roast Type Name]]</f>
        <v>Liberica-Medium</v>
      </c>
      <c r="AB47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477" spans="1:28" x14ac:dyDescent="0.25">
      <c r="A477" s="2" t="s">
        <v>2464</v>
      </c>
      <c r="B477" s="4">
        <v>43592</v>
      </c>
      <c r="C477" s="2" t="s">
        <v>2465</v>
      </c>
      <c r="D477" t="s">
        <v>6158</v>
      </c>
      <c r="E477" s="2">
        <v>4</v>
      </c>
      <c r="F477" s="2" t="str">
        <f>_xlfn.XLOOKUP(C477,customers!$A$1:$A$1001,customers!$B$1:$B$1001,,0)</f>
        <v>Joshuah Awdry</v>
      </c>
      <c r="G477" s="2" t="str">
        <f>IF(_xlfn.XLOOKUP(C477,customers!$A$1:$A$1001,customers!$C$1:$C$1001,,0)=0,"",_xlfn.XLOOKUP(C477,customers!$A$1:$A$1001,customers!$C$1:$C$1001,,0))</f>
        <v>jawdry9q@utexas.edu</v>
      </c>
      <c r="H477" s="2" t="str">
        <f>_xlfn.XLOOKUP(C477,customers!$A$1:$A$1001,customers!$G$1:$G$1001,,0)</f>
        <v>United States</v>
      </c>
      <c r="I477" t="str">
        <f>INDEX(products!$A$1:$G$49, MATCH(orders!$D352,products!$A$1:$A399,0), MATCH(orders!I$1,products!$A$1:$G$1,0))</f>
        <v>Ara</v>
      </c>
      <c r="J477" t="str">
        <f>INDEX(products!$A$1:$G$49, MATCH(orders!$D352,products!$A$1:$A399,0), MATCH(orders!J$1,products!$A$1:$G$1,0))</f>
        <v>D</v>
      </c>
      <c r="K477" s="5">
        <f>INDEX(products!$A$1:$G$49, MATCH(orders!$D352,products!$A$1:$A399,0), MATCH(orders!K$1,products!$A$1:$G$1,0))</f>
        <v>0.5</v>
      </c>
      <c r="L477" s="6">
        <f>INDEX(products!$A$1:$G$49, MATCH(orders!$D352,products!$A$1:$A399,0), MATCH(orders!L$1,products!$A$1:$G$1,0))</f>
        <v>5.97</v>
      </c>
      <c r="M477" s="6">
        <f t="shared" si="21"/>
        <v>23.88</v>
      </c>
      <c r="N477" t="str">
        <f t="shared" si="22"/>
        <v>Arabica</v>
      </c>
      <c r="O477" t="str">
        <f t="shared" si="23"/>
        <v>Dark</v>
      </c>
      <c r="P477" t="str">
        <f>_xlfn.XLOOKUP(Orders[[#This Row],[Customer ID]],customers!$A$1:$A$1001,customers!$I$1:$I$1001,,0)</f>
        <v>No</v>
      </c>
      <c r="Q477">
        <f>COUNTIF(Orders[Order ID],Orders[[#This Row],[Order ID]])</f>
        <v>1</v>
      </c>
      <c r="R477" s="10">
        <f>SUMIF(Orders[Order ID], Orders[[#This Row],[Order ID]],Orders[Sales])/Orders[[#This Row],[Order Frequency]]</f>
        <v>23.88</v>
      </c>
      <c r="S477" t="str">
        <f>IF(Orders[[#This Row],[Order Frequency]]&gt;4, "More than 4", IF(AND(Orders[[#This Row],[Order Frequency]]&lt;=4,Orders[[#This Row],[Order Frequency]]&gt;=2), "Between 4 and 2", "Less than 2"))</f>
        <v>Less than 2</v>
      </c>
      <c r="T477" t="str">
        <f>IF(Orders[[#This Row],[Frequency Group]]="less than 2", "Low Value", IF(Orders[[#This Row],[Frequency Group]]="between 4 and 2", "Medium Value", "High Value"))</f>
        <v>Low Value</v>
      </c>
      <c r="U477" t="str">
        <f>IF(Orders[[#This Row],[Sales]]&lt;50, "$0-50", IF(AND(Orders[[#This Row],[Sales]]&gt;=50,Orders[[#This Row],[Sales]]&lt;=100), "$50-100", IF(AND(Orders[[#This Row],[Sales]]&gt;100,Orders[[#This Row],[Sales]]&lt;=150), "$101-150", "$150+")))</f>
        <v>$0-50</v>
      </c>
      <c r="V477" t="str">
        <f>IF(Orders[[#This Row],[Sales]]&gt;MEDIAN(M:M), "High Price", "Low Price")</f>
        <v>Low Price</v>
      </c>
      <c r="W477" t="str">
        <f>IF(Orders[[#This Row],[Quantity]]&gt;MEDIAN(E:E), "High Volume", "Low Volume")</f>
        <v>Low Volume</v>
      </c>
      <c r="X477" t="str">
        <f>Orders[[#This Row],[Sales Tier]] &amp; "-" &amp; Orders[[#This Row],[Quantity Tier]]</f>
        <v>Low Price-Low Volume</v>
      </c>
      <c r="Y477" t="str">
        <f>TEXT(Orders[[#This Row],[Order Date]], "mmmm")</f>
        <v>May</v>
      </c>
      <c r="Z47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77" t="str">
        <f>Orders[[#This Row],[Coffee Type Name]] &amp; "-" &amp; Orders[[#This Row],[Roast Type Name]]</f>
        <v>Arabica-Dark</v>
      </c>
      <c r="AB47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78" spans="1:28" x14ac:dyDescent="0.25">
      <c r="A478" s="2" t="s">
        <v>5158</v>
      </c>
      <c r="B478" s="4">
        <v>44283</v>
      </c>
      <c r="C478" s="2" t="s">
        <v>5159</v>
      </c>
      <c r="D478" t="s">
        <v>6139</v>
      </c>
      <c r="E478" s="2">
        <v>5</v>
      </c>
      <c r="F478" s="2" t="str">
        <f>_xlfn.XLOOKUP(C478,customers!$A$1:$A$1001,customers!$B$1:$B$1001,,0)</f>
        <v>Kandy Heddan</v>
      </c>
      <c r="G478" s="2" t="str">
        <f>IF(_xlfn.XLOOKUP(C478,customers!$A$1:$A$1001,customers!$C$1:$C$1001,,0)=0,"",_xlfn.XLOOKUP(C478,customers!$A$1:$A$1001,customers!$C$1:$C$1001,,0))</f>
        <v>kheddanmy@icq.com</v>
      </c>
      <c r="H478" s="2" t="str">
        <f>_xlfn.XLOOKUP(C478,customers!$A$1:$A$1001,customers!$G$1:$G$1001,,0)</f>
        <v>United States</v>
      </c>
      <c r="I478" t="str">
        <f>INDEX(products!$A$1:$G$49, MATCH(orders!$D828,products!$A$1:$A875,0), MATCH(orders!I$1,products!$A$1:$G$1,0))</f>
        <v>Exc</v>
      </c>
      <c r="J478" t="str">
        <f>INDEX(products!$A$1:$G$49, MATCH(orders!$D828,products!$A$1:$A875,0), MATCH(orders!J$1,products!$A$1:$G$1,0))</f>
        <v>M</v>
      </c>
      <c r="K478" s="5">
        <f>INDEX(products!$A$1:$G$49, MATCH(orders!$D828,products!$A$1:$A875,0), MATCH(orders!K$1,products!$A$1:$G$1,0))</f>
        <v>0.5</v>
      </c>
      <c r="L478" s="6">
        <f>INDEX(products!$A$1:$G$49, MATCH(orders!$D828,products!$A$1:$A875,0), MATCH(orders!L$1,products!$A$1:$G$1,0))</f>
        <v>8.25</v>
      </c>
      <c r="M478" s="6">
        <f t="shared" si="21"/>
        <v>41.25</v>
      </c>
      <c r="N478" t="str">
        <f t="shared" si="22"/>
        <v>Excelsa</v>
      </c>
      <c r="O478" t="str">
        <f t="shared" si="23"/>
        <v>Medium</v>
      </c>
      <c r="P478" t="str">
        <f>_xlfn.XLOOKUP(Orders[[#This Row],[Customer ID]],customers!$A$1:$A$1001,customers!$I$1:$I$1001,,0)</f>
        <v>Yes</v>
      </c>
      <c r="Q478">
        <f>COUNTIF(Orders[Order ID],Orders[[#This Row],[Order ID]])</f>
        <v>1</v>
      </c>
      <c r="R478" s="10">
        <f>SUMIF(Orders[Order ID], Orders[[#This Row],[Order ID]],Orders[Sales])/Orders[[#This Row],[Order Frequency]]</f>
        <v>41.25</v>
      </c>
      <c r="S478" t="str">
        <f>IF(Orders[[#This Row],[Order Frequency]]&gt;4, "More than 4", IF(AND(Orders[[#This Row],[Order Frequency]]&lt;=4,Orders[[#This Row],[Order Frequency]]&gt;=2), "Between 4 and 2", "Less than 2"))</f>
        <v>Less than 2</v>
      </c>
      <c r="T478" t="str">
        <f>IF(Orders[[#This Row],[Frequency Group]]="less than 2", "Low Value", IF(Orders[[#This Row],[Frequency Group]]="between 4 and 2", "Medium Value", "High Value"))</f>
        <v>Low Value</v>
      </c>
      <c r="U478" t="str">
        <f>IF(Orders[[#This Row],[Sales]]&lt;50, "$0-50", IF(AND(Orders[[#This Row],[Sales]]&gt;=50,Orders[[#This Row],[Sales]]&lt;=100), "$50-100", IF(AND(Orders[[#This Row],[Sales]]&gt;100,Orders[[#This Row],[Sales]]&lt;=150), "$101-150", "$150+")))</f>
        <v>$0-50</v>
      </c>
      <c r="V478" t="str">
        <f>IF(Orders[[#This Row],[Sales]]&gt;MEDIAN(M:M), "High Price", "Low Price")</f>
        <v>High Price</v>
      </c>
      <c r="W478" t="str">
        <f>IF(Orders[[#This Row],[Quantity]]&gt;MEDIAN(E:E), "High Volume", "Low Volume")</f>
        <v>High Volume</v>
      </c>
      <c r="X478" t="str">
        <f>Orders[[#This Row],[Sales Tier]] &amp; "-" &amp; Orders[[#This Row],[Quantity Tier]]</f>
        <v>High Price-High Volume</v>
      </c>
      <c r="Y478" t="str">
        <f>TEXT(Orders[[#This Row],[Order Date]], "mmmm")</f>
        <v>March</v>
      </c>
      <c r="Z47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478" t="str">
        <f>Orders[[#This Row],[Coffee Type Name]] &amp; "-" &amp; Orders[[#This Row],[Roast Type Name]]</f>
        <v>Excelsa-Medium</v>
      </c>
      <c r="AB47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79" spans="1:28" x14ac:dyDescent="0.25">
      <c r="A479" s="2" t="s">
        <v>2091</v>
      </c>
      <c r="B479" s="4">
        <v>43639</v>
      </c>
      <c r="C479" s="2" t="s">
        <v>2092</v>
      </c>
      <c r="D479" t="s">
        <v>6172</v>
      </c>
      <c r="E479" s="2">
        <v>1</v>
      </c>
      <c r="F479" s="2" t="str">
        <f>_xlfn.XLOOKUP(C479,customers!$A$1:$A$1001,customers!$B$1:$B$1001,,0)</f>
        <v>Amity Chatto</v>
      </c>
      <c r="G479" s="2" t="str">
        <f>IF(_xlfn.XLOOKUP(C479,customers!$A$1:$A$1001,customers!$C$1:$C$1001,,0)=0,"",_xlfn.XLOOKUP(C479,customers!$A$1:$A$1001,customers!$C$1:$C$1001,,0))</f>
        <v>achatto7v@sakura.ne.jp</v>
      </c>
      <c r="H479" s="2" t="str">
        <f>_xlfn.XLOOKUP(C479,customers!$A$1:$A$1001,customers!$G$1:$G$1001,,0)</f>
        <v>United Kingdom</v>
      </c>
      <c r="I479" t="str">
        <f>INDEX(products!$A$1:$G$49, MATCH(orders!$D285,products!$A$1:$A332,0), MATCH(orders!I$1,products!$A$1:$G$1,0))</f>
        <v>Rob</v>
      </c>
      <c r="J479" t="str">
        <f>INDEX(products!$A$1:$G$49, MATCH(orders!$D285,products!$A$1:$A332,0), MATCH(orders!J$1,products!$A$1:$G$1,0))</f>
        <v>D</v>
      </c>
      <c r="K479" s="5">
        <f>INDEX(products!$A$1:$G$49, MATCH(orders!$D285,products!$A$1:$A332,0), MATCH(orders!K$1,products!$A$1:$G$1,0))</f>
        <v>0.5</v>
      </c>
      <c r="L479" s="6">
        <f>INDEX(products!$A$1:$G$49, MATCH(orders!$D285,products!$A$1:$A332,0), MATCH(orders!L$1,products!$A$1:$G$1,0))</f>
        <v>5.3699999999999992</v>
      </c>
      <c r="M479" s="6">
        <f t="shared" si="21"/>
        <v>5.3699999999999992</v>
      </c>
      <c r="N479" t="str">
        <f t="shared" si="22"/>
        <v>Robusta</v>
      </c>
      <c r="O479" t="str">
        <f t="shared" si="23"/>
        <v>Dark</v>
      </c>
      <c r="P479" t="str">
        <f>_xlfn.XLOOKUP(Orders[[#This Row],[Customer ID]],customers!$A$1:$A$1001,customers!$I$1:$I$1001,,0)</f>
        <v>Yes</v>
      </c>
      <c r="Q479">
        <f>COUNTIF(Orders[Order ID],Orders[[#This Row],[Order ID]])</f>
        <v>1</v>
      </c>
      <c r="R479" s="10">
        <f>SUMIF(Orders[Order ID], Orders[[#This Row],[Order ID]],Orders[Sales])/Orders[[#This Row],[Order Frequency]]</f>
        <v>5.3699999999999992</v>
      </c>
      <c r="S479" t="str">
        <f>IF(Orders[[#This Row],[Order Frequency]]&gt;4, "More than 4", IF(AND(Orders[[#This Row],[Order Frequency]]&lt;=4,Orders[[#This Row],[Order Frequency]]&gt;=2), "Between 4 and 2", "Less than 2"))</f>
        <v>Less than 2</v>
      </c>
      <c r="T479" t="str">
        <f>IF(Orders[[#This Row],[Frequency Group]]="less than 2", "Low Value", IF(Orders[[#This Row],[Frequency Group]]="between 4 and 2", "Medium Value", "High Value"))</f>
        <v>Low Value</v>
      </c>
      <c r="U479" t="str">
        <f>IF(Orders[[#This Row],[Sales]]&lt;50, "$0-50", IF(AND(Orders[[#This Row],[Sales]]&gt;=50,Orders[[#This Row],[Sales]]&lt;=100), "$50-100", IF(AND(Orders[[#This Row],[Sales]]&gt;100,Orders[[#This Row],[Sales]]&lt;=150), "$101-150", "$150+")))</f>
        <v>$0-50</v>
      </c>
      <c r="V479" t="str">
        <f>IF(Orders[[#This Row],[Sales]]&gt;MEDIAN(M:M), "High Price", "Low Price")</f>
        <v>Low Price</v>
      </c>
      <c r="W479" t="str">
        <f>IF(Orders[[#This Row],[Quantity]]&gt;MEDIAN(E:E), "High Volume", "Low Volume")</f>
        <v>Low Volume</v>
      </c>
      <c r="X479" t="str">
        <f>Orders[[#This Row],[Sales Tier]] &amp; "-" &amp; Orders[[#This Row],[Quantity Tier]]</f>
        <v>Low Price-Low Volume</v>
      </c>
      <c r="Y479" t="str">
        <f>TEXT(Orders[[#This Row],[Order Date]], "mmmm")</f>
        <v>June</v>
      </c>
      <c r="Z47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79" t="str">
        <f>Orders[[#This Row],[Coffee Type Name]] &amp; "-" &amp; Orders[[#This Row],[Roast Type Name]]</f>
        <v>Robusta-Dark</v>
      </c>
      <c r="AB47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480" spans="1:28" x14ac:dyDescent="0.25">
      <c r="A480" s="2" t="s">
        <v>2341</v>
      </c>
      <c r="B480" s="4">
        <v>43620</v>
      </c>
      <c r="C480" s="2" t="s">
        <v>2342</v>
      </c>
      <c r="D480" t="s">
        <v>6161</v>
      </c>
      <c r="E480" s="2">
        <v>4</v>
      </c>
      <c r="F480" s="2" t="str">
        <f>_xlfn.XLOOKUP(C480,customers!$A$1:$A$1001,customers!$B$1:$B$1001,,0)</f>
        <v>Homer Dulany</v>
      </c>
      <c r="G480" s="2" t="str">
        <f>IF(_xlfn.XLOOKUP(C480,customers!$A$1:$A$1001,customers!$C$1:$C$1001,,0)=0,"",_xlfn.XLOOKUP(C480,customers!$A$1:$A$1001,customers!$C$1:$C$1001,,0))</f>
        <v/>
      </c>
      <c r="H480" s="2" t="str">
        <f>_xlfn.XLOOKUP(C480,customers!$A$1:$A$1001,customers!$G$1:$G$1001,,0)</f>
        <v>United States</v>
      </c>
      <c r="I480" t="str">
        <f>INDEX(products!$A$1:$G$49, MATCH(orders!$D330,products!$A$1:$A377,0), MATCH(orders!I$1,products!$A$1:$G$1,0))</f>
        <v>Lib</v>
      </c>
      <c r="J480" t="str">
        <f>INDEX(products!$A$1:$G$49, MATCH(orders!$D330,products!$A$1:$A377,0), MATCH(orders!J$1,products!$A$1:$G$1,0))</f>
        <v>L</v>
      </c>
      <c r="K480" s="5">
        <f>INDEX(products!$A$1:$G$49, MATCH(orders!$D330,products!$A$1:$A377,0), MATCH(orders!K$1,products!$A$1:$G$1,0))</f>
        <v>0.5</v>
      </c>
      <c r="L480" s="6">
        <f>INDEX(products!$A$1:$G$49, MATCH(orders!$D330,products!$A$1:$A377,0), MATCH(orders!L$1,products!$A$1:$G$1,0))</f>
        <v>9.51</v>
      </c>
      <c r="M480" s="6">
        <f t="shared" si="21"/>
        <v>38.04</v>
      </c>
      <c r="N480" t="str">
        <f t="shared" si="22"/>
        <v>Liberica</v>
      </c>
      <c r="O480" t="str">
        <f t="shared" si="23"/>
        <v>Light</v>
      </c>
      <c r="P480" t="str">
        <f>_xlfn.XLOOKUP(Orders[[#This Row],[Customer ID]],customers!$A$1:$A$1001,customers!$I$1:$I$1001,,0)</f>
        <v>Yes</v>
      </c>
      <c r="Q480">
        <f>COUNTIF(Orders[Order ID],Orders[[#This Row],[Order ID]])</f>
        <v>1</v>
      </c>
      <c r="R480" s="10">
        <f>SUMIF(Orders[Order ID], Orders[[#This Row],[Order ID]],Orders[Sales])/Orders[[#This Row],[Order Frequency]]</f>
        <v>38.04</v>
      </c>
      <c r="S480" t="str">
        <f>IF(Orders[[#This Row],[Order Frequency]]&gt;4, "More than 4", IF(AND(Orders[[#This Row],[Order Frequency]]&lt;=4,Orders[[#This Row],[Order Frequency]]&gt;=2), "Between 4 and 2", "Less than 2"))</f>
        <v>Less than 2</v>
      </c>
      <c r="T480" t="str">
        <f>IF(Orders[[#This Row],[Frequency Group]]="less than 2", "Low Value", IF(Orders[[#This Row],[Frequency Group]]="between 4 and 2", "Medium Value", "High Value"))</f>
        <v>Low Value</v>
      </c>
      <c r="U480" t="str">
        <f>IF(Orders[[#This Row],[Sales]]&lt;50, "$0-50", IF(AND(Orders[[#This Row],[Sales]]&gt;=50,Orders[[#This Row],[Sales]]&lt;=100), "$50-100", IF(AND(Orders[[#This Row],[Sales]]&gt;100,Orders[[#This Row],[Sales]]&lt;=150), "$101-150", "$150+")))</f>
        <v>$0-50</v>
      </c>
      <c r="V480" t="str">
        <f>IF(Orders[[#This Row],[Sales]]&gt;MEDIAN(M:M), "High Price", "Low Price")</f>
        <v>High Price</v>
      </c>
      <c r="W480" t="str">
        <f>IF(Orders[[#This Row],[Quantity]]&gt;MEDIAN(E:E), "High Volume", "Low Volume")</f>
        <v>Low Volume</v>
      </c>
      <c r="X480" t="str">
        <f>Orders[[#This Row],[Sales Tier]] &amp; "-" &amp; Orders[[#This Row],[Quantity Tier]]</f>
        <v>High Price-Low Volume</v>
      </c>
      <c r="Y480" t="str">
        <f>TEXT(Orders[[#This Row],[Order Date]], "mmmm")</f>
        <v>June</v>
      </c>
      <c r="Z48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80" t="str">
        <f>Orders[[#This Row],[Coffee Type Name]] &amp; "-" &amp; Orders[[#This Row],[Roast Type Name]]</f>
        <v>Liberica-Light</v>
      </c>
      <c r="AB48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481" spans="1:28" x14ac:dyDescent="0.25">
      <c r="A481" s="2" t="s">
        <v>1129</v>
      </c>
      <c r="B481" s="4">
        <v>44265</v>
      </c>
      <c r="C481" s="2" t="s">
        <v>1130</v>
      </c>
      <c r="D481" t="s">
        <v>6178</v>
      </c>
      <c r="E481" s="2">
        <v>4</v>
      </c>
      <c r="F481" s="2" t="str">
        <f>_xlfn.XLOOKUP(C481,customers!$A$1:$A$1001,customers!$B$1:$B$1001,,0)</f>
        <v>Carmina Hubbuck</v>
      </c>
      <c r="G481" s="2" t="str">
        <f>IF(_xlfn.XLOOKUP(C481,customers!$A$1:$A$1001,customers!$C$1:$C$1001,,0)=0,"",_xlfn.XLOOKUP(C481,customers!$A$1:$A$1001,customers!$C$1:$C$1001,,0))</f>
        <v/>
      </c>
      <c r="H481" s="2" t="str">
        <f>_xlfn.XLOOKUP(C481,customers!$A$1:$A$1001,customers!$G$1:$G$1001,,0)</f>
        <v>United States</v>
      </c>
      <c r="I481" t="str">
        <f>INDEX(products!$A$1:$G$49, MATCH(orders!$D116,products!$A$1:$A163,0), MATCH(orders!I$1,products!$A$1:$G$1,0))</f>
        <v>Rob</v>
      </c>
      <c r="J481" t="str">
        <f>INDEX(products!$A$1:$G$49, MATCH(orders!$D116,products!$A$1:$A163,0), MATCH(orders!J$1,products!$A$1:$G$1,0))</f>
        <v>L</v>
      </c>
      <c r="K481" s="5">
        <f>INDEX(products!$A$1:$G$49, MATCH(orders!$D116,products!$A$1:$A163,0), MATCH(orders!K$1,products!$A$1:$G$1,0))</f>
        <v>0.2</v>
      </c>
      <c r="L481" s="6">
        <f>INDEX(products!$A$1:$G$49, MATCH(orders!$D116,products!$A$1:$A163,0), MATCH(orders!L$1,products!$A$1:$G$1,0))</f>
        <v>3.5849999999999995</v>
      </c>
      <c r="M481" s="6">
        <f t="shared" si="21"/>
        <v>14.339999999999998</v>
      </c>
      <c r="N481" t="str">
        <f t="shared" si="22"/>
        <v>Robusta</v>
      </c>
      <c r="O481" t="str">
        <f t="shared" si="23"/>
        <v>Light</v>
      </c>
      <c r="P481" t="str">
        <f>_xlfn.XLOOKUP(Orders[[#This Row],[Customer ID]],customers!$A$1:$A$1001,customers!$I$1:$I$1001,,0)</f>
        <v>No</v>
      </c>
      <c r="Q481">
        <f>COUNTIF(Orders[Order ID],Orders[[#This Row],[Order ID]])</f>
        <v>1</v>
      </c>
      <c r="R481" s="10">
        <f>SUMIF(Orders[Order ID], Orders[[#This Row],[Order ID]],Orders[Sales])/Orders[[#This Row],[Order Frequency]]</f>
        <v>14.339999999999998</v>
      </c>
      <c r="S481" t="str">
        <f>IF(Orders[[#This Row],[Order Frequency]]&gt;4, "More than 4", IF(AND(Orders[[#This Row],[Order Frequency]]&lt;=4,Orders[[#This Row],[Order Frequency]]&gt;=2), "Between 4 and 2", "Less than 2"))</f>
        <v>Less than 2</v>
      </c>
      <c r="T481" t="str">
        <f>IF(Orders[[#This Row],[Frequency Group]]="less than 2", "Low Value", IF(Orders[[#This Row],[Frequency Group]]="between 4 and 2", "Medium Value", "High Value"))</f>
        <v>Low Value</v>
      </c>
      <c r="U481" t="str">
        <f>IF(Orders[[#This Row],[Sales]]&lt;50, "$0-50", IF(AND(Orders[[#This Row],[Sales]]&gt;=50,Orders[[#This Row],[Sales]]&lt;=100), "$50-100", IF(AND(Orders[[#This Row],[Sales]]&gt;100,Orders[[#This Row],[Sales]]&lt;=150), "$101-150", "$150+")))</f>
        <v>$0-50</v>
      </c>
      <c r="V481" t="str">
        <f>IF(Orders[[#This Row],[Sales]]&gt;MEDIAN(M:M), "High Price", "Low Price")</f>
        <v>Low Price</v>
      </c>
      <c r="W481" t="str">
        <f>IF(Orders[[#This Row],[Quantity]]&gt;MEDIAN(E:E), "High Volume", "Low Volume")</f>
        <v>Low Volume</v>
      </c>
      <c r="X481" t="str">
        <f>Orders[[#This Row],[Sales Tier]] &amp; "-" &amp; Orders[[#This Row],[Quantity Tier]]</f>
        <v>Low Price-Low Volume</v>
      </c>
      <c r="Y481" t="str">
        <f>TEXT(Orders[[#This Row],[Order Date]], "mmmm")</f>
        <v>March</v>
      </c>
      <c r="Z48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481" t="str">
        <f>Orders[[#This Row],[Coffee Type Name]] &amp; "-" &amp; Orders[[#This Row],[Roast Type Name]]</f>
        <v>Robusta-Light</v>
      </c>
      <c r="AB48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82" spans="1:28" x14ac:dyDescent="0.25">
      <c r="A482" s="2" t="s">
        <v>1946</v>
      </c>
      <c r="B482" s="4">
        <v>44513</v>
      </c>
      <c r="C482" s="2" t="s">
        <v>1947</v>
      </c>
      <c r="D482" t="s">
        <v>6185</v>
      </c>
      <c r="E482" s="2">
        <v>5</v>
      </c>
      <c r="F482" s="2" t="str">
        <f>_xlfn.XLOOKUP(C482,customers!$A$1:$A$1001,customers!$B$1:$B$1001,,0)</f>
        <v>Cobby Cromwell</v>
      </c>
      <c r="G482" s="2" t="str">
        <f>IF(_xlfn.XLOOKUP(C482,customers!$A$1:$A$1001,customers!$C$1:$C$1001,,0)=0,"",_xlfn.XLOOKUP(C482,customers!$A$1:$A$1001,customers!$C$1:$C$1001,,0))</f>
        <v>ccromwell76@desdev.cn</v>
      </c>
      <c r="H482" s="2" t="str">
        <f>_xlfn.XLOOKUP(C482,customers!$A$1:$A$1001,customers!$G$1:$G$1001,,0)</f>
        <v>United States</v>
      </c>
      <c r="I482" t="str">
        <f>INDEX(products!$A$1:$G$49, MATCH(orders!$D260,products!$A$1:$A307,0), MATCH(orders!I$1,products!$A$1:$G$1,0))</f>
        <v>Exc</v>
      </c>
      <c r="J482" t="str">
        <f>INDEX(products!$A$1:$G$49, MATCH(orders!$D260,products!$A$1:$A307,0), MATCH(orders!J$1,products!$A$1:$G$1,0))</f>
        <v>D</v>
      </c>
      <c r="K482" s="5">
        <f>INDEX(products!$A$1:$G$49, MATCH(orders!$D260,products!$A$1:$A307,0), MATCH(orders!K$1,products!$A$1:$G$1,0))</f>
        <v>2.5</v>
      </c>
      <c r="L482" s="6">
        <f>INDEX(products!$A$1:$G$49, MATCH(orders!$D260,products!$A$1:$A307,0), MATCH(orders!L$1,products!$A$1:$G$1,0))</f>
        <v>27.945</v>
      </c>
      <c r="M482" s="6">
        <f t="shared" si="21"/>
        <v>139.72499999999999</v>
      </c>
      <c r="N482" t="str">
        <f t="shared" si="22"/>
        <v>Excelsa</v>
      </c>
      <c r="O482" t="str">
        <f t="shared" si="23"/>
        <v>Dark</v>
      </c>
      <c r="P482" t="str">
        <f>_xlfn.XLOOKUP(Orders[[#This Row],[Customer ID]],customers!$A$1:$A$1001,customers!$I$1:$I$1001,,0)</f>
        <v>No</v>
      </c>
      <c r="Q482">
        <f>COUNTIF(Orders[Order ID],Orders[[#This Row],[Order ID]])</f>
        <v>1</v>
      </c>
      <c r="R482" s="10">
        <f>SUMIF(Orders[Order ID], Orders[[#This Row],[Order ID]],Orders[Sales])/Orders[[#This Row],[Order Frequency]]</f>
        <v>139.72499999999999</v>
      </c>
      <c r="S482" t="str">
        <f>IF(Orders[[#This Row],[Order Frequency]]&gt;4, "More than 4", IF(AND(Orders[[#This Row],[Order Frequency]]&lt;=4,Orders[[#This Row],[Order Frequency]]&gt;=2), "Between 4 and 2", "Less than 2"))</f>
        <v>Less than 2</v>
      </c>
      <c r="T482" t="str">
        <f>IF(Orders[[#This Row],[Frequency Group]]="less than 2", "Low Value", IF(Orders[[#This Row],[Frequency Group]]="between 4 and 2", "Medium Value", "High Value"))</f>
        <v>Low Value</v>
      </c>
      <c r="U482" t="str">
        <f>IF(Orders[[#This Row],[Sales]]&lt;50, "$0-50", IF(AND(Orders[[#This Row],[Sales]]&gt;=50,Orders[[#This Row],[Sales]]&lt;=100), "$50-100", IF(AND(Orders[[#This Row],[Sales]]&gt;100,Orders[[#This Row],[Sales]]&lt;=150), "$101-150", "$150+")))</f>
        <v>$101-150</v>
      </c>
      <c r="V482" t="str">
        <f>IF(Orders[[#This Row],[Sales]]&gt;MEDIAN(M:M), "High Price", "Low Price")</f>
        <v>High Price</v>
      </c>
      <c r="W482" t="str">
        <f>IF(Orders[[#This Row],[Quantity]]&gt;MEDIAN(E:E), "High Volume", "Low Volume")</f>
        <v>High Volume</v>
      </c>
      <c r="X482" t="str">
        <f>Orders[[#This Row],[Sales Tier]] &amp; "-" &amp; Orders[[#This Row],[Quantity Tier]]</f>
        <v>High Price-High Volume</v>
      </c>
      <c r="Y482" t="str">
        <f>TEXT(Orders[[#This Row],[Order Date]], "mmmm")</f>
        <v>November</v>
      </c>
      <c r="Z48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482" t="str">
        <f>Orders[[#This Row],[Coffee Type Name]] &amp; "-" &amp; Orders[[#This Row],[Roast Type Name]]</f>
        <v>Excelsa-Dark</v>
      </c>
      <c r="AB48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483" spans="1:28" x14ac:dyDescent="0.25">
      <c r="A483" s="2" t="s">
        <v>1878</v>
      </c>
      <c r="B483" s="4">
        <v>44542</v>
      </c>
      <c r="C483" s="2" t="s">
        <v>1879</v>
      </c>
      <c r="D483" t="s">
        <v>6143</v>
      </c>
      <c r="E483" s="2">
        <v>3</v>
      </c>
      <c r="F483" s="2" t="str">
        <f>_xlfn.XLOOKUP(C483,customers!$A$1:$A$1001,customers!$B$1:$B$1001,,0)</f>
        <v>Georgena Bentjens</v>
      </c>
      <c r="G483" s="2" t="str">
        <f>IF(_xlfn.XLOOKUP(C483,customers!$A$1:$A$1001,customers!$C$1:$C$1001,,0)=0,"",_xlfn.XLOOKUP(C483,customers!$A$1:$A$1001,customers!$C$1:$C$1001,,0))</f>
        <v>gbentjens6u@netlog.com</v>
      </c>
      <c r="H483" s="2" t="str">
        <f>_xlfn.XLOOKUP(C483,customers!$A$1:$A$1001,customers!$G$1:$G$1001,,0)</f>
        <v>United Kingdom</v>
      </c>
      <c r="I483" t="str">
        <f>INDEX(products!$A$1:$G$49, MATCH(orders!$D248,products!$A$1:$A295,0), MATCH(orders!I$1,products!$A$1:$G$1,0))</f>
        <v>Lib</v>
      </c>
      <c r="J483" t="str">
        <f>INDEX(products!$A$1:$G$49, MATCH(orders!$D248,products!$A$1:$A295,0), MATCH(orders!J$1,products!$A$1:$G$1,0))</f>
        <v>D</v>
      </c>
      <c r="K483" s="5">
        <f>INDEX(products!$A$1:$G$49, MATCH(orders!$D248,products!$A$1:$A295,0), MATCH(orders!K$1,products!$A$1:$G$1,0))</f>
        <v>1</v>
      </c>
      <c r="L483" s="6">
        <f>INDEX(products!$A$1:$G$49, MATCH(orders!$D248,products!$A$1:$A295,0), MATCH(orders!L$1,products!$A$1:$G$1,0))</f>
        <v>12.95</v>
      </c>
      <c r="M483" s="6">
        <f t="shared" si="21"/>
        <v>38.849999999999994</v>
      </c>
      <c r="N483" t="str">
        <f t="shared" si="22"/>
        <v>Liberica</v>
      </c>
      <c r="O483" t="str">
        <f t="shared" si="23"/>
        <v>Dark</v>
      </c>
      <c r="P483" t="str">
        <f>_xlfn.XLOOKUP(Orders[[#This Row],[Customer ID]],customers!$A$1:$A$1001,customers!$I$1:$I$1001,,0)</f>
        <v>No</v>
      </c>
      <c r="Q483">
        <f>COUNTIF(Orders[Order ID],Orders[[#This Row],[Order ID]])</f>
        <v>1</v>
      </c>
      <c r="R483" s="10">
        <f>SUMIF(Orders[Order ID], Orders[[#This Row],[Order ID]],Orders[Sales])/Orders[[#This Row],[Order Frequency]]</f>
        <v>38.849999999999994</v>
      </c>
      <c r="S483" t="str">
        <f>IF(Orders[[#This Row],[Order Frequency]]&gt;4, "More than 4", IF(AND(Orders[[#This Row],[Order Frequency]]&lt;=4,Orders[[#This Row],[Order Frequency]]&gt;=2), "Between 4 and 2", "Less than 2"))</f>
        <v>Less than 2</v>
      </c>
      <c r="T483" t="str">
        <f>IF(Orders[[#This Row],[Frequency Group]]="less than 2", "Low Value", IF(Orders[[#This Row],[Frequency Group]]="between 4 and 2", "Medium Value", "High Value"))</f>
        <v>Low Value</v>
      </c>
      <c r="U483" t="str">
        <f>IF(Orders[[#This Row],[Sales]]&lt;50, "$0-50", IF(AND(Orders[[#This Row],[Sales]]&gt;=50,Orders[[#This Row],[Sales]]&lt;=100), "$50-100", IF(AND(Orders[[#This Row],[Sales]]&gt;100,Orders[[#This Row],[Sales]]&lt;=150), "$101-150", "$150+")))</f>
        <v>$0-50</v>
      </c>
      <c r="V483" t="str">
        <f>IF(Orders[[#This Row],[Sales]]&gt;MEDIAN(M:M), "High Price", "Low Price")</f>
        <v>High Price</v>
      </c>
      <c r="W483" t="str">
        <f>IF(Orders[[#This Row],[Quantity]]&gt;MEDIAN(E:E), "High Volume", "Low Volume")</f>
        <v>Low Volume</v>
      </c>
      <c r="X483" t="str">
        <f>Orders[[#This Row],[Sales Tier]] &amp; "-" &amp; Orders[[#This Row],[Quantity Tier]]</f>
        <v>High Price-Low Volume</v>
      </c>
      <c r="Y483" t="str">
        <f>TEXT(Orders[[#This Row],[Order Date]], "mmmm")</f>
        <v>December</v>
      </c>
      <c r="Z48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483" t="str">
        <f>Orders[[#This Row],[Coffee Type Name]] &amp; "-" &amp; Orders[[#This Row],[Roast Type Name]]</f>
        <v>Liberica-Dark</v>
      </c>
      <c r="AB48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484" spans="1:28" x14ac:dyDescent="0.25">
      <c r="A484" s="2" t="s">
        <v>4139</v>
      </c>
      <c r="B484" s="4">
        <v>44532</v>
      </c>
      <c r="C484" s="2" t="s">
        <v>4140</v>
      </c>
      <c r="D484" t="s">
        <v>6147</v>
      </c>
      <c r="E484" s="2">
        <v>1</v>
      </c>
      <c r="F484" s="2" t="str">
        <f>_xlfn.XLOOKUP(C484,customers!$A$1:$A$1001,customers!$B$1:$B$1001,,0)</f>
        <v>Dottie Rallin</v>
      </c>
      <c r="G484" s="2" t="str">
        <f>IF(_xlfn.XLOOKUP(C484,customers!$A$1:$A$1001,customers!$C$1:$C$1001,,0)=0,"",_xlfn.XLOOKUP(C484,customers!$A$1:$A$1001,customers!$C$1:$C$1001,,0))</f>
        <v>drallinhy@howstuffworks.com</v>
      </c>
      <c r="H484" s="2" t="str">
        <f>_xlfn.XLOOKUP(C484,customers!$A$1:$A$1001,customers!$G$1:$G$1001,,0)</f>
        <v>United States</v>
      </c>
      <c r="I484" t="str">
        <f>INDEX(products!$A$1:$G$49, MATCH(orders!$D648,products!$A$1:$A695,0), MATCH(orders!I$1,products!$A$1:$G$1,0))</f>
        <v>Ara</v>
      </c>
      <c r="J484" t="str">
        <f>INDEX(products!$A$1:$G$49, MATCH(orders!$D648,products!$A$1:$A695,0), MATCH(orders!J$1,products!$A$1:$G$1,0))</f>
        <v>D</v>
      </c>
      <c r="K484" s="5">
        <f>INDEX(products!$A$1:$G$49, MATCH(orders!$D648,products!$A$1:$A695,0), MATCH(orders!K$1,products!$A$1:$G$1,0))</f>
        <v>1</v>
      </c>
      <c r="L484" s="6">
        <f>INDEX(products!$A$1:$G$49, MATCH(orders!$D648,products!$A$1:$A695,0), MATCH(orders!L$1,products!$A$1:$G$1,0))</f>
        <v>9.9499999999999993</v>
      </c>
      <c r="M484" s="6">
        <f t="shared" si="21"/>
        <v>9.9499999999999993</v>
      </c>
      <c r="N484" t="str">
        <f t="shared" si="22"/>
        <v>Arabica</v>
      </c>
      <c r="O484" t="str">
        <f t="shared" si="23"/>
        <v>Dark</v>
      </c>
      <c r="P484" t="str">
        <f>_xlfn.XLOOKUP(Orders[[#This Row],[Customer ID]],customers!$A$1:$A$1001,customers!$I$1:$I$1001,,0)</f>
        <v>Yes</v>
      </c>
      <c r="Q484">
        <f>COUNTIF(Orders[Order ID],Orders[[#This Row],[Order ID]])</f>
        <v>1</v>
      </c>
      <c r="R484" s="10">
        <f>SUMIF(Orders[Order ID], Orders[[#This Row],[Order ID]],Orders[Sales])/Orders[[#This Row],[Order Frequency]]</f>
        <v>9.9499999999999993</v>
      </c>
      <c r="S484" t="str">
        <f>IF(Orders[[#This Row],[Order Frequency]]&gt;4, "More than 4", IF(AND(Orders[[#This Row],[Order Frequency]]&lt;=4,Orders[[#This Row],[Order Frequency]]&gt;=2), "Between 4 and 2", "Less than 2"))</f>
        <v>Less than 2</v>
      </c>
      <c r="T484" t="str">
        <f>IF(Orders[[#This Row],[Frequency Group]]="less than 2", "Low Value", IF(Orders[[#This Row],[Frequency Group]]="between 4 and 2", "Medium Value", "High Value"))</f>
        <v>Low Value</v>
      </c>
      <c r="U484" t="str">
        <f>IF(Orders[[#This Row],[Sales]]&lt;50, "$0-50", IF(AND(Orders[[#This Row],[Sales]]&gt;=50,Orders[[#This Row],[Sales]]&lt;=100), "$50-100", IF(AND(Orders[[#This Row],[Sales]]&gt;100,Orders[[#This Row],[Sales]]&lt;=150), "$101-150", "$150+")))</f>
        <v>$0-50</v>
      </c>
      <c r="V484" t="str">
        <f>IF(Orders[[#This Row],[Sales]]&gt;MEDIAN(M:M), "High Price", "Low Price")</f>
        <v>Low Price</v>
      </c>
      <c r="W484" t="str">
        <f>IF(Orders[[#This Row],[Quantity]]&gt;MEDIAN(E:E), "High Volume", "Low Volume")</f>
        <v>Low Volume</v>
      </c>
      <c r="X484" t="str">
        <f>Orders[[#This Row],[Sales Tier]] &amp; "-" &amp; Orders[[#This Row],[Quantity Tier]]</f>
        <v>Low Price-Low Volume</v>
      </c>
      <c r="Y484" t="str">
        <f>TEXT(Orders[[#This Row],[Order Date]], "mmmm")</f>
        <v>December</v>
      </c>
      <c r="Z48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484" t="str">
        <f>Orders[[#This Row],[Coffee Type Name]] &amp; "-" &amp; Orders[[#This Row],[Roast Type Name]]</f>
        <v>Arabica-Dark</v>
      </c>
      <c r="AB48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485" spans="1:28" x14ac:dyDescent="0.25">
      <c r="A485" s="2" t="s">
        <v>3850</v>
      </c>
      <c r="B485" s="4">
        <v>44527</v>
      </c>
      <c r="C485" s="2" t="s">
        <v>3851</v>
      </c>
      <c r="D485" t="s">
        <v>6171</v>
      </c>
      <c r="E485" s="2">
        <v>1</v>
      </c>
      <c r="F485" s="2" t="str">
        <f>_xlfn.XLOOKUP(C485,customers!$A$1:$A$1001,customers!$B$1:$B$1001,,0)</f>
        <v>Darby Dummer</v>
      </c>
      <c r="G485" s="2" t="str">
        <f>IF(_xlfn.XLOOKUP(C485,customers!$A$1:$A$1001,customers!$C$1:$C$1001,,0)=0,"",_xlfn.XLOOKUP(C485,customers!$A$1:$A$1001,customers!$C$1:$C$1001,,0))</f>
        <v/>
      </c>
      <c r="H485" s="2" t="str">
        <f>_xlfn.XLOOKUP(C485,customers!$A$1:$A$1001,customers!$G$1:$G$1001,,0)</f>
        <v>United Kingdom</v>
      </c>
      <c r="I485" t="str">
        <f>INDEX(products!$A$1:$G$49, MATCH(orders!$D597,products!$A$1:$A644,0), MATCH(orders!I$1,products!$A$1:$G$1,0))</f>
        <v>Exc</v>
      </c>
      <c r="J485" t="str">
        <f>INDEX(products!$A$1:$G$49, MATCH(orders!$D597,products!$A$1:$A644,0), MATCH(orders!J$1,products!$A$1:$G$1,0))</f>
        <v>L</v>
      </c>
      <c r="K485" s="5">
        <f>INDEX(products!$A$1:$G$49, MATCH(orders!$D597,products!$A$1:$A644,0), MATCH(orders!K$1,products!$A$1:$G$1,0))</f>
        <v>1</v>
      </c>
      <c r="L485" s="6">
        <f>INDEX(products!$A$1:$G$49, MATCH(orders!$D597,products!$A$1:$A644,0), MATCH(orders!L$1,products!$A$1:$G$1,0))</f>
        <v>14.85</v>
      </c>
      <c r="M485" s="6">
        <f t="shared" si="21"/>
        <v>14.85</v>
      </c>
      <c r="N485" t="str">
        <f t="shared" si="22"/>
        <v>Excelsa</v>
      </c>
      <c r="O485" t="str">
        <f t="shared" si="23"/>
        <v>Light</v>
      </c>
      <c r="P485" t="str">
        <f>_xlfn.XLOOKUP(Orders[[#This Row],[Customer ID]],customers!$A$1:$A$1001,customers!$I$1:$I$1001,,0)</f>
        <v>No</v>
      </c>
      <c r="Q485">
        <f>COUNTIF(Orders[Order ID],Orders[[#This Row],[Order ID]])</f>
        <v>1</v>
      </c>
      <c r="R485" s="10">
        <f>SUMIF(Orders[Order ID], Orders[[#This Row],[Order ID]],Orders[Sales])/Orders[[#This Row],[Order Frequency]]</f>
        <v>14.85</v>
      </c>
      <c r="S485" t="str">
        <f>IF(Orders[[#This Row],[Order Frequency]]&gt;4, "More than 4", IF(AND(Orders[[#This Row],[Order Frequency]]&lt;=4,Orders[[#This Row],[Order Frequency]]&gt;=2), "Between 4 and 2", "Less than 2"))</f>
        <v>Less than 2</v>
      </c>
      <c r="T485" t="str">
        <f>IF(Orders[[#This Row],[Frequency Group]]="less than 2", "Low Value", IF(Orders[[#This Row],[Frequency Group]]="between 4 and 2", "Medium Value", "High Value"))</f>
        <v>Low Value</v>
      </c>
      <c r="U485" t="str">
        <f>IF(Orders[[#This Row],[Sales]]&lt;50, "$0-50", IF(AND(Orders[[#This Row],[Sales]]&gt;=50,Orders[[#This Row],[Sales]]&lt;=100), "$50-100", IF(AND(Orders[[#This Row],[Sales]]&gt;100,Orders[[#This Row],[Sales]]&lt;=150), "$101-150", "$150+")))</f>
        <v>$0-50</v>
      </c>
      <c r="V485" t="str">
        <f>IF(Orders[[#This Row],[Sales]]&gt;MEDIAN(M:M), "High Price", "Low Price")</f>
        <v>Low Price</v>
      </c>
      <c r="W485" t="str">
        <f>IF(Orders[[#This Row],[Quantity]]&gt;MEDIAN(E:E), "High Volume", "Low Volume")</f>
        <v>Low Volume</v>
      </c>
      <c r="X485" t="str">
        <f>Orders[[#This Row],[Sales Tier]] &amp; "-" &amp; Orders[[#This Row],[Quantity Tier]]</f>
        <v>Low Price-Low Volume</v>
      </c>
      <c r="Y485" t="str">
        <f>TEXT(Orders[[#This Row],[Order Date]], "mmmm")</f>
        <v>November</v>
      </c>
      <c r="Z48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485" t="str">
        <f>Orders[[#This Row],[Coffee Type Name]] &amp; "-" &amp; Orders[[#This Row],[Roast Type Name]]</f>
        <v>Excelsa-Light</v>
      </c>
      <c r="AB48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486" spans="1:28" x14ac:dyDescent="0.25">
      <c r="A486" s="2" t="s">
        <v>5439</v>
      </c>
      <c r="B486" s="4">
        <v>44253</v>
      </c>
      <c r="C486" s="2" t="s">
        <v>5440</v>
      </c>
      <c r="D486" t="s">
        <v>6160</v>
      </c>
      <c r="E486" s="2">
        <v>5</v>
      </c>
      <c r="F486" s="2" t="str">
        <f>_xlfn.XLOOKUP(C486,customers!$A$1:$A$1001,customers!$B$1:$B$1001,,0)</f>
        <v>Orazio Comber</v>
      </c>
      <c r="G486" s="2" t="str">
        <f>IF(_xlfn.XLOOKUP(C486,customers!$A$1:$A$1001,customers!$C$1:$C$1001,,0)=0,"",_xlfn.XLOOKUP(C486,customers!$A$1:$A$1001,customers!$C$1:$C$1001,,0))</f>
        <v>ocomberob@goo.gl</v>
      </c>
      <c r="H486" s="2" t="str">
        <f>_xlfn.XLOOKUP(C486,customers!$A$1:$A$1001,customers!$G$1:$G$1001,,0)</f>
        <v>Ireland</v>
      </c>
      <c r="I486" t="str">
        <f>INDEX(products!$A$1:$G$49, MATCH(orders!$D877,products!$A$1:$A924,0), MATCH(orders!I$1,products!$A$1:$G$1,0))</f>
        <v>Lib</v>
      </c>
      <c r="J486" t="str">
        <f>INDEX(products!$A$1:$G$49, MATCH(orders!$D877,products!$A$1:$A924,0), MATCH(orders!J$1,products!$A$1:$G$1,0))</f>
        <v>M</v>
      </c>
      <c r="K486" s="5">
        <f>INDEX(products!$A$1:$G$49, MATCH(orders!$D877,products!$A$1:$A924,0), MATCH(orders!K$1,products!$A$1:$G$1,0))</f>
        <v>0.5</v>
      </c>
      <c r="L486" s="6">
        <f>INDEX(products!$A$1:$G$49, MATCH(orders!$D877,products!$A$1:$A924,0), MATCH(orders!L$1,products!$A$1:$G$1,0))</f>
        <v>8.73</v>
      </c>
      <c r="M486" s="6">
        <f t="shared" si="21"/>
        <v>43.650000000000006</v>
      </c>
      <c r="N486" t="str">
        <f t="shared" si="22"/>
        <v>Liberica</v>
      </c>
      <c r="O486" t="str">
        <f t="shared" si="23"/>
        <v>Medium</v>
      </c>
      <c r="P486" t="str">
        <f>_xlfn.XLOOKUP(Orders[[#This Row],[Customer ID]],customers!$A$1:$A$1001,customers!$I$1:$I$1001,,0)</f>
        <v>No</v>
      </c>
      <c r="Q486">
        <f>COUNTIF(Orders[Order ID],Orders[[#This Row],[Order ID]])</f>
        <v>2</v>
      </c>
      <c r="R486" s="10">
        <f>SUMIF(Orders[Order ID], Orders[[#This Row],[Order ID]],Orders[Sales])/Orders[[#This Row],[Order Frequency]]</f>
        <v>45.135000000000005</v>
      </c>
      <c r="S486" t="str">
        <f>IF(Orders[[#This Row],[Order Frequency]]&gt;4, "More than 4", IF(AND(Orders[[#This Row],[Order Frequency]]&lt;=4,Orders[[#This Row],[Order Frequency]]&gt;=2), "Between 4 and 2", "Less than 2"))</f>
        <v>Between 4 and 2</v>
      </c>
      <c r="T486" t="str">
        <f>IF(Orders[[#This Row],[Frequency Group]]="less than 2", "Low Value", IF(Orders[[#This Row],[Frequency Group]]="between 4 and 2", "Medium Value", "High Value"))</f>
        <v>Medium Value</v>
      </c>
      <c r="U486" t="str">
        <f>IF(Orders[[#This Row],[Sales]]&lt;50, "$0-50", IF(AND(Orders[[#This Row],[Sales]]&gt;=50,Orders[[#This Row],[Sales]]&lt;=100), "$50-100", IF(AND(Orders[[#This Row],[Sales]]&gt;100,Orders[[#This Row],[Sales]]&lt;=150), "$101-150", "$150+")))</f>
        <v>$0-50</v>
      </c>
      <c r="V486" t="str">
        <f>IF(Orders[[#This Row],[Sales]]&gt;MEDIAN(M:M), "High Price", "Low Price")</f>
        <v>High Price</v>
      </c>
      <c r="W486" t="str">
        <f>IF(Orders[[#This Row],[Quantity]]&gt;MEDIAN(E:E), "High Volume", "Low Volume")</f>
        <v>High Volume</v>
      </c>
      <c r="X486" t="str">
        <f>Orders[[#This Row],[Sales Tier]] &amp; "-" &amp; Orders[[#This Row],[Quantity Tier]]</f>
        <v>High Price-High Volume</v>
      </c>
      <c r="Y486" t="str">
        <f>TEXT(Orders[[#This Row],[Order Date]], "mmmm")</f>
        <v>February</v>
      </c>
      <c r="Z48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486" t="str">
        <f>Orders[[#This Row],[Coffee Type Name]] &amp; "-" &amp; Orders[[#This Row],[Roast Type Name]]</f>
        <v>Liberica-Medium</v>
      </c>
      <c r="AB48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487" spans="1:28" x14ac:dyDescent="0.25">
      <c r="A487" s="2" t="s">
        <v>5439</v>
      </c>
      <c r="B487" s="4">
        <v>44253</v>
      </c>
      <c r="C487" s="2" t="s">
        <v>5440</v>
      </c>
      <c r="D487" t="s">
        <v>6180</v>
      </c>
      <c r="E487" s="2">
        <v>6</v>
      </c>
      <c r="F487" s="2" t="str">
        <f>_xlfn.XLOOKUP(C487,customers!$A$1:$A$1001,customers!$B$1:$B$1001,,0)</f>
        <v>Orazio Comber</v>
      </c>
      <c r="G487" s="2" t="str">
        <f>IF(_xlfn.XLOOKUP(C487,customers!$A$1:$A$1001,customers!$C$1:$C$1001,,0)=0,"",_xlfn.XLOOKUP(C487,customers!$A$1:$A$1001,customers!$C$1:$C$1001,,0))</f>
        <v>ocomberob@goo.gl</v>
      </c>
      <c r="H487" s="2" t="str">
        <f>_xlfn.XLOOKUP(C487,customers!$A$1:$A$1001,customers!$G$1:$G$1001,,0)</f>
        <v>Ireland</v>
      </c>
      <c r="I487" t="str">
        <f>INDEX(products!$A$1:$G$49, MATCH(orders!$D878,products!$A$1:$A925,0), MATCH(orders!I$1,products!$A$1:$G$1,0))</f>
        <v>Ara</v>
      </c>
      <c r="J487" t="str">
        <f>INDEX(products!$A$1:$G$49, MATCH(orders!$D878,products!$A$1:$A925,0), MATCH(orders!J$1,products!$A$1:$G$1,0))</f>
        <v>L</v>
      </c>
      <c r="K487" s="5">
        <f>INDEX(products!$A$1:$G$49, MATCH(orders!$D878,products!$A$1:$A925,0), MATCH(orders!K$1,products!$A$1:$G$1,0))</f>
        <v>0.5</v>
      </c>
      <c r="L487" s="6">
        <f>INDEX(products!$A$1:$G$49, MATCH(orders!$D878,products!$A$1:$A925,0), MATCH(orders!L$1,products!$A$1:$G$1,0))</f>
        <v>7.77</v>
      </c>
      <c r="M487" s="6">
        <f t="shared" si="21"/>
        <v>46.62</v>
      </c>
      <c r="N487" t="str">
        <f t="shared" si="22"/>
        <v>Arabica</v>
      </c>
      <c r="O487" t="str">
        <f t="shared" si="23"/>
        <v>Light</v>
      </c>
      <c r="P487" t="str">
        <f>_xlfn.XLOOKUP(Orders[[#This Row],[Customer ID]],customers!$A$1:$A$1001,customers!$I$1:$I$1001,,0)</f>
        <v>No</v>
      </c>
      <c r="Q487">
        <f>COUNTIF(Orders[Order ID],Orders[[#This Row],[Order ID]])</f>
        <v>2</v>
      </c>
      <c r="R487" s="10">
        <f>SUMIF(Orders[Order ID], Orders[[#This Row],[Order ID]],Orders[Sales])/Orders[[#This Row],[Order Frequency]]</f>
        <v>45.135000000000005</v>
      </c>
      <c r="S487" t="str">
        <f>IF(Orders[[#This Row],[Order Frequency]]&gt;4, "More than 4", IF(AND(Orders[[#This Row],[Order Frequency]]&lt;=4,Orders[[#This Row],[Order Frequency]]&gt;=2), "Between 4 and 2", "Less than 2"))</f>
        <v>Between 4 and 2</v>
      </c>
      <c r="T487" t="str">
        <f>IF(Orders[[#This Row],[Frequency Group]]="less than 2", "Low Value", IF(Orders[[#This Row],[Frequency Group]]="between 4 and 2", "Medium Value", "High Value"))</f>
        <v>Medium Value</v>
      </c>
      <c r="U487" t="str">
        <f>IF(Orders[[#This Row],[Sales]]&lt;50, "$0-50", IF(AND(Orders[[#This Row],[Sales]]&gt;=50,Orders[[#This Row],[Sales]]&lt;=100), "$50-100", IF(AND(Orders[[#This Row],[Sales]]&gt;100,Orders[[#This Row],[Sales]]&lt;=150), "$101-150", "$150+")))</f>
        <v>$0-50</v>
      </c>
      <c r="V487" t="str">
        <f>IF(Orders[[#This Row],[Sales]]&gt;MEDIAN(M:M), "High Price", "Low Price")</f>
        <v>High Price</v>
      </c>
      <c r="W487" t="str">
        <f>IF(Orders[[#This Row],[Quantity]]&gt;MEDIAN(E:E), "High Volume", "Low Volume")</f>
        <v>High Volume</v>
      </c>
      <c r="X487" t="str">
        <f>Orders[[#This Row],[Sales Tier]] &amp; "-" &amp; Orders[[#This Row],[Quantity Tier]]</f>
        <v>High Price-High Volume</v>
      </c>
      <c r="Y487" t="str">
        <f>TEXT(Orders[[#This Row],[Order Date]], "mmmm")</f>
        <v>February</v>
      </c>
      <c r="Z48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487" t="str">
        <f>Orders[[#This Row],[Coffee Type Name]] &amp; "-" &amp; Orders[[#This Row],[Roast Type Name]]</f>
        <v>Arabica-Light</v>
      </c>
      <c r="AB48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488" spans="1:28" x14ac:dyDescent="0.25">
      <c r="A488" s="2" t="s">
        <v>6030</v>
      </c>
      <c r="B488" s="4">
        <v>43982</v>
      </c>
      <c r="C488" s="2" t="s">
        <v>6031</v>
      </c>
      <c r="D488" t="s">
        <v>6185</v>
      </c>
      <c r="E488" s="2">
        <v>6</v>
      </c>
      <c r="F488" s="2" t="str">
        <f>_xlfn.XLOOKUP(C488,customers!$A$1:$A$1001,customers!$B$1:$B$1001,,0)</f>
        <v>Demetris Micheli</v>
      </c>
      <c r="G488" s="2" t="str">
        <f>IF(_xlfn.XLOOKUP(C488,customers!$A$1:$A$1001,customers!$C$1:$C$1001,,0)=0,"",_xlfn.XLOOKUP(C488,customers!$A$1:$A$1001,customers!$C$1:$C$1001,,0))</f>
        <v/>
      </c>
      <c r="H488" s="2" t="str">
        <f>_xlfn.XLOOKUP(C488,customers!$A$1:$A$1001,customers!$G$1:$G$1001,,0)</f>
        <v>United States</v>
      </c>
      <c r="I488" t="str">
        <f>INDEX(products!$A$1:$G$49, MATCH(orders!$D982,products!$A$1:$A1029,0), MATCH(orders!I$1,products!$A$1:$G$1,0))</f>
        <v>Exc</v>
      </c>
      <c r="J488" t="str">
        <f>INDEX(products!$A$1:$G$49, MATCH(orders!$D982,products!$A$1:$A1029,0), MATCH(orders!J$1,products!$A$1:$G$1,0))</f>
        <v>D</v>
      </c>
      <c r="K488" s="5">
        <f>INDEX(products!$A$1:$G$49, MATCH(orders!$D982,products!$A$1:$A1029,0), MATCH(orders!K$1,products!$A$1:$G$1,0))</f>
        <v>2.5</v>
      </c>
      <c r="L488" s="6">
        <f>INDEX(products!$A$1:$G$49, MATCH(orders!$D982,products!$A$1:$A1029,0), MATCH(orders!L$1,products!$A$1:$G$1,0))</f>
        <v>27.945</v>
      </c>
      <c r="M488" s="6">
        <f t="shared" si="21"/>
        <v>167.67000000000002</v>
      </c>
      <c r="N488" t="str">
        <f t="shared" si="22"/>
        <v>Excelsa</v>
      </c>
      <c r="O488" t="str">
        <f t="shared" si="23"/>
        <v>Dark</v>
      </c>
      <c r="P488" t="str">
        <f>_xlfn.XLOOKUP(Orders[[#This Row],[Customer ID]],customers!$A$1:$A$1001,customers!$I$1:$I$1001,,0)</f>
        <v>Yes</v>
      </c>
      <c r="Q488">
        <f>COUNTIF(Orders[Order ID],Orders[[#This Row],[Order ID]])</f>
        <v>1</v>
      </c>
      <c r="R488" s="10">
        <f>SUMIF(Orders[Order ID], Orders[[#This Row],[Order ID]],Orders[Sales])/Orders[[#This Row],[Order Frequency]]</f>
        <v>167.67000000000002</v>
      </c>
      <c r="S488" t="str">
        <f>IF(Orders[[#This Row],[Order Frequency]]&gt;4, "More than 4", IF(AND(Orders[[#This Row],[Order Frequency]]&lt;=4,Orders[[#This Row],[Order Frequency]]&gt;=2), "Between 4 and 2", "Less than 2"))</f>
        <v>Less than 2</v>
      </c>
      <c r="T488" t="str">
        <f>IF(Orders[[#This Row],[Frequency Group]]="less than 2", "Low Value", IF(Orders[[#This Row],[Frequency Group]]="between 4 and 2", "Medium Value", "High Value"))</f>
        <v>Low Value</v>
      </c>
      <c r="U488" t="str">
        <f>IF(Orders[[#This Row],[Sales]]&lt;50, "$0-50", IF(AND(Orders[[#This Row],[Sales]]&gt;=50,Orders[[#This Row],[Sales]]&lt;=100), "$50-100", IF(AND(Orders[[#This Row],[Sales]]&gt;100,Orders[[#This Row],[Sales]]&lt;=150), "$101-150", "$150+")))</f>
        <v>$150+</v>
      </c>
      <c r="V488" t="str">
        <f>IF(Orders[[#This Row],[Sales]]&gt;MEDIAN(M:M), "High Price", "Low Price")</f>
        <v>High Price</v>
      </c>
      <c r="W488" t="str">
        <f>IF(Orders[[#This Row],[Quantity]]&gt;MEDIAN(E:E), "High Volume", "Low Volume")</f>
        <v>High Volume</v>
      </c>
      <c r="X488" t="str">
        <f>Orders[[#This Row],[Sales Tier]] &amp; "-" &amp; Orders[[#This Row],[Quantity Tier]]</f>
        <v>High Price-High Volume</v>
      </c>
      <c r="Y488" t="str">
        <f>TEXT(Orders[[#This Row],[Order Date]], "mmmm")</f>
        <v>May</v>
      </c>
      <c r="Z48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88" t="str">
        <f>Orders[[#This Row],[Coffee Type Name]] &amp; "-" &amp; Orders[[#This Row],[Roast Type Name]]</f>
        <v>Excelsa-Dark</v>
      </c>
      <c r="AB48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89" spans="1:28" x14ac:dyDescent="0.25">
      <c r="A489" s="2" t="s">
        <v>1186</v>
      </c>
      <c r="B489" s="4">
        <v>43582</v>
      </c>
      <c r="C489" s="2" t="s">
        <v>1187</v>
      </c>
      <c r="D489" t="s">
        <v>6159</v>
      </c>
      <c r="E489" s="2">
        <v>5</v>
      </c>
      <c r="F489" s="2" t="str">
        <f>_xlfn.XLOOKUP(C489,customers!$A$1:$A$1001,customers!$B$1:$B$1001,,0)</f>
        <v>Stanford Rodliff</v>
      </c>
      <c r="G489" s="2" t="str">
        <f>IF(_xlfn.XLOOKUP(C489,customers!$A$1:$A$1001,customers!$C$1:$C$1001,,0)=0,"",_xlfn.XLOOKUP(C489,customers!$A$1:$A$1001,customers!$C$1:$C$1001,,0))</f>
        <v>srodliff3g@ted.com</v>
      </c>
      <c r="H489" s="2" t="str">
        <f>_xlfn.XLOOKUP(C489,customers!$A$1:$A$1001,customers!$G$1:$G$1001,,0)</f>
        <v>United States</v>
      </c>
      <c r="I489" t="str">
        <f>INDEX(products!$A$1:$G$49, MATCH(orders!$D126,products!$A$1:$A173,0), MATCH(orders!I$1,products!$A$1:$G$1,0))</f>
        <v>Lib</v>
      </c>
      <c r="J489" t="str">
        <f>INDEX(products!$A$1:$G$49, MATCH(orders!$D126,products!$A$1:$A173,0), MATCH(orders!J$1,products!$A$1:$G$1,0))</f>
        <v>M</v>
      </c>
      <c r="K489" s="5">
        <f>INDEX(products!$A$1:$G$49, MATCH(orders!$D126,products!$A$1:$A173,0), MATCH(orders!K$1,products!$A$1:$G$1,0))</f>
        <v>0.2</v>
      </c>
      <c r="L489" s="6">
        <f>INDEX(products!$A$1:$G$49, MATCH(orders!$D126,products!$A$1:$A173,0), MATCH(orders!L$1,products!$A$1:$G$1,0))</f>
        <v>4.3650000000000002</v>
      </c>
      <c r="M489" s="6">
        <f t="shared" si="21"/>
        <v>21.825000000000003</v>
      </c>
      <c r="N489" t="str">
        <f t="shared" si="22"/>
        <v>Liberica</v>
      </c>
      <c r="O489" t="str">
        <f t="shared" si="23"/>
        <v>Medium</v>
      </c>
      <c r="P489" t="str">
        <f>_xlfn.XLOOKUP(Orders[[#This Row],[Customer ID]],customers!$A$1:$A$1001,customers!$I$1:$I$1001,,0)</f>
        <v>Yes</v>
      </c>
      <c r="Q489">
        <f>COUNTIF(Orders[Order ID],Orders[[#This Row],[Order ID]])</f>
        <v>1</v>
      </c>
      <c r="R489" s="10">
        <f>SUMIF(Orders[Order ID], Orders[[#This Row],[Order ID]],Orders[Sales])/Orders[[#This Row],[Order Frequency]]</f>
        <v>21.825000000000003</v>
      </c>
      <c r="S489" t="str">
        <f>IF(Orders[[#This Row],[Order Frequency]]&gt;4, "More than 4", IF(AND(Orders[[#This Row],[Order Frequency]]&lt;=4,Orders[[#This Row],[Order Frequency]]&gt;=2), "Between 4 and 2", "Less than 2"))</f>
        <v>Less than 2</v>
      </c>
      <c r="T489" t="str">
        <f>IF(Orders[[#This Row],[Frequency Group]]="less than 2", "Low Value", IF(Orders[[#This Row],[Frequency Group]]="between 4 and 2", "Medium Value", "High Value"))</f>
        <v>Low Value</v>
      </c>
      <c r="U489" t="str">
        <f>IF(Orders[[#This Row],[Sales]]&lt;50, "$0-50", IF(AND(Orders[[#This Row],[Sales]]&gt;=50,Orders[[#This Row],[Sales]]&lt;=100), "$50-100", IF(AND(Orders[[#This Row],[Sales]]&gt;100,Orders[[#This Row],[Sales]]&lt;=150), "$101-150", "$150+")))</f>
        <v>$0-50</v>
      </c>
      <c r="V489" t="str">
        <f>IF(Orders[[#This Row],[Sales]]&gt;MEDIAN(M:M), "High Price", "Low Price")</f>
        <v>Low Price</v>
      </c>
      <c r="W489" t="str">
        <f>IF(Orders[[#This Row],[Quantity]]&gt;MEDIAN(E:E), "High Volume", "Low Volume")</f>
        <v>High Volume</v>
      </c>
      <c r="X489" t="str">
        <f>Orders[[#This Row],[Sales Tier]] &amp; "-" &amp; Orders[[#This Row],[Quantity Tier]]</f>
        <v>Low Price-High Volume</v>
      </c>
      <c r="Y489" t="str">
        <f>TEXT(Orders[[#This Row],[Order Date]], "mmmm")</f>
        <v>April</v>
      </c>
      <c r="Z48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89" t="str">
        <f>Orders[[#This Row],[Coffee Type Name]] &amp; "-" &amp; Orders[[#This Row],[Roast Type Name]]</f>
        <v>Liberica-Medium</v>
      </c>
      <c r="AB48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90" spans="1:28" x14ac:dyDescent="0.25">
      <c r="A490" s="2" t="s">
        <v>1140</v>
      </c>
      <c r="B490" s="4">
        <v>44054</v>
      </c>
      <c r="C490" s="2" t="s">
        <v>1141</v>
      </c>
      <c r="D490" t="s">
        <v>6145</v>
      </c>
      <c r="E490" s="2">
        <v>4</v>
      </c>
      <c r="F490" s="2" t="str">
        <f>_xlfn.XLOOKUP(C490,customers!$A$1:$A$1001,customers!$B$1:$B$1001,,0)</f>
        <v>Geneva Standley</v>
      </c>
      <c r="G490" s="2" t="str">
        <f>IF(_xlfn.XLOOKUP(C490,customers!$A$1:$A$1001,customers!$C$1:$C$1001,,0)=0,"",_xlfn.XLOOKUP(C490,customers!$A$1:$A$1001,customers!$C$1:$C$1001,,0))</f>
        <v>gstandley38@dion.ne.jp</v>
      </c>
      <c r="H490" s="2" t="str">
        <f>_xlfn.XLOOKUP(C490,customers!$A$1:$A$1001,customers!$G$1:$G$1001,,0)</f>
        <v>Ireland</v>
      </c>
      <c r="I490" t="str">
        <f>INDEX(products!$A$1:$G$49, MATCH(orders!$D118,products!$A$1:$A165,0), MATCH(orders!I$1,products!$A$1:$G$1,0))</f>
        <v>Lib</v>
      </c>
      <c r="J490" t="str">
        <f>INDEX(products!$A$1:$G$49, MATCH(orders!$D118,products!$A$1:$A165,0), MATCH(orders!J$1,products!$A$1:$G$1,0))</f>
        <v>L</v>
      </c>
      <c r="K490" s="5">
        <f>INDEX(products!$A$1:$G$49, MATCH(orders!$D118,products!$A$1:$A165,0), MATCH(orders!K$1,products!$A$1:$G$1,0))</f>
        <v>0.2</v>
      </c>
      <c r="L490" s="6">
        <f>INDEX(products!$A$1:$G$49, MATCH(orders!$D118,products!$A$1:$A165,0), MATCH(orders!L$1,products!$A$1:$G$1,0))</f>
        <v>4.7549999999999999</v>
      </c>
      <c r="M490" s="6">
        <f t="shared" si="21"/>
        <v>19.02</v>
      </c>
      <c r="N490" t="str">
        <f t="shared" si="22"/>
        <v>Liberica</v>
      </c>
      <c r="O490" t="str">
        <f t="shared" si="23"/>
        <v>Light</v>
      </c>
      <c r="P490" t="str">
        <f>_xlfn.XLOOKUP(Orders[[#This Row],[Customer ID]],customers!$A$1:$A$1001,customers!$I$1:$I$1001,,0)</f>
        <v>Yes</v>
      </c>
      <c r="Q490">
        <f>COUNTIF(Orders[Order ID],Orders[[#This Row],[Order ID]])</f>
        <v>1</v>
      </c>
      <c r="R490" s="10">
        <f>SUMIF(Orders[Order ID], Orders[[#This Row],[Order ID]],Orders[Sales])/Orders[[#This Row],[Order Frequency]]</f>
        <v>19.02</v>
      </c>
      <c r="S490" t="str">
        <f>IF(Orders[[#This Row],[Order Frequency]]&gt;4, "More than 4", IF(AND(Orders[[#This Row],[Order Frequency]]&lt;=4,Orders[[#This Row],[Order Frequency]]&gt;=2), "Between 4 and 2", "Less than 2"))</f>
        <v>Less than 2</v>
      </c>
      <c r="T490" t="str">
        <f>IF(Orders[[#This Row],[Frequency Group]]="less than 2", "Low Value", IF(Orders[[#This Row],[Frequency Group]]="between 4 and 2", "Medium Value", "High Value"))</f>
        <v>Low Value</v>
      </c>
      <c r="U490" t="str">
        <f>IF(Orders[[#This Row],[Sales]]&lt;50, "$0-50", IF(AND(Orders[[#This Row],[Sales]]&gt;=50,Orders[[#This Row],[Sales]]&lt;=100), "$50-100", IF(AND(Orders[[#This Row],[Sales]]&gt;100,Orders[[#This Row],[Sales]]&lt;=150), "$101-150", "$150+")))</f>
        <v>$0-50</v>
      </c>
      <c r="V490" t="str">
        <f>IF(Orders[[#This Row],[Sales]]&gt;MEDIAN(M:M), "High Price", "Low Price")</f>
        <v>Low Price</v>
      </c>
      <c r="W490" t="str">
        <f>IF(Orders[[#This Row],[Quantity]]&gt;MEDIAN(E:E), "High Volume", "Low Volume")</f>
        <v>Low Volume</v>
      </c>
      <c r="X490" t="str">
        <f>Orders[[#This Row],[Sales Tier]] &amp; "-" &amp; Orders[[#This Row],[Quantity Tier]]</f>
        <v>Low Price-Low Volume</v>
      </c>
      <c r="Y490" t="str">
        <f>TEXT(Orders[[#This Row],[Order Date]], "mmmm")</f>
        <v>August</v>
      </c>
      <c r="Z49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490" t="str">
        <f>Orders[[#This Row],[Coffee Type Name]] &amp; "-" &amp; Orders[[#This Row],[Roast Type Name]]</f>
        <v>Liberica-Light</v>
      </c>
      <c r="AB49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491" spans="1:28" x14ac:dyDescent="0.25">
      <c r="A491" s="2" t="s">
        <v>3889</v>
      </c>
      <c r="B491" s="4">
        <v>43603</v>
      </c>
      <c r="C491" s="2" t="s">
        <v>3890</v>
      </c>
      <c r="D491" t="s">
        <v>6184</v>
      </c>
      <c r="E491" s="2">
        <v>5</v>
      </c>
      <c r="F491" s="2" t="str">
        <f>_xlfn.XLOOKUP(C491,customers!$A$1:$A$1001,customers!$B$1:$B$1001,,0)</f>
        <v>Emalee Rolin</v>
      </c>
      <c r="G491" s="2" t="str">
        <f>IF(_xlfn.XLOOKUP(C491,customers!$A$1:$A$1001,customers!$C$1:$C$1001,,0)=0,"",_xlfn.XLOOKUP(C491,customers!$A$1:$A$1001,customers!$C$1:$C$1001,,0))</f>
        <v>erolingq@google.fr</v>
      </c>
      <c r="H491" s="2" t="str">
        <f>_xlfn.XLOOKUP(C491,customers!$A$1:$A$1001,customers!$G$1:$G$1001,,0)</f>
        <v>United States</v>
      </c>
      <c r="I491" t="str">
        <f>INDEX(products!$A$1:$G$49, MATCH(orders!$D604,products!$A$1:$A651,0), MATCH(orders!I$1,products!$A$1:$G$1,0))</f>
        <v>Exc</v>
      </c>
      <c r="J491" t="str">
        <f>INDEX(products!$A$1:$G$49, MATCH(orders!$D604,products!$A$1:$A651,0), MATCH(orders!J$1,products!$A$1:$G$1,0))</f>
        <v>L</v>
      </c>
      <c r="K491" s="5">
        <f>INDEX(products!$A$1:$G$49, MATCH(orders!$D604,products!$A$1:$A651,0), MATCH(orders!K$1,products!$A$1:$G$1,0))</f>
        <v>0.2</v>
      </c>
      <c r="L491" s="6">
        <f>INDEX(products!$A$1:$G$49, MATCH(orders!$D604,products!$A$1:$A651,0), MATCH(orders!L$1,products!$A$1:$G$1,0))</f>
        <v>4.4550000000000001</v>
      </c>
      <c r="M491" s="6">
        <f t="shared" si="21"/>
        <v>22.274999999999999</v>
      </c>
      <c r="N491" t="str">
        <f t="shared" si="22"/>
        <v>Excelsa</v>
      </c>
      <c r="O491" t="str">
        <f t="shared" si="23"/>
        <v>Light</v>
      </c>
      <c r="P491" t="str">
        <f>_xlfn.XLOOKUP(Orders[[#This Row],[Customer ID]],customers!$A$1:$A$1001,customers!$I$1:$I$1001,,0)</f>
        <v>Yes</v>
      </c>
      <c r="Q491">
        <f>COUNTIF(Orders[Order ID],Orders[[#This Row],[Order ID]])</f>
        <v>1</v>
      </c>
      <c r="R491" s="10">
        <f>SUMIF(Orders[Order ID], Orders[[#This Row],[Order ID]],Orders[Sales])/Orders[[#This Row],[Order Frequency]]</f>
        <v>22.274999999999999</v>
      </c>
      <c r="S491" t="str">
        <f>IF(Orders[[#This Row],[Order Frequency]]&gt;4, "More than 4", IF(AND(Orders[[#This Row],[Order Frequency]]&lt;=4,Orders[[#This Row],[Order Frequency]]&gt;=2), "Between 4 and 2", "Less than 2"))</f>
        <v>Less than 2</v>
      </c>
      <c r="T491" t="str">
        <f>IF(Orders[[#This Row],[Frequency Group]]="less than 2", "Low Value", IF(Orders[[#This Row],[Frequency Group]]="between 4 and 2", "Medium Value", "High Value"))</f>
        <v>Low Value</v>
      </c>
      <c r="U491" t="str">
        <f>IF(Orders[[#This Row],[Sales]]&lt;50, "$0-50", IF(AND(Orders[[#This Row],[Sales]]&gt;=50,Orders[[#This Row],[Sales]]&lt;=100), "$50-100", IF(AND(Orders[[#This Row],[Sales]]&gt;100,Orders[[#This Row],[Sales]]&lt;=150), "$101-150", "$150+")))</f>
        <v>$0-50</v>
      </c>
      <c r="V491" t="str">
        <f>IF(Orders[[#This Row],[Sales]]&gt;MEDIAN(M:M), "High Price", "Low Price")</f>
        <v>Low Price</v>
      </c>
      <c r="W491" t="str">
        <f>IF(Orders[[#This Row],[Quantity]]&gt;MEDIAN(E:E), "High Volume", "Low Volume")</f>
        <v>High Volume</v>
      </c>
      <c r="X491" t="str">
        <f>Orders[[#This Row],[Sales Tier]] &amp; "-" &amp; Orders[[#This Row],[Quantity Tier]]</f>
        <v>Low Price-High Volume</v>
      </c>
      <c r="Y491" t="str">
        <f>TEXT(Orders[[#This Row],[Order Date]], "mmmm")</f>
        <v>May</v>
      </c>
      <c r="Z49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91" t="str">
        <f>Orders[[#This Row],[Coffee Type Name]] &amp; "-" &amp; Orders[[#This Row],[Roast Type Name]]</f>
        <v>Excelsa-Light</v>
      </c>
      <c r="AB49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92" spans="1:28" x14ac:dyDescent="0.25">
      <c r="A492" s="2" t="s">
        <v>5288</v>
      </c>
      <c r="B492" s="4">
        <v>44628</v>
      </c>
      <c r="C492" s="2" t="s">
        <v>5289</v>
      </c>
      <c r="D492" t="s">
        <v>6152</v>
      </c>
      <c r="E492" s="2">
        <v>2</v>
      </c>
      <c r="F492" s="2" t="str">
        <f>_xlfn.XLOOKUP(C492,customers!$A$1:$A$1001,customers!$B$1:$B$1001,,0)</f>
        <v>Jemimah Ethelston</v>
      </c>
      <c r="G492" s="2" t="str">
        <f>IF(_xlfn.XLOOKUP(C492,customers!$A$1:$A$1001,customers!$C$1:$C$1001,,0)=0,"",_xlfn.XLOOKUP(C492,customers!$A$1:$A$1001,customers!$C$1:$C$1001,,0))</f>
        <v>jethelstonnl@creativecommons.org</v>
      </c>
      <c r="H492" s="2" t="str">
        <f>_xlfn.XLOOKUP(C492,customers!$A$1:$A$1001,customers!$G$1:$G$1001,,0)</f>
        <v>United States</v>
      </c>
      <c r="I492" t="str">
        <f>INDEX(products!$A$1:$G$49, MATCH(orders!$D852,products!$A$1:$A899,0), MATCH(orders!I$1,products!$A$1:$G$1,0))</f>
        <v>Ara</v>
      </c>
      <c r="J492" t="str">
        <f>INDEX(products!$A$1:$G$49, MATCH(orders!$D852,products!$A$1:$A899,0), MATCH(orders!J$1,products!$A$1:$G$1,0))</f>
        <v>M</v>
      </c>
      <c r="K492" s="5">
        <f>INDEX(products!$A$1:$G$49, MATCH(orders!$D852,products!$A$1:$A899,0), MATCH(orders!K$1,products!$A$1:$G$1,0))</f>
        <v>0.2</v>
      </c>
      <c r="L492" s="6">
        <f>INDEX(products!$A$1:$G$49, MATCH(orders!$D852,products!$A$1:$A899,0), MATCH(orders!L$1,products!$A$1:$G$1,0))</f>
        <v>3.375</v>
      </c>
      <c r="M492" s="6">
        <f t="shared" si="21"/>
        <v>6.75</v>
      </c>
      <c r="N492" t="str">
        <f t="shared" si="22"/>
        <v>Arabica</v>
      </c>
      <c r="O492" t="str">
        <f t="shared" si="23"/>
        <v>Medium</v>
      </c>
      <c r="P492" t="str">
        <f>_xlfn.XLOOKUP(Orders[[#This Row],[Customer ID]],customers!$A$1:$A$1001,customers!$I$1:$I$1001,,0)</f>
        <v>Yes</v>
      </c>
      <c r="Q492">
        <f>COUNTIF(Orders[Order ID],Orders[[#This Row],[Order ID]])</f>
        <v>2</v>
      </c>
      <c r="R492" s="10">
        <f>SUMIF(Orders[Order ID], Orders[[#This Row],[Order ID]],Orders[Sales])/Orders[[#This Row],[Order Frequency]]</f>
        <v>15.03</v>
      </c>
      <c r="S492" t="str">
        <f>IF(Orders[[#This Row],[Order Frequency]]&gt;4, "More than 4", IF(AND(Orders[[#This Row],[Order Frequency]]&lt;=4,Orders[[#This Row],[Order Frequency]]&gt;=2), "Between 4 and 2", "Less than 2"))</f>
        <v>Between 4 and 2</v>
      </c>
      <c r="T492" t="str">
        <f>IF(Orders[[#This Row],[Frequency Group]]="less than 2", "Low Value", IF(Orders[[#This Row],[Frequency Group]]="between 4 and 2", "Medium Value", "High Value"))</f>
        <v>Medium Value</v>
      </c>
      <c r="U492" t="str">
        <f>IF(Orders[[#This Row],[Sales]]&lt;50, "$0-50", IF(AND(Orders[[#This Row],[Sales]]&gt;=50,Orders[[#This Row],[Sales]]&lt;=100), "$50-100", IF(AND(Orders[[#This Row],[Sales]]&gt;100,Orders[[#This Row],[Sales]]&lt;=150), "$101-150", "$150+")))</f>
        <v>$0-50</v>
      </c>
      <c r="V492" t="str">
        <f>IF(Orders[[#This Row],[Sales]]&gt;MEDIAN(M:M), "High Price", "Low Price")</f>
        <v>Low Price</v>
      </c>
      <c r="W492" t="str">
        <f>IF(Orders[[#This Row],[Quantity]]&gt;MEDIAN(E:E), "High Volume", "Low Volume")</f>
        <v>Low Volume</v>
      </c>
      <c r="X492" t="str">
        <f>Orders[[#This Row],[Sales Tier]] &amp; "-" &amp; Orders[[#This Row],[Quantity Tier]]</f>
        <v>Low Price-Low Volume</v>
      </c>
      <c r="Y492" t="str">
        <f>TEXT(Orders[[#This Row],[Order Date]], "mmmm")</f>
        <v>March</v>
      </c>
      <c r="Z49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492" t="str">
        <f>Orders[[#This Row],[Coffee Type Name]] &amp; "-" &amp; Orders[[#This Row],[Roast Type Name]]</f>
        <v>Arabica-Medium</v>
      </c>
      <c r="AB49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93" spans="1:28" x14ac:dyDescent="0.25">
      <c r="A493" s="2" t="s">
        <v>5288</v>
      </c>
      <c r="B493" s="4">
        <v>44628</v>
      </c>
      <c r="C493" s="2" t="s">
        <v>5289</v>
      </c>
      <c r="D493" t="s">
        <v>6167</v>
      </c>
      <c r="E493" s="2">
        <v>6</v>
      </c>
      <c r="F493" s="2" t="str">
        <f>_xlfn.XLOOKUP(C493,customers!$A$1:$A$1001,customers!$B$1:$B$1001,,0)</f>
        <v>Jemimah Ethelston</v>
      </c>
      <c r="G493" s="2" t="str">
        <f>IF(_xlfn.XLOOKUP(C493,customers!$A$1:$A$1001,customers!$C$1:$C$1001,,0)=0,"",_xlfn.XLOOKUP(C493,customers!$A$1:$A$1001,customers!$C$1:$C$1001,,0))</f>
        <v>jethelstonnl@creativecommons.org</v>
      </c>
      <c r="H493" s="2" t="str">
        <f>_xlfn.XLOOKUP(C493,customers!$A$1:$A$1001,customers!$G$1:$G$1001,,0)</f>
        <v>United States</v>
      </c>
      <c r="I493" t="str">
        <f>INDEX(products!$A$1:$G$49, MATCH(orders!$D851,products!$A$1:$A898,0), MATCH(orders!I$1,products!$A$1:$G$1,0))</f>
        <v>Ara</v>
      </c>
      <c r="J493" t="str">
        <f>INDEX(products!$A$1:$G$49, MATCH(orders!$D851,products!$A$1:$A898,0), MATCH(orders!J$1,products!$A$1:$G$1,0))</f>
        <v>L</v>
      </c>
      <c r="K493" s="5">
        <f>INDEX(products!$A$1:$G$49, MATCH(orders!$D851,products!$A$1:$A898,0), MATCH(orders!K$1,products!$A$1:$G$1,0))</f>
        <v>0.2</v>
      </c>
      <c r="L493" s="6">
        <f>INDEX(products!$A$1:$G$49, MATCH(orders!$D851,products!$A$1:$A898,0), MATCH(orders!L$1,products!$A$1:$G$1,0))</f>
        <v>3.8849999999999998</v>
      </c>
      <c r="M493" s="6">
        <f t="shared" si="21"/>
        <v>23.31</v>
      </c>
      <c r="N493" t="str">
        <f t="shared" si="22"/>
        <v>Arabica</v>
      </c>
      <c r="O493" t="str">
        <f t="shared" si="23"/>
        <v>Light</v>
      </c>
      <c r="P493" t="str">
        <f>_xlfn.XLOOKUP(Orders[[#This Row],[Customer ID]],customers!$A$1:$A$1001,customers!$I$1:$I$1001,,0)</f>
        <v>Yes</v>
      </c>
      <c r="Q493">
        <f>COUNTIF(Orders[Order ID],Orders[[#This Row],[Order ID]])</f>
        <v>2</v>
      </c>
      <c r="R493" s="10">
        <f>SUMIF(Orders[Order ID], Orders[[#This Row],[Order ID]],Orders[Sales])/Orders[[#This Row],[Order Frequency]]</f>
        <v>15.03</v>
      </c>
      <c r="S493" t="str">
        <f>IF(Orders[[#This Row],[Order Frequency]]&gt;4, "More than 4", IF(AND(Orders[[#This Row],[Order Frequency]]&lt;=4,Orders[[#This Row],[Order Frequency]]&gt;=2), "Between 4 and 2", "Less than 2"))</f>
        <v>Between 4 and 2</v>
      </c>
      <c r="T493" t="str">
        <f>IF(Orders[[#This Row],[Frequency Group]]="less than 2", "Low Value", IF(Orders[[#This Row],[Frequency Group]]="between 4 and 2", "Medium Value", "High Value"))</f>
        <v>Medium Value</v>
      </c>
      <c r="U493" t="str">
        <f>IF(Orders[[#This Row],[Sales]]&lt;50, "$0-50", IF(AND(Orders[[#This Row],[Sales]]&gt;=50,Orders[[#This Row],[Sales]]&lt;=100), "$50-100", IF(AND(Orders[[#This Row],[Sales]]&gt;100,Orders[[#This Row],[Sales]]&lt;=150), "$101-150", "$150+")))</f>
        <v>$0-50</v>
      </c>
      <c r="V493" t="str">
        <f>IF(Orders[[#This Row],[Sales]]&gt;MEDIAN(M:M), "High Price", "Low Price")</f>
        <v>Low Price</v>
      </c>
      <c r="W493" t="str">
        <f>IF(Orders[[#This Row],[Quantity]]&gt;MEDIAN(E:E), "High Volume", "Low Volume")</f>
        <v>High Volume</v>
      </c>
      <c r="X493" t="str">
        <f>Orders[[#This Row],[Sales Tier]] &amp; "-" &amp; Orders[[#This Row],[Quantity Tier]]</f>
        <v>Low Price-High Volume</v>
      </c>
      <c r="Y493" t="str">
        <f>TEXT(Orders[[#This Row],[Order Date]], "mmmm")</f>
        <v>March</v>
      </c>
      <c r="Z49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493" t="str">
        <f>Orders[[#This Row],[Coffee Type Name]] &amp; "-" &amp; Orders[[#This Row],[Roast Type Name]]</f>
        <v>Arabica-Light</v>
      </c>
      <c r="AB49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94" spans="1:28" x14ac:dyDescent="0.25">
      <c r="A494" s="2" t="s">
        <v>4196</v>
      </c>
      <c r="B494" s="4">
        <v>44485</v>
      </c>
      <c r="C494" s="2" t="s">
        <v>4197</v>
      </c>
      <c r="D494" t="s">
        <v>6143</v>
      </c>
      <c r="E494" s="2">
        <v>4</v>
      </c>
      <c r="F494" s="2" t="str">
        <f>_xlfn.XLOOKUP(C494,customers!$A$1:$A$1001,customers!$B$1:$B$1001,,0)</f>
        <v>Sylas Jennaroy</v>
      </c>
      <c r="G494" s="2" t="str">
        <f>IF(_xlfn.XLOOKUP(C494,customers!$A$1:$A$1001,customers!$C$1:$C$1001,,0)=0,"",_xlfn.XLOOKUP(C494,customers!$A$1:$A$1001,customers!$C$1:$C$1001,,0))</f>
        <v>sjennaroyi8@purevolume.com</v>
      </c>
      <c r="H494" s="2" t="str">
        <f>_xlfn.XLOOKUP(C494,customers!$A$1:$A$1001,customers!$G$1:$G$1001,,0)</f>
        <v>United States</v>
      </c>
      <c r="I494" t="str">
        <f>INDEX(products!$A$1:$G$49, MATCH(orders!$D658,products!$A$1:$A705,0), MATCH(orders!I$1,products!$A$1:$G$1,0))</f>
        <v>Lib</v>
      </c>
      <c r="J494" t="str">
        <f>INDEX(products!$A$1:$G$49, MATCH(orders!$D658,products!$A$1:$A705,0), MATCH(orders!J$1,products!$A$1:$G$1,0))</f>
        <v>D</v>
      </c>
      <c r="K494" s="5">
        <f>INDEX(products!$A$1:$G$49, MATCH(orders!$D658,products!$A$1:$A705,0), MATCH(orders!K$1,products!$A$1:$G$1,0))</f>
        <v>1</v>
      </c>
      <c r="L494" s="6">
        <f>INDEX(products!$A$1:$G$49, MATCH(orders!$D658,products!$A$1:$A705,0), MATCH(orders!L$1,products!$A$1:$G$1,0))</f>
        <v>12.95</v>
      </c>
      <c r="M494" s="6">
        <f t="shared" si="21"/>
        <v>51.8</v>
      </c>
      <c r="N494" t="str">
        <f t="shared" si="22"/>
        <v>Liberica</v>
      </c>
      <c r="O494" t="str">
        <f t="shared" si="23"/>
        <v>Dark</v>
      </c>
      <c r="P494" t="str">
        <f>_xlfn.XLOOKUP(Orders[[#This Row],[Customer ID]],customers!$A$1:$A$1001,customers!$I$1:$I$1001,,0)</f>
        <v>No</v>
      </c>
      <c r="Q494">
        <f>COUNTIF(Orders[Order ID],Orders[[#This Row],[Order ID]])</f>
        <v>1</v>
      </c>
      <c r="R494" s="10">
        <f>SUMIF(Orders[Order ID], Orders[[#This Row],[Order ID]],Orders[Sales])/Orders[[#This Row],[Order Frequency]]</f>
        <v>51.8</v>
      </c>
      <c r="S494" t="str">
        <f>IF(Orders[[#This Row],[Order Frequency]]&gt;4, "More than 4", IF(AND(Orders[[#This Row],[Order Frequency]]&lt;=4,Orders[[#This Row],[Order Frequency]]&gt;=2), "Between 4 and 2", "Less than 2"))</f>
        <v>Less than 2</v>
      </c>
      <c r="T494" t="str">
        <f>IF(Orders[[#This Row],[Frequency Group]]="less than 2", "Low Value", IF(Orders[[#This Row],[Frequency Group]]="between 4 and 2", "Medium Value", "High Value"))</f>
        <v>Low Value</v>
      </c>
      <c r="U494" t="str">
        <f>IF(Orders[[#This Row],[Sales]]&lt;50, "$0-50", IF(AND(Orders[[#This Row],[Sales]]&gt;=50,Orders[[#This Row],[Sales]]&lt;=100), "$50-100", IF(AND(Orders[[#This Row],[Sales]]&gt;100,Orders[[#This Row],[Sales]]&lt;=150), "$101-150", "$150+")))</f>
        <v>$50-100</v>
      </c>
      <c r="V494" t="str">
        <f>IF(Orders[[#This Row],[Sales]]&gt;MEDIAN(M:M), "High Price", "Low Price")</f>
        <v>High Price</v>
      </c>
      <c r="W494" t="str">
        <f>IF(Orders[[#This Row],[Quantity]]&gt;MEDIAN(E:E), "High Volume", "Low Volume")</f>
        <v>Low Volume</v>
      </c>
      <c r="X494" t="str">
        <f>Orders[[#This Row],[Sales Tier]] &amp; "-" &amp; Orders[[#This Row],[Quantity Tier]]</f>
        <v>High Price-Low Volume</v>
      </c>
      <c r="Y494" t="str">
        <f>TEXT(Orders[[#This Row],[Order Date]], "mmmm")</f>
        <v>October</v>
      </c>
      <c r="Z49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494" t="str">
        <f>Orders[[#This Row],[Coffee Type Name]] &amp; "-" &amp; Orders[[#This Row],[Roast Type Name]]</f>
        <v>Liberica-Dark</v>
      </c>
      <c r="AB49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495" spans="1:28" x14ac:dyDescent="0.25">
      <c r="A495" s="2" t="s">
        <v>3587</v>
      </c>
      <c r="B495" s="4">
        <v>44384</v>
      </c>
      <c r="C495" s="2" t="s">
        <v>3588</v>
      </c>
      <c r="D495" t="s">
        <v>6184</v>
      </c>
      <c r="E495" s="2">
        <v>3</v>
      </c>
      <c r="F495" s="2" t="str">
        <f>_xlfn.XLOOKUP(C495,customers!$A$1:$A$1001,customers!$B$1:$B$1001,,0)</f>
        <v>Bette-ann Munden</v>
      </c>
      <c r="G495" s="2" t="str">
        <f>IF(_xlfn.XLOOKUP(C495,customers!$A$1:$A$1001,customers!$C$1:$C$1001,,0)=0,"",_xlfn.XLOOKUP(C495,customers!$A$1:$A$1001,customers!$C$1:$C$1001,,0))</f>
        <v>bmundenf8@elpais.com</v>
      </c>
      <c r="H495" s="2" t="str">
        <f>_xlfn.XLOOKUP(C495,customers!$A$1:$A$1001,customers!$G$1:$G$1001,,0)</f>
        <v>United States</v>
      </c>
      <c r="I495" t="str">
        <f>INDEX(products!$A$1:$G$49, MATCH(orders!$D550,products!$A$1:$A597,0), MATCH(orders!I$1,products!$A$1:$G$1,0))</f>
        <v>Exc</v>
      </c>
      <c r="J495" t="str">
        <f>INDEX(products!$A$1:$G$49, MATCH(orders!$D550,products!$A$1:$A597,0), MATCH(orders!J$1,products!$A$1:$G$1,0))</f>
        <v>L</v>
      </c>
      <c r="K495" s="5">
        <f>INDEX(products!$A$1:$G$49, MATCH(orders!$D550,products!$A$1:$A597,0), MATCH(orders!K$1,products!$A$1:$G$1,0))</f>
        <v>0.2</v>
      </c>
      <c r="L495" s="6">
        <f>INDEX(products!$A$1:$G$49, MATCH(orders!$D550,products!$A$1:$A597,0), MATCH(orders!L$1,products!$A$1:$G$1,0))</f>
        <v>4.4550000000000001</v>
      </c>
      <c r="M495" s="6">
        <f t="shared" si="21"/>
        <v>13.365</v>
      </c>
      <c r="N495" t="str">
        <f t="shared" si="22"/>
        <v>Excelsa</v>
      </c>
      <c r="O495" t="str">
        <f t="shared" si="23"/>
        <v>Light</v>
      </c>
      <c r="P495" t="str">
        <f>_xlfn.XLOOKUP(Orders[[#This Row],[Customer ID]],customers!$A$1:$A$1001,customers!$I$1:$I$1001,,0)</f>
        <v>Yes</v>
      </c>
      <c r="Q495">
        <f>COUNTIF(Orders[Order ID],Orders[[#This Row],[Order ID]])</f>
        <v>1</v>
      </c>
      <c r="R495" s="10">
        <f>SUMIF(Orders[Order ID], Orders[[#This Row],[Order ID]],Orders[Sales])/Orders[[#This Row],[Order Frequency]]</f>
        <v>13.365</v>
      </c>
      <c r="S495" t="str">
        <f>IF(Orders[[#This Row],[Order Frequency]]&gt;4, "More than 4", IF(AND(Orders[[#This Row],[Order Frequency]]&lt;=4,Orders[[#This Row],[Order Frequency]]&gt;=2), "Between 4 and 2", "Less than 2"))</f>
        <v>Less than 2</v>
      </c>
      <c r="T495" t="str">
        <f>IF(Orders[[#This Row],[Frequency Group]]="less than 2", "Low Value", IF(Orders[[#This Row],[Frequency Group]]="between 4 and 2", "Medium Value", "High Value"))</f>
        <v>Low Value</v>
      </c>
      <c r="U495" t="str">
        <f>IF(Orders[[#This Row],[Sales]]&lt;50, "$0-50", IF(AND(Orders[[#This Row],[Sales]]&gt;=50,Orders[[#This Row],[Sales]]&lt;=100), "$50-100", IF(AND(Orders[[#This Row],[Sales]]&gt;100,Orders[[#This Row],[Sales]]&lt;=150), "$101-150", "$150+")))</f>
        <v>$0-50</v>
      </c>
      <c r="V495" t="str">
        <f>IF(Orders[[#This Row],[Sales]]&gt;MEDIAN(M:M), "High Price", "Low Price")</f>
        <v>Low Price</v>
      </c>
      <c r="W495" t="str">
        <f>IF(Orders[[#This Row],[Quantity]]&gt;MEDIAN(E:E), "High Volume", "Low Volume")</f>
        <v>Low Volume</v>
      </c>
      <c r="X495" t="str">
        <f>Orders[[#This Row],[Sales Tier]] &amp; "-" &amp; Orders[[#This Row],[Quantity Tier]]</f>
        <v>Low Price-Low Volume</v>
      </c>
      <c r="Y495" t="str">
        <f>TEXT(Orders[[#This Row],[Order Date]], "mmmm")</f>
        <v>July</v>
      </c>
      <c r="Z49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495" t="str">
        <f>Orders[[#This Row],[Coffee Type Name]] &amp; "-" &amp; Orders[[#This Row],[Roast Type Name]]</f>
        <v>Excelsa-Light</v>
      </c>
      <c r="AB49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496" spans="1:28" x14ac:dyDescent="0.25">
      <c r="A496" s="2" t="s">
        <v>5890</v>
      </c>
      <c r="B496" s="4">
        <v>43582</v>
      </c>
      <c r="C496" s="2" t="s">
        <v>5764</v>
      </c>
      <c r="D496" t="s">
        <v>6167</v>
      </c>
      <c r="E496" s="2">
        <v>2</v>
      </c>
      <c r="F496" s="2" t="str">
        <f>_xlfn.XLOOKUP(C496,customers!$A$1:$A$1001,customers!$B$1:$B$1001,,0)</f>
        <v>Brenn Dundredge</v>
      </c>
      <c r="G496" s="2" t="str">
        <f>IF(_xlfn.XLOOKUP(C496,customers!$A$1:$A$1001,customers!$C$1:$C$1001,,0)=0,"",_xlfn.XLOOKUP(C496,customers!$A$1:$A$1001,customers!$C$1:$C$1001,,0))</f>
        <v/>
      </c>
      <c r="H496" s="2" t="str">
        <f>_xlfn.XLOOKUP(C496,customers!$A$1:$A$1001,customers!$G$1:$G$1001,,0)</f>
        <v>United States</v>
      </c>
      <c r="I496" t="str">
        <f>INDEX(products!$A$1:$G$49, MATCH(orders!$D960,products!$A$1:$A1007,0), MATCH(orders!I$1,products!$A$1:$G$1,0))</f>
        <v>Ara</v>
      </c>
      <c r="J496" t="str">
        <f>INDEX(products!$A$1:$G$49, MATCH(orders!$D960,products!$A$1:$A1007,0), MATCH(orders!J$1,products!$A$1:$G$1,0))</f>
        <v>L</v>
      </c>
      <c r="K496" s="5">
        <f>INDEX(products!$A$1:$G$49, MATCH(orders!$D960,products!$A$1:$A1007,0), MATCH(orders!K$1,products!$A$1:$G$1,0))</f>
        <v>0.2</v>
      </c>
      <c r="L496" s="6">
        <f>INDEX(products!$A$1:$G$49, MATCH(orders!$D960,products!$A$1:$A1007,0), MATCH(orders!L$1,products!$A$1:$G$1,0))</f>
        <v>3.8849999999999998</v>
      </c>
      <c r="M496" s="6">
        <f t="shared" si="21"/>
        <v>7.77</v>
      </c>
      <c r="N496" t="str">
        <f t="shared" si="22"/>
        <v>Arabica</v>
      </c>
      <c r="O496" t="str">
        <f t="shared" si="23"/>
        <v>Light</v>
      </c>
      <c r="P496" t="str">
        <f>_xlfn.XLOOKUP(Orders[[#This Row],[Customer ID]],customers!$A$1:$A$1001,customers!$I$1:$I$1001,,0)</f>
        <v>Yes</v>
      </c>
      <c r="Q496">
        <f>COUNTIF(Orders[Order ID],Orders[[#This Row],[Order ID]])</f>
        <v>4</v>
      </c>
      <c r="R496" s="10">
        <f>SUMIF(Orders[Order ID], Orders[[#This Row],[Order ID]],Orders[Sales])/Orders[[#This Row],[Order Frequency]]</f>
        <v>62.091249999999988</v>
      </c>
      <c r="S496" t="str">
        <f>IF(Orders[[#This Row],[Order Frequency]]&gt;4, "More than 4", IF(AND(Orders[[#This Row],[Order Frequency]]&lt;=4,Orders[[#This Row],[Order Frequency]]&gt;=2), "Between 4 and 2", "Less than 2"))</f>
        <v>Between 4 and 2</v>
      </c>
      <c r="T496" t="str">
        <f>IF(Orders[[#This Row],[Frequency Group]]="less than 2", "Low Value", IF(Orders[[#This Row],[Frequency Group]]="between 4 and 2", "Medium Value", "High Value"))</f>
        <v>Medium Value</v>
      </c>
      <c r="U496" t="str">
        <f>IF(Orders[[#This Row],[Sales]]&lt;50, "$0-50", IF(AND(Orders[[#This Row],[Sales]]&gt;=50,Orders[[#This Row],[Sales]]&lt;=100), "$50-100", IF(AND(Orders[[#This Row],[Sales]]&gt;100,Orders[[#This Row],[Sales]]&lt;=150), "$101-150", "$150+")))</f>
        <v>$0-50</v>
      </c>
      <c r="V496" t="str">
        <f>IF(Orders[[#This Row],[Sales]]&gt;MEDIAN(M:M), "High Price", "Low Price")</f>
        <v>Low Price</v>
      </c>
      <c r="W496" t="str">
        <f>IF(Orders[[#This Row],[Quantity]]&gt;MEDIAN(E:E), "High Volume", "Low Volume")</f>
        <v>Low Volume</v>
      </c>
      <c r="X496" t="str">
        <f>Orders[[#This Row],[Sales Tier]] &amp; "-" &amp; Orders[[#This Row],[Quantity Tier]]</f>
        <v>Low Price-Low Volume</v>
      </c>
      <c r="Y496" t="str">
        <f>TEXT(Orders[[#This Row],[Order Date]], "mmmm")</f>
        <v>April</v>
      </c>
      <c r="Z49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96" t="str">
        <f>Orders[[#This Row],[Coffee Type Name]] &amp; "-" &amp; Orders[[#This Row],[Roast Type Name]]</f>
        <v>Arabica-Light</v>
      </c>
      <c r="AB49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97" spans="1:28" x14ac:dyDescent="0.25">
      <c r="A497" s="2" t="s">
        <v>5890</v>
      </c>
      <c r="B497" s="4">
        <v>43582</v>
      </c>
      <c r="C497" s="2" t="s">
        <v>5764</v>
      </c>
      <c r="D497" t="s">
        <v>6171</v>
      </c>
      <c r="E497" s="2">
        <v>1</v>
      </c>
      <c r="F497" s="2" t="str">
        <f>_xlfn.XLOOKUP(C497,customers!$A$1:$A$1001,customers!$B$1:$B$1001,,0)</f>
        <v>Brenn Dundredge</v>
      </c>
      <c r="G497" s="2" t="str">
        <f>IF(_xlfn.XLOOKUP(C497,customers!$A$1:$A$1001,customers!$C$1:$C$1001,,0)=0,"",_xlfn.XLOOKUP(C497,customers!$A$1:$A$1001,customers!$C$1:$C$1001,,0))</f>
        <v/>
      </c>
      <c r="H497" s="2" t="str">
        <f>_xlfn.XLOOKUP(C497,customers!$A$1:$A$1001,customers!$G$1:$G$1001,,0)</f>
        <v>United States</v>
      </c>
      <c r="I497" t="str">
        <f>INDEX(products!$A$1:$G$49, MATCH(orders!$D959,products!$A$1:$A1006,0), MATCH(orders!I$1,products!$A$1:$G$1,0))</f>
        <v>Exc</v>
      </c>
      <c r="J497" t="str">
        <f>INDEX(products!$A$1:$G$49, MATCH(orders!$D959,products!$A$1:$A1006,0), MATCH(orders!J$1,products!$A$1:$G$1,0))</f>
        <v>L</v>
      </c>
      <c r="K497" s="5">
        <f>INDEX(products!$A$1:$G$49, MATCH(orders!$D959,products!$A$1:$A1006,0), MATCH(orders!K$1,products!$A$1:$G$1,0))</f>
        <v>1</v>
      </c>
      <c r="L497" s="6">
        <f>INDEX(products!$A$1:$G$49, MATCH(orders!$D959,products!$A$1:$A1006,0), MATCH(orders!L$1,products!$A$1:$G$1,0))</f>
        <v>14.85</v>
      </c>
      <c r="M497" s="6">
        <f t="shared" si="21"/>
        <v>14.85</v>
      </c>
      <c r="N497" t="str">
        <f t="shared" si="22"/>
        <v>Excelsa</v>
      </c>
      <c r="O497" t="str">
        <f t="shared" si="23"/>
        <v>Light</v>
      </c>
      <c r="P497" t="str">
        <f>_xlfn.XLOOKUP(Orders[[#This Row],[Customer ID]],customers!$A$1:$A$1001,customers!$I$1:$I$1001,,0)</f>
        <v>Yes</v>
      </c>
      <c r="Q497">
        <f>COUNTIF(Orders[Order ID],Orders[[#This Row],[Order ID]])</f>
        <v>4</v>
      </c>
      <c r="R497" s="10">
        <f>SUMIF(Orders[Order ID], Orders[[#This Row],[Order ID]],Orders[Sales])/Orders[[#This Row],[Order Frequency]]</f>
        <v>62.091249999999988</v>
      </c>
      <c r="S497" t="str">
        <f>IF(Orders[[#This Row],[Order Frequency]]&gt;4, "More than 4", IF(AND(Orders[[#This Row],[Order Frequency]]&lt;=4,Orders[[#This Row],[Order Frequency]]&gt;=2), "Between 4 and 2", "Less than 2"))</f>
        <v>Between 4 and 2</v>
      </c>
      <c r="T497" t="str">
        <f>IF(Orders[[#This Row],[Frequency Group]]="less than 2", "Low Value", IF(Orders[[#This Row],[Frequency Group]]="between 4 and 2", "Medium Value", "High Value"))</f>
        <v>Medium Value</v>
      </c>
      <c r="U497" t="str">
        <f>IF(Orders[[#This Row],[Sales]]&lt;50, "$0-50", IF(AND(Orders[[#This Row],[Sales]]&gt;=50,Orders[[#This Row],[Sales]]&lt;=100), "$50-100", IF(AND(Orders[[#This Row],[Sales]]&gt;100,Orders[[#This Row],[Sales]]&lt;=150), "$101-150", "$150+")))</f>
        <v>$0-50</v>
      </c>
      <c r="V497" t="str">
        <f>IF(Orders[[#This Row],[Sales]]&gt;MEDIAN(M:M), "High Price", "Low Price")</f>
        <v>Low Price</v>
      </c>
      <c r="W497" t="str">
        <f>IF(Orders[[#This Row],[Quantity]]&gt;MEDIAN(E:E), "High Volume", "Low Volume")</f>
        <v>Low Volume</v>
      </c>
      <c r="X497" t="str">
        <f>Orders[[#This Row],[Sales Tier]] &amp; "-" &amp; Orders[[#This Row],[Quantity Tier]]</f>
        <v>Low Price-Low Volume</v>
      </c>
      <c r="Y497" t="str">
        <f>TEXT(Orders[[#This Row],[Order Date]], "mmmm")</f>
        <v>April</v>
      </c>
      <c r="Z49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97" t="str">
        <f>Orders[[#This Row],[Coffee Type Name]] &amp; "-" &amp; Orders[[#This Row],[Roast Type Name]]</f>
        <v>Excelsa-Light</v>
      </c>
      <c r="AB49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98" spans="1:28" x14ac:dyDescent="0.25">
      <c r="A498" s="2" t="s">
        <v>5890</v>
      </c>
      <c r="B498" s="4">
        <v>43582</v>
      </c>
      <c r="C498" s="2" t="s">
        <v>5764</v>
      </c>
      <c r="D498" t="s">
        <v>6142</v>
      </c>
      <c r="E498" s="2">
        <v>2</v>
      </c>
      <c r="F498" s="2" t="str">
        <f>_xlfn.XLOOKUP(C498,customers!$A$1:$A$1001,customers!$B$1:$B$1001,,0)</f>
        <v>Brenn Dundredge</v>
      </c>
      <c r="G498" s="2" t="str">
        <f>IF(_xlfn.XLOOKUP(C498,customers!$A$1:$A$1001,customers!$C$1:$C$1001,,0)=0,"",_xlfn.XLOOKUP(C498,customers!$A$1:$A$1001,customers!$C$1:$C$1001,,0))</f>
        <v/>
      </c>
      <c r="H498" s="2" t="str">
        <f>_xlfn.XLOOKUP(C498,customers!$A$1:$A$1001,customers!$G$1:$G$1001,,0)</f>
        <v>United States</v>
      </c>
      <c r="I498" t="str">
        <f>INDEX(products!$A$1:$G$49, MATCH(orders!$D958,products!$A$1:$A1005,0), MATCH(orders!I$1,products!$A$1:$G$1,0))</f>
        <v>Rob</v>
      </c>
      <c r="J498" t="str">
        <f>INDEX(products!$A$1:$G$49, MATCH(orders!$D958,products!$A$1:$A1005,0), MATCH(orders!J$1,products!$A$1:$G$1,0))</f>
        <v>L</v>
      </c>
      <c r="K498" s="5">
        <f>INDEX(products!$A$1:$G$49, MATCH(orders!$D958,products!$A$1:$A1005,0), MATCH(orders!K$1,products!$A$1:$G$1,0))</f>
        <v>2.5</v>
      </c>
      <c r="L498" s="6">
        <f>INDEX(products!$A$1:$G$49, MATCH(orders!$D958,products!$A$1:$A1005,0), MATCH(orders!L$1,products!$A$1:$G$1,0))</f>
        <v>27.484999999999996</v>
      </c>
      <c r="M498" s="6">
        <f t="shared" si="21"/>
        <v>54.969999999999992</v>
      </c>
      <c r="N498" t="str">
        <f t="shared" si="22"/>
        <v>Robusta</v>
      </c>
      <c r="O498" t="str">
        <f t="shared" si="23"/>
        <v>Light</v>
      </c>
      <c r="P498" t="str">
        <f>_xlfn.XLOOKUP(Orders[[#This Row],[Customer ID]],customers!$A$1:$A$1001,customers!$I$1:$I$1001,,0)</f>
        <v>Yes</v>
      </c>
      <c r="Q498">
        <f>COUNTIF(Orders[Order ID],Orders[[#This Row],[Order ID]])</f>
        <v>4</v>
      </c>
      <c r="R498" s="10">
        <f>SUMIF(Orders[Order ID], Orders[[#This Row],[Order ID]],Orders[Sales])/Orders[[#This Row],[Order Frequency]]</f>
        <v>62.091249999999988</v>
      </c>
      <c r="S498" t="str">
        <f>IF(Orders[[#This Row],[Order Frequency]]&gt;4, "More than 4", IF(AND(Orders[[#This Row],[Order Frequency]]&lt;=4,Orders[[#This Row],[Order Frequency]]&gt;=2), "Between 4 and 2", "Less than 2"))</f>
        <v>Between 4 and 2</v>
      </c>
      <c r="T498" t="str">
        <f>IF(Orders[[#This Row],[Frequency Group]]="less than 2", "Low Value", IF(Orders[[#This Row],[Frequency Group]]="between 4 and 2", "Medium Value", "High Value"))</f>
        <v>Medium Value</v>
      </c>
      <c r="U498" t="str">
        <f>IF(Orders[[#This Row],[Sales]]&lt;50, "$0-50", IF(AND(Orders[[#This Row],[Sales]]&gt;=50,Orders[[#This Row],[Sales]]&lt;=100), "$50-100", IF(AND(Orders[[#This Row],[Sales]]&gt;100,Orders[[#This Row],[Sales]]&lt;=150), "$101-150", "$150+")))</f>
        <v>$50-100</v>
      </c>
      <c r="V498" t="str">
        <f>IF(Orders[[#This Row],[Sales]]&gt;MEDIAN(M:M), "High Price", "Low Price")</f>
        <v>High Price</v>
      </c>
      <c r="W498" t="str">
        <f>IF(Orders[[#This Row],[Quantity]]&gt;MEDIAN(E:E), "High Volume", "Low Volume")</f>
        <v>Low Volume</v>
      </c>
      <c r="X498" t="str">
        <f>Orders[[#This Row],[Sales Tier]] &amp; "-" &amp; Orders[[#This Row],[Quantity Tier]]</f>
        <v>High Price-Low Volume</v>
      </c>
      <c r="Y498" t="str">
        <f>TEXT(Orders[[#This Row],[Order Date]], "mmmm")</f>
        <v>April</v>
      </c>
      <c r="Z49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98" t="str">
        <f>Orders[[#This Row],[Coffee Type Name]] &amp; "-" &amp; Orders[[#This Row],[Roast Type Name]]</f>
        <v>Robusta-Light</v>
      </c>
      <c r="AB49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499" spans="1:28" x14ac:dyDescent="0.25">
      <c r="A499" s="2" t="s">
        <v>5890</v>
      </c>
      <c r="B499" s="4">
        <v>43582</v>
      </c>
      <c r="C499" s="2" t="s">
        <v>5764</v>
      </c>
      <c r="D499" t="s">
        <v>6148</v>
      </c>
      <c r="E499" s="2">
        <v>5</v>
      </c>
      <c r="F499" s="2" t="str">
        <f>_xlfn.XLOOKUP(C499,customers!$A$1:$A$1001,customers!$B$1:$B$1001,,0)</f>
        <v>Brenn Dundredge</v>
      </c>
      <c r="G499" s="2" t="str">
        <f>IF(_xlfn.XLOOKUP(C499,customers!$A$1:$A$1001,customers!$C$1:$C$1001,,0)=0,"",_xlfn.XLOOKUP(C499,customers!$A$1:$A$1001,customers!$C$1:$C$1001,,0))</f>
        <v/>
      </c>
      <c r="H499" s="2" t="str">
        <f>_xlfn.XLOOKUP(C499,customers!$A$1:$A$1001,customers!$G$1:$G$1001,,0)</f>
        <v>United States</v>
      </c>
      <c r="I499" t="str">
        <f>INDEX(products!$A$1:$G$49, MATCH(orders!$D957,products!$A$1:$A1004,0), MATCH(orders!I$1,products!$A$1:$G$1,0))</f>
        <v>Exc</v>
      </c>
      <c r="J499" t="str">
        <f>INDEX(products!$A$1:$G$49, MATCH(orders!$D957,products!$A$1:$A1004,0), MATCH(orders!J$1,products!$A$1:$G$1,0))</f>
        <v>L</v>
      </c>
      <c r="K499" s="5">
        <f>INDEX(products!$A$1:$G$49, MATCH(orders!$D957,products!$A$1:$A1004,0), MATCH(orders!K$1,products!$A$1:$G$1,0))</f>
        <v>2.5</v>
      </c>
      <c r="L499" s="6">
        <f>INDEX(products!$A$1:$G$49, MATCH(orders!$D957,products!$A$1:$A1004,0), MATCH(orders!L$1,products!$A$1:$G$1,0))</f>
        <v>34.154999999999994</v>
      </c>
      <c r="M499" s="6">
        <f t="shared" si="21"/>
        <v>170.77499999999998</v>
      </c>
      <c r="N499" t="str">
        <f t="shared" si="22"/>
        <v>Excelsa</v>
      </c>
      <c r="O499" t="str">
        <f t="shared" si="23"/>
        <v>Light</v>
      </c>
      <c r="P499" t="str">
        <f>_xlfn.XLOOKUP(Orders[[#This Row],[Customer ID]],customers!$A$1:$A$1001,customers!$I$1:$I$1001,,0)</f>
        <v>Yes</v>
      </c>
      <c r="Q499">
        <f>COUNTIF(Orders[Order ID],Orders[[#This Row],[Order ID]])</f>
        <v>4</v>
      </c>
      <c r="R499" s="10">
        <f>SUMIF(Orders[Order ID], Orders[[#This Row],[Order ID]],Orders[Sales])/Orders[[#This Row],[Order Frequency]]</f>
        <v>62.091249999999988</v>
      </c>
      <c r="S499" t="str">
        <f>IF(Orders[[#This Row],[Order Frequency]]&gt;4, "More than 4", IF(AND(Orders[[#This Row],[Order Frequency]]&lt;=4,Orders[[#This Row],[Order Frequency]]&gt;=2), "Between 4 and 2", "Less than 2"))</f>
        <v>Between 4 and 2</v>
      </c>
      <c r="T499" t="str">
        <f>IF(Orders[[#This Row],[Frequency Group]]="less than 2", "Low Value", IF(Orders[[#This Row],[Frequency Group]]="between 4 and 2", "Medium Value", "High Value"))</f>
        <v>Medium Value</v>
      </c>
      <c r="U499" t="str">
        <f>IF(Orders[[#This Row],[Sales]]&lt;50, "$0-50", IF(AND(Orders[[#This Row],[Sales]]&gt;=50,Orders[[#This Row],[Sales]]&lt;=100), "$50-100", IF(AND(Orders[[#This Row],[Sales]]&gt;100,Orders[[#This Row],[Sales]]&lt;=150), "$101-150", "$150+")))</f>
        <v>$150+</v>
      </c>
      <c r="V499" t="str">
        <f>IF(Orders[[#This Row],[Sales]]&gt;MEDIAN(M:M), "High Price", "Low Price")</f>
        <v>High Price</v>
      </c>
      <c r="W499" t="str">
        <f>IF(Orders[[#This Row],[Quantity]]&gt;MEDIAN(E:E), "High Volume", "Low Volume")</f>
        <v>High Volume</v>
      </c>
      <c r="X499" t="str">
        <f>Orders[[#This Row],[Sales Tier]] &amp; "-" &amp; Orders[[#This Row],[Quantity Tier]]</f>
        <v>High Price-High Volume</v>
      </c>
      <c r="Y499" t="str">
        <f>TEXT(Orders[[#This Row],[Order Date]], "mmmm")</f>
        <v>April</v>
      </c>
      <c r="Z49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499" t="str">
        <f>Orders[[#This Row],[Coffee Type Name]] &amp; "-" &amp; Orders[[#This Row],[Roast Type Name]]</f>
        <v>Excelsa-Light</v>
      </c>
      <c r="AB49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500" spans="1:28" x14ac:dyDescent="0.25">
      <c r="A500" s="2" t="s">
        <v>1407</v>
      </c>
      <c r="B500" s="4">
        <v>43619</v>
      </c>
      <c r="C500" s="2" t="s">
        <v>1408</v>
      </c>
      <c r="D500" t="s">
        <v>6163</v>
      </c>
      <c r="E500" s="2">
        <v>6</v>
      </c>
      <c r="F500" s="2" t="str">
        <f>_xlfn.XLOOKUP(C500,customers!$A$1:$A$1001,customers!$B$1:$B$1001,,0)</f>
        <v>Gerardo Schonfeld</v>
      </c>
      <c r="G500" s="2" t="str">
        <f>IF(_xlfn.XLOOKUP(C500,customers!$A$1:$A$1001,customers!$C$1:$C$1001,,0)=0,"",_xlfn.XLOOKUP(C500,customers!$A$1:$A$1001,customers!$C$1:$C$1001,,0))</f>
        <v>gschonfeld4j@oracle.com</v>
      </c>
      <c r="H500" s="2" t="str">
        <f>_xlfn.XLOOKUP(C500,customers!$A$1:$A$1001,customers!$G$1:$G$1001,,0)</f>
        <v>United States</v>
      </c>
      <c r="I500" t="str">
        <f>INDEX(products!$A$1:$G$49, MATCH(orders!$D165,products!$A$1:$A212,0), MATCH(orders!I$1,products!$A$1:$G$1,0))</f>
        <v>Rob</v>
      </c>
      <c r="J500" t="str">
        <f>INDEX(products!$A$1:$G$49, MATCH(orders!$D165,products!$A$1:$A212,0), MATCH(orders!J$1,products!$A$1:$G$1,0))</f>
        <v>D</v>
      </c>
      <c r="K500" s="5">
        <f>INDEX(products!$A$1:$G$49, MATCH(orders!$D165,products!$A$1:$A212,0), MATCH(orders!K$1,products!$A$1:$G$1,0))</f>
        <v>0.2</v>
      </c>
      <c r="L500" s="6">
        <f>INDEX(products!$A$1:$G$49, MATCH(orders!$D165,products!$A$1:$A212,0), MATCH(orders!L$1,products!$A$1:$G$1,0))</f>
        <v>2.6849999999999996</v>
      </c>
      <c r="M500" s="6">
        <f t="shared" si="21"/>
        <v>16.11</v>
      </c>
      <c r="N500" t="str">
        <f t="shared" si="22"/>
        <v>Robusta</v>
      </c>
      <c r="O500" t="str">
        <f t="shared" si="23"/>
        <v>Dark</v>
      </c>
      <c r="P500" t="str">
        <f>_xlfn.XLOOKUP(Orders[[#This Row],[Customer ID]],customers!$A$1:$A$1001,customers!$I$1:$I$1001,,0)</f>
        <v>No</v>
      </c>
      <c r="Q500">
        <f>COUNTIF(Orders[Order ID],Orders[[#This Row],[Order ID]])</f>
        <v>1</v>
      </c>
      <c r="R500" s="10">
        <f>SUMIF(Orders[Order ID], Orders[[#This Row],[Order ID]],Orders[Sales])/Orders[[#This Row],[Order Frequency]]</f>
        <v>16.11</v>
      </c>
      <c r="S500" t="str">
        <f>IF(Orders[[#This Row],[Order Frequency]]&gt;4, "More than 4", IF(AND(Orders[[#This Row],[Order Frequency]]&lt;=4,Orders[[#This Row],[Order Frequency]]&gt;=2), "Between 4 and 2", "Less than 2"))</f>
        <v>Less than 2</v>
      </c>
      <c r="T500" t="str">
        <f>IF(Orders[[#This Row],[Frequency Group]]="less than 2", "Low Value", IF(Orders[[#This Row],[Frequency Group]]="between 4 and 2", "Medium Value", "High Value"))</f>
        <v>Low Value</v>
      </c>
      <c r="U500" t="str">
        <f>IF(Orders[[#This Row],[Sales]]&lt;50, "$0-50", IF(AND(Orders[[#This Row],[Sales]]&gt;=50,Orders[[#This Row],[Sales]]&lt;=100), "$50-100", IF(AND(Orders[[#This Row],[Sales]]&gt;100,Orders[[#This Row],[Sales]]&lt;=150), "$101-150", "$150+")))</f>
        <v>$0-50</v>
      </c>
      <c r="V500" t="str">
        <f>IF(Orders[[#This Row],[Sales]]&gt;MEDIAN(M:M), "High Price", "Low Price")</f>
        <v>Low Price</v>
      </c>
      <c r="W500" t="str">
        <f>IF(Orders[[#This Row],[Quantity]]&gt;MEDIAN(E:E), "High Volume", "Low Volume")</f>
        <v>High Volume</v>
      </c>
      <c r="X500" t="str">
        <f>Orders[[#This Row],[Sales Tier]] &amp; "-" &amp; Orders[[#This Row],[Quantity Tier]]</f>
        <v>Low Price-High Volume</v>
      </c>
      <c r="Y500" t="str">
        <f>TEXT(Orders[[#This Row],[Order Date]], "mmmm")</f>
        <v>June</v>
      </c>
      <c r="Z50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500" t="str">
        <f>Orders[[#This Row],[Coffee Type Name]] &amp; "-" &amp; Orders[[#This Row],[Roast Type Name]]</f>
        <v>Robusta-Dark</v>
      </c>
      <c r="AB50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501" spans="1:28" x14ac:dyDescent="0.25">
      <c r="A501" s="2" t="s">
        <v>3677</v>
      </c>
      <c r="B501" s="4">
        <v>43883</v>
      </c>
      <c r="C501" s="2" t="s">
        <v>3678</v>
      </c>
      <c r="D501" t="s">
        <v>6173</v>
      </c>
      <c r="E501" s="2">
        <v>2</v>
      </c>
      <c r="F501" s="2" t="str">
        <f>_xlfn.XLOOKUP(C501,customers!$A$1:$A$1001,customers!$B$1:$B$1001,,0)</f>
        <v>Abbe Thys</v>
      </c>
      <c r="G501" s="2" t="str">
        <f>IF(_xlfn.XLOOKUP(C501,customers!$A$1:$A$1001,customers!$C$1:$C$1001,,0)=0,"",_xlfn.XLOOKUP(C501,customers!$A$1:$A$1001,customers!$C$1:$C$1001,,0))</f>
        <v>athysfo@cdc.gov</v>
      </c>
      <c r="H501" s="2" t="str">
        <f>_xlfn.XLOOKUP(C501,customers!$A$1:$A$1001,customers!$G$1:$G$1001,,0)</f>
        <v>United States</v>
      </c>
      <c r="I501" t="str">
        <f>INDEX(products!$A$1:$G$49, MATCH(orders!$D566,products!$A$1:$A613,0), MATCH(orders!I$1,products!$A$1:$G$1,0))</f>
        <v>Rob</v>
      </c>
      <c r="J501" t="str">
        <f>INDEX(products!$A$1:$G$49, MATCH(orders!$D566,products!$A$1:$A613,0), MATCH(orders!J$1,products!$A$1:$G$1,0))</f>
        <v>L</v>
      </c>
      <c r="K501" s="5">
        <f>INDEX(products!$A$1:$G$49, MATCH(orders!$D566,products!$A$1:$A613,0), MATCH(orders!K$1,products!$A$1:$G$1,0))</f>
        <v>0.5</v>
      </c>
      <c r="L501" s="6">
        <f>INDEX(products!$A$1:$G$49, MATCH(orders!$D566,products!$A$1:$A613,0), MATCH(orders!L$1,products!$A$1:$G$1,0))</f>
        <v>7.169999999999999</v>
      </c>
      <c r="M501" s="6">
        <f t="shared" si="21"/>
        <v>14.339999999999998</v>
      </c>
      <c r="N501" t="str">
        <f t="shared" si="22"/>
        <v>Robusta</v>
      </c>
      <c r="O501" t="str">
        <f t="shared" si="23"/>
        <v>Light</v>
      </c>
      <c r="P501" t="str">
        <f>_xlfn.XLOOKUP(Orders[[#This Row],[Customer ID]],customers!$A$1:$A$1001,customers!$I$1:$I$1001,,0)</f>
        <v>No</v>
      </c>
      <c r="Q501">
        <f>COUNTIF(Orders[Order ID],Orders[[#This Row],[Order ID]])</f>
        <v>1</v>
      </c>
      <c r="R501" s="10">
        <f>SUMIF(Orders[Order ID], Orders[[#This Row],[Order ID]],Orders[Sales])/Orders[[#This Row],[Order Frequency]]</f>
        <v>14.339999999999998</v>
      </c>
      <c r="S501" t="str">
        <f>IF(Orders[[#This Row],[Order Frequency]]&gt;4, "More than 4", IF(AND(Orders[[#This Row],[Order Frequency]]&lt;=4,Orders[[#This Row],[Order Frequency]]&gt;=2), "Between 4 and 2", "Less than 2"))</f>
        <v>Less than 2</v>
      </c>
      <c r="T501" t="str">
        <f>IF(Orders[[#This Row],[Frequency Group]]="less than 2", "Low Value", IF(Orders[[#This Row],[Frequency Group]]="between 4 and 2", "Medium Value", "High Value"))</f>
        <v>Low Value</v>
      </c>
      <c r="U501" t="str">
        <f>IF(Orders[[#This Row],[Sales]]&lt;50, "$0-50", IF(AND(Orders[[#This Row],[Sales]]&gt;=50,Orders[[#This Row],[Sales]]&lt;=100), "$50-100", IF(AND(Orders[[#This Row],[Sales]]&gt;100,Orders[[#This Row],[Sales]]&lt;=150), "$101-150", "$150+")))</f>
        <v>$0-50</v>
      </c>
      <c r="V501" t="str">
        <f>IF(Orders[[#This Row],[Sales]]&gt;MEDIAN(M:M), "High Price", "Low Price")</f>
        <v>Low Price</v>
      </c>
      <c r="W501" t="str">
        <f>IF(Orders[[#This Row],[Quantity]]&gt;MEDIAN(E:E), "High Volume", "Low Volume")</f>
        <v>Low Volume</v>
      </c>
      <c r="X501" t="str">
        <f>Orders[[#This Row],[Sales Tier]] &amp; "-" &amp; Orders[[#This Row],[Quantity Tier]]</f>
        <v>Low Price-Low Volume</v>
      </c>
      <c r="Y501" t="str">
        <f>TEXT(Orders[[#This Row],[Order Date]], "mmmm")</f>
        <v>February</v>
      </c>
      <c r="Z50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501" t="str">
        <f>Orders[[#This Row],[Coffee Type Name]] &amp; "-" &amp; Orders[[#This Row],[Roast Type Name]]</f>
        <v>Robusta-Light</v>
      </c>
      <c r="AB50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502" spans="1:28" x14ac:dyDescent="0.25">
      <c r="A502" s="2" t="s">
        <v>3565</v>
      </c>
      <c r="B502" s="4">
        <v>43869</v>
      </c>
      <c r="C502" s="2" t="s">
        <v>3566</v>
      </c>
      <c r="D502" t="s">
        <v>6180</v>
      </c>
      <c r="E502" s="2">
        <v>2</v>
      </c>
      <c r="F502" s="2" t="str">
        <f>_xlfn.XLOOKUP(C502,customers!$A$1:$A$1001,customers!$B$1:$B$1001,,0)</f>
        <v>Heda Fromant</v>
      </c>
      <c r="G502" s="2" t="str">
        <f>IF(_xlfn.XLOOKUP(C502,customers!$A$1:$A$1001,customers!$C$1:$C$1001,,0)=0,"",_xlfn.XLOOKUP(C502,customers!$A$1:$A$1001,customers!$C$1:$C$1001,,0))</f>
        <v>hfromantf4@ucsd.edu</v>
      </c>
      <c r="H502" s="2" t="str">
        <f>_xlfn.XLOOKUP(C502,customers!$A$1:$A$1001,customers!$G$1:$G$1001,,0)</f>
        <v>United States</v>
      </c>
      <c r="I502" t="str">
        <f>INDEX(products!$A$1:$G$49, MATCH(orders!$D546,products!$A$1:$A593,0), MATCH(orders!I$1,products!$A$1:$G$1,0))</f>
        <v>Ara</v>
      </c>
      <c r="J502" t="str">
        <f>INDEX(products!$A$1:$G$49, MATCH(orders!$D546,products!$A$1:$A593,0), MATCH(orders!J$1,products!$A$1:$G$1,0))</f>
        <v>L</v>
      </c>
      <c r="K502" s="5">
        <f>INDEX(products!$A$1:$G$49, MATCH(orders!$D546,products!$A$1:$A593,0), MATCH(orders!K$1,products!$A$1:$G$1,0))</f>
        <v>0.5</v>
      </c>
      <c r="L502" s="6">
        <f>INDEX(products!$A$1:$G$49, MATCH(orders!$D546,products!$A$1:$A593,0), MATCH(orders!L$1,products!$A$1:$G$1,0))</f>
        <v>7.77</v>
      </c>
      <c r="M502" s="6">
        <f t="shared" si="21"/>
        <v>15.54</v>
      </c>
      <c r="N502" t="str">
        <f t="shared" si="22"/>
        <v>Arabica</v>
      </c>
      <c r="O502" t="str">
        <f t="shared" si="23"/>
        <v>Light</v>
      </c>
      <c r="P502" t="str">
        <f>_xlfn.XLOOKUP(Orders[[#This Row],[Customer ID]],customers!$A$1:$A$1001,customers!$I$1:$I$1001,,0)</f>
        <v>No</v>
      </c>
      <c r="Q502">
        <f>COUNTIF(Orders[Order ID],Orders[[#This Row],[Order ID]])</f>
        <v>1</v>
      </c>
      <c r="R502" s="10">
        <f>SUMIF(Orders[Order ID], Orders[[#This Row],[Order ID]],Orders[Sales])/Orders[[#This Row],[Order Frequency]]</f>
        <v>15.54</v>
      </c>
      <c r="S502" t="str">
        <f>IF(Orders[[#This Row],[Order Frequency]]&gt;4, "More than 4", IF(AND(Orders[[#This Row],[Order Frequency]]&lt;=4,Orders[[#This Row],[Order Frequency]]&gt;=2), "Between 4 and 2", "Less than 2"))</f>
        <v>Less than 2</v>
      </c>
      <c r="T502" t="str">
        <f>IF(Orders[[#This Row],[Frequency Group]]="less than 2", "Low Value", IF(Orders[[#This Row],[Frequency Group]]="between 4 and 2", "Medium Value", "High Value"))</f>
        <v>Low Value</v>
      </c>
      <c r="U502" t="str">
        <f>IF(Orders[[#This Row],[Sales]]&lt;50, "$0-50", IF(AND(Orders[[#This Row],[Sales]]&gt;=50,Orders[[#This Row],[Sales]]&lt;=100), "$50-100", IF(AND(Orders[[#This Row],[Sales]]&gt;100,Orders[[#This Row],[Sales]]&lt;=150), "$101-150", "$150+")))</f>
        <v>$0-50</v>
      </c>
      <c r="V502" t="str">
        <f>IF(Orders[[#This Row],[Sales]]&gt;MEDIAN(M:M), "High Price", "Low Price")</f>
        <v>Low Price</v>
      </c>
      <c r="W502" t="str">
        <f>IF(Orders[[#This Row],[Quantity]]&gt;MEDIAN(E:E), "High Volume", "Low Volume")</f>
        <v>Low Volume</v>
      </c>
      <c r="X502" t="str">
        <f>Orders[[#This Row],[Sales Tier]] &amp; "-" &amp; Orders[[#This Row],[Quantity Tier]]</f>
        <v>Low Price-Low Volume</v>
      </c>
      <c r="Y502" t="str">
        <f>TEXT(Orders[[#This Row],[Order Date]], "mmmm")</f>
        <v>February</v>
      </c>
      <c r="Z50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502" t="str">
        <f>Orders[[#This Row],[Coffee Type Name]] &amp; "-" &amp; Orders[[#This Row],[Roast Type Name]]</f>
        <v>Arabica-Light</v>
      </c>
      <c r="AB50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503" spans="1:28" x14ac:dyDescent="0.25">
      <c r="A503" s="2" t="s">
        <v>5637</v>
      </c>
      <c r="B503" s="4">
        <v>44447</v>
      </c>
      <c r="C503" s="2" t="s">
        <v>5638</v>
      </c>
      <c r="D503" t="s">
        <v>6168</v>
      </c>
      <c r="E503" s="2">
        <v>4</v>
      </c>
      <c r="F503" s="2" t="str">
        <f>_xlfn.XLOOKUP(C503,customers!$A$1:$A$1001,customers!$B$1:$B$1001,,0)</f>
        <v>Wilton Jallin</v>
      </c>
      <c r="G503" s="2" t="str">
        <f>IF(_xlfn.XLOOKUP(C503,customers!$A$1:$A$1001,customers!$C$1:$C$1001,,0)=0,"",_xlfn.XLOOKUP(C503,customers!$A$1:$A$1001,customers!$C$1:$C$1001,,0))</f>
        <v>wjallinpa@pcworld.com</v>
      </c>
      <c r="H503" s="2" t="str">
        <f>_xlfn.XLOOKUP(C503,customers!$A$1:$A$1001,customers!$G$1:$G$1001,,0)</f>
        <v>United States</v>
      </c>
      <c r="I503" t="str">
        <f>INDEX(products!$A$1:$G$49, MATCH(orders!$D912,products!$A$1:$A959,0), MATCH(orders!I$1,products!$A$1:$G$1,0))</f>
        <v>Ara</v>
      </c>
      <c r="J503" t="str">
        <f>INDEX(products!$A$1:$G$49, MATCH(orders!$D912,products!$A$1:$A959,0), MATCH(orders!J$1,products!$A$1:$G$1,0))</f>
        <v>D</v>
      </c>
      <c r="K503" s="5">
        <f>INDEX(products!$A$1:$G$49, MATCH(orders!$D912,products!$A$1:$A959,0), MATCH(orders!K$1,products!$A$1:$G$1,0))</f>
        <v>2.5</v>
      </c>
      <c r="L503" s="6">
        <f>INDEX(products!$A$1:$G$49, MATCH(orders!$D912,products!$A$1:$A959,0), MATCH(orders!L$1,products!$A$1:$G$1,0))</f>
        <v>22.884999999999998</v>
      </c>
      <c r="M503" s="6">
        <f t="shared" si="21"/>
        <v>91.539999999999992</v>
      </c>
      <c r="N503" t="str">
        <f t="shared" si="22"/>
        <v>Arabica</v>
      </c>
      <c r="O503" t="str">
        <f t="shared" si="23"/>
        <v>Dark</v>
      </c>
      <c r="P503" t="str">
        <f>_xlfn.XLOOKUP(Orders[[#This Row],[Customer ID]],customers!$A$1:$A$1001,customers!$I$1:$I$1001,,0)</f>
        <v>No</v>
      </c>
      <c r="Q503">
        <f>COUNTIF(Orders[Order ID],Orders[[#This Row],[Order ID]])</f>
        <v>1</v>
      </c>
      <c r="R503" s="10">
        <f>SUMIF(Orders[Order ID], Orders[[#This Row],[Order ID]],Orders[Sales])/Orders[[#This Row],[Order Frequency]]</f>
        <v>91.539999999999992</v>
      </c>
      <c r="S503" t="str">
        <f>IF(Orders[[#This Row],[Order Frequency]]&gt;4, "More than 4", IF(AND(Orders[[#This Row],[Order Frequency]]&lt;=4,Orders[[#This Row],[Order Frequency]]&gt;=2), "Between 4 and 2", "Less than 2"))</f>
        <v>Less than 2</v>
      </c>
      <c r="T503" t="str">
        <f>IF(Orders[[#This Row],[Frequency Group]]="less than 2", "Low Value", IF(Orders[[#This Row],[Frequency Group]]="between 4 and 2", "Medium Value", "High Value"))</f>
        <v>Low Value</v>
      </c>
      <c r="U503" t="str">
        <f>IF(Orders[[#This Row],[Sales]]&lt;50, "$0-50", IF(AND(Orders[[#This Row],[Sales]]&gt;=50,Orders[[#This Row],[Sales]]&lt;=100), "$50-100", IF(AND(Orders[[#This Row],[Sales]]&gt;100,Orders[[#This Row],[Sales]]&lt;=150), "$101-150", "$150+")))</f>
        <v>$50-100</v>
      </c>
      <c r="V503" t="str">
        <f>IF(Orders[[#This Row],[Sales]]&gt;MEDIAN(M:M), "High Price", "Low Price")</f>
        <v>High Price</v>
      </c>
      <c r="W503" t="str">
        <f>IF(Orders[[#This Row],[Quantity]]&gt;MEDIAN(E:E), "High Volume", "Low Volume")</f>
        <v>Low Volume</v>
      </c>
      <c r="X503" t="str">
        <f>Orders[[#This Row],[Sales Tier]] &amp; "-" &amp; Orders[[#This Row],[Quantity Tier]]</f>
        <v>High Price-Low Volume</v>
      </c>
      <c r="Y503" t="str">
        <f>TEXT(Orders[[#This Row],[Order Date]], "mmmm")</f>
        <v>September</v>
      </c>
      <c r="Z50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503" t="str">
        <f>Orders[[#This Row],[Coffee Type Name]] &amp; "-" &amp; Orders[[#This Row],[Roast Type Name]]</f>
        <v>Arabica-Dark</v>
      </c>
      <c r="AB50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504" spans="1:28" x14ac:dyDescent="0.25">
      <c r="A504" s="2" t="s">
        <v>1339</v>
      </c>
      <c r="B504" s="4">
        <v>44115</v>
      </c>
      <c r="C504" s="2" t="s">
        <v>1340</v>
      </c>
      <c r="D504" t="s">
        <v>6155</v>
      </c>
      <c r="E504" s="2">
        <v>3</v>
      </c>
      <c r="F504" s="2" t="str">
        <f>_xlfn.XLOOKUP(C504,customers!$A$1:$A$1001,customers!$B$1:$B$1001,,0)</f>
        <v>Quinton Fouracres</v>
      </c>
      <c r="G504" s="2" t="str">
        <f>IF(_xlfn.XLOOKUP(C504,customers!$A$1:$A$1001,customers!$C$1:$C$1001,,0)=0,"",_xlfn.XLOOKUP(C504,customers!$A$1:$A$1001,customers!$C$1:$C$1001,,0))</f>
        <v/>
      </c>
      <c r="H504" s="2" t="str">
        <f>_xlfn.XLOOKUP(C504,customers!$A$1:$A$1001,customers!$G$1:$G$1001,,0)</f>
        <v>United States</v>
      </c>
      <c r="I504" t="str">
        <f>INDEX(products!$A$1:$G$49, MATCH(orders!$D153,products!$A$1:$A200,0), MATCH(orders!I$1,products!$A$1:$G$1,0))</f>
        <v>Ara</v>
      </c>
      <c r="J504" t="str">
        <f>INDEX(products!$A$1:$G$49, MATCH(orders!$D153,products!$A$1:$A200,0), MATCH(orders!J$1,products!$A$1:$G$1,0))</f>
        <v>M</v>
      </c>
      <c r="K504" s="5">
        <f>INDEX(products!$A$1:$G$49, MATCH(orders!$D153,products!$A$1:$A200,0), MATCH(orders!K$1,products!$A$1:$G$1,0))</f>
        <v>1</v>
      </c>
      <c r="L504" s="6">
        <f>INDEX(products!$A$1:$G$49, MATCH(orders!$D153,products!$A$1:$A200,0), MATCH(orders!L$1,products!$A$1:$G$1,0))</f>
        <v>11.25</v>
      </c>
      <c r="M504" s="6">
        <f t="shared" si="21"/>
        <v>33.75</v>
      </c>
      <c r="N504" t="str">
        <f t="shared" si="22"/>
        <v>Arabica</v>
      </c>
      <c r="O504" t="str">
        <f t="shared" si="23"/>
        <v>Medium</v>
      </c>
      <c r="P504" t="str">
        <f>_xlfn.XLOOKUP(Orders[[#This Row],[Customer ID]],customers!$A$1:$A$1001,customers!$I$1:$I$1001,,0)</f>
        <v>Yes</v>
      </c>
      <c r="Q504">
        <f>COUNTIF(Orders[Order ID],Orders[[#This Row],[Order ID]])</f>
        <v>1</v>
      </c>
      <c r="R504" s="10">
        <f>SUMIF(Orders[Order ID], Orders[[#This Row],[Order ID]],Orders[Sales])/Orders[[#This Row],[Order Frequency]]</f>
        <v>33.75</v>
      </c>
      <c r="S504" t="str">
        <f>IF(Orders[[#This Row],[Order Frequency]]&gt;4, "More than 4", IF(AND(Orders[[#This Row],[Order Frequency]]&lt;=4,Orders[[#This Row],[Order Frequency]]&gt;=2), "Between 4 and 2", "Less than 2"))</f>
        <v>Less than 2</v>
      </c>
      <c r="T504" t="str">
        <f>IF(Orders[[#This Row],[Frequency Group]]="less than 2", "Low Value", IF(Orders[[#This Row],[Frequency Group]]="between 4 and 2", "Medium Value", "High Value"))</f>
        <v>Low Value</v>
      </c>
      <c r="U504" t="str">
        <f>IF(Orders[[#This Row],[Sales]]&lt;50, "$0-50", IF(AND(Orders[[#This Row],[Sales]]&gt;=50,Orders[[#This Row],[Sales]]&lt;=100), "$50-100", IF(AND(Orders[[#This Row],[Sales]]&gt;100,Orders[[#This Row],[Sales]]&lt;=150), "$101-150", "$150+")))</f>
        <v>$0-50</v>
      </c>
      <c r="V504" t="str">
        <f>IF(Orders[[#This Row],[Sales]]&gt;MEDIAN(M:M), "High Price", "Low Price")</f>
        <v>High Price</v>
      </c>
      <c r="W504" t="str">
        <f>IF(Orders[[#This Row],[Quantity]]&gt;MEDIAN(E:E), "High Volume", "Low Volume")</f>
        <v>Low Volume</v>
      </c>
      <c r="X504" t="str">
        <f>Orders[[#This Row],[Sales Tier]] &amp; "-" &amp; Orders[[#This Row],[Quantity Tier]]</f>
        <v>High Price-Low Volume</v>
      </c>
      <c r="Y504" t="str">
        <f>TEXT(Orders[[#This Row],[Order Date]], "mmmm")</f>
        <v>October</v>
      </c>
      <c r="Z50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504" t="str">
        <f>Orders[[#This Row],[Coffee Type Name]] &amp; "-" &amp; Orders[[#This Row],[Roast Type Name]]</f>
        <v>Arabica-Medium</v>
      </c>
      <c r="AB50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505" spans="1:28" x14ac:dyDescent="0.25">
      <c r="A505" s="2" t="s">
        <v>3966</v>
      </c>
      <c r="B505" s="4">
        <v>44271</v>
      </c>
      <c r="C505" s="2" t="s">
        <v>3967</v>
      </c>
      <c r="D505" t="s">
        <v>6166</v>
      </c>
      <c r="E505" s="2">
        <v>4</v>
      </c>
      <c r="F505" s="2" t="str">
        <f>_xlfn.XLOOKUP(C505,customers!$A$1:$A$1001,customers!$B$1:$B$1001,,0)</f>
        <v>Linus Flippelli</v>
      </c>
      <c r="G505" s="2" t="str">
        <f>IF(_xlfn.XLOOKUP(C505,customers!$A$1:$A$1001,customers!$C$1:$C$1001,,0)=0,"",_xlfn.XLOOKUP(C505,customers!$A$1:$A$1001,customers!$C$1:$C$1001,,0))</f>
        <v>lflippellih4@github.io</v>
      </c>
      <c r="H505" s="2" t="str">
        <f>_xlfn.XLOOKUP(C505,customers!$A$1:$A$1001,customers!$G$1:$G$1001,,0)</f>
        <v>United Kingdom</v>
      </c>
      <c r="I505" t="str">
        <f>INDEX(products!$A$1:$G$49, MATCH(orders!$D618,products!$A$1:$A665,0), MATCH(orders!I$1,products!$A$1:$G$1,0))</f>
        <v>Exc</v>
      </c>
      <c r="J505" t="str">
        <f>INDEX(products!$A$1:$G$49, MATCH(orders!$D618,products!$A$1:$A665,0), MATCH(orders!J$1,products!$A$1:$G$1,0))</f>
        <v>M</v>
      </c>
      <c r="K505" s="5">
        <f>INDEX(products!$A$1:$G$49, MATCH(orders!$D618,products!$A$1:$A665,0), MATCH(orders!K$1,products!$A$1:$G$1,0))</f>
        <v>2.5</v>
      </c>
      <c r="L505" s="6">
        <f>INDEX(products!$A$1:$G$49, MATCH(orders!$D618,products!$A$1:$A665,0), MATCH(orders!L$1,products!$A$1:$G$1,0))</f>
        <v>31.624999999999996</v>
      </c>
      <c r="M505" s="6">
        <f t="shared" si="21"/>
        <v>126.49999999999999</v>
      </c>
      <c r="N505" t="str">
        <f t="shared" si="22"/>
        <v>Excelsa</v>
      </c>
      <c r="O505" t="str">
        <f t="shared" si="23"/>
        <v>Medium</v>
      </c>
      <c r="P505" t="str">
        <f>_xlfn.XLOOKUP(Orders[[#This Row],[Customer ID]],customers!$A$1:$A$1001,customers!$I$1:$I$1001,,0)</f>
        <v>No</v>
      </c>
      <c r="Q505">
        <f>COUNTIF(Orders[Order ID],Orders[[#This Row],[Order ID]])</f>
        <v>1</v>
      </c>
      <c r="R505" s="10">
        <f>SUMIF(Orders[Order ID], Orders[[#This Row],[Order ID]],Orders[Sales])/Orders[[#This Row],[Order Frequency]]</f>
        <v>126.49999999999999</v>
      </c>
      <c r="S505" t="str">
        <f>IF(Orders[[#This Row],[Order Frequency]]&gt;4, "More than 4", IF(AND(Orders[[#This Row],[Order Frequency]]&lt;=4,Orders[[#This Row],[Order Frequency]]&gt;=2), "Between 4 and 2", "Less than 2"))</f>
        <v>Less than 2</v>
      </c>
      <c r="T505" t="str">
        <f>IF(Orders[[#This Row],[Frequency Group]]="less than 2", "Low Value", IF(Orders[[#This Row],[Frequency Group]]="between 4 and 2", "Medium Value", "High Value"))</f>
        <v>Low Value</v>
      </c>
      <c r="U505" t="str">
        <f>IF(Orders[[#This Row],[Sales]]&lt;50, "$0-50", IF(AND(Orders[[#This Row],[Sales]]&gt;=50,Orders[[#This Row],[Sales]]&lt;=100), "$50-100", IF(AND(Orders[[#This Row],[Sales]]&gt;100,Orders[[#This Row],[Sales]]&lt;=150), "$101-150", "$150+")))</f>
        <v>$101-150</v>
      </c>
      <c r="V505" t="str">
        <f>IF(Orders[[#This Row],[Sales]]&gt;MEDIAN(M:M), "High Price", "Low Price")</f>
        <v>High Price</v>
      </c>
      <c r="W505" t="str">
        <f>IF(Orders[[#This Row],[Quantity]]&gt;MEDIAN(E:E), "High Volume", "Low Volume")</f>
        <v>Low Volume</v>
      </c>
      <c r="X505" t="str">
        <f>Orders[[#This Row],[Sales Tier]] &amp; "-" &amp; Orders[[#This Row],[Quantity Tier]]</f>
        <v>High Price-Low Volume</v>
      </c>
      <c r="Y505" t="str">
        <f>TEXT(Orders[[#This Row],[Order Date]], "mmmm")</f>
        <v>March</v>
      </c>
      <c r="Z50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505" t="str">
        <f>Orders[[#This Row],[Coffee Type Name]] &amp; "-" &amp; Orders[[#This Row],[Roast Type Name]]</f>
        <v>Excelsa-Medium</v>
      </c>
      <c r="AB50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506" spans="1:28" x14ac:dyDescent="0.25">
      <c r="A506" s="2" t="s">
        <v>5753</v>
      </c>
      <c r="B506" s="4">
        <v>44607</v>
      </c>
      <c r="C506" s="2" t="s">
        <v>5754</v>
      </c>
      <c r="D506" t="s">
        <v>6158</v>
      </c>
      <c r="E506" s="2">
        <v>4</v>
      </c>
      <c r="F506" s="2" t="str">
        <f>_xlfn.XLOOKUP(C506,customers!$A$1:$A$1001,customers!$B$1:$B$1001,,0)</f>
        <v>Mallory Shrimpling</v>
      </c>
      <c r="G506" s="2" t="str">
        <f>IF(_xlfn.XLOOKUP(C506,customers!$A$1:$A$1001,customers!$C$1:$C$1001,,0)=0,"",_xlfn.XLOOKUP(C506,customers!$A$1:$A$1001,customers!$C$1:$C$1001,,0))</f>
        <v/>
      </c>
      <c r="H506" s="2" t="str">
        <f>_xlfn.XLOOKUP(C506,customers!$A$1:$A$1001,customers!$G$1:$G$1001,,0)</f>
        <v>United States</v>
      </c>
      <c r="I506" t="str">
        <f>INDEX(products!$A$1:$G$49, MATCH(orders!$D933,products!$A$1:$A980,0), MATCH(orders!I$1,products!$A$1:$G$1,0))</f>
        <v>Ara</v>
      </c>
      <c r="J506" t="str">
        <f>INDEX(products!$A$1:$G$49, MATCH(orders!$D933,products!$A$1:$A980,0), MATCH(orders!J$1,products!$A$1:$G$1,0))</f>
        <v>D</v>
      </c>
      <c r="K506" s="5">
        <f>INDEX(products!$A$1:$G$49, MATCH(orders!$D933,products!$A$1:$A980,0), MATCH(orders!K$1,products!$A$1:$G$1,0))</f>
        <v>0.5</v>
      </c>
      <c r="L506" s="6">
        <f>INDEX(products!$A$1:$G$49, MATCH(orders!$D933,products!$A$1:$A980,0), MATCH(orders!L$1,products!$A$1:$G$1,0))</f>
        <v>5.97</v>
      </c>
      <c r="M506" s="6">
        <f t="shared" si="21"/>
        <v>23.88</v>
      </c>
      <c r="N506" t="str">
        <f t="shared" si="22"/>
        <v>Arabica</v>
      </c>
      <c r="O506" t="str">
        <f t="shared" si="23"/>
        <v>Dark</v>
      </c>
      <c r="P506" t="str">
        <f>_xlfn.XLOOKUP(Orders[[#This Row],[Customer ID]],customers!$A$1:$A$1001,customers!$I$1:$I$1001,,0)</f>
        <v>Yes</v>
      </c>
      <c r="Q506">
        <f>COUNTIF(Orders[Order ID],Orders[[#This Row],[Order ID]])</f>
        <v>1</v>
      </c>
      <c r="R506" s="10">
        <f>SUMIF(Orders[Order ID], Orders[[#This Row],[Order ID]],Orders[Sales])/Orders[[#This Row],[Order Frequency]]</f>
        <v>23.88</v>
      </c>
      <c r="S506" t="str">
        <f>IF(Orders[[#This Row],[Order Frequency]]&gt;4, "More than 4", IF(AND(Orders[[#This Row],[Order Frequency]]&lt;=4,Orders[[#This Row],[Order Frequency]]&gt;=2), "Between 4 and 2", "Less than 2"))</f>
        <v>Less than 2</v>
      </c>
      <c r="T506" t="str">
        <f>IF(Orders[[#This Row],[Frequency Group]]="less than 2", "Low Value", IF(Orders[[#This Row],[Frequency Group]]="between 4 and 2", "Medium Value", "High Value"))</f>
        <v>Low Value</v>
      </c>
      <c r="U506" t="str">
        <f>IF(Orders[[#This Row],[Sales]]&lt;50, "$0-50", IF(AND(Orders[[#This Row],[Sales]]&gt;=50,Orders[[#This Row],[Sales]]&lt;=100), "$50-100", IF(AND(Orders[[#This Row],[Sales]]&gt;100,Orders[[#This Row],[Sales]]&lt;=150), "$101-150", "$150+")))</f>
        <v>$0-50</v>
      </c>
      <c r="V506" t="str">
        <f>IF(Orders[[#This Row],[Sales]]&gt;MEDIAN(M:M), "High Price", "Low Price")</f>
        <v>Low Price</v>
      </c>
      <c r="W506" t="str">
        <f>IF(Orders[[#This Row],[Quantity]]&gt;MEDIAN(E:E), "High Volume", "Low Volume")</f>
        <v>Low Volume</v>
      </c>
      <c r="X506" t="str">
        <f>Orders[[#This Row],[Sales Tier]] &amp; "-" &amp; Orders[[#This Row],[Quantity Tier]]</f>
        <v>Low Price-Low Volume</v>
      </c>
      <c r="Y506" t="str">
        <f>TEXT(Orders[[#This Row],[Order Date]], "mmmm")</f>
        <v>February</v>
      </c>
      <c r="Z50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506" t="str">
        <f>Orders[[#This Row],[Coffee Type Name]] &amp; "-" &amp; Orders[[#This Row],[Roast Type Name]]</f>
        <v>Arabica-Dark</v>
      </c>
      <c r="AB50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507" spans="1:28" x14ac:dyDescent="0.25">
      <c r="A507" s="2" t="s">
        <v>996</v>
      </c>
      <c r="B507" s="4">
        <v>43971</v>
      </c>
      <c r="C507" s="2" t="s">
        <v>997</v>
      </c>
      <c r="D507" t="s">
        <v>6140</v>
      </c>
      <c r="E507" s="2">
        <v>4</v>
      </c>
      <c r="F507" s="2" t="str">
        <f>_xlfn.XLOOKUP(C507,customers!$A$1:$A$1001,customers!$B$1:$B$1001,,0)</f>
        <v>Loydie Langlais</v>
      </c>
      <c r="G507" s="2" t="str">
        <f>IF(_xlfn.XLOOKUP(C507,customers!$A$1:$A$1001,customers!$C$1:$C$1001,,0)=0,"",_xlfn.XLOOKUP(C507,customers!$A$1:$A$1001,customers!$C$1:$C$1001,,0))</f>
        <v/>
      </c>
      <c r="H507" s="2" t="str">
        <f>_xlfn.XLOOKUP(C507,customers!$A$1:$A$1001,customers!$G$1:$G$1001,,0)</f>
        <v>Ireland</v>
      </c>
      <c r="I507" t="str">
        <f>INDEX(products!$A$1:$G$49, MATCH(orders!$D92,products!$A$1:$A139,0), MATCH(orders!I$1,products!$A$1:$G$1,0))</f>
        <v>Ara</v>
      </c>
      <c r="J507" t="str">
        <f>INDEX(products!$A$1:$G$49, MATCH(orders!$D92,products!$A$1:$A139,0), MATCH(orders!J$1,products!$A$1:$G$1,0))</f>
        <v>L</v>
      </c>
      <c r="K507" s="5">
        <f>INDEX(products!$A$1:$G$49, MATCH(orders!$D92,products!$A$1:$A139,0), MATCH(orders!K$1,products!$A$1:$G$1,0))</f>
        <v>1</v>
      </c>
      <c r="L507" s="6">
        <f>INDEX(products!$A$1:$G$49, MATCH(orders!$D92,products!$A$1:$A139,0), MATCH(orders!L$1,products!$A$1:$G$1,0))</f>
        <v>12.95</v>
      </c>
      <c r="M507" s="6">
        <f t="shared" si="21"/>
        <v>51.8</v>
      </c>
      <c r="N507" t="str">
        <f t="shared" si="22"/>
        <v>Arabica</v>
      </c>
      <c r="O507" t="str">
        <f t="shared" si="23"/>
        <v>Light</v>
      </c>
      <c r="P507" t="str">
        <f>_xlfn.XLOOKUP(Orders[[#This Row],[Customer ID]],customers!$A$1:$A$1001,customers!$I$1:$I$1001,,0)</f>
        <v>Yes</v>
      </c>
      <c r="Q507">
        <f>COUNTIF(Orders[Order ID],Orders[[#This Row],[Order ID]])</f>
        <v>1</v>
      </c>
      <c r="R507" s="10">
        <f>SUMIF(Orders[Order ID], Orders[[#This Row],[Order ID]],Orders[Sales])/Orders[[#This Row],[Order Frequency]]</f>
        <v>51.8</v>
      </c>
      <c r="S507" t="str">
        <f>IF(Orders[[#This Row],[Order Frequency]]&gt;4, "More than 4", IF(AND(Orders[[#This Row],[Order Frequency]]&lt;=4,Orders[[#This Row],[Order Frequency]]&gt;=2), "Between 4 and 2", "Less than 2"))</f>
        <v>Less than 2</v>
      </c>
      <c r="T507" t="str">
        <f>IF(Orders[[#This Row],[Frequency Group]]="less than 2", "Low Value", IF(Orders[[#This Row],[Frequency Group]]="between 4 and 2", "Medium Value", "High Value"))</f>
        <v>Low Value</v>
      </c>
      <c r="U507" t="str">
        <f>IF(Orders[[#This Row],[Sales]]&lt;50, "$0-50", IF(AND(Orders[[#This Row],[Sales]]&gt;=50,Orders[[#This Row],[Sales]]&lt;=100), "$50-100", IF(AND(Orders[[#This Row],[Sales]]&gt;100,Orders[[#This Row],[Sales]]&lt;=150), "$101-150", "$150+")))</f>
        <v>$50-100</v>
      </c>
      <c r="V507" t="str">
        <f>IF(Orders[[#This Row],[Sales]]&gt;MEDIAN(M:M), "High Price", "Low Price")</f>
        <v>High Price</v>
      </c>
      <c r="W507" t="str">
        <f>IF(Orders[[#This Row],[Quantity]]&gt;MEDIAN(E:E), "High Volume", "Low Volume")</f>
        <v>Low Volume</v>
      </c>
      <c r="X507" t="str">
        <f>Orders[[#This Row],[Sales Tier]] &amp; "-" &amp; Orders[[#This Row],[Quantity Tier]]</f>
        <v>High Price-Low Volume</v>
      </c>
      <c r="Y507" t="str">
        <f>TEXT(Orders[[#This Row],[Order Date]], "mmmm")</f>
        <v>May</v>
      </c>
      <c r="Z50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507" t="str">
        <f>Orders[[#This Row],[Coffee Type Name]] &amp; "-" &amp; Orders[[#This Row],[Roast Type Name]]</f>
        <v>Arabica-Light</v>
      </c>
      <c r="AB50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508" spans="1:28" x14ac:dyDescent="0.25">
      <c r="A508" s="2" t="s">
        <v>3021</v>
      </c>
      <c r="B508" s="4">
        <v>44336</v>
      </c>
      <c r="C508" s="2" t="s">
        <v>3022</v>
      </c>
      <c r="D508" t="s">
        <v>6163</v>
      </c>
      <c r="E508" s="2">
        <v>2</v>
      </c>
      <c r="F508" s="2" t="str">
        <f>_xlfn.XLOOKUP(C508,customers!$A$1:$A$1001,customers!$B$1:$B$1001,,0)</f>
        <v>Antone Harrold</v>
      </c>
      <c r="G508" s="2" t="str">
        <f>IF(_xlfn.XLOOKUP(C508,customers!$A$1:$A$1001,customers!$C$1:$C$1001,,0)=0,"",_xlfn.XLOOKUP(C508,customers!$A$1:$A$1001,customers!$C$1:$C$1001,,0))</f>
        <v>aharroldch@miibeian.gov.cn</v>
      </c>
      <c r="H508" s="2" t="str">
        <f>_xlfn.XLOOKUP(C508,customers!$A$1:$A$1001,customers!$G$1:$G$1001,,0)</f>
        <v>United States</v>
      </c>
      <c r="I508" t="str">
        <f>INDEX(products!$A$1:$G$49, MATCH(orders!$D451,products!$A$1:$A498,0), MATCH(orders!I$1,products!$A$1:$G$1,0))</f>
        <v>Rob</v>
      </c>
      <c r="J508" t="str">
        <f>INDEX(products!$A$1:$G$49, MATCH(orders!$D451,products!$A$1:$A498,0), MATCH(orders!J$1,products!$A$1:$G$1,0))</f>
        <v>D</v>
      </c>
      <c r="K508" s="5">
        <f>INDEX(products!$A$1:$G$49, MATCH(orders!$D451,products!$A$1:$A498,0), MATCH(orders!K$1,products!$A$1:$G$1,0))</f>
        <v>0.2</v>
      </c>
      <c r="L508" s="6">
        <f>INDEX(products!$A$1:$G$49, MATCH(orders!$D451,products!$A$1:$A498,0), MATCH(orders!L$1,products!$A$1:$G$1,0))</f>
        <v>2.6849999999999996</v>
      </c>
      <c r="M508" s="6">
        <f t="shared" si="21"/>
        <v>5.3699999999999992</v>
      </c>
      <c r="N508" t="str">
        <f t="shared" si="22"/>
        <v>Robusta</v>
      </c>
      <c r="O508" t="str">
        <f t="shared" si="23"/>
        <v>Dark</v>
      </c>
      <c r="P508" t="str">
        <f>_xlfn.XLOOKUP(Orders[[#This Row],[Customer ID]],customers!$A$1:$A$1001,customers!$I$1:$I$1001,,0)</f>
        <v>No</v>
      </c>
      <c r="Q508">
        <f>COUNTIF(Orders[Order ID],Orders[[#This Row],[Order ID]])</f>
        <v>1</v>
      </c>
      <c r="R508" s="10">
        <f>SUMIF(Orders[Order ID], Orders[[#This Row],[Order ID]],Orders[Sales])/Orders[[#This Row],[Order Frequency]]</f>
        <v>5.3699999999999992</v>
      </c>
      <c r="S508" t="str">
        <f>IF(Orders[[#This Row],[Order Frequency]]&gt;4, "More than 4", IF(AND(Orders[[#This Row],[Order Frequency]]&lt;=4,Orders[[#This Row],[Order Frequency]]&gt;=2), "Between 4 and 2", "Less than 2"))</f>
        <v>Less than 2</v>
      </c>
      <c r="T508" t="str">
        <f>IF(Orders[[#This Row],[Frequency Group]]="less than 2", "Low Value", IF(Orders[[#This Row],[Frequency Group]]="between 4 and 2", "Medium Value", "High Value"))</f>
        <v>Low Value</v>
      </c>
      <c r="U508" t="str">
        <f>IF(Orders[[#This Row],[Sales]]&lt;50, "$0-50", IF(AND(Orders[[#This Row],[Sales]]&gt;=50,Orders[[#This Row],[Sales]]&lt;=100), "$50-100", IF(AND(Orders[[#This Row],[Sales]]&gt;100,Orders[[#This Row],[Sales]]&lt;=150), "$101-150", "$150+")))</f>
        <v>$0-50</v>
      </c>
      <c r="V508" t="str">
        <f>IF(Orders[[#This Row],[Sales]]&gt;MEDIAN(M:M), "High Price", "Low Price")</f>
        <v>Low Price</v>
      </c>
      <c r="W508" t="str">
        <f>IF(Orders[[#This Row],[Quantity]]&gt;MEDIAN(E:E), "High Volume", "Low Volume")</f>
        <v>Low Volume</v>
      </c>
      <c r="X508" t="str">
        <f>Orders[[#This Row],[Sales Tier]] &amp; "-" &amp; Orders[[#This Row],[Quantity Tier]]</f>
        <v>Low Price-Low Volume</v>
      </c>
      <c r="Y508" t="str">
        <f>TEXT(Orders[[#This Row],[Order Date]], "mmmm")</f>
        <v>May</v>
      </c>
      <c r="Z50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508" t="str">
        <f>Orders[[#This Row],[Coffee Type Name]] &amp; "-" &amp; Orders[[#This Row],[Roast Type Name]]</f>
        <v>Robusta-Dark</v>
      </c>
      <c r="AB50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509" spans="1:28" x14ac:dyDescent="0.25">
      <c r="A509" s="2" t="s">
        <v>5709</v>
      </c>
      <c r="B509" s="4">
        <v>43746</v>
      </c>
      <c r="C509" s="2" t="s">
        <v>5710</v>
      </c>
      <c r="D509" t="s">
        <v>6185</v>
      </c>
      <c r="E509" s="2">
        <v>1</v>
      </c>
      <c r="F509" s="2" t="str">
        <f>_xlfn.XLOOKUP(C509,customers!$A$1:$A$1001,customers!$B$1:$B$1001,,0)</f>
        <v>Goldie Wynes</v>
      </c>
      <c r="G509" s="2" t="str">
        <f>IF(_xlfn.XLOOKUP(C509,customers!$A$1:$A$1001,customers!$C$1:$C$1001,,0)=0,"",_xlfn.XLOOKUP(C509,customers!$A$1:$A$1001,customers!$C$1:$C$1001,,0))</f>
        <v>gwynespn@dagondesign.com</v>
      </c>
      <c r="H509" s="2" t="str">
        <f>_xlfn.XLOOKUP(C509,customers!$A$1:$A$1001,customers!$G$1:$G$1001,,0)</f>
        <v>United States</v>
      </c>
      <c r="I509" t="str">
        <f>INDEX(products!$A$1:$G$49, MATCH(orders!$D925,products!$A$1:$A972,0), MATCH(orders!I$1,products!$A$1:$G$1,0))</f>
        <v>Exc</v>
      </c>
      <c r="J509" t="str">
        <f>INDEX(products!$A$1:$G$49, MATCH(orders!$D925,products!$A$1:$A972,0), MATCH(orders!J$1,products!$A$1:$G$1,0))</f>
        <v>D</v>
      </c>
      <c r="K509" s="5">
        <f>INDEX(products!$A$1:$G$49, MATCH(orders!$D925,products!$A$1:$A972,0), MATCH(orders!K$1,products!$A$1:$G$1,0))</f>
        <v>2.5</v>
      </c>
      <c r="L509" s="6">
        <f>INDEX(products!$A$1:$G$49, MATCH(orders!$D925,products!$A$1:$A972,0), MATCH(orders!L$1,products!$A$1:$G$1,0))</f>
        <v>27.945</v>
      </c>
      <c r="M509" s="6">
        <f t="shared" si="21"/>
        <v>27.945</v>
      </c>
      <c r="N509" t="str">
        <f t="shared" si="22"/>
        <v>Excelsa</v>
      </c>
      <c r="O509" t="str">
        <f t="shared" si="23"/>
        <v>Dark</v>
      </c>
      <c r="P509" t="str">
        <f>_xlfn.XLOOKUP(Orders[[#This Row],[Customer ID]],customers!$A$1:$A$1001,customers!$I$1:$I$1001,,0)</f>
        <v>No</v>
      </c>
      <c r="Q509">
        <f>COUNTIF(Orders[Order ID],Orders[[#This Row],[Order ID]])</f>
        <v>1</v>
      </c>
      <c r="R509" s="10">
        <f>SUMIF(Orders[Order ID], Orders[[#This Row],[Order ID]],Orders[Sales])/Orders[[#This Row],[Order Frequency]]</f>
        <v>27.945</v>
      </c>
      <c r="S509" t="str">
        <f>IF(Orders[[#This Row],[Order Frequency]]&gt;4, "More than 4", IF(AND(Orders[[#This Row],[Order Frequency]]&lt;=4,Orders[[#This Row],[Order Frequency]]&gt;=2), "Between 4 and 2", "Less than 2"))</f>
        <v>Less than 2</v>
      </c>
      <c r="T509" t="str">
        <f>IF(Orders[[#This Row],[Frequency Group]]="less than 2", "Low Value", IF(Orders[[#This Row],[Frequency Group]]="between 4 and 2", "Medium Value", "High Value"))</f>
        <v>Low Value</v>
      </c>
      <c r="U509" t="str">
        <f>IF(Orders[[#This Row],[Sales]]&lt;50, "$0-50", IF(AND(Orders[[#This Row],[Sales]]&gt;=50,Orders[[#This Row],[Sales]]&lt;=100), "$50-100", IF(AND(Orders[[#This Row],[Sales]]&gt;100,Orders[[#This Row],[Sales]]&lt;=150), "$101-150", "$150+")))</f>
        <v>$0-50</v>
      </c>
      <c r="V509" t="str">
        <f>IF(Orders[[#This Row],[Sales]]&gt;MEDIAN(M:M), "High Price", "Low Price")</f>
        <v>Low Price</v>
      </c>
      <c r="W509" t="str">
        <f>IF(Orders[[#This Row],[Quantity]]&gt;MEDIAN(E:E), "High Volume", "Low Volume")</f>
        <v>Low Volume</v>
      </c>
      <c r="X509" t="str">
        <f>Orders[[#This Row],[Sales Tier]] &amp; "-" &amp; Orders[[#This Row],[Quantity Tier]]</f>
        <v>Low Price-Low Volume</v>
      </c>
      <c r="Y509" t="str">
        <f>TEXT(Orders[[#This Row],[Order Date]], "mmmm")</f>
        <v>October</v>
      </c>
      <c r="Z50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509" t="str">
        <f>Orders[[#This Row],[Coffee Type Name]] &amp; "-" &amp; Orders[[#This Row],[Roast Type Name]]</f>
        <v>Excelsa-Dark</v>
      </c>
      <c r="AB50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510" spans="1:28" x14ac:dyDescent="0.25">
      <c r="A510" s="2" t="s">
        <v>1355</v>
      </c>
      <c r="B510" s="4">
        <v>44473</v>
      </c>
      <c r="C510" s="2" t="s">
        <v>1356</v>
      </c>
      <c r="D510" t="s">
        <v>6168</v>
      </c>
      <c r="E510" s="2">
        <v>5</v>
      </c>
      <c r="F510" s="2" t="str">
        <f>_xlfn.XLOOKUP(C510,customers!$A$1:$A$1001,customers!$B$1:$B$1001,,0)</f>
        <v>Jocko Pray</v>
      </c>
      <c r="G510" s="2" t="str">
        <f>IF(_xlfn.XLOOKUP(C510,customers!$A$1:$A$1001,customers!$C$1:$C$1001,,0)=0,"",_xlfn.XLOOKUP(C510,customers!$A$1:$A$1001,customers!$C$1:$C$1001,,0))</f>
        <v>jpray4a@youtube.com</v>
      </c>
      <c r="H510" s="2" t="str">
        <f>_xlfn.XLOOKUP(C510,customers!$A$1:$A$1001,customers!$G$1:$G$1001,,0)</f>
        <v>United States</v>
      </c>
      <c r="I510" t="str">
        <f>INDEX(products!$A$1:$G$49, MATCH(orders!$D156,products!$A$1:$A203,0), MATCH(orders!I$1,products!$A$1:$G$1,0))</f>
        <v>Ara</v>
      </c>
      <c r="J510" t="str">
        <f>INDEX(products!$A$1:$G$49, MATCH(orders!$D156,products!$A$1:$A203,0), MATCH(orders!J$1,products!$A$1:$G$1,0))</f>
        <v>D</v>
      </c>
      <c r="K510" s="5">
        <f>INDEX(products!$A$1:$G$49, MATCH(orders!$D156,products!$A$1:$A203,0), MATCH(orders!K$1,products!$A$1:$G$1,0))</f>
        <v>2.5</v>
      </c>
      <c r="L510" s="6">
        <f>INDEX(products!$A$1:$G$49, MATCH(orders!$D156,products!$A$1:$A203,0), MATCH(orders!L$1,products!$A$1:$G$1,0))</f>
        <v>22.884999999999998</v>
      </c>
      <c r="M510" s="6">
        <f t="shared" si="21"/>
        <v>114.42499999999998</v>
      </c>
      <c r="N510" t="str">
        <f t="shared" si="22"/>
        <v>Arabica</v>
      </c>
      <c r="O510" t="str">
        <f t="shared" si="23"/>
        <v>Dark</v>
      </c>
      <c r="P510" t="str">
        <f>_xlfn.XLOOKUP(Orders[[#This Row],[Customer ID]],customers!$A$1:$A$1001,customers!$I$1:$I$1001,,0)</f>
        <v>No</v>
      </c>
      <c r="Q510">
        <f>COUNTIF(Orders[Order ID],Orders[[#This Row],[Order ID]])</f>
        <v>1</v>
      </c>
      <c r="R510" s="10">
        <f>SUMIF(Orders[Order ID], Orders[[#This Row],[Order ID]],Orders[Sales])/Orders[[#This Row],[Order Frequency]]</f>
        <v>114.42499999999998</v>
      </c>
      <c r="S510" t="str">
        <f>IF(Orders[[#This Row],[Order Frequency]]&gt;4, "More than 4", IF(AND(Orders[[#This Row],[Order Frequency]]&lt;=4,Orders[[#This Row],[Order Frequency]]&gt;=2), "Between 4 and 2", "Less than 2"))</f>
        <v>Less than 2</v>
      </c>
      <c r="T510" t="str">
        <f>IF(Orders[[#This Row],[Frequency Group]]="less than 2", "Low Value", IF(Orders[[#This Row],[Frequency Group]]="between 4 and 2", "Medium Value", "High Value"))</f>
        <v>Low Value</v>
      </c>
      <c r="U510" t="str">
        <f>IF(Orders[[#This Row],[Sales]]&lt;50, "$0-50", IF(AND(Orders[[#This Row],[Sales]]&gt;=50,Orders[[#This Row],[Sales]]&lt;=100), "$50-100", IF(AND(Orders[[#This Row],[Sales]]&gt;100,Orders[[#This Row],[Sales]]&lt;=150), "$101-150", "$150+")))</f>
        <v>$101-150</v>
      </c>
      <c r="V510" t="str">
        <f>IF(Orders[[#This Row],[Sales]]&gt;MEDIAN(M:M), "High Price", "Low Price")</f>
        <v>High Price</v>
      </c>
      <c r="W510" t="str">
        <f>IF(Orders[[#This Row],[Quantity]]&gt;MEDIAN(E:E), "High Volume", "Low Volume")</f>
        <v>High Volume</v>
      </c>
      <c r="X510" t="str">
        <f>Orders[[#This Row],[Sales Tier]] &amp; "-" &amp; Orders[[#This Row],[Quantity Tier]]</f>
        <v>High Price-High Volume</v>
      </c>
      <c r="Y510" t="str">
        <f>TEXT(Orders[[#This Row],[Order Date]], "mmmm")</f>
        <v>October</v>
      </c>
      <c r="Z51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510" t="str">
        <f>Orders[[#This Row],[Coffee Type Name]] &amp; "-" &amp; Orders[[#This Row],[Roast Type Name]]</f>
        <v>Arabica-Dark</v>
      </c>
      <c r="AB51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511" spans="1:28" x14ac:dyDescent="0.25">
      <c r="A511" s="2" t="s">
        <v>5164</v>
      </c>
      <c r="B511" s="4">
        <v>44540</v>
      </c>
      <c r="C511" s="2" t="s">
        <v>5165</v>
      </c>
      <c r="D511" t="s">
        <v>6156</v>
      </c>
      <c r="E511" s="2">
        <v>5</v>
      </c>
      <c r="F511" s="2" t="str">
        <f>_xlfn.XLOOKUP(C511,customers!$A$1:$A$1001,customers!$B$1:$B$1001,,0)</f>
        <v>Ibby Charters</v>
      </c>
      <c r="G511" s="2" t="str">
        <f>IF(_xlfn.XLOOKUP(C511,customers!$A$1:$A$1001,customers!$C$1:$C$1001,,0)=0,"",_xlfn.XLOOKUP(C511,customers!$A$1:$A$1001,customers!$C$1:$C$1001,,0))</f>
        <v>ichartersmz@abc.net.au</v>
      </c>
      <c r="H511" s="2" t="str">
        <f>_xlfn.XLOOKUP(C511,customers!$A$1:$A$1001,customers!$G$1:$G$1001,,0)</f>
        <v>United States</v>
      </c>
      <c r="I511" t="str">
        <f>INDEX(products!$A$1:$G$49, MATCH(orders!$D829,products!$A$1:$A876,0), MATCH(orders!I$1,products!$A$1:$G$1,0))</f>
        <v>Exc</v>
      </c>
      <c r="J511" t="str">
        <f>INDEX(products!$A$1:$G$49, MATCH(orders!$D829,products!$A$1:$A876,0), MATCH(orders!J$1,products!$A$1:$G$1,0))</f>
        <v>M</v>
      </c>
      <c r="K511" s="5">
        <f>INDEX(products!$A$1:$G$49, MATCH(orders!$D829,products!$A$1:$A876,0), MATCH(orders!K$1,products!$A$1:$G$1,0))</f>
        <v>0.2</v>
      </c>
      <c r="L511" s="6">
        <f>INDEX(products!$A$1:$G$49, MATCH(orders!$D829,products!$A$1:$A876,0), MATCH(orders!L$1,products!$A$1:$G$1,0))</f>
        <v>4.125</v>
      </c>
      <c r="M511" s="6">
        <f t="shared" si="21"/>
        <v>20.625</v>
      </c>
      <c r="N511" t="str">
        <f t="shared" si="22"/>
        <v>Excelsa</v>
      </c>
      <c r="O511" t="str">
        <f t="shared" si="23"/>
        <v>Medium</v>
      </c>
      <c r="P511" t="str">
        <f>_xlfn.XLOOKUP(Orders[[#This Row],[Customer ID]],customers!$A$1:$A$1001,customers!$I$1:$I$1001,,0)</f>
        <v>No</v>
      </c>
      <c r="Q511">
        <f>COUNTIF(Orders[Order ID],Orders[[#This Row],[Order ID]])</f>
        <v>1</v>
      </c>
      <c r="R511" s="10">
        <f>SUMIF(Orders[Order ID], Orders[[#This Row],[Order ID]],Orders[Sales])/Orders[[#This Row],[Order Frequency]]</f>
        <v>20.625</v>
      </c>
      <c r="S511" t="str">
        <f>IF(Orders[[#This Row],[Order Frequency]]&gt;4, "More than 4", IF(AND(Orders[[#This Row],[Order Frequency]]&lt;=4,Orders[[#This Row],[Order Frequency]]&gt;=2), "Between 4 and 2", "Less than 2"))</f>
        <v>Less than 2</v>
      </c>
      <c r="T511" t="str">
        <f>IF(Orders[[#This Row],[Frequency Group]]="less than 2", "Low Value", IF(Orders[[#This Row],[Frequency Group]]="between 4 and 2", "Medium Value", "High Value"))</f>
        <v>Low Value</v>
      </c>
      <c r="U511" t="str">
        <f>IF(Orders[[#This Row],[Sales]]&lt;50, "$0-50", IF(AND(Orders[[#This Row],[Sales]]&gt;=50,Orders[[#This Row],[Sales]]&lt;=100), "$50-100", IF(AND(Orders[[#This Row],[Sales]]&gt;100,Orders[[#This Row],[Sales]]&lt;=150), "$101-150", "$150+")))</f>
        <v>$0-50</v>
      </c>
      <c r="V511" t="str">
        <f>IF(Orders[[#This Row],[Sales]]&gt;MEDIAN(M:M), "High Price", "Low Price")</f>
        <v>Low Price</v>
      </c>
      <c r="W511" t="str">
        <f>IF(Orders[[#This Row],[Quantity]]&gt;MEDIAN(E:E), "High Volume", "Low Volume")</f>
        <v>High Volume</v>
      </c>
      <c r="X511" t="str">
        <f>Orders[[#This Row],[Sales Tier]] &amp; "-" &amp; Orders[[#This Row],[Quantity Tier]]</f>
        <v>Low Price-High Volume</v>
      </c>
      <c r="Y511" t="str">
        <f>TEXT(Orders[[#This Row],[Order Date]], "mmmm")</f>
        <v>December</v>
      </c>
      <c r="Z51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511" t="str">
        <f>Orders[[#This Row],[Coffee Type Name]] &amp; "-" &amp; Orders[[#This Row],[Roast Type Name]]</f>
        <v>Excelsa-Medium</v>
      </c>
      <c r="AB51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512" spans="1:28" x14ac:dyDescent="0.25">
      <c r="A512" s="2" t="s">
        <v>3176</v>
      </c>
      <c r="B512" s="4">
        <v>44767</v>
      </c>
      <c r="C512" s="2" t="s">
        <v>3177</v>
      </c>
      <c r="D512" t="s">
        <v>6159</v>
      </c>
      <c r="E512" s="2">
        <v>2</v>
      </c>
      <c r="F512" s="2" t="str">
        <f>_xlfn.XLOOKUP(C512,customers!$A$1:$A$1001,customers!$B$1:$B$1001,,0)</f>
        <v>Daryn Dibley</v>
      </c>
      <c r="G512" s="2" t="str">
        <f>IF(_xlfn.XLOOKUP(C512,customers!$A$1:$A$1001,customers!$C$1:$C$1001,,0)=0,"",_xlfn.XLOOKUP(C512,customers!$A$1:$A$1001,customers!$C$1:$C$1001,,0))</f>
        <v>ddibleyd7@feedburner.com</v>
      </c>
      <c r="H512" s="2" t="str">
        <f>_xlfn.XLOOKUP(C512,customers!$A$1:$A$1001,customers!$G$1:$G$1001,,0)</f>
        <v>United States</v>
      </c>
      <c r="I512" t="str">
        <f>INDEX(products!$A$1:$G$49, MATCH(orders!$D477,products!$A$1:$A524,0), MATCH(orders!I$1,products!$A$1:$G$1,0))</f>
        <v>Lib</v>
      </c>
      <c r="J512" t="str">
        <f>INDEX(products!$A$1:$G$49, MATCH(orders!$D477,products!$A$1:$A524,0), MATCH(orders!J$1,products!$A$1:$G$1,0))</f>
        <v>M</v>
      </c>
      <c r="K512" s="5">
        <f>INDEX(products!$A$1:$G$49, MATCH(orders!$D477,products!$A$1:$A524,0), MATCH(orders!K$1,products!$A$1:$G$1,0))</f>
        <v>0.2</v>
      </c>
      <c r="L512" s="6">
        <f>INDEX(products!$A$1:$G$49, MATCH(orders!$D477,products!$A$1:$A524,0), MATCH(orders!L$1,products!$A$1:$G$1,0))</f>
        <v>4.3650000000000002</v>
      </c>
      <c r="M512" s="6">
        <f t="shared" si="21"/>
        <v>8.73</v>
      </c>
      <c r="N512" t="str">
        <f t="shared" si="22"/>
        <v>Liberica</v>
      </c>
      <c r="O512" t="str">
        <f t="shared" si="23"/>
        <v>Medium</v>
      </c>
      <c r="P512" t="str">
        <f>_xlfn.XLOOKUP(Orders[[#This Row],[Customer ID]],customers!$A$1:$A$1001,customers!$I$1:$I$1001,,0)</f>
        <v>No</v>
      </c>
      <c r="Q512">
        <f>COUNTIF(Orders[Order ID],Orders[[#This Row],[Order ID]])</f>
        <v>1</v>
      </c>
      <c r="R512" s="10">
        <f>SUMIF(Orders[Order ID], Orders[[#This Row],[Order ID]],Orders[Sales])/Orders[[#This Row],[Order Frequency]]</f>
        <v>8.73</v>
      </c>
      <c r="S512" t="str">
        <f>IF(Orders[[#This Row],[Order Frequency]]&gt;4, "More than 4", IF(AND(Orders[[#This Row],[Order Frequency]]&lt;=4,Orders[[#This Row],[Order Frequency]]&gt;=2), "Between 4 and 2", "Less than 2"))</f>
        <v>Less than 2</v>
      </c>
      <c r="T512" t="str">
        <f>IF(Orders[[#This Row],[Frequency Group]]="less than 2", "Low Value", IF(Orders[[#This Row],[Frequency Group]]="between 4 and 2", "Medium Value", "High Value"))</f>
        <v>Low Value</v>
      </c>
      <c r="U512" t="str">
        <f>IF(Orders[[#This Row],[Sales]]&lt;50, "$0-50", IF(AND(Orders[[#This Row],[Sales]]&gt;=50,Orders[[#This Row],[Sales]]&lt;=100), "$50-100", IF(AND(Orders[[#This Row],[Sales]]&gt;100,Orders[[#This Row],[Sales]]&lt;=150), "$101-150", "$150+")))</f>
        <v>$0-50</v>
      </c>
      <c r="V512" t="str">
        <f>IF(Orders[[#This Row],[Sales]]&gt;MEDIAN(M:M), "High Price", "Low Price")</f>
        <v>Low Price</v>
      </c>
      <c r="W512" t="str">
        <f>IF(Orders[[#This Row],[Quantity]]&gt;MEDIAN(E:E), "High Volume", "Low Volume")</f>
        <v>Low Volume</v>
      </c>
      <c r="X512" t="str">
        <f>Orders[[#This Row],[Sales Tier]] &amp; "-" &amp; Orders[[#This Row],[Quantity Tier]]</f>
        <v>Low Price-Low Volume</v>
      </c>
      <c r="Y512" t="str">
        <f>TEXT(Orders[[#This Row],[Order Date]], "mmmm")</f>
        <v>July</v>
      </c>
      <c r="Z51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512" t="str">
        <f>Orders[[#This Row],[Coffee Type Name]] &amp; "-" &amp; Orders[[#This Row],[Roast Type Name]]</f>
        <v>Liberica-Medium</v>
      </c>
      <c r="AB51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513" spans="1:28" x14ac:dyDescent="0.25">
      <c r="A513" s="2" t="s">
        <v>4909</v>
      </c>
      <c r="B513" s="4">
        <v>43897</v>
      </c>
      <c r="C513" s="2" t="s">
        <v>4910</v>
      </c>
      <c r="D513" t="s">
        <v>6184</v>
      </c>
      <c r="E513" s="2">
        <v>6</v>
      </c>
      <c r="F513" s="2" t="str">
        <f>_xlfn.XLOOKUP(C513,customers!$A$1:$A$1001,customers!$B$1:$B$1001,,0)</f>
        <v>Adorne Gregoratti</v>
      </c>
      <c r="G513" s="2" t="str">
        <f>IF(_xlfn.XLOOKUP(C513,customers!$A$1:$A$1001,customers!$C$1:$C$1001,,0)=0,"",_xlfn.XLOOKUP(C513,customers!$A$1:$A$1001,customers!$C$1:$C$1001,,0))</f>
        <v>agregorattilq@vistaprint.com</v>
      </c>
      <c r="H513" s="2" t="str">
        <f>_xlfn.XLOOKUP(C513,customers!$A$1:$A$1001,customers!$G$1:$G$1001,,0)</f>
        <v>Ireland</v>
      </c>
      <c r="I513" t="str">
        <f>INDEX(products!$A$1:$G$49, MATCH(orders!$D784,products!$A$1:$A831,0), MATCH(orders!I$1,products!$A$1:$G$1,0))</f>
        <v>Exc</v>
      </c>
      <c r="J513" t="str">
        <f>INDEX(products!$A$1:$G$49, MATCH(orders!$D784,products!$A$1:$A831,0), MATCH(orders!J$1,products!$A$1:$G$1,0))</f>
        <v>L</v>
      </c>
      <c r="K513" s="5">
        <f>INDEX(products!$A$1:$G$49, MATCH(orders!$D784,products!$A$1:$A831,0), MATCH(orders!K$1,products!$A$1:$G$1,0))</f>
        <v>0.2</v>
      </c>
      <c r="L513" s="6">
        <f>INDEX(products!$A$1:$G$49, MATCH(orders!$D784,products!$A$1:$A831,0), MATCH(orders!L$1,products!$A$1:$G$1,0))</f>
        <v>4.4550000000000001</v>
      </c>
      <c r="M513" s="6">
        <f t="shared" si="21"/>
        <v>26.73</v>
      </c>
      <c r="N513" t="str">
        <f t="shared" si="22"/>
        <v>Excelsa</v>
      </c>
      <c r="O513" t="str">
        <f t="shared" si="23"/>
        <v>Light</v>
      </c>
      <c r="P513" t="str">
        <f>_xlfn.XLOOKUP(Orders[[#This Row],[Customer ID]],customers!$A$1:$A$1001,customers!$I$1:$I$1001,,0)</f>
        <v>No</v>
      </c>
      <c r="Q513">
        <f>COUNTIF(Orders[Order ID],Orders[[#This Row],[Order ID]])</f>
        <v>1</v>
      </c>
      <c r="R513" s="10">
        <f>SUMIF(Orders[Order ID], Orders[[#This Row],[Order ID]],Orders[Sales])/Orders[[#This Row],[Order Frequency]]</f>
        <v>26.73</v>
      </c>
      <c r="S513" t="str">
        <f>IF(Orders[[#This Row],[Order Frequency]]&gt;4, "More than 4", IF(AND(Orders[[#This Row],[Order Frequency]]&lt;=4,Orders[[#This Row],[Order Frequency]]&gt;=2), "Between 4 and 2", "Less than 2"))</f>
        <v>Less than 2</v>
      </c>
      <c r="T513" t="str">
        <f>IF(Orders[[#This Row],[Frequency Group]]="less than 2", "Low Value", IF(Orders[[#This Row],[Frequency Group]]="between 4 and 2", "Medium Value", "High Value"))</f>
        <v>Low Value</v>
      </c>
      <c r="U513" t="str">
        <f>IF(Orders[[#This Row],[Sales]]&lt;50, "$0-50", IF(AND(Orders[[#This Row],[Sales]]&gt;=50,Orders[[#This Row],[Sales]]&lt;=100), "$50-100", IF(AND(Orders[[#This Row],[Sales]]&gt;100,Orders[[#This Row],[Sales]]&lt;=150), "$101-150", "$150+")))</f>
        <v>$0-50</v>
      </c>
      <c r="V513" t="str">
        <f>IF(Orders[[#This Row],[Sales]]&gt;MEDIAN(M:M), "High Price", "Low Price")</f>
        <v>Low Price</v>
      </c>
      <c r="W513" t="str">
        <f>IF(Orders[[#This Row],[Quantity]]&gt;MEDIAN(E:E), "High Volume", "Low Volume")</f>
        <v>High Volume</v>
      </c>
      <c r="X513" t="str">
        <f>Orders[[#This Row],[Sales Tier]] &amp; "-" &amp; Orders[[#This Row],[Quantity Tier]]</f>
        <v>Low Price-High Volume</v>
      </c>
      <c r="Y513" t="str">
        <f>TEXT(Orders[[#This Row],[Order Date]], "mmmm")</f>
        <v>March</v>
      </c>
      <c r="Z51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513" t="str">
        <f>Orders[[#This Row],[Coffee Type Name]] &amp; "-" &amp; Orders[[#This Row],[Roast Type Name]]</f>
        <v>Excelsa-Light</v>
      </c>
      <c r="AB51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514" spans="1:28" x14ac:dyDescent="0.25">
      <c r="A514" s="2" t="s">
        <v>2079</v>
      </c>
      <c r="B514" s="4">
        <v>44210</v>
      </c>
      <c r="C514" s="2" t="s">
        <v>2080</v>
      </c>
      <c r="D514" t="s">
        <v>6171</v>
      </c>
      <c r="E514" s="2">
        <v>4</v>
      </c>
      <c r="F514" s="2" t="str">
        <f>_xlfn.XLOOKUP(C514,customers!$A$1:$A$1001,customers!$B$1:$B$1001,,0)</f>
        <v>Karlan Karby</v>
      </c>
      <c r="G514" s="2" t="str">
        <f>IF(_xlfn.XLOOKUP(C514,customers!$A$1:$A$1001,customers!$C$1:$C$1001,,0)=0,"",_xlfn.XLOOKUP(C514,customers!$A$1:$A$1001,customers!$C$1:$C$1001,,0))</f>
        <v>kkarby7t@sbwire.com</v>
      </c>
      <c r="H514" s="2" t="str">
        <f>_xlfn.XLOOKUP(C514,customers!$A$1:$A$1001,customers!$G$1:$G$1001,,0)</f>
        <v>United States</v>
      </c>
      <c r="I514" t="str">
        <f>INDEX(products!$A$1:$G$49, MATCH(orders!$D283,products!$A$1:$A330,0), MATCH(orders!I$1,products!$A$1:$G$1,0))</f>
        <v>Exc</v>
      </c>
      <c r="J514" t="str">
        <f>INDEX(products!$A$1:$G$49, MATCH(orders!$D283,products!$A$1:$A330,0), MATCH(orders!J$1,products!$A$1:$G$1,0))</f>
        <v>L</v>
      </c>
      <c r="K514" s="5">
        <f>INDEX(products!$A$1:$G$49, MATCH(orders!$D283,products!$A$1:$A330,0), MATCH(orders!K$1,products!$A$1:$G$1,0))</f>
        <v>1</v>
      </c>
      <c r="L514" s="6">
        <f>INDEX(products!$A$1:$G$49, MATCH(orders!$D283,products!$A$1:$A330,0), MATCH(orders!L$1,products!$A$1:$G$1,0))</f>
        <v>14.85</v>
      </c>
      <c r="M514" s="6">
        <f t="shared" ref="M514:M577" si="24">L514*E514</f>
        <v>59.4</v>
      </c>
      <c r="N514" t="str">
        <f t="shared" ref="N514:N577" si="25">IF(I514="Rob", "Robusta", IF(I514="Exc", "Excelsa", IF(I514="Ara","Arabica", IF(I514="Lib", "Liberica",""))))</f>
        <v>Excelsa</v>
      </c>
      <c r="O514" t="str">
        <f t="shared" ref="O514:O577" si="26">IF(J514="M", "Medium", IF(J514="L", "Light", IF(J514="D", "Dark", "")))</f>
        <v>Light</v>
      </c>
      <c r="P514" t="str">
        <f>_xlfn.XLOOKUP(Orders[[#This Row],[Customer ID]],customers!$A$1:$A$1001,customers!$I$1:$I$1001,,0)</f>
        <v>Yes</v>
      </c>
      <c r="Q514">
        <f>COUNTIF(Orders[Order ID],Orders[[#This Row],[Order ID]])</f>
        <v>1</v>
      </c>
      <c r="R514" s="10">
        <f>SUMIF(Orders[Order ID], Orders[[#This Row],[Order ID]],Orders[Sales])/Orders[[#This Row],[Order Frequency]]</f>
        <v>59.4</v>
      </c>
      <c r="S514" t="str">
        <f>IF(Orders[[#This Row],[Order Frequency]]&gt;4, "More than 4", IF(AND(Orders[[#This Row],[Order Frequency]]&lt;=4,Orders[[#This Row],[Order Frequency]]&gt;=2), "Between 4 and 2", "Less than 2"))</f>
        <v>Less than 2</v>
      </c>
      <c r="T514" t="str">
        <f>IF(Orders[[#This Row],[Frequency Group]]="less than 2", "Low Value", IF(Orders[[#This Row],[Frequency Group]]="between 4 and 2", "Medium Value", "High Value"))</f>
        <v>Low Value</v>
      </c>
      <c r="U514" t="str">
        <f>IF(Orders[[#This Row],[Sales]]&lt;50, "$0-50", IF(AND(Orders[[#This Row],[Sales]]&gt;=50,Orders[[#This Row],[Sales]]&lt;=100), "$50-100", IF(AND(Orders[[#This Row],[Sales]]&gt;100,Orders[[#This Row],[Sales]]&lt;=150), "$101-150", "$150+")))</f>
        <v>$50-100</v>
      </c>
      <c r="V514" t="str">
        <f>IF(Orders[[#This Row],[Sales]]&gt;MEDIAN(M:M), "High Price", "Low Price")</f>
        <v>High Price</v>
      </c>
      <c r="W514" t="str">
        <f>IF(Orders[[#This Row],[Quantity]]&gt;MEDIAN(E:E), "High Volume", "Low Volume")</f>
        <v>Low Volume</v>
      </c>
      <c r="X514" t="str">
        <f>Orders[[#This Row],[Sales Tier]] &amp; "-" &amp; Orders[[#This Row],[Quantity Tier]]</f>
        <v>High Price-Low Volume</v>
      </c>
      <c r="Y514" t="str">
        <f>TEXT(Orders[[#This Row],[Order Date]], "mmmm")</f>
        <v>January</v>
      </c>
      <c r="Z51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514" t="str">
        <f>Orders[[#This Row],[Coffee Type Name]] &amp; "-" &amp; Orders[[#This Row],[Roast Type Name]]</f>
        <v>Excelsa-Light</v>
      </c>
      <c r="AB51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515" spans="1:28" x14ac:dyDescent="0.25">
      <c r="A515" s="2" t="s">
        <v>5129</v>
      </c>
      <c r="B515" s="4">
        <v>44144</v>
      </c>
      <c r="C515" s="2" t="s">
        <v>5130</v>
      </c>
      <c r="D515" t="s">
        <v>6172</v>
      </c>
      <c r="E515" s="2">
        <v>5</v>
      </c>
      <c r="F515" s="2" t="str">
        <f>_xlfn.XLOOKUP(C515,customers!$A$1:$A$1001,customers!$B$1:$B$1001,,0)</f>
        <v>Ericka Tripp</v>
      </c>
      <c r="G515" s="2" t="str">
        <f>IF(_xlfn.XLOOKUP(C515,customers!$A$1:$A$1001,customers!$C$1:$C$1001,,0)=0,"",_xlfn.XLOOKUP(C515,customers!$A$1:$A$1001,customers!$C$1:$C$1001,,0))</f>
        <v>etrippmt@wp.com</v>
      </c>
      <c r="H515" s="2" t="str">
        <f>_xlfn.XLOOKUP(C515,customers!$A$1:$A$1001,customers!$G$1:$G$1001,,0)</f>
        <v>United States</v>
      </c>
      <c r="I515" t="str">
        <f>INDEX(products!$A$1:$G$49, MATCH(orders!$D823,products!$A$1:$A870,0), MATCH(orders!I$1,products!$A$1:$G$1,0))</f>
        <v>Rob</v>
      </c>
      <c r="J515" t="str">
        <f>INDEX(products!$A$1:$G$49, MATCH(orders!$D823,products!$A$1:$A870,0), MATCH(orders!J$1,products!$A$1:$G$1,0))</f>
        <v>D</v>
      </c>
      <c r="K515" s="5">
        <f>INDEX(products!$A$1:$G$49, MATCH(orders!$D823,products!$A$1:$A870,0), MATCH(orders!K$1,products!$A$1:$G$1,0))</f>
        <v>0.5</v>
      </c>
      <c r="L515" s="6">
        <f>INDEX(products!$A$1:$G$49, MATCH(orders!$D823,products!$A$1:$A870,0), MATCH(orders!L$1,products!$A$1:$G$1,0))</f>
        <v>5.3699999999999992</v>
      </c>
      <c r="M515" s="6">
        <f t="shared" si="24"/>
        <v>26.849999999999994</v>
      </c>
      <c r="N515" t="str">
        <f t="shared" si="25"/>
        <v>Robusta</v>
      </c>
      <c r="O515" t="str">
        <f t="shared" si="26"/>
        <v>Dark</v>
      </c>
      <c r="P515" t="str">
        <f>_xlfn.XLOOKUP(Orders[[#This Row],[Customer ID]],customers!$A$1:$A$1001,customers!$I$1:$I$1001,,0)</f>
        <v>No</v>
      </c>
      <c r="Q515">
        <f>COUNTIF(Orders[Order ID],Orders[[#This Row],[Order ID]])</f>
        <v>1</v>
      </c>
      <c r="R515" s="10">
        <f>SUMIF(Orders[Order ID], Orders[[#This Row],[Order ID]],Orders[Sales])/Orders[[#This Row],[Order Frequency]]</f>
        <v>26.849999999999994</v>
      </c>
      <c r="S515" t="str">
        <f>IF(Orders[[#This Row],[Order Frequency]]&gt;4, "More than 4", IF(AND(Orders[[#This Row],[Order Frequency]]&lt;=4,Orders[[#This Row],[Order Frequency]]&gt;=2), "Between 4 and 2", "Less than 2"))</f>
        <v>Less than 2</v>
      </c>
      <c r="T515" t="str">
        <f>IF(Orders[[#This Row],[Frequency Group]]="less than 2", "Low Value", IF(Orders[[#This Row],[Frequency Group]]="between 4 and 2", "Medium Value", "High Value"))</f>
        <v>Low Value</v>
      </c>
      <c r="U515" t="str">
        <f>IF(Orders[[#This Row],[Sales]]&lt;50, "$0-50", IF(AND(Orders[[#This Row],[Sales]]&gt;=50,Orders[[#This Row],[Sales]]&lt;=100), "$50-100", IF(AND(Orders[[#This Row],[Sales]]&gt;100,Orders[[#This Row],[Sales]]&lt;=150), "$101-150", "$150+")))</f>
        <v>$0-50</v>
      </c>
      <c r="V515" t="str">
        <f>IF(Orders[[#This Row],[Sales]]&gt;MEDIAN(M:M), "High Price", "Low Price")</f>
        <v>Low Price</v>
      </c>
      <c r="W515" t="str">
        <f>IF(Orders[[#This Row],[Quantity]]&gt;MEDIAN(E:E), "High Volume", "Low Volume")</f>
        <v>High Volume</v>
      </c>
      <c r="X515" t="str">
        <f>Orders[[#This Row],[Sales Tier]] &amp; "-" &amp; Orders[[#This Row],[Quantity Tier]]</f>
        <v>Low Price-High Volume</v>
      </c>
      <c r="Y515" t="str">
        <f>TEXT(Orders[[#This Row],[Order Date]], "mmmm")</f>
        <v>November</v>
      </c>
      <c r="Z51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515" t="str">
        <f>Orders[[#This Row],[Coffee Type Name]] &amp; "-" &amp; Orders[[#This Row],[Roast Type Name]]</f>
        <v>Robusta-Dark</v>
      </c>
      <c r="AB51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516" spans="1:28" x14ac:dyDescent="0.25">
      <c r="A516" s="2" t="s">
        <v>2163</v>
      </c>
      <c r="B516" s="4">
        <v>44258</v>
      </c>
      <c r="C516" s="2" t="s">
        <v>2164</v>
      </c>
      <c r="D516" t="s">
        <v>6172</v>
      </c>
      <c r="E516" s="2">
        <v>3</v>
      </c>
      <c r="F516" s="2" t="str">
        <f>_xlfn.XLOOKUP(C516,customers!$A$1:$A$1001,customers!$B$1:$B$1001,,0)</f>
        <v>Eddi Sedgebeer</v>
      </c>
      <c r="G516" s="2" t="str">
        <f>IF(_xlfn.XLOOKUP(C516,customers!$A$1:$A$1001,customers!$C$1:$C$1001,,0)=0,"",_xlfn.XLOOKUP(C516,customers!$A$1:$A$1001,customers!$C$1:$C$1001,,0))</f>
        <v>esedgebeer89@oaic.gov.au</v>
      </c>
      <c r="H516" s="2" t="str">
        <f>_xlfn.XLOOKUP(C516,customers!$A$1:$A$1001,customers!$G$1:$G$1001,,0)</f>
        <v>United States</v>
      </c>
      <c r="I516" t="str">
        <f>INDEX(products!$A$1:$G$49, MATCH(orders!$D299,products!$A$1:$A346,0), MATCH(orders!I$1,products!$A$1:$G$1,0))</f>
        <v>Rob</v>
      </c>
      <c r="J516" t="str">
        <f>INDEX(products!$A$1:$G$49, MATCH(orders!$D299,products!$A$1:$A346,0), MATCH(orders!J$1,products!$A$1:$G$1,0))</f>
        <v>D</v>
      </c>
      <c r="K516" s="5">
        <f>INDEX(products!$A$1:$G$49, MATCH(orders!$D299,products!$A$1:$A346,0), MATCH(orders!K$1,products!$A$1:$G$1,0))</f>
        <v>0.5</v>
      </c>
      <c r="L516" s="6">
        <f>INDEX(products!$A$1:$G$49, MATCH(orders!$D299,products!$A$1:$A346,0), MATCH(orders!L$1,products!$A$1:$G$1,0))</f>
        <v>5.3699999999999992</v>
      </c>
      <c r="M516" s="6">
        <f t="shared" si="24"/>
        <v>16.11</v>
      </c>
      <c r="N516" t="str">
        <f t="shared" si="25"/>
        <v>Robusta</v>
      </c>
      <c r="O516" t="str">
        <f t="shared" si="26"/>
        <v>Dark</v>
      </c>
      <c r="P516" t="str">
        <f>_xlfn.XLOOKUP(Orders[[#This Row],[Customer ID]],customers!$A$1:$A$1001,customers!$I$1:$I$1001,,0)</f>
        <v>Yes</v>
      </c>
      <c r="Q516">
        <f>COUNTIF(Orders[Order ID],Orders[[#This Row],[Order ID]])</f>
        <v>1</v>
      </c>
      <c r="R516" s="10">
        <f>SUMIF(Orders[Order ID], Orders[[#This Row],[Order ID]],Orders[Sales])/Orders[[#This Row],[Order Frequency]]</f>
        <v>16.11</v>
      </c>
      <c r="S516" t="str">
        <f>IF(Orders[[#This Row],[Order Frequency]]&gt;4, "More than 4", IF(AND(Orders[[#This Row],[Order Frequency]]&lt;=4,Orders[[#This Row],[Order Frequency]]&gt;=2), "Between 4 and 2", "Less than 2"))</f>
        <v>Less than 2</v>
      </c>
      <c r="T516" t="str">
        <f>IF(Orders[[#This Row],[Frequency Group]]="less than 2", "Low Value", IF(Orders[[#This Row],[Frequency Group]]="between 4 and 2", "Medium Value", "High Value"))</f>
        <v>Low Value</v>
      </c>
      <c r="U516" t="str">
        <f>IF(Orders[[#This Row],[Sales]]&lt;50, "$0-50", IF(AND(Orders[[#This Row],[Sales]]&gt;=50,Orders[[#This Row],[Sales]]&lt;=100), "$50-100", IF(AND(Orders[[#This Row],[Sales]]&gt;100,Orders[[#This Row],[Sales]]&lt;=150), "$101-150", "$150+")))</f>
        <v>$0-50</v>
      </c>
      <c r="V516" t="str">
        <f>IF(Orders[[#This Row],[Sales]]&gt;MEDIAN(M:M), "High Price", "Low Price")</f>
        <v>Low Price</v>
      </c>
      <c r="W516" t="str">
        <f>IF(Orders[[#This Row],[Quantity]]&gt;MEDIAN(E:E), "High Volume", "Low Volume")</f>
        <v>Low Volume</v>
      </c>
      <c r="X516" t="str">
        <f>Orders[[#This Row],[Sales Tier]] &amp; "-" &amp; Orders[[#This Row],[Quantity Tier]]</f>
        <v>Low Price-Low Volume</v>
      </c>
      <c r="Y516" t="str">
        <f>TEXT(Orders[[#This Row],[Order Date]], "mmmm")</f>
        <v>March</v>
      </c>
      <c r="Z51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516" t="str">
        <f>Orders[[#This Row],[Coffee Type Name]] &amp; "-" &amp; Orders[[#This Row],[Roast Type Name]]</f>
        <v>Robusta-Dark</v>
      </c>
      <c r="AB51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517" spans="1:28" x14ac:dyDescent="0.25">
      <c r="A517" s="2" t="s">
        <v>4291</v>
      </c>
      <c r="B517" s="4">
        <v>44118</v>
      </c>
      <c r="C517" s="2" t="s">
        <v>4292</v>
      </c>
      <c r="D517" t="s">
        <v>6141</v>
      </c>
      <c r="E517" s="2">
        <v>6</v>
      </c>
      <c r="F517" s="2" t="str">
        <f>_xlfn.XLOOKUP(C517,customers!$A$1:$A$1001,customers!$B$1:$B$1001,,0)</f>
        <v>Hazel Saill</v>
      </c>
      <c r="G517" s="2" t="str">
        <f>IF(_xlfn.XLOOKUP(C517,customers!$A$1:$A$1001,customers!$C$1:$C$1001,,0)=0,"",_xlfn.XLOOKUP(C517,customers!$A$1:$A$1001,customers!$C$1:$C$1001,,0))</f>
        <v>hsaillip@odnoklassniki.ru</v>
      </c>
      <c r="H517" s="2" t="str">
        <f>_xlfn.XLOOKUP(C517,customers!$A$1:$A$1001,customers!$G$1:$G$1001,,0)</f>
        <v>United States</v>
      </c>
      <c r="I517" t="str">
        <f>INDEX(products!$A$1:$G$49, MATCH(orders!$D675,products!$A$1:$A722,0), MATCH(orders!I$1,products!$A$1:$G$1,0))</f>
        <v>Exc</v>
      </c>
      <c r="J517" t="str">
        <f>INDEX(products!$A$1:$G$49, MATCH(orders!$D675,products!$A$1:$A722,0), MATCH(orders!J$1,products!$A$1:$G$1,0))</f>
        <v>M</v>
      </c>
      <c r="K517" s="5">
        <f>INDEX(products!$A$1:$G$49, MATCH(orders!$D675,products!$A$1:$A722,0), MATCH(orders!K$1,products!$A$1:$G$1,0))</f>
        <v>1</v>
      </c>
      <c r="L517" s="6">
        <f>INDEX(products!$A$1:$G$49, MATCH(orders!$D675,products!$A$1:$A722,0), MATCH(orders!L$1,products!$A$1:$G$1,0))</f>
        <v>13.75</v>
      </c>
      <c r="M517" s="6">
        <f t="shared" si="24"/>
        <v>82.5</v>
      </c>
      <c r="N517" t="str">
        <f t="shared" si="25"/>
        <v>Excelsa</v>
      </c>
      <c r="O517" t="str">
        <f t="shared" si="26"/>
        <v>Medium</v>
      </c>
      <c r="P517" t="str">
        <f>_xlfn.XLOOKUP(Orders[[#This Row],[Customer ID]],customers!$A$1:$A$1001,customers!$I$1:$I$1001,,0)</f>
        <v>Yes</v>
      </c>
      <c r="Q517">
        <f>COUNTIF(Orders[Order ID],Orders[[#This Row],[Order ID]])</f>
        <v>1</v>
      </c>
      <c r="R517" s="10">
        <f>SUMIF(Orders[Order ID], Orders[[#This Row],[Order ID]],Orders[Sales])/Orders[[#This Row],[Order Frequency]]</f>
        <v>82.5</v>
      </c>
      <c r="S517" t="str">
        <f>IF(Orders[[#This Row],[Order Frequency]]&gt;4, "More than 4", IF(AND(Orders[[#This Row],[Order Frequency]]&lt;=4,Orders[[#This Row],[Order Frequency]]&gt;=2), "Between 4 and 2", "Less than 2"))</f>
        <v>Less than 2</v>
      </c>
      <c r="T517" t="str">
        <f>IF(Orders[[#This Row],[Frequency Group]]="less than 2", "Low Value", IF(Orders[[#This Row],[Frequency Group]]="between 4 and 2", "Medium Value", "High Value"))</f>
        <v>Low Value</v>
      </c>
      <c r="U517" t="str">
        <f>IF(Orders[[#This Row],[Sales]]&lt;50, "$0-50", IF(AND(Orders[[#This Row],[Sales]]&gt;=50,Orders[[#This Row],[Sales]]&lt;=100), "$50-100", IF(AND(Orders[[#This Row],[Sales]]&gt;100,Orders[[#This Row],[Sales]]&lt;=150), "$101-150", "$150+")))</f>
        <v>$50-100</v>
      </c>
      <c r="V517" t="str">
        <f>IF(Orders[[#This Row],[Sales]]&gt;MEDIAN(M:M), "High Price", "Low Price")</f>
        <v>High Price</v>
      </c>
      <c r="W517" t="str">
        <f>IF(Orders[[#This Row],[Quantity]]&gt;MEDIAN(E:E), "High Volume", "Low Volume")</f>
        <v>High Volume</v>
      </c>
      <c r="X517" t="str">
        <f>Orders[[#This Row],[Sales Tier]] &amp; "-" &amp; Orders[[#This Row],[Quantity Tier]]</f>
        <v>High Price-High Volume</v>
      </c>
      <c r="Y517" t="str">
        <f>TEXT(Orders[[#This Row],[Order Date]], "mmmm")</f>
        <v>October</v>
      </c>
      <c r="Z51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517" t="str">
        <f>Orders[[#This Row],[Coffee Type Name]] &amp; "-" &amp; Orders[[#This Row],[Roast Type Name]]</f>
        <v>Excelsa-Medium</v>
      </c>
      <c r="AB51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518" spans="1:28" x14ac:dyDescent="0.25">
      <c r="A518" s="2" t="s">
        <v>1596</v>
      </c>
      <c r="B518" s="4">
        <v>44339</v>
      </c>
      <c r="C518" s="2" t="s">
        <v>1597</v>
      </c>
      <c r="D518" t="s">
        <v>6161</v>
      </c>
      <c r="E518" s="2">
        <v>4</v>
      </c>
      <c r="F518" s="2" t="str">
        <f>_xlfn.XLOOKUP(C518,customers!$A$1:$A$1001,customers!$B$1:$B$1001,,0)</f>
        <v>Nealson Cuttler</v>
      </c>
      <c r="G518" s="2" t="str">
        <f>IF(_xlfn.XLOOKUP(C518,customers!$A$1:$A$1001,customers!$C$1:$C$1001,,0)=0,"",_xlfn.XLOOKUP(C518,customers!$A$1:$A$1001,customers!$C$1:$C$1001,,0))</f>
        <v>ncuttler5g@parallels.com</v>
      </c>
      <c r="H518" s="2" t="str">
        <f>_xlfn.XLOOKUP(C518,customers!$A$1:$A$1001,customers!$G$1:$G$1001,,0)</f>
        <v>United States</v>
      </c>
      <c r="I518" t="str">
        <f>INDEX(products!$A$1:$G$49, MATCH(orders!$D201,products!$A$1:$A248,0), MATCH(orders!I$1,products!$A$1:$G$1,0))</f>
        <v>Lib</v>
      </c>
      <c r="J518" t="str">
        <f>INDEX(products!$A$1:$G$49, MATCH(orders!$D201,products!$A$1:$A248,0), MATCH(orders!J$1,products!$A$1:$G$1,0))</f>
        <v>L</v>
      </c>
      <c r="K518" s="5">
        <f>INDEX(products!$A$1:$G$49, MATCH(orders!$D201,products!$A$1:$A248,0), MATCH(orders!K$1,products!$A$1:$G$1,0))</f>
        <v>0.5</v>
      </c>
      <c r="L518" s="6">
        <f>INDEX(products!$A$1:$G$49, MATCH(orders!$D201,products!$A$1:$A248,0), MATCH(orders!L$1,products!$A$1:$G$1,0))</f>
        <v>9.51</v>
      </c>
      <c r="M518" s="6">
        <f t="shared" si="24"/>
        <v>38.04</v>
      </c>
      <c r="N518" t="str">
        <f t="shared" si="25"/>
        <v>Liberica</v>
      </c>
      <c r="O518" t="str">
        <f t="shared" si="26"/>
        <v>Light</v>
      </c>
      <c r="P518" t="str">
        <f>_xlfn.XLOOKUP(Orders[[#This Row],[Customer ID]],customers!$A$1:$A$1001,customers!$I$1:$I$1001,,0)</f>
        <v>No</v>
      </c>
      <c r="Q518">
        <f>COUNTIF(Orders[Order ID],Orders[[#This Row],[Order ID]])</f>
        <v>5</v>
      </c>
      <c r="R518" s="10">
        <f>SUMIF(Orders[Order ID], Orders[[#This Row],[Order ID]],Orders[Sales])/Orders[[#This Row],[Order Frequency]]</f>
        <v>56.334999999999994</v>
      </c>
      <c r="S518" t="str">
        <f>IF(Orders[[#This Row],[Order Frequency]]&gt;4, "More than 4", IF(AND(Orders[[#This Row],[Order Frequency]]&lt;=4,Orders[[#This Row],[Order Frequency]]&gt;=2), "Between 4 and 2", "Less than 2"))</f>
        <v>More than 4</v>
      </c>
      <c r="T518" t="str">
        <f>IF(Orders[[#This Row],[Frequency Group]]="less than 2", "Low Value", IF(Orders[[#This Row],[Frequency Group]]="between 4 and 2", "Medium Value", "High Value"))</f>
        <v>High Value</v>
      </c>
      <c r="U518" t="str">
        <f>IF(Orders[[#This Row],[Sales]]&lt;50, "$0-50", IF(AND(Orders[[#This Row],[Sales]]&gt;=50,Orders[[#This Row],[Sales]]&lt;=100), "$50-100", IF(AND(Orders[[#This Row],[Sales]]&gt;100,Orders[[#This Row],[Sales]]&lt;=150), "$101-150", "$150+")))</f>
        <v>$0-50</v>
      </c>
      <c r="V518" t="str">
        <f>IF(Orders[[#This Row],[Sales]]&gt;MEDIAN(M:M), "High Price", "Low Price")</f>
        <v>High Price</v>
      </c>
      <c r="W518" t="str">
        <f>IF(Orders[[#This Row],[Quantity]]&gt;MEDIAN(E:E), "High Volume", "Low Volume")</f>
        <v>Low Volume</v>
      </c>
      <c r="X518" t="str">
        <f>Orders[[#This Row],[Sales Tier]] &amp; "-" &amp; Orders[[#This Row],[Quantity Tier]]</f>
        <v>High Price-Low Volume</v>
      </c>
      <c r="Y518" t="str">
        <f>TEXT(Orders[[#This Row],[Order Date]], "mmmm")</f>
        <v>May</v>
      </c>
      <c r="Z51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518" t="str">
        <f>Orders[[#This Row],[Coffee Type Name]] &amp; "-" &amp; Orders[[#This Row],[Roast Type Name]]</f>
        <v>Liberica-Light</v>
      </c>
      <c r="AB51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519" spans="1:28" x14ac:dyDescent="0.25">
      <c r="A519" s="2" t="s">
        <v>1596</v>
      </c>
      <c r="B519" s="4">
        <v>44339</v>
      </c>
      <c r="C519" s="2" t="s">
        <v>1597</v>
      </c>
      <c r="D519" t="s">
        <v>6141</v>
      </c>
      <c r="E519" s="2">
        <v>3</v>
      </c>
      <c r="F519" s="2" t="str">
        <f>_xlfn.XLOOKUP(C519,customers!$A$1:$A$1001,customers!$B$1:$B$1001,,0)</f>
        <v>Nealson Cuttler</v>
      </c>
      <c r="G519" s="2" t="str">
        <f>IF(_xlfn.XLOOKUP(C519,customers!$A$1:$A$1001,customers!$C$1:$C$1001,,0)=0,"",_xlfn.XLOOKUP(C519,customers!$A$1:$A$1001,customers!$C$1:$C$1001,,0))</f>
        <v>ncuttler5g@parallels.com</v>
      </c>
      <c r="H519" s="2" t="str">
        <f>_xlfn.XLOOKUP(C519,customers!$A$1:$A$1001,customers!$G$1:$G$1001,,0)</f>
        <v>United States</v>
      </c>
      <c r="I519" t="str">
        <f>INDEX(products!$A$1:$G$49, MATCH(orders!$D202,products!$A$1:$A249,0), MATCH(orders!I$1,products!$A$1:$G$1,0))</f>
        <v>Exc</v>
      </c>
      <c r="J519" t="str">
        <f>INDEX(products!$A$1:$G$49, MATCH(orders!$D202,products!$A$1:$A249,0), MATCH(orders!J$1,products!$A$1:$G$1,0))</f>
        <v>M</v>
      </c>
      <c r="K519" s="5">
        <f>INDEX(products!$A$1:$G$49, MATCH(orders!$D202,products!$A$1:$A249,0), MATCH(orders!K$1,products!$A$1:$G$1,0))</f>
        <v>1</v>
      </c>
      <c r="L519" s="6">
        <f>INDEX(products!$A$1:$G$49, MATCH(orders!$D202,products!$A$1:$A249,0), MATCH(orders!L$1,products!$A$1:$G$1,0))</f>
        <v>13.75</v>
      </c>
      <c r="M519" s="6">
        <f t="shared" si="24"/>
        <v>41.25</v>
      </c>
      <c r="N519" t="str">
        <f t="shared" si="25"/>
        <v>Excelsa</v>
      </c>
      <c r="O519" t="str">
        <f t="shared" si="26"/>
        <v>Medium</v>
      </c>
      <c r="P519" t="str">
        <f>_xlfn.XLOOKUP(Orders[[#This Row],[Customer ID]],customers!$A$1:$A$1001,customers!$I$1:$I$1001,,0)</f>
        <v>No</v>
      </c>
      <c r="Q519">
        <f>COUNTIF(Orders[Order ID],Orders[[#This Row],[Order ID]])</f>
        <v>5</v>
      </c>
      <c r="R519" s="10">
        <f>SUMIF(Orders[Order ID], Orders[[#This Row],[Order ID]],Orders[Sales])/Orders[[#This Row],[Order Frequency]]</f>
        <v>56.334999999999994</v>
      </c>
      <c r="S519" t="str">
        <f>IF(Orders[[#This Row],[Order Frequency]]&gt;4, "More than 4", IF(AND(Orders[[#This Row],[Order Frequency]]&lt;=4,Orders[[#This Row],[Order Frequency]]&gt;=2), "Between 4 and 2", "Less than 2"))</f>
        <v>More than 4</v>
      </c>
      <c r="T519" t="str">
        <f>IF(Orders[[#This Row],[Frequency Group]]="less than 2", "Low Value", IF(Orders[[#This Row],[Frequency Group]]="between 4 and 2", "Medium Value", "High Value"))</f>
        <v>High Value</v>
      </c>
      <c r="U519" t="str">
        <f>IF(Orders[[#This Row],[Sales]]&lt;50, "$0-50", IF(AND(Orders[[#This Row],[Sales]]&gt;=50,Orders[[#This Row],[Sales]]&lt;=100), "$50-100", IF(AND(Orders[[#This Row],[Sales]]&gt;100,Orders[[#This Row],[Sales]]&lt;=150), "$101-150", "$150+")))</f>
        <v>$0-50</v>
      </c>
      <c r="V519" t="str">
        <f>IF(Orders[[#This Row],[Sales]]&gt;MEDIAN(M:M), "High Price", "Low Price")</f>
        <v>High Price</v>
      </c>
      <c r="W519" t="str">
        <f>IF(Orders[[#This Row],[Quantity]]&gt;MEDIAN(E:E), "High Volume", "Low Volume")</f>
        <v>Low Volume</v>
      </c>
      <c r="X519" t="str">
        <f>Orders[[#This Row],[Sales Tier]] &amp; "-" &amp; Orders[[#This Row],[Quantity Tier]]</f>
        <v>High Price-Low Volume</v>
      </c>
      <c r="Y519" t="str">
        <f>TEXT(Orders[[#This Row],[Order Date]], "mmmm")</f>
        <v>May</v>
      </c>
      <c r="Z51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519" t="str">
        <f>Orders[[#This Row],[Coffee Type Name]] &amp; "-" &amp; Orders[[#This Row],[Roast Type Name]]</f>
        <v>Excelsa-Medium</v>
      </c>
      <c r="AB51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520" spans="1:28" x14ac:dyDescent="0.25">
      <c r="A520" s="2" t="s">
        <v>1596</v>
      </c>
      <c r="B520" s="4">
        <v>44339</v>
      </c>
      <c r="C520" s="2" t="s">
        <v>1597</v>
      </c>
      <c r="D520" t="s">
        <v>6176</v>
      </c>
      <c r="E520" s="2">
        <v>6</v>
      </c>
      <c r="F520" s="2" t="str">
        <f>_xlfn.XLOOKUP(C520,customers!$A$1:$A$1001,customers!$B$1:$B$1001,,0)</f>
        <v>Nealson Cuttler</v>
      </c>
      <c r="G520" s="2" t="str">
        <f>IF(_xlfn.XLOOKUP(C520,customers!$A$1:$A$1001,customers!$C$1:$C$1001,,0)=0,"",_xlfn.XLOOKUP(C520,customers!$A$1:$A$1001,customers!$C$1:$C$1001,,0))</f>
        <v>ncuttler5g@parallels.com</v>
      </c>
      <c r="H520" s="2" t="str">
        <f>_xlfn.XLOOKUP(C520,customers!$A$1:$A$1001,customers!$G$1:$G$1001,,0)</f>
        <v>United States</v>
      </c>
      <c r="I520" t="str">
        <f>INDEX(products!$A$1:$G$49, MATCH(orders!$D198,products!$A$1:$A245,0), MATCH(orders!I$1,products!$A$1:$G$1,0))</f>
        <v>Exc</v>
      </c>
      <c r="J520" t="str">
        <f>INDEX(products!$A$1:$G$49, MATCH(orders!$D198,products!$A$1:$A245,0), MATCH(orders!J$1,products!$A$1:$G$1,0))</f>
        <v>L</v>
      </c>
      <c r="K520" s="5">
        <f>INDEX(products!$A$1:$G$49, MATCH(orders!$D198,products!$A$1:$A245,0), MATCH(orders!K$1,products!$A$1:$G$1,0))</f>
        <v>0.5</v>
      </c>
      <c r="L520" s="6">
        <f>INDEX(products!$A$1:$G$49, MATCH(orders!$D198,products!$A$1:$A245,0), MATCH(orders!L$1,products!$A$1:$G$1,0))</f>
        <v>8.91</v>
      </c>
      <c r="M520" s="6">
        <f t="shared" si="24"/>
        <v>53.46</v>
      </c>
      <c r="N520" t="str">
        <f t="shared" si="25"/>
        <v>Excelsa</v>
      </c>
      <c r="O520" t="str">
        <f t="shared" si="26"/>
        <v>Light</v>
      </c>
      <c r="P520" t="str">
        <f>_xlfn.XLOOKUP(Orders[[#This Row],[Customer ID]],customers!$A$1:$A$1001,customers!$I$1:$I$1001,,0)</f>
        <v>No</v>
      </c>
      <c r="Q520">
        <f>COUNTIF(Orders[Order ID],Orders[[#This Row],[Order ID]])</f>
        <v>5</v>
      </c>
      <c r="R520" s="10">
        <f>SUMIF(Orders[Order ID], Orders[[#This Row],[Order ID]],Orders[Sales])/Orders[[#This Row],[Order Frequency]]</f>
        <v>56.334999999999994</v>
      </c>
      <c r="S520" t="str">
        <f>IF(Orders[[#This Row],[Order Frequency]]&gt;4, "More than 4", IF(AND(Orders[[#This Row],[Order Frequency]]&lt;=4,Orders[[#This Row],[Order Frequency]]&gt;=2), "Between 4 and 2", "Less than 2"))</f>
        <v>More than 4</v>
      </c>
      <c r="T520" t="str">
        <f>IF(Orders[[#This Row],[Frequency Group]]="less than 2", "Low Value", IF(Orders[[#This Row],[Frequency Group]]="between 4 and 2", "Medium Value", "High Value"))</f>
        <v>High Value</v>
      </c>
      <c r="U520" t="str">
        <f>IF(Orders[[#This Row],[Sales]]&lt;50, "$0-50", IF(AND(Orders[[#This Row],[Sales]]&gt;=50,Orders[[#This Row],[Sales]]&lt;=100), "$50-100", IF(AND(Orders[[#This Row],[Sales]]&gt;100,Orders[[#This Row],[Sales]]&lt;=150), "$101-150", "$150+")))</f>
        <v>$50-100</v>
      </c>
      <c r="V520" t="str">
        <f>IF(Orders[[#This Row],[Sales]]&gt;MEDIAN(M:M), "High Price", "Low Price")</f>
        <v>High Price</v>
      </c>
      <c r="W520" t="str">
        <f>IF(Orders[[#This Row],[Quantity]]&gt;MEDIAN(E:E), "High Volume", "Low Volume")</f>
        <v>High Volume</v>
      </c>
      <c r="X520" t="str">
        <f>Orders[[#This Row],[Sales Tier]] &amp; "-" &amp; Orders[[#This Row],[Quantity Tier]]</f>
        <v>High Price-High Volume</v>
      </c>
      <c r="Y520" t="str">
        <f>TEXT(Orders[[#This Row],[Order Date]], "mmmm")</f>
        <v>May</v>
      </c>
      <c r="Z52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520" t="str">
        <f>Orders[[#This Row],[Coffee Type Name]] &amp; "-" &amp; Orders[[#This Row],[Roast Type Name]]</f>
        <v>Excelsa-Light</v>
      </c>
      <c r="AB52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521" spans="1:28" x14ac:dyDescent="0.25">
      <c r="A521" s="2" t="s">
        <v>1596</v>
      </c>
      <c r="B521" s="4">
        <v>44339</v>
      </c>
      <c r="C521" s="2" t="s">
        <v>1597</v>
      </c>
      <c r="D521" t="s">
        <v>6165</v>
      </c>
      <c r="E521" s="2">
        <v>2</v>
      </c>
      <c r="F521" s="2" t="str">
        <f>_xlfn.XLOOKUP(C521,customers!$A$1:$A$1001,customers!$B$1:$B$1001,,0)</f>
        <v>Nealson Cuttler</v>
      </c>
      <c r="G521" s="2" t="str">
        <f>IF(_xlfn.XLOOKUP(C521,customers!$A$1:$A$1001,customers!$C$1:$C$1001,,0)=0,"",_xlfn.XLOOKUP(C521,customers!$A$1:$A$1001,customers!$C$1:$C$1001,,0))</f>
        <v>ncuttler5g@parallels.com</v>
      </c>
      <c r="H521" s="2" t="str">
        <f>_xlfn.XLOOKUP(C521,customers!$A$1:$A$1001,customers!$G$1:$G$1001,,0)</f>
        <v>United States</v>
      </c>
      <c r="I521" t="str">
        <f>INDEX(products!$A$1:$G$49, MATCH(orders!$D199,products!$A$1:$A246,0), MATCH(orders!I$1,products!$A$1:$G$1,0))</f>
        <v>Lib</v>
      </c>
      <c r="J521" t="str">
        <f>INDEX(products!$A$1:$G$49, MATCH(orders!$D199,products!$A$1:$A246,0), MATCH(orders!J$1,products!$A$1:$G$1,0))</f>
        <v>D</v>
      </c>
      <c r="K521" s="5">
        <f>INDEX(products!$A$1:$G$49, MATCH(orders!$D199,products!$A$1:$A246,0), MATCH(orders!K$1,products!$A$1:$G$1,0))</f>
        <v>2.5</v>
      </c>
      <c r="L521" s="6">
        <f>INDEX(products!$A$1:$G$49, MATCH(orders!$D199,products!$A$1:$A246,0), MATCH(orders!L$1,products!$A$1:$G$1,0))</f>
        <v>29.784999999999997</v>
      </c>
      <c r="M521" s="6">
        <f t="shared" si="24"/>
        <v>59.569999999999993</v>
      </c>
      <c r="N521" t="str">
        <f t="shared" si="25"/>
        <v>Liberica</v>
      </c>
      <c r="O521" t="str">
        <f t="shared" si="26"/>
        <v>Dark</v>
      </c>
      <c r="P521" t="str">
        <f>_xlfn.XLOOKUP(Orders[[#This Row],[Customer ID]],customers!$A$1:$A$1001,customers!$I$1:$I$1001,,0)</f>
        <v>No</v>
      </c>
      <c r="Q521">
        <f>COUNTIF(Orders[Order ID],Orders[[#This Row],[Order ID]])</f>
        <v>5</v>
      </c>
      <c r="R521" s="10">
        <f>SUMIF(Orders[Order ID], Orders[[#This Row],[Order ID]],Orders[Sales])/Orders[[#This Row],[Order Frequency]]</f>
        <v>56.334999999999994</v>
      </c>
      <c r="S521" t="str">
        <f>IF(Orders[[#This Row],[Order Frequency]]&gt;4, "More than 4", IF(AND(Orders[[#This Row],[Order Frequency]]&lt;=4,Orders[[#This Row],[Order Frequency]]&gt;=2), "Between 4 and 2", "Less than 2"))</f>
        <v>More than 4</v>
      </c>
      <c r="T521" t="str">
        <f>IF(Orders[[#This Row],[Frequency Group]]="less than 2", "Low Value", IF(Orders[[#This Row],[Frequency Group]]="between 4 and 2", "Medium Value", "High Value"))</f>
        <v>High Value</v>
      </c>
      <c r="U521" t="str">
        <f>IF(Orders[[#This Row],[Sales]]&lt;50, "$0-50", IF(AND(Orders[[#This Row],[Sales]]&gt;=50,Orders[[#This Row],[Sales]]&lt;=100), "$50-100", IF(AND(Orders[[#This Row],[Sales]]&gt;100,Orders[[#This Row],[Sales]]&lt;=150), "$101-150", "$150+")))</f>
        <v>$50-100</v>
      </c>
      <c r="V521" t="str">
        <f>IF(Orders[[#This Row],[Sales]]&gt;MEDIAN(M:M), "High Price", "Low Price")</f>
        <v>High Price</v>
      </c>
      <c r="W521" t="str">
        <f>IF(Orders[[#This Row],[Quantity]]&gt;MEDIAN(E:E), "High Volume", "Low Volume")</f>
        <v>Low Volume</v>
      </c>
      <c r="X521" t="str">
        <f>Orders[[#This Row],[Sales Tier]] &amp; "-" &amp; Orders[[#This Row],[Quantity Tier]]</f>
        <v>High Price-Low Volume</v>
      </c>
      <c r="Y521" t="str">
        <f>TEXT(Orders[[#This Row],[Order Date]], "mmmm")</f>
        <v>May</v>
      </c>
      <c r="Z52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521" t="str">
        <f>Orders[[#This Row],[Coffee Type Name]] &amp; "-" &amp; Orders[[#This Row],[Roast Type Name]]</f>
        <v>Liberica-Dark</v>
      </c>
      <c r="AB52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522" spans="1:28" x14ac:dyDescent="0.25">
      <c r="A522" s="2" t="s">
        <v>1596</v>
      </c>
      <c r="B522" s="4">
        <v>44339</v>
      </c>
      <c r="C522" s="2" t="s">
        <v>1597</v>
      </c>
      <c r="D522" t="s">
        <v>6165</v>
      </c>
      <c r="E522" s="2">
        <v>3</v>
      </c>
      <c r="F522" s="2" t="str">
        <f>_xlfn.XLOOKUP(C522,customers!$A$1:$A$1001,customers!$B$1:$B$1001,,0)</f>
        <v>Nealson Cuttler</v>
      </c>
      <c r="G522" s="2" t="str">
        <f>IF(_xlfn.XLOOKUP(C522,customers!$A$1:$A$1001,customers!$C$1:$C$1001,,0)=0,"",_xlfn.XLOOKUP(C522,customers!$A$1:$A$1001,customers!$C$1:$C$1001,,0))</f>
        <v>ncuttler5g@parallels.com</v>
      </c>
      <c r="H522" s="2" t="str">
        <f>_xlfn.XLOOKUP(C522,customers!$A$1:$A$1001,customers!$G$1:$G$1001,,0)</f>
        <v>United States</v>
      </c>
      <c r="I522" t="str">
        <f>INDEX(products!$A$1:$G$49, MATCH(orders!$D200,products!$A$1:$A247,0), MATCH(orders!I$1,products!$A$1:$G$1,0))</f>
        <v>Lib</v>
      </c>
      <c r="J522" t="str">
        <f>INDEX(products!$A$1:$G$49, MATCH(orders!$D200,products!$A$1:$A247,0), MATCH(orders!J$1,products!$A$1:$G$1,0))</f>
        <v>D</v>
      </c>
      <c r="K522" s="5">
        <f>INDEX(products!$A$1:$G$49, MATCH(orders!$D200,products!$A$1:$A247,0), MATCH(orders!K$1,products!$A$1:$G$1,0))</f>
        <v>2.5</v>
      </c>
      <c r="L522" s="6">
        <f>INDEX(products!$A$1:$G$49, MATCH(orders!$D200,products!$A$1:$A247,0), MATCH(orders!L$1,products!$A$1:$G$1,0))</f>
        <v>29.784999999999997</v>
      </c>
      <c r="M522" s="6">
        <f t="shared" si="24"/>
        <v>89.35499999999999</v>
      </c>
      <c r="N522" t="str">
        <f t="shared" si="25"/>
        <v>Liberica</v>
      </c>
      <c r="O522" t="str">
        <f t="shared" si="26"/>
        <v>Dark</v>
      </c>
      <c r="P522" t="str">
        <f>_xlfn.XLOOKUP(Orders[[#This Row],[Customer ID]],customers!$A$1:$A$1001,customers!$I$1:$I$1001,,0)</f>
        <v>No</v>
      </c>
      <c r="Q522">
        <f>COUNTIF(Orders[Order ID],Orders[[#This Row],[Order ID]])</f>
        <v>5</v>
      </c>
      <c r="R522" s="10">
        <f>SUMIF(Orders[Order ID], Orders[[#This Row],[Order ID]],Orders[Sales])/Orders[[#This Row],[Order Frequency]]</f>
        <v>56.334999999999994</v>
      </c>
      <c r="S522" t="str">
        <f>IF(Orders[[#This Row],[Order Frequency]]&gt;4, "More than 4", IF(AND(Orders[[#This Row],[Order Frequency]]&lt;=4,Orders[[#This Row],[Order Frequency]]&gt;=2), "Between 4 and 2", "Less than 2"))</f>
        <v>More than 4</v>
      </c>
      <c r="T522" t="str">
        <f>IF(Orders[[#This Row],[Frequency Group]]="less than 2", "Low Value", IF(Orders[[#This Row],[Frequency Group]]="between 4 and 2", "Medium Value", "High Value"))</f>
        <v>High Value</v>
      </c>
      <c r="U522" t="str">
        <f>IF(Orders[[#This Row],[Sales]]&lt;50, "$0-50", IF(AND(Orders[[#This Row],[Sales]]&gt;=50,Orders[[#This Row],[Sales]]&lt;=100), "$50-100", IF(AND(Orders[[#This Row],[Sales]]&gt;100,Orders[[#This Row],[Sales]]&lt;=150), "$101-150", "$150+")))</f>
        <v>$50-100</v>
      </c>
      <c r="V522" t="str">
        <f>IF(Orders[[#This Row],[Sales]]&gt;MEDIAN(M:M), "High Price", "Low Price")</f>
        <v>High Price</v>
      </c>
      <c r="W522" t="str">
        <f>IF(Orders[[#This Row],[Quantity]]&gt;MEDIAN(E:E), "High Volume", "Low Volume")</f>
        <v>Low Volume</v>
      </c>
      <c r="X522" t="str">
        <f>Orders[[#This Row],[Sales Tier]] &amp; "-" &amp; Orders[[#This Row],[Quantity Tier]]</f>
        <v>High Price-Low Volume</v>
      </c>
      <c r="Y522" t="str">
        <f>TEXT(Orders[[#This Row],[Order Date]], "mmmm")</f>
        <v>May</v>
      </c>
      <c r="Z52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522" t="str">
        <f>Orders[[#This Row],[Coffee Type Name]] &amp; "-" &amp; Orders[[#This Row],[Roast Type Name]]</f>
        <v>Liberica-Dark</v>
      </c>
      <c r="AB52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523" spans="1:28" x14ac:dyDescent="0.25">
      <c r="A523" s="2" t="s">
        <v>3622</v>
      </c>
      <c r="B523" s="4">
        <v>43737</v>
      </c>
      <c r="C523" s="2" t="s">
        <v>3623</v>
      </c>
      <c r="D523" t="s">
        <v>6142</v>
      </c>
      <c r="E523" s="2">
        <v>2</v>
      </c>
      <c r="F523" s="2" t="str">
        <f>_xlfn.XLOOKUP(C523,customers!$A$1:$A$1001,customers!$B$1:$B$1001,,0)</f>
        <v>Madelaine Sharples</v>
      </c>
      <c r="G523" s="2" t="str">
        <f>IF(_xlfn.XLOOKUP(C523,customers!$A$1:$A$1001,customers!$C$1:$C$1001,,0)=0,"",_xlfn.XLOOKUP(C523,customers!$A$1:$A$1001,customers!$C$1:$C$1001,,0))</f>
        <v/>
      </c>
      <c r="H523" s="2" t="str">
        <f>_xlfn.XLOOKUP(C523,customers!$A$1:$A$1001,customers!$G$1:$G$1001,,0)</f>
        <v>United Kingdom</v>
      </c>
      <c r="I523" t="str">
        <f>INDEX(products!$A$1:$G$49, MATCH(orders!$D556,products!$A$1:$A603,0), MATCH(orders!I$1,products!$A$1:$G$1,0))</f>
        <v>Rob</v>
      </c>
      <c r="J523" t="str">
        <f>INDEX(products!$A$1:$G$49, MATCH(orders!$D556,products!$A$1:$A603,0), MATCH(orders!J$1,products!$A$1:$G$1,0))</f>
        <v>L</v>
      </c>
      <c r="K523" s="5">
        <f>INDEX(products!$A$1:$G$49, MATCH(orders!$D556,products!$A$1:$A603,0), MATCH(orders!K$1,products!$A$1:$G$1,0))</f>
        <v>2.5</v>
      </c>
      <c r="L523" s="6">
        <f>INDEX(products!$A$1:$G$49, MATCH(orders!$D556,products!$A$1:$A603,0), MATCH(orders!L$1,products!$A$1:$G$1,0))</f>
        <v>27.484999999999996</v>
      </c>
      <c r="M523" s="6">
        <f t="shared" si="24"/>
        <v>54.969999999999992</v>
      </c>
      <c r="N523" t="str">
        <f t="shared" si="25"/>
        <v>Robusta</v>
      </c>
      <c r="O523" t="str">
        <f t="shared" si="26"/>
        <v>Light</v>
      </c>
      <c r="P523" t="str">
        <f>_xlfn.XLOOKUP(Orders[[#This Row],[Customer ID]],customers!$A$1:$A$1001,customers!$I$1:$I$1001,,0)</f>
        <v>Yes</v>
      </c>
      <c r="Q523">
        <f>COUNTIF(Orders[Order ID],Orders[[#This Row],[Order ID]])</f>
        <v>1</v>
      </c>
      <c r="R523" s="10">
        <f>SUMIF(Orders[Order ID], Orders[[#This Row],[Order ID]],Orders[Sales])/Orders[[#This Row],[Order Frequency]]</f>
        <v>54.969999999999992</v>
      </c>
      <c r="S523" t="str">
        <f>IF(Orders[[#This Row],[Order Frequency]]&gt;4, "More than 4", IF(AND(Orders[[#This Row],[Order Frequency]]&lt;=4,Orders[[#This Row],[Order Frequency]]&gt;=2), "Between 4 and 2", "Less than 2"))</f>
        <v>Less than 2</v>
      </c>
      <c r="T523" t="str">
        <f>IF(Orders[[#This Row],[Frequency Group]]="less than 2", "Low Value", IF(Orders[[#This Row],[Frequency Group]]="between 4 and 2", "Medium Value", "High Value"))</f>
        <v>Low Value</v>
      </c>
      <c r="U523" t="str">
        <f>IF(Orders[[#This Row],[Sales]]&lt;50, "$0-50", IF(AND(Orders[[#This Row],[Sales]]&gt;=50,Orders[[#This Row],[Sales]]&lt;=100), "$50-100", IF(AND(Orders[[#This Row],[Sales]]&gt;100,Orders[[#This Row],[Sales]]&lt;=150), "$101-150", "$150+")))</f>
        <v>$50-100</v>
      </c>
      <c r="V523" t="str">
        <f>IF(Orders[[#This Row],[Sales]]&gt;MEDIAN(M:M), "High Price", "Low Price")</f>
        <v>High Price</v>
      </c>
      <c r="W523" t="str">
        <f>IF(Orders[[#This Row],[Quantity]]&gt;MEDIAN(E:E), "High Volume", "Low Volume")</f>
        <v>Low Volume</v>
      </c>
      <c r="X523" t="str">
        <f>Orders[[#This Row],[Sales Tier]] &amp; "-" &amp; Orders[[#This Row],[Quantity Tier]]</f>
        <v>High Price-Low Volume</v>
      </c>
      <c r="Y523" t="str">
        <f>TEXT(Orders[[#This Row],[Order Date]], "mmmm")</f>
        <v>September</v>
      </c>
      <c r="Z52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523" t="str">
        <f>Orders[[#This Row],[Coffee Type Name]] &amp; "-" &amp; Orders[[#This Row],[Roast Type Name]]</f>
        <v>Robusta-Light</v>
      </c>
      <c r="AB52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524" spans="1:28" x14ac:dyDescent="0.25">
      <c r="A524" s="2" t="s">
        <v>3807</v>
      </c>
      <c r="B524" s="4">
        <v>44267</v>
      </c>
      <c r="C524" s="2" t="s">
        <v>3808</v>
      </c>
      <c r="D524" t="s">
        <v>6169</v>
      </c>
      <c r="E524" s="2">
        <v>1</v>
      </c>
      <c r="F524" s="2" t="str">
        <f>_xlfn.XLOOKUP(C524,customers!$A$1:$A$1001,customers!$B$1:$B$1001,,0)</f>
        <v>Bar O' Mahony</v>
      </c>
      <c r="G524" s="2" t="str">
        <f>IF(_xlfn.XLOOKUP(C524,customers!$A$1:$A$1001,customers!$C$1:$C$1001,,0)=0,"",_xlfn.XLOOKUP(C524,customers!$A$1:$A$1001,customers!$C$1:$C$1001,,0))</f>
        <v>bogb@elpais.com</v>
      </c>
      <c r="H524" s="2" t="str">
        <f>_xlfn.XLOOKUP(C524,customers!$A$1:$A$1001,customers!$G$1:$G$1001,,0)</f>
        <v>United States</v>
      </c>
      <c r="I524" t="str">
        <f>INDEX(products!$A$1:$G$49, MATCH(orders!$D589,products!$A$1:$A636,0), MATCH(orders!I$1,products!$A$1:$G$1,0))</f>
        <v>Lib</v>
      </c>
      <c r="J524" t="str">
        <f>INDEX(products!$A$1:$G$49, MATCH(orders!$D589,products!$A$1:$A636,0), MATCH(orders!J$1,products!$A$1:$G$1,0))</f>
        <v>D</v>
      </c>
      <c r="K524" s="5">
        <f>INDEX(products!$A$1:$G$49, MATCH(orders!$D589,products!$A$1:$A636,0), MATCH(orders!K$1,products!$A$1:$G$1,0))</f>
        <v>0.5</v>
      </c>
      <c r="L524" s="6">
        <f>INDEX(products!$A$1:$G$49, MATCH(orders!$D589,products!$A$1:$A636,0), MATCH(orders!L$1,products!$A$1:$G$1,0))</f>
        <v>7.77</v>
      </c>
      <c r="M524" s="6">
        <f t="shared" si="24"/>
        <v>7.77</v>
      </c>
      <c r="N524" t="str">
        <f t="shared" si="25"/>
        <v>Liberica</v>
      </c>
      <c r="O524" t="str">
        <f t="shared" si="26"/>
        <v>Dark</v>
      </c>
      <c r="P524" t="str">
        <f>_xlfn.XLOOKUP(Orders[[#This Row],[Customer ID]],customers!$A$1:$A$1001,customers!$I$1:$I$1001,,0)</f>
        <v>Yes</v>
      </c>
      <c r="Q524">
        <f>COUNTIF(Orders[Order ID],Orders[[#This Row],[Order ID]])</f>
        <v>1</v>
      </c>
      <c r="R524" s="10">
        <f>SUMIF(Orders[Order ID], Orders[[#This Row],[Order ID]],Orders[Sales])/Orders[[#This Row],[Order Frequency]]</f>
        <v>7.77</v>
      </c>
      <c r="S524" t="str">
        <f>IF(Orders[[#This Row],[Order Frequency]]&gt;4, "More than 4", IF(AND(Orders[[#This Row],[Order Frequency]]&lt;=4,Orders[[#This Row],[Order Frequency]]&gt;=2), "Between 4 and 2", "Less than 2"))</f>
        <v>Less than 2</v>
      </c>
      <c r="T524" t="str">
        <f>IF(Orders[[#This Row],[Frequency Group]]="less than 2", "Low Value", IF(Orders[[#This Row],[Frequency Group]]="between 4 and 2", "Medium Value", "High Value"))</f>
        <v>Low Value</v>
      </c>
      <c r="U524" t="str">
        <f>IF(Orders[[#This Row],[Sales]]&lt;50, "$0-50", IF(AND(Orders[[#This Row],[Sales]]&gt;=50,Orders[[#This Row],[Sales]]&lt;=100), "$50-100", IF(AND(Orders[[#This Row],[Sales]]&gt;100,Orders[[#This Row],[Sales]]&lt;=150), "$101-150", "$150+")))</f>
        <v>$0-50</v>
      </c>
      <c r="V524" t="str">
        <f>IF(Orders[[#This Row],[Sales]]&gt;MEDIAN(M:M), "High Price", "Low Price")</f>
        <v>Low Price</v>
      </c>
      <c r="W524" t="str">
        <f>IF(Orders[[#This Row],[Quantity]]&gt;MEDIAN(E:E), "High Volume", "Low Volume")</f>
        <v>Low Volume</v>
      </c>
      <c r="X524" t="str">
        <f>Orders[[#This Row],[Sales Tier]] &amp; "-" &amp; Orders[[#This Row],[Quantity Tier]]</f>
        <v>Low Price-Low Volume</v>
      </c>
      <c r="Y524" t="str">
        <f>TEXT(Orders[[#This Row],[Order Date]], "mmmm")</f>
        <v>March</v>
      </c>
      <c r="Z52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524" t="str">
        <f>Orders[[#This Row],[Coffee Type Name]] &amp; "-" &amp; Orders[[#This Row],[Roast Type Name]]</f>
        <v>Liberica-Dark</v>
      </c>
      <c r="AB52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525" spans="1:28" x14ac:dyDescent="0.25">
      <c r="A525" s="2" t="s">
        <v>4325</v>
      </c>
      <c r="B525" s="4">
        <v>44645</v>
      </c>
      <c r="C525" s="2" t="s">
        <v>4326</v>
      </c>
      <c r="D525" t="s">
        <v>6142</v>
      </c>
      <c r="E525" s="2">
        <v>1</v>
      </c>
      <c r="F525" s="2" t="str">
        <f>_xlfn.XLOOKUP(C525,customers!$A$1:$A$1001,customers!$B$1:$B$1001,,0)</f>
        <v>Adrianne Vairow</v>
      </c>
      <c r="G525" s="2" t="str">
        <f>IF(_xlfn.XLOOKUP(C525,customers!$A$1:$A$1001,customers!$C$1:$C$1001,,0)=0,"",_xlfn.XLOOKUP(C525,customers!$A$1:$A$1001,customers!$C$1:$C$1001,,0))</f>
        <v>avairowiv@studiopress.com</v>
      </c>
      <c r="H525" s="2" t="str">
        <f>_xlfn.XLOOKUP(C525,customers!$A$1:$A$1001,customers!$G$1:$G$1001,,0)</f>
        <v>United Kingdom</v>
      </c>
      <c r="I525" t="str">
        <f>INDEX(products!$A$1:$G$49, MATCH(orders!$D681,products!$A$1:$A728,0), MATCH(orders!I$1,products!$A$1:$G$1,0))</f>
        <v>Rob</v>
      </c>
      <c r="J525" t="str">
        <f>INDEX(products!$A$1:$G$49, MATCH(orders!$D681,products!$A$1:$A728,0), MATCH(orders!J$1,products!$A$1:$G$1,0))</f>
        <v>L</v>
      </c>
      <c r="K525" s="5">
        <f>INDEX(products!$A$1:$G$49, MATCH(orders!$D681,products!$A$1:$A728,0), MATCH(orders!K$1,products!$A$1:$G$1,0))</f>
        <v>2.5</v>
      </c>
      <c r="L525" s="6">
        <f>INDEX(products!$A$1:$G$49, MATCH(orders!$D681,products!$A$1:$A728,0), MATCH(orders!L$1,products!$A$1:$G$1,0))</f>
        <v>27.484999999999996</v>
      </c>
      <c r="M525" s="6">
        <f t="shared" si="24"/>
        <v>27.484999999999996</v>
      </c>
      <c r="N525" t="str">
        <f t="shared" si="25"/>
        <v>Robusta</v>
      </c>
      <c r="O525" t="str">
        <f t="shared" si="26"/>
        <v>Light</v>
      </c>
      <c r="P525" t="str">
        <f>_xlfn.XLOOKUP(Orders[[#This Row],[Customer ID]],customers!$A$1:$A$1001,customers!$I$1:$I$1001,,0)</f>
        <v>No</v>
      </c>
      <c r="Q525">
        <f>COUNTIF(Orders[Order ID],Orders[[#This Row],[Order ID]])</f>
        <v>1</v>
      </c>
      <c r="R525" s="10">
        <f>SUMIF(Orders[Order ID], Orders[[#This Row],[Order ID]],Orders[Sales])/Orders[[#This Row],[Order Frequency]]</f>
        <v>27.484999999999996</v>
      </c>
      <c r="S525" t="str">
        <f>IF(Orders[[#This Row],[Order Frequency]]&gt;4, "More than 4", IF(AND(Orders[[#This Row],[Order Frequency]]&lt;=4,Orders[[#This Row],[Order Frequency]]&gt;=2), "Between 4 and 2", "Less than 2"))</f>
        <v>Less than 2</v>
      </c>
      <c r="T525" t="str">
        <f>IF(Orders[[#This Row],[Frequency Group]]="less than 2", "Low Value", IF(Orders[[#This Row],[Frequency Group]]="between 4 and 2", "Medium Value", "High Value"))</f>
        <v>Low Value</v>
      </c>
      <c r="U525" t="str">
        <f>IF(Orders[[#This Row],[Sales]]&lt;50, "$0-50", IF(AND(Orders[[#This Row],[Sales]]&gt;=50,Orders[[#This Row],[Sales]]&lt;=100), "$50-100", IF(AND(Orders[[#This Row],[Sales]]&gt;100,Orders[[#This Row],[Sales]]&lt;=150), "$101-150", "$150+")))</f>
        <v>$0-50</v>
      </c>
      <c r="V525" t="str">
        <f>IF(Orders[[#This Row],[Sales]]&gt;MEDIAN(M:M), "High Price", "Low Price")</f>
        <v>Low Price</v>
      </c>
      <c r="W525" t="str">
        <f>IF(Orders[[#This Row],[Quantity]]&gt;MEDIAN(E:E), "High Volume", "Low Volume")</f>
        <v>Low Volume</v>
      </c>
      <c r="X525" t="str">
        <f>Orders[[#This Row],[Sales Tier]] &amp; "-" &amp; Orders[[#This Row],[Quantity Tier]]</f>
        <v>Low Price-Low Volume</v>
      </c>
      <c r="Y525" t="str">
        <f>TEXT(Orders[[#This Row],[Order Date]], "mmmm")</f>
        <v>March</v>
      </c>
      <c r="Z52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525" t="str">
        <f>Orders[[#This Row],[Coffee Type Name]] &amp; "-" &amp; Orders[[#This Row],[Roast Type Name]]</f>
        <v>Robusta-Light</v>
      </c>
      <c r="AB52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526" spans="1:28" x14ac:dyDescent="0.25">
      <c r="A526" s="2" t="s">
        <v>3689</v>
      </c>
      <c r="B526" s="4">
        <v>44459</v>
      </c>
      <c r="C526" s="2" t="s">
        <v>3690</v>
      </c>
      <c r="D526" t="s">
        <v>6152</v>
      </c>
      <c r="E526" s="2">
        <v>6</v>
      </c>
      <c r="F526" s="2" t="str">
        <f>_xlfn.XLOOKUP(C526,customers!$A$1:$A$1001,customers!$B$1:$B$1001,,0)</f>
        <v>Audra Kelston</v>
      </c>
      <c r="G526" s="2" t="str">
        <f>IF(_xlfn.XLOOKUP(C526,customers!$A$1:$A$1001,customers!$C$1:$C$1001,,0)=0,"",_xlfn.XLOOKUP(C526,customers!$A$1:$A$1001,customers!$C$1:$C$1001,,0))</f>
        <v>akelstonfq@sakura.ne.jp</v>
      </c>
      <c r="H526" s="2" t="str">
        <f>_xlfn.XLOOKUP(C526,customers!$A$1:$A$1001,customers!$G$1:$G$1001,,0)</f>
        <v>United States</v>
      </c>
      <c r="I526" t="str">
        <f>INDEX(products!$A$1:$G$49, MATCH(orders!$D568,products!$A$1:$A615,0), MATCH(orders!I$1,products!$A$1:$G$1,0))</f>
        <v>Ara</v>
      </c>
      <c r="J526" t="str">
        <f>INDEX(products!$A$1:$G$49, MATCH(orders!$D568,products!$A$1:$A615,0), MATCH(orders!J$1,products!$A$1:$G$1,0))</f>
        <v>M</v>
      </c>
      <c r="K526" s="5">
        <f>INDEX(products!$A$1:$G$49, MATCH(orders!$D568,products!$A$1:$A615,0), MATCH(orders!K$1,products!$A$1:$G$1,0))</f>
        <v>0.2</v>
      </c>
      <c r="L526" s="6">
        <f>INDEX(products!$A$1:$G$49, MATCH(orders!$D568,products!$A$1:$A615,0), MATCH(orders!L$1,products!$A$1:$G$1,0))</f>
        <v>3.375</v>
      </c>
      <c r="M526" s="6">
        <f t="shared" si="24"/>
        <v>20.25</v>
      </c>
      <c r="N526" t="str">
        <f t="shared" si="25"/>
        <v>Arabica</v>
      </c>
      <c r="O526" t="str">
        <f t="shared" si="26"/>
        <v>Medium</v>
      </c>
      <c r="P526" t="str">
        <f>_xlfn.XLOOKUP(Orders[[#This Row],[Customer ID]],customers!$A$1:$A$1001,customers!$I$1:$I$1001,,0)</f>
        <v>Yes</v>
      </c>
      <c r="Q526">
        <f>COUNTIF(Orders[Order ID],Orders[[#This Row],[Order ID]])</f>
        <v>1</v>
      </c>
      <c r="R526" s="10">
        <f>SUMIF(Orders[Order ID], Orders[[#This Row],[Order ID]],Orders[Sales])/Orders[[#This Row],[Order Frequency]]</f>
        <v>20.25</v>
      </c>
      <c r="S526" t="str">
        <f>IF(Orders[[#This Row],[Order Frequency]]&gt;4, "More than 4", IF(AND(Orders[[#This Row],[Order Frequency]]&lt;=4,Orders[[#This Row],[Order Frequency]]&gt;=2), "Between 4 and 2", "Less than 2"))</f>
        <v>Less than 2</v>
      </c>
      <c r="T526" t="str">
        <f>IF(Orders[[#This Row],[Frequency Group]]="less than 2", "Low Value", IF(Orders[[#This Row],[Frequency Group]]="between 4 and 2", "Medium Value", "High Value"))</f>
        <v>Low Value</v>
      </c>
      <c r="U526" t="str">
        <f>IF(Orders[[#This Row],[Sales]]&lt;50, "$0-50", IF(AND(Orders[[#This Row],[Sales]]&gt;=50,Orders[[#This Row],[Sales]]&lt;=100), "$50-100", IF(AND(Orders[[#This Row],[Sales]]&gt;100,Orders[[#This Row],[Sales]]&lt;=150), "$101-150", "$150+")))</f>
        <v>$0-50</v>
      </c>
      <c r="V526" t="str">
        <f>IF(Orders[[#This Row],[Sales]]&gt;MEDIAN(M:M), "High Price", "Low Price")</f>
        <v>Low Price</v>
      </c>
      <c r="W526" t="str">
        <f>IF(Orders[[#This Row],[Quantity]]&gt;MEDIAN(E:E), "High Volume", "Low Volume")</f>
        <v>High Volume</v>
      </c>
      <c r="X526" t="str">
        <f>Orders[[#This Row],[Sales Tier]] &amp; "-" &amp; Orders[[#This Row],[Quantity Tier]]</f>
        <v>Low Price-High Volume</v>
      </c>
      <c r="Y526" t="str">
        <f>TEXT(Orders[[#This Row],[Order Date]], "mmmm")</f>
        <v>September</v>
      </c>
      <c r="Z52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526" t="str">
        <f>Orders[[#This Row],[Coffee Type Name]] &amp; "-" &amp; Orders[[#This Row],[Roast Type Name]]</f>
        <v>Arabica-Medium</v>
      </c>
      <c r="AB52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527" spans="1:28" x14ac:dyDescent="0.25">
      <c r="A527" s="2" t="s">
        <v>5450</v>
      </c>
      <c r="B527" s="4">
        <v>44411</v>
      </c>
      <c r="C527" s="2" t="s">
        <v>5451</v>
      </c>
      <c r="D527" t="s">
        <v>6161</v>
      </c>
      <c r="E527" s="2">
        <v>3</v>
      </c>
      <c r="F527" s="2" t="str">
        <f>_xlfn.XLOOKUP(C527,customers!$A$1:$A$1001,customers!$B$1:$B$1001,,0)</f>
        <v>Zachary Tramel</v>
      </c>
      <c r="G527" s="2" t="str">
        <f>IF(_xlfn.XLOOKUP(C527,customers!$A$1:$A$1001,customers!$C$1:$C$1001,,0)=0,"",_xlfn.XLOOKUP(C527,customers!$A$1:$A$1001,customers!$C$1:$C$1001,,0))</f>
        <v>ztramelod@netlog.com</v>
      </c>
      <c r="H527" s="2" t="str">
        <f>_xlfn.XLOOKUP(C527,customers!$A$1:$A$1001,customers!$G$1:$G$1001,,0)</f>
        <v>United States</v>
      </c>
      <c r="I527" t="str">
        <f>INDEX(products!$A$1:$G$49, MATCH(orders!$D879,products!$A$1:$A926,0), MATCH(orders!I$1,products!$A$1:$G$1,0))</f>
        <v>Lib</v>
      </c>
      <c r="J527" t="str">
        <f>INDEX(products!$A$1:$G$49, MATCH(orders!$D879,products!$A$1:$A926,0), MATCH(orders!J$1,products!$A$1:$G$1,0))</f>
        <v>L</v>
      </c>
      <c r="K527" s="5">
        <f>INDEX(products!$A$1:$G$49, MATCH(orders!$D879,products!$A$1:$A926,0), MATCH(orders!K$1,products!$A$1:$G$1,0))</f>
        <v>0.5</v>
      </c>
      <c r="L527" s="6">
        <f>INDEX(products!$A$1:$G$49, MATCH(orders!$D879,products!$A$1:$A926,0), MATCH(orders!L$1,products!$A$1:$G$1,0))</f>
        <v>9.51</v>
      </c>
      <c r="M527" s="6">
        <f t="shared" si="24"/>
        <v>28.53</v>
      </c>
      <c r="N527" t="str">
        <f t="shared" si="25"/>
        <v>Liberica</v>
      </c>
      <c r="O527" t="str">
        <f t="shared" si="26"/>
        <v>Light</v>
      </c>
      <c r="P527" t="str">
        <f>_xlfn.XLOOKUP(Orders[[#This Row],[Customer ID]],customers!$A$1:$A$1001,customers!$I$1:$I$1001,,0)</f>
        <v>No</v>
      </c>
      <c r="Q527">
        <f>COUNTIF(Orders[Order ID],Orders[[#This Row],[Order ID]])</f>
        <v>1</v>
      </c>
      <c r="R527" s="10">
        <f>SUMIF(Orders[Order ID], Orders[[#This Row],[Order ID]],Orders[Sales])/Orders[[#This Row],[Order Frequency]]</f>
        <v>28.53</v>
      </c>
      <c r="S527" t="str">
        <f>IF(Orders[[#This Row],[Order Frequency]]&gt;4, "More than 4", IF(AND(Orders[[#This Row],[Order Frequency]]&lt;=4,Orders[[#This Row],[Order Frequency]]&gt;=2), "Between 4 and 2", "Less than 2"))</f>
        <v>Less than 2</v>
      </c>
      <c r="T527" t="str">
        <f>IF(Orders[[#This Row],[Frequency Group]]="less than 2", "Low Value", IF(Orders[[#This Row],[Frequency Group]]="between 4 and 2", "Medium Value", "High Value"))</f>
        <v>Low Value</v>
      </c>
      <c r="U527" t="str">
        <f>IF(Orders[[#This Row],[Sales]]&lt;50, "$0-50", IF(AND(Orders[[#This Row],[Sales]]&gt;=50,Orders[[#This Row],[Sales]]&lt;=100), "$50-100", IF(AND(Orders[[#This Row],[Sales]]&gt;100,Orders[[#This Row],[Sales]]&lt;=150), "$101-150", "$150+")))</f>
        <v>$0-50</v>
      </c>
      <c r="V527" t="str">
        <f>IF(Orders[[#This Row],[Sales]]&gt;MEDIAN(M:M), "High Price", "Low Price")</f>
        <v>Low Price</v>
      </c>
      <c r="W527" t="str">
        <f>IF(Orders[[#This Row],[Quantity]]&gt;MEDIAN(E:E), "High Volume", "Low Volume")</f>
        <v>Low Volume</v>
      </c>
      <c r="X527" t="str">
        <f>Orders[[#This Row],[Sales Tier]] &amp; "-" &amp; Orders[[#This Row],[Quantity Tier]]</f>
        <v>Low Price-Low Volume</v>
      </c>
      <c r="Y527" t="str">
        <f>TEXT(Orders[[#This Row],[Order Date]], "mmmm")</f>
        <v>August</v>
      </c>
      <c r="Z52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527" t="str">
        <f>Orders[[#This Row],[Coffee Type Name]] &amp; "-" &amp; Orders[[#This Row],[Roast Type Name]]</f>
        <v>Liberica-Light</v>
      </c>
      <c r="AB52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528" spans="1:28" x14ac:dyDescent="0.25">
      <c r="A528" s="2" t="s">
        <v>1095</v>
      </c>
      <c r="B528" s="4">
        <v>44041</v>
      </c>
      <c r="C528" s="2" t="s">
        <v>1096</v>
      </c>
      <c r="D528" t="s">
        <v>6157</v>
      </c>
      <c r="E528" s="2">
        <v>4</v>
      </c>
      <c r="F528" s="2" t="str">
        <f>_xlfn.XLOOKUP(C528,customers!$A$1:$A$1001,customers!$B$1:$B$1001,,0)</f>
        <v>Isahella Hagland</v>
      </c>
      <c r="G528" s="2" t="str">
        <f>IF(_xlfn.XLOOKUP(C528,customers!$A$1:$A$1001,customers!$C$1:$C$1001,,0)=0,"",_xlfn.XLOOKUP(C528,customers!$A$1:$A$1001,customers!$C$1:$C$1001,,0))</f>
        <v/>
      </c>
      <c r="H528" s="2" t="str">
        <f>_xlfn.XLOOKUP(C528,customers!$A$1:$A$1001,customers!$G$1:$G$1001,,0)</f>
        <v>United States</v>
      </c>
      <c r="I528" t="str">
        <f>INDEX(products!$A$1:$G$49, MATCH(orders!$D110,products!$A$1:$A157,0), MATCH(orders!I$1,products!$A$1:$G$1,0))</f>
        <v>Ara</v>
      </c>
      <c r="J528" t="str">
        <f>INDEX(products!$A$1:$G$49, MATCH(orders!$D110,products!$A$1:$A157,0), MATCH(orders!J$1,products!$A$1:$G$1,0))</f>
        <v>M</v>
      </c>
      <c r="K528" s="5">
        <f>INDEX(products!$A$1:$G$49, MATCH(orders!$D110,products!$A$1:$A157,0), MATCH(orders!K$1,products!$A$1:$G$1,0))</f>
        <v>0.5</v>
      </c>
      <c r="L528" s="6">
        <f>INDEX(products!$A$1:$G$49, MATCH(orders!$D110,products!$A$1:$A157,0), MATCH(orders!L$1,products!$A$1:$G$1,0))</f>
        <v>6.75</v>
      </c>
      <c r="M528" s="6">
        <f t="shared" si="24"/>
        <v>27</v>
      </c>
      <c r="N528" t="str">
        <f t="shared" si="25"/>
        <v>Arabica</v>
      </c>
      <c r="O528" t="str">
        <f t="shared" si="26"/>
        <v>Medium</v>
      </c>
      <c r="P528" t="str">
        <f>_xlfn.XLOOKUP(Orders[[#This Row],[Customer ID]],customers!$A$1:$A$1001,customers!$I$1:$I$1001,,0)</f>
        <v>No</v>
      </c>
      <c r="Q528">
        <f>COUNTIF(Orders[Order ID],Orders[[#This Row],[Order ID]])</f>
        <v>1</v>
      </c>
      <c r="R528" s="10">
        <f>SUMIF(Orders[Order ID], Orders[[#This Row],[Order ID]],Orders[Sales])/Orders[[#This Row],[Order Frequency]]</f>
        <v>27</v>
      </c>
      <c r="S528" t="str">
        <f>IF(Orders[[#This Row],[Order Frequency]]&gt;4, "More than 4", IF(AND(Orders[[#This Row],[Order Frequency]]&lt;=4,Orders[[#This Row],[Order Frequency]]&gt;=2), "Between 4 and 2", "Less than 2"))</f>
        <v>Less than 2</v>
      </c>
      <c r="T528" t="str">
        <f>IF(Orders[[#This Row],[Frequency Group]]="less than 2", "Low Value", IF(Orders[[#This Row],[Frequency Group]]="between 4 and 2", "Medium Value", "High Value"))</f>
        <v>Low Value</v>
      </c>
      <c r="U528" t="str">
        <f>IF(Orders[[#This Row],[Sales]]&lt;50, "$0-50", IF(AND(Orders[[#This Row],[Sales]]&gt;=50,Orders[[#This Row],[Sales]]&lt;=100), "$50-100", IF(AND(Orders[[#This Row],[Sales]]&gt;100,Orders[[#This Row],[Sales]]&lt;=150), "$101-150", "$150+")))</f>
        <v>$0-50</v>
      </c>
      <c r="V528" t="str">
        <f>IF(Orders[[#This Row],[Sales]]&gt;MEDIAN(M:M), "High Price", "Low Price")</f>
        <v>Low Price</v>
      </c>
      <c r="W528" t="str">
        <f>IF(Orders[[#This Row],[Quantity]]&gt;MEDIAN(E:E), "High Volume", "Low Volume")</f>
        <v>Low Volume</v>
      </c>
      <c r="X528" t="str">
        <f>Orders[[#This Row],[Sales Tier]] &amp; "-" &amp; Orders[[#This Row],[Quantity Tier]]</f>
        <v>Low Price-Low Volume</v>
      </c>
      <c r="Y528" t="str">
        <f>TEXT(Orders[[#This Row],[Order Date]], "mmmm")</f>
        <v>July</v>
      </c>
      <c r="Z52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528" t="str">
        <f>Orders[[#This Row],[Coffee Type Name]] &amp; "-" &amp; Orders[[#This Row],[Roast Type Name]]</f>
        <v>Arabica-Medium</v>
      </c>
      <c r="AB52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529" spans="1:28" x14ac:dyDescent="0.25">
      <c r="A529" s="2" t="s">
        <v>608</v>
      </c>
      <c r="B529" s="4">
        <v>44169</v>
      </c>
      <c r="C529" s="2" t="s">
        <v>609</v>
      </c>
      <c r="D529" t="s">
        <v>6154</v>
      </c>
      <c r="E529" s="2">
        <v>6</v>
      </c>
      <c r="F529" s="2" t="str">
        <f>_xlfn.XLOOKUP(C529,customers!$A$1:$A$1001,customers!$B$1:$B$1001,,0)</f>
        <v>Avrit Davidowsky</v>
      </c>
      <c r="G529" s="2" t="str">
        <f>IF(_xlfn.XLOOKUP(C529,customers!$A$1:$A$1001,customers!$C$1:$C$1001,,0)=0,"",_xlfn.XLOOKUP(C529,customers!$A$1:$A$1001,customers!$C$1:$C$1001,,0))</f>
        <v>adavidowskyl@netvibes.com</v>
      </c>
      <c r="H529" s="2" t="str">
        <f>_xlfn.XLOOKUP(C529,customers!$A$1:$A$1001,customers!$G$1:$G$1001,,0)</f>
        <v>United States</v>
      </c>
      <c r="I529" t="str">
        <f>INDEX(products!$A$1:$G$49, MATCH(orders!$D23,products!$A$1:$A70,0), MATCH(orders!I$1,products!$A$1:$G$1,0))</f>
        <v>Ara</v>
      </c>
      <c r="J529" t="str">
        <f>INDEX(products!$A$1:$G$49, MATCH(orders!$D23,products!$A$1:$A70,0), MATCH(orders!J$1,products!$A$1:$G$1,0))</f>
        <v>D</v>
      </c>
      <c r="K529" s="5">
        <f>INDEX(products!$A$1:$G$49, MATCH(orders!$D23,products!$A$1:$A70,0), MATCH(orders!K$1,products!$A$1:$G$1,0))</f>
        <v>0.2</v>
      </c>
      <c r="L529" s="6">
        <f>INDEX(products!$A$1:$G$49, MATCH(orders!$D23,products!$A$1:$A70,0), MATCH(orders!L$1,products!$A$1:$G$1,0))</f>
        <v>2.9849999999999999</v>
      </c>
      <c r="M529" s="6">
        <f t="shared" si="24"/>
        <v>17.91</v>
      </c>
      <c r="N529" t="str">
        <f t="shared" si="25"/>
        <v>Arabica</v>
      </c>
      <c r="O529" t="str">
        <f t="shared" si="26"/>
        <v>Dark</v>
      </c>
      <c r="P529" t="str">
        <f>_xlfn.XLOOKUP(Orders[[#This Row],[Customer ID]],customers!$A$1:$A$1001,customers!$I$1:$I$1001,,0)</f>
        <v>No</v>
      </c>
      <c r="Q529">
        <f>COUNTIF(Orders[Order ID],Orders[[#This Row],[Order ID]])</f>
        <v>1</v>
      </c>
      <c r="R529" s="10">
        <f>SUMIF(Orders[Order ID], Orders[[#This Row],[Order ID]],Orders[Sales])/Orders[[#This Row],[Order Frequency]]</f>
        <v>17.91</v>
      </c>
      <c r="S529" t="str">
        <f>IF(Orders[[#This Row],[Order Frequency]]&gt;4, "More than 4", IF(AND(Orders[[#This Row],[Order Frequency]]&lt;=4,Orders[[#This Row],[Order Frequency]]&gt;=2), "Between 4 and 2", "Less than 2"))</f>
        <v>Less than 2</v>
      </c>
      <c r="T529" t="str">
        <f>IF(Orders[[#This Row],[Frequency Group]]="less than 2", "Low Value", IF(Orders[[#This Row],[Frequency Group]]="between 4 and 2", "Medium Value", "High Value"))</f>
        <v>Low Value</v>
      </c>
      <c r="U529" t="str">
        <f>IF(Orders[[#This Row],[Sales]]&lt;50, "$0-50", IF(AND(Orders[[#This Row],[Sales]]&gt;=50,Orders[[#This Row],[Sales]]&lt;=100), "$50-100", IF(AND(Orders[[#This Row],[Sales]]&gt;100,Orders[[#This Row],[Sales]]&lt;=150), "$101-150", "$150+")))</f>
        <v>$0-50</v>
      </c>
      <c r="V529" t="str">
        <f>IF(Orders[[#This Row],[Sales]]&gt;MEDIAN(M:M), "High Price", "Low Price")</f>
        <v>Low Price</v>
      </c>
      <c r="W529" t="str">
        <f>IF(Orders[[#This Row],[Quantity]]&gt;MEDIAN(E:E), "High Volume", "Low Volume")</f>
        <v>High Volume</v>
      </c>
      <c r="X529" t="str">
        <f>Orders[[#This Row],[Sales Tier]] &amp; "-" &amp; Orders[[#This Row],[Quantity Tier]]</f>
        <v>Low Price-High Volume</v>
      </c>
      <c r="Y529" t="str">
        <f>TEXT(Orders[[#This Row],[Order Date]], "mmmm")</f>
        <v>December</v>
      </c>
      <c r="Z52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529" t="str">
        <f>Orders[[#This Row],[Coffee Type Name]] &amp; "-" &amp; Orders[[#This Row],[Roast Type Name]]</f>
        <v>Arabica-Dark</v>
      </c>
      <c r="AB52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530" spans="1:28" x14ac:dyDescent="0.25">
      <c r="A530" s="2" t="s">
        <v>4735</v>
      </c>
      <c r="B530" s="4">
        <v>43847</v>
      </c>
      <c r="C530" s="2" t="s">
        <v>4736</v>
      </c>
      <c r="D530" t="s">
        <v>6161</v>
      </c>
      <c r="E530" s="2">
        <v>2</v>
      </c>
      <c r="F530" s="2" t="str">
        <f>_xlfn.XLOOKUP(C530,customers!$A$1:$A$1001,customers!$B$1:$B$1001,,0)</f>
        <v>Vinny Shoebotham</v>
      </c>
      <c r="G530" s="2" t="str">
        <f>IF(_xlfn.XLOOKUP(C530,customers!$A$1:$A$1001,customers!$C$1:$C$1001,,0)=0,"",_xlfn.XLOOKUP(C530,customers!$A$1:$A$1001,customers!$C$1:$C$1001,,0))</f>
        <v>vshoebothamkv@redcross.org</v>
      </c>
      <c r="H530" s="2" t="str">
        <f>_xlfn.XLOOKUP(C530,customers!$A$1:$A$1001,customers!$G$1:$G$1001,,0)</f>
        <v>United States</v>
      </c>
      <c r="I530" t="str">
        <f>INDEX(products!$A$1:$G$49, MATCH(orders!$D753,products!$A$1:$A800,0), MATCH(orders!I$1,products!$A$1:$G$1,0))</f>
        <v>Lib</v>
      </c>
      <c r="J530" t="str">
        <f>INDEX(products!$A$1:$G$49, MATCH(orders!$D753,products!$A$1:$A800,0), MATCH(orders!J$1,products!$A$1:$G$1,0))</f>
        <v>L</v>
      </c>
      <c r="K530" s="5">
        <f>INDEX(products!$A$1:$G$49, MATCH(orders!$D753,products!$A$1:$A800,0), MATCH(orders!K$1,products!$A$1:$G$1,0))</f>
        <v>0.5</v>
      </c>
      <c r="L530" s="6">
        <f>INDEX(products!$A$1:$G$49, MATCH(orders!$D753,products!$A$1:$A800,0), MATCH(orders!L$1,products!$A$1:$G$1,0))</f>
        <v>9.51</v>
      </c>
      <c r="M530" s="6">
        <f t="shared" si="24"/>
        <v>19.02</v>
      </c>
      <c r="N530" t="str">
        <f t="shared" si="25"/>
        <v>Liberica</v>
      </c>
      <c r="O530" t="str">
        <f t="shared" si="26"/>
        <v>Light</v>
      </c>
      <c r="P530" t="str">
        <f>_xlfn.XLOOKUP(Orders[[#This Row],[Customer ID]],customers!$A$1:$A$1001,customers!$I$1:$I$1001,,0)</f>
        <v>No</v>
      </c>
      <c r="Q530">
        <f>COUNTIF(Orders[Order ID],Orders[[#This Row],[Order ID]])</f>
        <v>1</v>
      </c>
      <c r="R530" s="10">
        <f>SUMIF(Orders[Order ID], Orders[[#This Row],[Order ID]],Orders[Sales])/Orders[[#This Row],[Order Frequency]]</f>
        <v>19.02</v>
      </c>
      <c r="S530" t="str">
        <f>IF(Orders[[#This Row],[Order Frequency]]&gt;4, "More than 4", IF(AND(Orders[[#This Row],[Order Frequency]]&lt;=4,Orders[[#This Row],[Order Frequency]]&gt;=2), "Between 4 and 2", "Less than 2"))</f>
        <v>Less than 2</v>
      </c>
      <c r="T530" t="str">
        <f>IF(Orders[[#This Row],[Frequency Group]]="less than 2", "Low Value", IF(Orders[[#This Row],[Frequency Group]]="between 4 and 2", "Medium Value", "High Value"))</f>
        <v>Low Value</v>
      </c>
      <c r="U530" t="str">
        <f>IF(Orders[[#This Row],[Sales]]&lt;50, "$0-50", IF(AND(Orders[[#This Row],[Sales]]&gt;=50,Orders[[#This Row],[Sales]]&lt;=100), "$50-100", IF(AND(Orders[[#This Row],[Sales]]&gt;100,Orders[[#This Row],[Sales]]&lt;=150), "$101-150", "$150+")))</f>
        <v>$0-50</v>
      </c>
      <c r="V530" t="str">
        <f>IF(Orders[[#This Row],[Sales]]&gt;MEDIAN(M:M), "High Price", "Low Price")</f>
        <v>Low Price</v>
      </c>
      <c r="W530" t="str">
        <f>IF(Orders[[#This Row],[Quantity]]&gt;MEDIAN(E:E), "High Volume", "Low Volume")</f>
        <v>Low Volume</v>
      </c>
      <c r="X530" t="str">
        <f>Orders[[#This Row],[Sales Tier]] &amp; "-" &amp; Orders[[#This Row],[Quantity Tier]]</f>
        <v>Low Price-Low Volume</v>
      </c>
      <c r="Y530" t="str">
        <f>TEXT(Orders[[#This Row],[Order Date]], "mmmm")</f>
        <v>January</v>
      </c>
      <c r="Z53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530" t="str">
        <f>Orders[[#This Row],[Coffee Type Name]] &amp; "-" &amp; Orders[[#This Row],[Roast Type Name]]</f>
        <v>Liberica-Light</v>
      </c>
      <c r="AB53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531" spans="1:28" x14ac:dyDescent="0.25">
      <c r="A531" s="2" t="s">
        <v>2882</v>
      </c>
      <c r="B531" s="4">
        <v>44428</v>
      </c>
      <c r="C531" s="2" t="s">
        <v>2883</v>
      </c>
      <c r="D531" t="s">
        <v>6177</v>
      </c>
      <c r="E531" s="2">
        <v>2</v>
      </c>
      <c r="F531" s="2" t="str">
        <f>_xlfn.XLOOKUP(C531,customers!$A$1:$A$1001,customers!$B$1:$B$1001,,0)</f>
        <v>Alric Darth</v>
      </c>
      <c r="G531" s="2" t="str">
        <f>IF(_xlfn.XLOOKUP(C531,customers!$A$1:$A$1001,customers!$C$1:$C$1001,,0)=0,"",_xlfn.XLOOKUP(C531,customers!$A$1:$A$1001,customers!$C$1:$C$1001,,0))</f>
        <v>adarthbt@t.co</v>
      </c>
      <c r="H531" s="2" t="str">
        <f>_xlfn.XLOOKUP(C531,customers!$A$1:$A$1001,customers!$G$1:$G$1001,,0)</f>
        <v>United States</v>
      </c>
      <c r="I531" t="str">
        <f>INDEX(products!$A$1:$G$49, MATCH(orders!$D427,products!$A$1:$A474,0), MATCH(orders!I$1,products!$A$1:$G$1,0))</f>
        <v>Rob</v>
      </c>
      <c r="J531" t="str">
        <f>INDEX(products!$A$1:$G$49, MATCH(orders!$D427,products!$A$1:$A474,0), MATCH(orders!J$1,products!$A$1:$G$1,0))</f>
        <v>D</v>
      </c>
      <c r="K531" s="5">
        <f>INDEX(products!$A$1:$G$49, MATCH(orders!$D427,products!$A$1:$A474,0), MATCH(orders!K$1,products!$A$1:$G$1,0))</f>
        <v>1</v>
      </c>
      <c r="L531" s="6">
        <f>INDEX(products!$A$1:$G$49, MATCH(orders!$D427,products!$A$1:$A474,0), MATCH(orders!L$1,products!$A$1:$G$1,0))</f>
        <v>8.9499999999999993</v>
      </c>
      <c r="M531" s="6">
        <f t="shared" si="24"/>
        <v>17.899999999999999</v>
      </c>
      <c r="N531" t="str">
        <f t="shared" si="25"/>
        <v>Robusta</v>
      </c>
      <c r="O531" t="str">
        <f t="shared" si="26"/>
        <v>Dark</v>
      </c>
      <c r="P531" t="str">
        <f>_xlfn.XLOOKUP(Orders[[#This Row],[Customer ID]],customers!$A$1:$A$1001,customers!$I$1:$I$1001,,0)</f>
        <v>No</v>
      </c>
      <c r="Q531">
        <f>COUNTIF(Orders[Order ID],Orders[[#This Row],[Order ID]])</f>
        <v>1</v>
      </c>
      <c r="R531" s="10">
        <f>SUMIF(Orders[Order ID], Orders[[#This Row],[Order ID]],Orders[Sales])/Orders[[#This Row],[Order Frequency]]</f>
        <v>17.899999999999999</v>
      </c>
      <c r="S531" t="str">
        <f>IF(Orders[[#This Row],[Order Frequency]]&gt;4, "More than 4", IF(AND(Orders[[#This Row],[Order Frequency]]&lt;=4,Orders[[#This Row],[Order Frequency]]&gt;=2), "Between 4 and 2", "Less than 2"))</f>
        <v>Less than 2</v>
      </c>
      <c r="T531" t="str">
        <f>IF(Orders[[#This Row],[Frequency Group]]="less than 2", "Low Value", IF(Orders[[#This Row],[Frequency Group]]="between 4 and 2", "Medium Value", "High Value"))</f>
        <v>Low Value</v>
      </c>
      <c r="U531" t="str">
        <f>IF(Orders[[#This Row],[Sales]]&lt;50, "$0-50", IF(AND(Orders[[#This Row],[Sales]]&gt;=50,Orders[[#This Row],[Sales]]&lt;=100), "$50-100", IF(AND(Orders[[#This Row],[Sales]]&gt;100,Orders[[#This Row],[Sales]]&lt;=150), "$101-150", "$150+")))</f>
        <v>$0-50</v>
      </c>
      <c r="V531" t="str">
        <f>IF(Orders[[#This Row],[Sales]]&gt;MEDIAN(M:M), "High Price", "Low Price")</f>
        <v>Low Price</v>
      </c>
      <c r="W531" t="str">
        <f>IF(Orders[[#This Row],[Quantity]]&gt;MEDIAN(E:E), "High Volume", "Low Volume")</f>
        <v>Low Volume</v>
      </c>
      <c r="X531" t="str">
        <f>Orders[[#This Row],[Sales Tier]] &amp; "-" &amp; Orders[[#This Row],[Quantity Tier]]</f>
        <v>Low Price-Low Volume</v>
      </c>
      <c r="Y531" t="str">
        <f>TEXT(Orders[[#This Row],[Order Date]], "mmmm")</f>
        <v>August</v>
      </c>
      <c r="Z53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531" t="str">
        <f>Orders[[#This Row],[Coffee Type Name]] &amp; "-" &amp; Orders[[#This Row],[Roast Type Name]]</f>
        <v>Robusta-Dark</v>
      </c>
      <c r="AB53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532" spans="1:28" x14ac:dyDescent="0.25">
      <c r="A532" s="2" t="s">
        <v>541</v>
      </c>
      <c r="B532" s="4">
        <v>43713</v>
      </c>
      <c r="C532" s="2" t="s">
        <v>542</v>
      </c>
      <c r="D532" t="s">
        <v>6146</v>
      </c>
      <c r="E532" s="2">
        <v>1</v>
      </c>
      <c r="F532" s="2" t="str">
        <f>_xlfn.XLOOKUP(C532,customers!$A$1:$A$1001,customers!$B$1:$B$1001,,0)</f>
        <v>Rodger Raven</v>
      </c>
      <c r="G532" s="2" t="str">
        <f>IF(_xlfn.XLOOKUP(C532,customers!$A$1:$A$1001,customers!$C$1:$C$1001,,0)=0,"",_xlfn.XLOOKUP(C532,customers!$A$1:$A$1001,customers!$C$1:$C$1001,,0))</f>
        <v>rraven9@ed.gov</v>
      </c>
      <c r="H532" s="2" t="str">
        <f>_xlfn.XLOOKUP(C532,customers!$A$1:$A$1001,customers!$G$1:$G$1001,,0)</f>
        <v>United States</v>
      </c>
      <c r="I532" t="str">
        <f>INDEX(products!$A$1:$G$49, MATCH(orders!$D11,products!$A$1:$A58,0), MATCH(orders!I$1,products!$A$1:$G$1,0))</f>
        <v>Rob</v>
      </c>
      <c r="J532" t="str">
        <f>INDEX(products!$A$1:$G$49, MATCH(orders!$D11,products!$A$1:$A58,0), MATCH(orders!J$1,products!$A$1:$G$1,0))</f>
        <v>M</v>
      </c>
      <c r="K532" s="5">
        <f>INDEX(products!$A$1:$G$49, MATCH(orders!$D11,products!$A$1:$A58,0), MATCH(orders!K$1,products!$A$1:$G$1,0))</f>
        <v>0.5</v>
      </c>
      <c r="L532" s="6">
        <f>INDEX(products!$A$1:$G$49, MATCH(orders!$D11,products!$A$1:$A58,0), MATCH(orders!L$1,products!$A$1:$G$1,0))</f>
        <v>5.97</v>
      </c>
      <c r="M532" s="6">
        <f t="shared" si="24"/>
        <v>5.97</v>
      </c>
      <c r="N532" t="str">
        <f t="shared" si="25"/>
        <v>Robusta</v>
      </c>
      <c r="O532" t="str">
        <f t="shared" si="26"/>
        <v>Medium</v>
      </c>
      <c r="P532" t="str">
        <f>_xlfn.XLOOKUP(Orders[[#This Row],[Customer ID]],customers!$A$1:$A$1001,customers!$I$1:$I$1001,,0)</f>
        <v>No</v>
      </c>
      <c r="Q532">
        <f>COUNTIF(Orders[Order ID],Orders[[#This Row],[Order ID]])</f>
        <v>1</v>
      </c>
      <c r="R532" s="10">
        <f>SUMIF(Orders[Order ID], Orders[[#This Row],[Order ID]],Orders[Sales])/Orders[[#This Row],[Order Frequency]]</f>
        <v>5.97</v>
      </c>
      <c r="S532" t="str">
        <f>IF(Orders[[#This Row],[Order Frequency]]&gt;4, "More than 4", IF(AND(Orders[[#This Row],[Order Frequency]]&lt;=4,Orders[[#This Row],[Order Frequency]]&gt;=2), "Between 4 and 2", "Less than 2"))</f>
        <v>Less than 2</v>
      </c>
      <c r="T532" t="str">
        <f>IF(Orders[[#This Row],[Frequency Group]]="less than 2", "Low Value", IF(Orders[[#This Row],[Frequency Group]]="between 4 and 2", "Medium Value", "High Value"))</f>
        <v>Low Value</v>
      </c>
      <c r="U532" t="str">
        <f>IF(Orders[[#This Row],[Sales]]&lt;50, "$0-50", IF(AND(Orders[[#This Row],[Sales]]&gt;=50,Orders[[#This Row],[Sales]]&lt;=100), "$50-100", IF(AND(Orders[[#This Row],[Sales]]&gt;100,Orders[[#This Row],[Sales]]&lt;=150), "$101-150", "$150+")))</f>
        <v>$0-50</v>
      </c>
      <c r="V532" t="str">
        <f>IF(Orders[[#This Row],[Sales]]&gt;MEDIAN(M:M), "High Price", "Low Price")</f>
        <v>Low Price</v>
      </c>
      <c r="W532" t="str">
        <f>IF(Orders[[#This Row],[Quantity]]&gt;MEDIAN(E:E), "High Volume", "Low Volume")</f>
        <v>Low Volume</v>
      </c>
      <c r="X532" t="str">
        <f>Orders[[#This Row],[Sales Tier]] &amp; "-" &amp; Orders[[#This Row],[Quantity Tier]]</f>
        <v>Low Price-Low Volume</v>
      </c>
      <c r="Y532" t="str">
        <f>TEXT(Orders[[#This Row],[Order Date]], "mmmm")</f>
        <v>September</v>
      </c>
      <c r="Z53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532" t="str">
        <f>Orders[[#This Row],[Coffee Type Name]] &amp; "-" &amp; Orders[[#This Row],[Roast Type Name]]</f>
        <v>Robusta-Medium</v>
      </c>
      <c r="AB53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533" spans="1:28" x14ac:dyDescent="0.25">
      <c r="A533" s="2" t="s">
        <v>1498</v>
      </c>
      <c r="B533" s="4">
        <v>43830</v>
      </c>
      <c r="C533" s="2" t="s">
        <v>1499</v>
      </c>
      <c r="D533" t="s">
        <v>6154</v>
      </c>
      <c r="E533" s="2">
        <v>1</v>
      </c>
      <c r="F533" s="2" t="str">
        <f>_xlfn.XLOOKUP(C533,customers!$A$1:$A$1001,customers!$B$1:$B$1001,,0)</f>
        <v>Tiffany Scardafield</v>
      </c>
      <c r="G533" s="2" t="str">
        <f>IF(_xlfn.XLOOKUP(C533,customers!$A$1:$A$1001,customers!$C$1:$C$1001,,0)=0,"",_xlfn.XLOOKUP(C533,customers!$A$1:$A$1001,customers!$C$1:$C$1001,,0))</f>
        <v/>
      </c>
      <c r="H533" s="2" t="str">
        <f>_xlfn.XLOOKUP(C533,customers!$A$1:$A$1001,customers!$G$1:$G$1001,,0)</f>
        <v>Ireland</v>
      </c>
      <c r="I533" t="str">
        <f>INDEX(products!$A$1:$G$49, MATCH(orders!$D181,products!$A$1:$A228,0), MATCH(orders!I$1,products!$A$1:$G$1,0))</f>
        <v>Ara</v>
      </c>
      <c r="J533" t="str">
        <f>INDEX(products!$A$1:$G$49, MATCH(orders!$D181,products!$A$1:$A228,0), MATCH(orders!J$1,products!$A$1:$G$1,0))</f>
        <v>D</v>
      </c>
      <c r="K533" s="5">
        <f>INDEX(products!$A$1:$G$49, MATCH(orders!$D181,products!$A$1:$A228,0), MATCH(orders!K$1,products!$A$1:$G$1,0))</f>
        <v>0.2</v>
      </c>
      <c r="L533" s="6">
        <f>INDEX(products!$A$1:$G$49, MATCH(orders!$D181,products!$A$1:$A228,0), MATCH(orders!L$1,products!$A$1:$G$1,0))</f>
        <v>2.9849999999999999</v>
      </c>
      <c r="M533" s="6">
        <f t="shared" si="24"/>
        <v>2.9849999999999999</v>
      </c>
      <c r="N533" t="str">
        <f t="shared" si="25"/>
        <v>Arabica</v>
      </c>
      <c r="O533" t="str">
        <f t="shared" si="26"/>
        <v>Dark</v>
      </c>
      <c r="P533" t="str">
        <f>_xlfn.XLOOKUP(Orders[[#This Row],[Customer ID]],customers!$A$1:$A$1001,customers!$I$1:$I$1001,,0)</f>
        <v>No</v>
      </c>
      <c r="Q533">
        <f>COUNTIF(Orders[Order ID],Orders[[#This Row],[Order ID]])</f>
        <v>1</v>
      </c>
      <c r="R533" s="10">
        <f>SUMIF(Orders[Order ID], Orders[[#This Row],[Order ID]],Orders[Sales])/Orders[[#This Row],[Order Frequency]]</f>
        <v>2.9849999999999999</v>
      </c>
      <c r="S533" t="str">
        <f>IF(Orders[[#This Row],[Order Frequency]]&gt;4, "More than 4", IF(AND(Orders[[#This Row],[Order Frequency]]&lt;=4,Orders[[#This Row],[Order Frequency]]&gt;=2), "Between 4 and 2", "Less than 2"))</f>
        <v>Less than 2</v>
      </c>
      <c r="T533" t="str">
        <f>IF(Orders[[#This Row],[Frequency Group]]="less than 2", "Low Value", IF(Orders[[#This Row],[Frequency Group]]="between 4 and 2", "Medium Value", "High Value"))</f>
        <v>Low Value</v>
      </c>
      <c r="U533" t="str">
        <f>IF(Orders[[#This Row],[Sales]]&lt;50, "$0-50", IF(AND(Orders[[#This Row],[Sales]]&gt;=50,Orders[[#This Row],[Sales]]&lt;=100), "$50-100", IF(AND(Orders[[#This Row],[Sales]]&gt;100,Orders[[#This Row],[Sales]]&lt;=150), "$101-150", "$150+")))</f>
        <v>$0-50</v>
      </c>
      <c r="V533" t="str">
        <f>IF(Orders[[#This Row],[Sales]]&gt;MEDIAN(M:M), "High Price", "Low Price")</f>
        <v>Low Price</v>
      </c>
      <c r="W533" t="str">
        <f>IF(Orders[[#This Row],[Quantity]]&gt;MEDIAN(E:E), "High Volume", "Low Volume")</f>
        <v>Low Volume</v>
      </c>
      <c r="X533" t="str">
        <f>Orders[[#This Row],[Sales Tier]] &amp; "-" &amp; Orders[[#This Row],[Quantity Tier]]</f>
        <v>Low Price-Low Volume</v>
      </c>
      <c r="Y533" t="str">
        <f>TEXT(Orders[[#This Row],[Order Date]], "mmmm")</f>
        <v>December</v>
      </c>
      <c r="Z53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533" t="str">
        <f>Orders[[#This Row],[Coffee Type Name]] &amp; "-" &amp; Orders[[#This Row],[Roast Type Name]]</f>
        <v>Arabica-Dark</v>
      </c>
      <c r="AB53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534" spans="1:28" x14ac:dyDescent="0.25">
      <c r="A534" s="2" t="s">
        <v>6025</v>
      </c>
      <c r="B534" s="4">
        <v>43856</v>
      </c>
      <c r="C534" s="2" t="s">
        <v>6026</v>
      </c>
      <c r="D534" t="s">
        <v>6172</v>
      </c>
      <c r="E534" s="2">
        <v>2</v>
      </c>
      <c r="F534" s="2" t="str">
        <f>_xlfn.XLOOKUP(C534,customers!$A$1:$A$1001,customers!$B$1:$B$1001,,0)</f>
        <v>Javier Causnett</v>
      </c>
      <c r="G534" s="2" t="str">
        <f>IF(_xlfn.XLOOKUP(C534,customers!$A$1:$A$1001,customers!$C$1:$C$1001,,0)=0,"",_xlfn.XLOOKUP(C534,customers!$A$1:$A$1001,customers!$C$1:$C$1001,,0))</f>
        <v/>
      </c>
      <c r="H534" s="2" t="str">
        <f>_xlfn.XLOOKUP(C534,customers!$A$1:$A$1001,customers!$G$1:$G$1001,,0)</f>
        <v>United States</v>
      </c>
      <c r="I534" t="str">
        <f>INDEX(products!$A$1:$G$49, MATCH(orders!$D981,products!$A$1:$A1028,0), MATCH(orders!I$1,products!$A$1:$G$1,0))</f>
        <v>Rob</v>
      </c>
      <c r="J534" t="str">
        <f>INDEX(products!$A$1:$G$49, MATCH(orders!$D981,products!$A$1:$A1028,0), MATCH(orders!J$1,products!$A$1:$G$1,0))</f>
        <v>D</v>
      </c>
      <c r="K534" s="5">
        <f>INDEX(products!$A$1:$G$49, MATCH(orders!$D981,products!$A$1:$A1028,0), MATCH(orders!K$1,products!$A$1:$G$1,0))</f>
        <v>0.5</v>
      </c>
      <c r="L534" s="6">
        <f>INDEX(products!$A$1:$G$49, MATCH(orders!$D981,products!$A$1:$A1028,0), MATCH(orders!L$1,products!$A$1:$G$1,0))</f>
        <v>5.3699999999999992</v>
      </c>
      <c r="M534" s="6">
        <f t="shared" si="24"/>
        <v>10.739999999999998</v>
      </c>
      <c r="N534" t="str">
        <f t="shared" si="25"/>
        <v>Robusta</v>
      </c>
      <c r="O534" t="str">
        <f t="shared" si="26"/>
        <v>Dark</v>
      </c>
      <c r="P534" t="str">
        <f>_xlfn.XLOOKUP(Orders[[#This Row],[Customer ID]],customers!$A$1:$A$1001,customers!$I$1:$I$1001,,0)</f>
        <v>No</v>
      </c>
      <c r="Q534">
        <f>COUNTIF(Orders[Order ID],Orders[[#This Row],[Order ID]])</f>
        <v>1</v>
      </c>
      <c r="R534" s="10">
        <f>SUMIF(Orders[Order ID], Orders[[#This Row],[Order ID]],Orders[Sales])/Orders[[#This Row],[Order Frequency]]</f>
        <v>10.739999999999998</v>
      </c>
      <c r="S534" t="str">
        <f>IF(Orders[[#This Row],[Order Frequency]]&gt;4, "More than 4", IF(AND(Orders[[#This Row],[Order Frequency]]&lt;=4,Orders[[#This Row],[Order Frequency]]&gt;=2), "Between 4 and 2", "Less than 2"))</f>
        <v>Less than 2</v>
      </c>
      <c r="T534" t="str">
        <f>IF(Orders[[#This Row],[Frequency Group]]="less than 2", "Low Value", IF(Orders[[#This Row],[Frequency Group]]="between 4 and 2", "Medium Value", "High Value"))</f>
        <v>Low Value</v>
      </c>
      <c r="U534" t="str">
        <f>IF(Orders[[#This Row],[Sales]]&lt;50, "$0-50", IF(AND(Orders[[#This Row],[Sales]]&gt;=50,Orders[[#This Row],[Sales]]&lt;=100), "$50-100", IF(AND(Orders[[#This Row],[Sales]]&gt;100,Orders[[#This Row],[Sales]]&lt;=150), "$101-150", "$150+")))</f>
        <v>$0-50</v>
      </c>
      <c r="V534" t="str">
        <f>IF(Orders[[#This Row],[Sales]]&gt;MEDIAN(M:M), "High Price", "Low Price")</f>
        <v>Low Price</v>
      </c>
      <c r="W534" t="str">
        <f>IF(Orders[[#This Row],[Quantity]]&gt;MEDIAN(E:E), "High Volume", "Low Volume")</f>
        <v>Low Volume</v>
      </c>
      <c r="X534" t="str">
        <f>Orders[[#This Row],[Sales Tier]] &amp; "-" &amp; Orders[[#This Row],[Quantity Tier]]</f>
        <v>Low Price-Low Volume</v>
      </c>
      <c r="Y534" t="str">
        <f>TEXT(Orders[[#This Row],[Order Date]], "mmmm")</f>
        <v>January</v>
      </c>
      <c r="Z53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534" t="str">
        <f>Orders[[#This Row],[Coffee Type Name]] &amp; "-" &amp; Orders[[#This Row],[Roast Type Name]]</f>
        <v>Robusta-Dark</v>
      </c>
      <c r="AB53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535" spans="1:28" x14ac:dyDescent="0.25">
      <c r="A535" s="2" t="s">
        <v>5748</v>
      </c>
      <c r="B535" s="4">
        <v>43546</v>
      </c>
      <c r="C535" s="2" t="s">
        <v>5749</v>
      </c>
      <c r="D535" t="s">
        <v>6183</v>
      </c>
      <c r="E535" s="2">
        <v>1</v>
      </c>
      <c r="F535" s="2" t="str">
        <f>_xlfn.XLOOKUP(C535,customers!$A$1:$A$1001,customers!$B$1:$B$1001,,0)</f>
        <v>Kameko Philbrick</v>
      </c>
      <c r="G535" s="2" t="str">
        <f>IF(_xlfn.XLOOKUP(C535,customers!$A$1:$A$1001,customers!$C$1:$C$1001,,0)=0,"",_xlfn.XLOOKUP(C535,customers!$A$1:$A$1001,customers!$C$1:$C$1001,,0))</f>
        <v>kphilbrickpu@cdc.gov</v>
      </c>
      <c r="H535" s="2" t="str">
        <f>_xlfn.XLOOKUP(C535,customers!$A$1:$A$1001,customers!$G$1:$G$1001,,0)</f>
        <v>United States</v>
      </c>
      <c r="I535" t="str">
        <f>INDEX(products!$A$1:$G$49, MATCH(orders!$D932,products!$A$1:$A979,0), MATCH(orders!I$1,products!$A$1:$G$1,0))</f>
        <v>Exc</v>
      </c>
      <c r="J535" t="str">
        <f>INDEX(products!$A$1:$G$49, MATCH(orders!$D932,products!$A$1:$A979,0), MATCH(orders!J$1,products!$A$1:$G$1,0))</f>
        <v>D</v>
      </c>
      <c r="K535" s="5">
        <f>INDEX(products!$A$1:$G$49, MATCH(orders!$D932,products!$A$1:$A979,0), MATCH(orders!K$1,products!$A$1:$G$1,0))</f>
        <v>1</v>
      </c>
      <c r="L535" s="6">
        <f>INDEX(products!$A$1:$G$49, MATCH(orders!$D932,products!$A$1:$A979,0), MATCH(orders!L$1,products!$A$1:$G$1,0))</f>
        <v>12.15</v>
      </c>
      <c r="M535" s="6">
        <f t="shared" si="24"/>
        <v>12.15</v>
      </c>
      <c r="N535" t="str">
        <f t="shared" si="25"/>
        <v>Excelsa</v>
      </c>
      <c r="O535" t="str">
        <f t="shared" si="26"/>
        <v>Dark</v>
      </c>
      <c r="P535" t="str">
        <f>_xlfn.XLOOKUP(Orders[[#This Row],[Customer ID]],customers!$A$1:$A$1001,customers!$I$1:$I$1001,,0)</f>
        <v>Yes</v>
      </c>
      <c r="Q535">
        <f>COUNTIF(Orders[Order ID],Orders[[#This Row],[Order ID]])</f>
        <v>1</v>
      </c>
      <c r="R535" s="10">
        <f>SUMIF(Orders[Order ID], Orders[[#This Row],[Order ID]],Orders[Sales])/Orders[[#This Row],[Order Frequency]]</f>
        <v>12.15</v>
      </c>
      <c r="S535" t="str">
        <f>IF(Orders[[#This Row],[Order Frequency]]&gt;4, "More than 4", IF(AND(Orders[[#This Row],[Order Frequency]]&lt;=4,Orders[[#This Row],[Order Frequency]]&gt;=2), "Between 4 and 2", "Less than 2"))</f>
        <v>Less than 2</v>
      </c>
      <c r="T535" t="str">
        <f>IF(Orders[[#This Row],[Frequency Group]]="less than 2", "Low Value", IF(Orders[[#This Row],[Frequency Group]]="between 4 and 2", "Medium Value", "High Value"))</f>
        <v>Low Value</v>
      </c>
      <c r="U535" t="str">
        <f>IF(Orders[[#This Row],[Sales]]&lt;50, "$0-50", IF(AND(Orders[[#This Row],[Sales]]&gt;=50,Orders[[#This Row],[Sales]]&lt;=100), "$50-100", IF(AND(Orders[[#This Row],[Sales]]&gt;100,Orders[[#This Row],[Sales]]&lt;=150), "$101-150", "$150+")))</f>
        <v>$0-50</v>
      </c>
      <c r="V535" t="str">
        <f>IF(Orders[[#This Row],[Sales]]&gt;MEDIAN(M:M), "High Price", "Low Price")</f>
        <v>Low Price</v>
      </c>
      <c r="W535" t="str">
        <f>IF(Orders[[#This Row],[Quantity]]&gt;MEDIAN(E:E), "High Volume", "Low Volume")</f>
        <v>Low Volume</v>
      </c>
      <c r="X535" t="str">
        <f>Orders[[#This Row],[Sales Tier]] &amp; "-" &amp; Orders[[#This Row],[Quantity Tier]]</f>
        <v>Low Price-Low Volume</v>
      </c>
      <c r="Y535" t="str">
        <f>TEXT(Orders[[#This Row],[Order Date]], "mmmm")</f>
        <v>March</v>
      </c>
      <c r="Z53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535" t="str">
        <f>Orders[[#This Row],[Coffee Type Name]] &amp; "-" &amp; Orders[[#This Row],[Roast Type Name]]</f>
        <v>Excelsa-Dark</v>
      </c>
      <c r="AB53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536" spans="1:28" x14ac:dyDescent="0.25">
      <c r="A536" s="2" t="s">
        <v>1975</v>
      </c>
      <c r="B536" s="4">
        <v>43577</v>
      </c>
      <c r="C536" s="2" t="s">
        <v>1976</v>
      </c>
      <c r="D536" t="s">
        <v>6181</v>
      </c>
      <c r="E536" s="2">
        <v>4</v>
      </c>
      <c r="F536" s="2" t="str">
        <f>_xlfn.XLOOKUP(C536,customers!$A$1:$A$1001,customers!$B$1:$B$1001,,0)</f>
        <v>Mar McIver</v>
      </c>
      <c r="G536" s="2" t="str">
        <f>IF(_xlfn.XLOOKUP(C536,customers!$A$1:$A$1001,customers!$C$1:$C$1001,,0)=0,"",_xlfn.XLOOKUP(C536,customers!$A$1:$A$1001,customers!$C$1:$C$1001,,0))</f>
        <v/>
      </c>
      <c r="H536" s="2" t="str">
        <f>_xlfn.XLOOKUP(C536,customers!$A$1:$A$1001,customers!$G$1:$G$1001,,0)</f>
        <v>United States</v>
      </c>
      <c r="I536" t="str">
        <f>INDEX(products!$A$1:$G$49, MATCH(orders!$D265,products!$A$1:$A312,0), MATCH(orders!I$1,products!$A$1:$G$1,0))</f>
        <v>Lib</v>
      </c>
      <c r="J536" t="str">
        <f>INDEX(products!$A$1:$G$49, MATCH(orders!$D265,products!$A$1:$A312,0), MATCH(orders!J$1,products!$A$1:$G$1,0))</f>
        <v>M</v>
      </c>
      <c r="K536" s="5">
        <f>INDEX(products!$A$1:$G$49, MATCH(orders!$D265,products!$A$1:$A312,0), MATCH(orders!K$1,products!$A$1:$G$1,0))</f>
        <v>2.5</v>
      </c>
      <c r="L536" s="6">
        <f>INDEX(products!$A$1:$G$49, MATCH(orders!$D265,products!$A$1:$A312,0), MATCH(orders!L$1,products!$A$1:$G$1,0))</f>
        <v>33.464999999999996</v>
      </c>
      <c r="M536" s="6">
        <f t="shared" si="24"/>
        <v>133.85999999999999</v>
      </c>
      <c r="N536" t="str">
        <f t="shared" si="25"/>
        <v>Liberica</v>
      </c>
      <c r="O536" t="str">
        <f t="shared" si="26"/>
        <v>Medium</v>
      </c>
      <c r="P536" t="str">
        <f>_xlfn.XLOOKUP(Orders[[#This Row],[Customer ID]],customers!$A$1:$A$1001,customers!$I$1:$I$1001,,0)</f>
        <v>No</v>
      </c>
      <c r="Q536">
        <f>COUNTIF(Orders[Order ID],Orders[[#This Row],[Order ID]])</f>
        <v>1</v>
      </c>
      <c r="R536" s="10">
        <f>SUMIF(Orders[Order ID], Orders[[#This Row],[Order ID]],Orders[Sales])/Orders[[#This Row],[Order Frequency]]</f>
        <v>133.85999999999999</v>
      </c>
      <c r="S536" t="str">
        <f>IF(Orders[[#This Row],[Order Frequency]]&gt;4, "More than 4", IF(AND(Orders[[#This Row],[Order Frequency]]&lt;=4,Orders[[#This Row],[Order Frequency]]&gt;=2), "Between 4 and 2", "Less than 2"))</f>
        <v>Less than 2</v>
      </c>
      <c r="T536" t="str">
        <f>IF(Orders[[#This Row],[Frequency Group]]="less than 2", "Low Value", IF(Orders[[#This Row],[Frequency Group]]="between 4 and 2", "Medium Value", "High Value"))</f>
        <v>Low Value</v>
      </c>
      <c r="U536" t="str">
        <f>IF(Orders[[#This Row],[Sales]]&lt;50, "$0-50", IF(AND(Orders[[#This Row],[Sales]]&gt;=50,Orders[[#This Row],[Sales]]&lt;=100), "$50-100", IF(AND(Orders[[#This Row],[Sales]]&gt;100,Orders[[#This Row],[Sales]]&lt;=150), "$101-150", "$150+")))</f>
        <v>$101-150</v>
      </c>
      <c r="V536" t="str">
        <f>IF(Orders[[#This Row],[Sales]]&gt;MEDIAN(M:M), "High Price", "Low Price")</f>
        <v>High Price</v>
      </c>
      <c r="W536" t="str">
        <f>IF(Orders[[#This Row],[Quantity]]&gt;MEDIAN(E:E), "High Volume", "Low Volume")</f>
        <v>Low Volume</v>
      </c>
      <c r="X536" t="str">
        <f>Orders[[#This Row],[Sales Tier]] &amp; "-" &amp; Orders[[#This Row],[Quantity Tier]]</f>
        <v>High Price-Low Volume</v>
      </c>
      <c r="Y536" t="str">
        <f>TEXT(Orders[[#This Row],[Order Date]], "mmmm")</f>
        <v>April</v>
      </c>
      <c r="Z53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536" t="str">
        <f>Orders[[#This Row],[Coffee Type Name]] &amp; "-" &amp; Orders[[#This Row],[Roast Type Name]]</f>
        <v>Liberica-Medium</v>
      </c>
      <c r="AB53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537" spans="1:28" x14ac:dyDescent="0.25">
      <c r="A537" s="2" t="s">
        <v>4423</v>
      </c>
      <c r="B537" s="4">
        <v>43693</v>
      </c>
      <c r="C537" s="2" t="s">
        <v>4424</v>
      </c>
      <c r="D537" t="s">
        <v>6169</v>
      </c>
      <c r="E537" s="2">
        <v>4</v>
      </c>
      <c r="F537" s="2" t="str">
        <f>_xlfn.XLOOKUP(C537,customers!$A$1:$A$1001,customers!$B$1:$B$1001,,0)</f>
        <v>Johna Bluck</v>
      </c>
      <c r="G537" s="2" t="str">
        <f>IF(_xlfn.XLOOKUP(C537,customers!$A$1:$A$1001,customers!$C$1:$C$1001,,0)=0,"",_xlfn.XLOOKUP(C537,customers!$A$1:$A$1001,customers!$C$1:$C$1001,,0))</f>
        <v>jbluckjc@imageshack.us</v>
      </c>
      <c r="H537" s="2" t="str">
        <f>_xlfn.XLOOKUP(C537,customers!$A$1:$A$1001,customers!$G$1:$G$1001,,0)</f>
        <v>United States</v>
      </c>
      <c r="I537" t="str">
        <f>INDEX(products!$A$1:$G$49, MATCH(orders!$D698,products!$A$1:$A745,0), MATCH(orders!I$1,products!$A$1:$G$1,0))</f>
        <v>Lib</v>
      </c>
      <c r="J537" t="str">
        <f>INDEX(products!$A$1:$G$49, MATCH(orders!$D698,products!$A$1:$A745,0), MATCH(orders!J$1,products!$A$1:$G$1,0))</f>
        <v>D</v>
      </c>
      <c r="K537" s="5">
        <f>INDEX(products!$A$1:$G$49, MATCH(orders!$D698,products!$A$1:$A745,0), MATCH(orders!K$1,products!$A$1:$G$1,0))</f>
        <v>0.5</v>
      </c>
      <c r="L537" s="6">
        <f>INDEX(products!$A$1:$G$49, MATCH(orders!$D698,products!$A$1:$A745,0), MATCH(orders!L$1,products!$A$1:$G$1,0))</f>
        <v>7.77</v>
      </c>
      <c r="M537" s="6">
        <f t="shared" si="24"/>
        <v>31.08</v>
      </c>
      <c r="N537" t="str">
        <f t="shared" si="25"/>
        <v>Liberica</v>
      </c>
      <c r="O537" t="str">
        <f t="shared" si="26"/>
        <v>Dark</v>
      </c>
      <c r="P537" t="str">
        <f>_xlfn.XLOOKUP(Orders[[#This Row],[Customer ID]],customers!$A$1:$A$1001,customers!$I$1:$I$1001,,0)</f>
        <v>No</v>
      </c>
      <c r="Q537">
        <f>COUNTIF(Orders[Order ID],Orders[[#This Row],[Order ID]])</f>
        <v>1</v>
      </c>
      <c r="R537" s="10">
        <f>SUMIF(Orders[Order ID], Orders[[#This Row],[Order ID]],Orders[Sales])/Orders[[#This Row],[Order Frequency]]</f>
        <v>31.08</v>
      </c>
      <c r="S537" t="str">
        <f>IF(Orders[[#This Row],[Order Frequency]]&gt;4, "More than 4", IF(AND(Orders[[#This Row],[Order Frequency]]&lt;=4,Orders[[#This Row],[Order Frequency]]&gt;=2), "Between 4 and 2", "Less than 2"))</f>
        <v>Less than 2</v>
      </c>
      <c r="T537" t="str">
        <f>IF(Orders[[#This Row],[Frequency Group]]="less than 2", "Low Value", IF(Orders[[#This Row],[Frequency Group]]="between 4 and 2", "Medium Value", "High Value"))</f>
        <v>Low Value</v>
      </c>
      <c r="U537" t="str">
        <f>IF(Orders[[#This Row],[Sales]]&lt;50, "$0-50", IF(AND(Orders[[#This Row],[Sales]]&gt;=50,Orders[[#This Row],[Sales]]&lt;=100), "$50-100", IF(AND(Orders[[#This Row],[Sales]]&gt;100,Orders[[#This Row],[Sales]]&lt;=150), "$101-150", "$150+")))</f>
        <v>$0-50</v>
      </c>
      <c r="V537" t="str">
        <f>IF(Orders[[#This Row],[Sales]]&gt;MEDIAN(M:M), "High Price", "Low Price")</f>
        <v>High Price</v>
      </c>
      <c r="W537" t="str">
        <f>IF(Orders[[#This Row],[Quantity]]&gt;MEDIAN(E:E), "High Volume", "Low Volume")</f>
        <v>Low Volume</v>
      </c>
      <c r="X537" t="str">
        <f>Orders[[#This Row],[Sales Tier]] &amp; "-" &amp; Orders[[#This Row],[Quantity Tier]]</f>
        <v>High Price-Low Volume</v>
      </c>
      <c r="Y537" t="str">
        <f>TEXT(Orders[[#This Row],[Order Date]], "mmmm")</f>
        <v>August</v>
      </c>
      <c r="Z53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537" t="str">
        <f>Orders[[#This Row],[Coffee Type Name]] &amp; "-" &amp; Orders[[#This Row],[Roast Type Name]]</f>
        <v>Liberica-Dark</v>
      </c>
      <c r="AB53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538" spans="1:28" x14ac:dyDescent="0.25">
      <c r="A538" s="2" t="s">
        <v>2424</v>
      </c>
      <c r="B538" s="4">
        <v>43692</v>
      </c>
      <c r="C538" s="2" t="s">
        <v>2425</v>
      </c>
      <c r="D538" t="s">
        <v>6172</v>
      </c>
      <c r="E538" s="2">
        <v>6</v>
      </c>
      <c r="F538" s="2" t="str">
        <f>_xlfn.XLOOKUP(C538,customers!$A$1:$A$1001,customers!$B$1:$B$1001,,0)</f>
        <v>Noam Climance</v>
      </c>
      <c r="G538" s="2" t="str">
        <f>IF(_xlfn.XLOOKUP(C538,customers!$A$1:$A$1001,customers!$C$1:$C$1001,,0)=0,"",_xlfn.XLOOKUP(C538,customers!$A$1:$A$1001,customers!$C$1:$C$1001,,0))</f>
        <v>nclimance9j@europa.eu</v>
      </c>
      <c r="H538" s="2" t="str">
        <f>_xlfn.XLOOKUP(C538,customers!$A$1:$A$1001,customers!$G$1:$G$1001,,0)</f>
        <v>United States</v>
      </c>
      <c r="I538" t="str">
        <f>INDEX(products!$A$1:$G$49, MATCH(orders!$D345,products!$A$1:$A392,0), MATCH(orders!I$1,products!$A$1:$G$1,0))</f>
        <v>Rob</v>
      </c>
      <c r="J538" t="str">
        <f>INDEX(products!$A$1:$G$49, MATCH(orders!$D345,products!$A$1:$A392,0), MATCH(orders!J$1,products!$A$1:$G$1,0))</f>
        <v>D</v>
      </c>
      <c r="K538" s="5">
        <f>INDEX(products!$A$1:$G$49, MATCH(orders!$D345,products!$A$1:$A392,0), MATCH(orders!K$1,products!$A$1:$G$1,0))</f>
        <v>0.5</v>
      </c>
      <c r="L538" s="6">
        <f>INDEX(products!$A$1:$G$49, MATCH(orders!$D345,products!$A$1:$A392,0), MATCH(orders!L$1,products!$A$1:$G$1,0))</f>
        <v>5.3699999999999992</v>
      </c>
      <c r="M538" s="6">
        <f t="shared" si="24"/>
        <v>32.22</v>
      </c>
      <c r="N538" t="str">
        <f t="shared" si="25"/>
        <v>Robusta</v>
      </c>
      <c r="O538" t="str">
        <f t="shared" si="26"/>
        <v>Dark</v>
      </c>
      <c r="P538" t="str">
        <f>_xlfn.XLOOKUP(Orders[[#This Row],[Customer ID]],customers!$A$1:$A$1001,customers!$I$1:$I$1001,,0)</f>
        <v>No</v>
      </c>
      <c r="Q538">
        <f>COUNTIF(Orders[Order ID],Orders[[#This Row],[Order ID]])</f>
        <v>1</v>
      </c>
      <c r="R538" s="10">
        <f>SUMIF(Orders[Order ID], Orders[[#This Row],[Order ID]],Orders[Sales])/Orders[[#This Row],[Order Frequency]]</f>
        <v>32.22</v>
      </c>
      <c r="S538" t="str">
        <f>IF(Orders[[#This Row],[Order Frequency]]&gt;4, "More than 4", IF(AND(Orders[[#This Row],[Order Frequency]]&lt;=4,Orders[[#This Row],[Order Frequency]]&gt;=2), "Between 4 and 2", "Less than 2"))</f>
        <v>Less than 2</v>
      </c>
      <c r="T538" t="str">
        <f>IF(Orders[[#This Row],[Frequency Group]]="less than 2", "Low Value", IF(Orders[[#This Row],[Frequency Group]]="between 4 and 2", "Medium Value", "High Value"))</f>
        <v>Low Value</v>
      </c>
      <c r="U538" t="str">
        <f>IF(Orders[[#This Row],[Sales]]&lt;50, "$0-50", IF(AND(Orders[[#This Row],[Sales]]&gt;=50,Orders[[#This Row],[Sales]]&lt;=100), "$50-100", IF(AND(Orders[[#This Row],[Sales]]&gt;100,Orders[[#This Row],[Sales]]&lt;=150), "$101-150", "$150+")))</f>
        <v>$0-50</v>
      </c>
      <c r="V538" t="str">
        <f>IF(Orders[[#This Row],[Sales]]&gt;MEDIAN(M:M), "High Price", "Low Price")</f>
        <v>High Price</v>
      </c>
      <c r="W538" t="str">
        <f>IF(Orders[[#This Row],[Quantity]]&gt;MEDIAN(E:E), "High Volume", "Low Volume")</f>
        <v>High Volume</v>
      </c>
      <c r="X538" t="str">
        <f>Orders[[#This Row],[Sales Tier]] &amp; "-" &amp; Orders[[#This Row],[Quantity Tier]]</f>
        <v>High Price-High Volume</v>
      </c>
      <c r="Y538" t="str">
        <f>TEXT(Orders[[#This Row],[Order Date]], "mmmm")</f>
        <v>August</v>
      </c>
      <c r="Z53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538" t="str">
        <f>Orders[[#This Row],[Coffee Type Name]] &amp; "-" &amp; Orders[[#This Row],[Roast Type Name]]</f>
        <v>Robusta-Dark</v>
      </c>
      <c r="AB53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539" spans="1:28" x14ac:dyDescent="0.25">
      <c r="A539" s="2" t="s">
        <v>4297</v>
      </c>
      <c r="B539" s="4">
        <v>44543</v>
      </c>
      <c r="C539" s="2" t="s">
        <v>4298</v>
      </c>
      <c r="D539" t="s">
        <v>6182</v>
      </c>
      <c r="E539" s="2">
        <v>6</v>
      </c>
      <c r="F539" s="2" t="str">
        <f>_xlfn.XLOOKUP(C539,customers!$A$1:$A$1001,customers!$B$1:$B$1001,,0)</f>
        <v>Hermann Larvor</v>
      </c>
      <c r="G539" s="2" t="str">
        <f>IF(_xlfn.XLOOKUP(C539,customers!$A$1:$A$1001,customers!$C$1:$C$1001,,0)=0,"",_xlfn.XLOOKUP(C539,customers!$A$1:$A$1001,customers!$C$1:$C$1001,,0))</f>
        <v>hlarvoriq@last.fm</v>
      </c>
      <c r="H539" s="2" t="str">
        <f>_xlfn.XLOOKUP(C539,customers!$A$1:$A$1001,customers!$G$1:$G$1001,,0)</f>
        <v>United States</v>
      </c>
      <c r="I539" t="str">
        <f>INDEX(products!$A$1:$G$49, MATCH(orders!$D676,products!$A$1:$A723,0), MATCH(orders!I$1,products!$A$1:$G$1,0))</f>
        <v>Ara</v>
      </c>
      <c r="J539" t="str">
        <f>INDEX(products!$A$1:$G$49, MATCH(orders!$D676,products!$A$1:$A723,0), MATCH(orders!J$1,products!$A$1:$G$1,0))</f>
        <v>L</v>
      </c>
      <c r="K539" s="5">
        <f>INDEX(products!$A$1:$G$49, MATCH(orders!$D676,products!$A$1:$A723,0), MATCH(orders!K$1,products!$A$1:$G$1,0))</f>
        <v>2.5</v>
      </c>
      <c r="L539" s="6">
        <f>INDEX(products!$A$1:$G$49, MATCH(orders!$D676,products!$A$1:$A723,0), MATCH(orders!L$1,products!$A$1:$G$1,0))</f>
        <v>29.784999999999997</v>
      </c>
      <c r="M539" s="6">
        <f t="shared" si="24"/>
        <v>178.70999999999998</v>
      </c>
      <c r="N539" t="str">
        <f t="shared" si="25"/>
        <v>Arabica</v>
      </c>
      <c r="O539" t="str">
        <f t="shared" si="26"/>
        <v>Light</v>
      </c>
      <c r="P539" t="str">
        <f>_xlfn.XLOOKUP(Orders[[#This Row],[Customer ID]],customers!$A$1:$A$1001,customers!$I$1:$I$1001,,0)</f>
        <v>Yes</v>
      </c>
      <c r="Q539">
        <f>COUNTIF(Orders[Order ID],Orders[[#This Row],[Order ID]])</f>
        <v>1</v>
      </c>
      <c r="R539" s="10">
        <f>SUMIF(Orders[Order ID], Orders[[#This Row],[Order ID]],Orders[Sales])/Orders[[#This Row],[Order Frequency]]</f>
        <v>178.70999999999998</v>
      </c>
      <c r="S539" t="str">
        <f>IF(Orders[[#This Row],[Order Frequency]]&gt;4, "More than 4", IF(AND(Orders[[#This Row],[Order Frequency]]&lt;=4,Orders[[#This Row],[Order Frequency]]&gt;=2), "Between 4 and 2", "Less than 2"))</f>
        <v>Less than 2</v>
      </c>
      <c r="T539" t="str">
        <f>IF(Orders[[#This Row],[Frequency Group]]="less than 2", "Low Value", IF(Orders[[#This Row],[Frequency Group]]="between 4 and 2", "Medium Value", "High Value"))</f>
        <v>Low Value</v>
      </c>
      <c r="U539" t="str">
        <f>IF(Orders[[#This Row],[Sales]]&lt;50, "$0-50", IF(AND(Orders[[#This Row],[Sales]]&gt;=50,Orders[[#This Row],[Sales]]&lt;=100), "$50-100", IF(AND(Orders[[#This Row],[Sales]]&gt;100,Orders[[#This Row],[Sales]]&lt;=150), "$101-150", "$150+")))</f>
        <v>$150+</v>
      </c>
      <c r="V539" t="str">
        <f>IF(Orders[[#This Row],[Sales]]&gt;MEDIAN(M:M), "High Price", "Low Price")</f>
        <v>High Price</v>
      </c>
      <c r="W539" t="str">
        <f>IF(Orders[[#This Row],[Quantity]]&gt;MEDIAN(E:E), "High Volume", "Low Volume")</f>
        <v>High Volume</v>
      </c>
      <c r="X539" t="str">
        <f>Orders[[#This Row],[Sales Tier]] &amp; "-" &amp; Orders[[#This Row],[Quantity Tier]]</f>
        <v>High Price-High Volume</v>
      </c>
      <c r="Y539" t="str">
        <f>TEXT(Orders[[#This Row],[Order Date]], "mmmm")</f>
        <v>December</v>
      </c>
      <c r="Z53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539" t="str">
        <f>Orders[[#This Row],[Coffee Type Name]] &amp; "-" &amp; Orders[[#This Row],[Roast Type Name]]</f>
        <v>Arabica-Light</v>
      </c>
      <c r="AB53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540" spans="1:28" x14ac:dyDescent="0.25">
      <c r="A540" s="2" t="s">
        <v>5008</v>
      </c>
      <c r="B540" s="4">
        <v>44588</v>
      </c>
      <c r="C540" s="2" t="s">
        <v>5009</v>
      </c>
      <c r="D540" t="s">
        <v>6183</v>
      </c>
      <c r="E540" s="2">
        <v>3</v>
      </c>
      <c r="F540" s="2" t="str">
        <f>_xlfn.XLOOKUP(C540,customers!$A$1:$A$1001,customers!$B$1:$B$1001,,0)</f>
        <v>Gonzales Cicculi</v>
      </c>
      <c r="G540" s="2" t="str">
        <f>IF(_xlfn.XLOOKUP(C540,customers!$A$1:$A$1001,customers!$C$1:$C$1001,,0)=0,"",_xlfn.XLOOKUP(C540,customers!$A$1:$A$1001,customers!$C$1:$C$1001,,0))</f>
        <v/>
      </c>
      <c r="H540" s="2" t="str">
        <f>_xlfn.XLOOKUP(C540,customers!$A$1:$A$1001,customers!$G$1:$G$1001,,0)</f>
        <v>United States</v>
      </c>
      <c r="I540" t="str">
        <f>INDEX(products!$A$1:$G$49, MATCH(orders!$D801,products!$A$1:$A848,0), MATCH(orders!I$1,products!$A$1:$G$1,0))</f>
        <v>Exc</v>
      </c>
      <c r="J540" t="str">
        <f>INDEX(products!$A$1:$G$49, MATCH(orders!$D801,products!$A$1:$A848,0), MATCH(orders!J$1,products!$A$1:$G$1,0))</f>
        <v>D</v>
      </c>
      <c r="K540" s="5">
        <f>INDEX(products!$A$1:$G$49, MATCH(orders!$D801,products!$A$1:$A848,0), MATCH(orders!K$1,products!$A$1:$G$1,0))</f>
        <v>1</v>
      </c>
      <c r="L540" s="6">
        <f>INDEX(products!$A$1:$G$49, MATCH(orders!$D801,products!$A$1:$A848,0), MATCH(orders!L$1,products!$A$1:$G$1,0))</f>
        <v>12.15</v>
      </c>
      <c r="M540" s="6">
        <f t="shared" si="24"/>
        <v>36.450000000000003</v>
      </c>
      <c r="N540" t="str">
        <f t="shared" si="25"/>
        <v>Excelsa</v>
      </c>
      <c r="O540" t="str">
        <f t="shared" si="26"/>
        <v>Dark</v>
      </c>
      <c r="P540" t="str">
        <f>_xlfn.XLOOKUP(Orders[[#This Row],[Customer ID]],customers!$A$1:$A$1001,customers!$I$1:$I$1001,,0)</f>
        <v>Yes</v>
      </c>
      <c r="Q540">
        <f>COUNTIF(Orders[Order ID],Orders[[#This Row],[Order ID]])</f>
        <v>1</v>
      </c>
      <c r="R540" s="10">
        <f>SUMIF(Orders[Order ID], Orders[[#This Row],[Order ID]],Orders[Sales])/Orders[[#This Row],[Order Frequency]]</f>
        <v>36.450000000000003</v>
      </c>
      <c r="S540" t="str">
        <f>IF(Orders[[#This Row],[Order Frequency]]&gt;4, "More than 4", IF(AND(Orders[[#This Row],[Order Frequency]]&lt;=4,Orders[[#This Row],[Order Frequency]]&gt;=2), "Between 4 and 2", "Less than 2"))</f>
        <v>Less than 2</v>
      </c>
      <c r="T540" t="str">
        <f>IF(Orders[[#This Row],[Frequency Group]]="less than 2", "Low Value", IF(Orders[[#This Row],[Frequency Group]]="between 4 and 2", "Medium Value", "High Value"))</f>
        <v>Low Value</v>
      </c>
      <c r="U540" t="str">
        <f>IF(Orders[[#This Row],[Sales]]&lt;50, "$0-50", IF(AND(Orders[[#This Row],[Sales]]&gt;=50,Orders[[#This Row],[Sales]]&lt;=100), "$50-100", IF(AND(Orders[[#This Row],[Sales]]&gt;100,Orders[[#This Row],[Sales]]&lt;=150), "$101-150", "$150+")))</f>
        <v>$0-50</v>
      </c>
      <c r="V540" t="str">
        <f>IF(Orders[[#This Row],[Sales]]&gt;MEDIAN(M:M), "High Price", "Low Price")</f>
        <v>High Price</v>
      </c>
      <c r="W540" t="str">
        <f>IF(Orders[[#This Row],[Quantity]]&gt;MEDIAN(E:E), "High Volume", "Low Volume")</f>
        <v>Low Volume</v>
      </c>
      <c r="X540" t="str">
        <f>Orders[[#This Row],[Sales Tier]] &amp; "-" &amp; Orders[[#This Row],[Quantity Tier]]</f>
        <v>High Price-Low Volume</v>
      </c>
      <c r="Y540" t="str">
        <f>TEXT(Orders[[#This Row],[Order Date]], "mmmm")</f>
        <v>January</v>
      </c>
      <c r="Z54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540" t="str">
        <f>Orders[[#This Row],[Coffee Type Name]] &amp; "-" &amp; Orders[[#This Row],[Roast Type Name]]</f>
        <v>Excelsa-Dark</v>
      </c>
      <c r="AB54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541" spans="1:28" x14ac:dyDescent="0.25">
      <c r="A541" s="2" t="s">
        <v>4151</v>
      </c>
      <c r="B541" s="4">
        <v>43884</v>
      </c>
      <c r="C541" s="2" t="s">
        <v>4152</v>
      </c>
      <c r="D541" t="s">
        <v>6163</v>
      </c>
      <c r="E541" s="2">
        <v>6</v>
      </c>
      <c r="F541" s="2" t="str">
        <f>_xlfn.XLOOKUP(C541,customers!$A$1:$A$1001,customers!$B$1:$B$1001,,0)</f>
        <v>Tuckie Mathonnet</v>
      </c>
      <c r="G541" s="2" t="str">
        <f>IF(_xlfn.XLOOKUP(C541,customers!$A$1:$A$1001,customers!$C$1:$C$1001,,0)=0,"",_xlfn.XLOOKUP(C541,customers!$A$1:$A$1001,customers!$C$1:$C$1001,,0))</f>
        <v>tmathonneti0@google.co.jp</v>
      </c>
      <c r="H541" s="2" t="str">
        <f>_xlfn.XLOOKUP(C541,customers!$A$1:$A$1001,customers!$G$1:$G$1001,,0)</f>
        <v>United States</v>
      </c>
      <c r="I541" t="str">
        <f>INDEX(products!$A$1:$G$49, MATCH(orders!$D650,products!$A$1:$A697,0), MATCH(orders!I$1,products!$A$1:$G$1,0))</f>
        <v>Rob</v>
      </c>
      <c r="J541" t="str">
        <f>INDEX(products!$A$1:$G$49, MATCH(orders!$D650,products!$A$1:$A697,0), MATCH(orders!J$1,products!$A$1:$G$1,0))</f>
        <v>D</v>
      </c>
      <c r="K541" s="5">
        <f>INDEX(products!$A$1:$G$49, MATCH(orders!$D650,products!$A$1:$A697,0), MATCH(orders!K$1,products!$A$1:$G$1,0))</f>
        <v>0.2</v>
      </c>
      <c r="L541" s="6">
        <f>INDEX(products!$A$1:$G$49, MATCH(orders!$D650,products!$A$1:$A697,0), MATCH(orders!L$1,products!$A$1:$G$1,0))</f>
        <v>2.6849999999999996</v>
      </c>
      <c r="M541" s="6">
        <f t="shared" si="24"/>
        <v>16.11</v>
      </c>
      <c r="N541" t="str">
        <f t="shared" si="25"/>
        <v>Robusta</v>
      </c>
      <c r="O541" t="str">
        <f t="shared" si="26"/>
        <v>Dark</v>
      </c>
      <c r="P541" t="str">
        <f>_xlfn.XLOOKUP(Orders[[#This Row],[Customer ID]],customers!$A$1:$A$1001,customers!$I$1:$I$1001,,0)</f>
        <v>No</v>
      </c>
      <c r="Q541">
        <f>COUNTIF(Orders[Order ID],Orders[[#This Row],[Order ID]])</f>
        <v>1</v>
      </c>
      <c r="R541" s="10">
        <f>SUMIF(Orders[Order ID], Orders[[#This Row],[Order ID]],Orders[Sales])/Orders[[#This Row],[Order Frequency]]</f>
        <v>16.11</v>
      </c>
      <c r="S541" t="str">
        <f>IF(Orders[[#This Row],[Order Frequency]]&gt;4, "More than 4", IF(AND(Orders[[#This Row],[Order Frequency]]&lt;=4,Orders[[#This Row],[Order Frequency]]&gt;=2), "Between 4 and 2", "Less than 2"))</f>
        <v>Less than 2</v>
      </c>
      <c r="T541" t="str">
        <f>IF(Orders[[#This Row],[Frequency Group]]="less than 2", "Low Value", IF(Orders[[#This Row],[Frequency Group]]="between 4 and 2", "Medium Value", "High Value"))</f>
        <v>Low Value</v>
      </c>
      <c r="U541" t="str">
        <f>IF(Orders[[#This Row],[Sales]]&lt;50, "$0-50", IF(AND(Orders[[#This Row],[Sales]]&gt;=50,Orders[[#This Row],[Sales]]&lt;=100), "$50-100", IF(AND(Orders[[#This Row],[Sales]]&gt;100,Orders[[#This Row],[Sales]]&lt;=150), "$101-150", "$150+")))</f>
        <v>$0-50</v>
      </c>
      <c r="V541" t="str">
        <f>IF(Orders[[#This Row],[Sales]]&gt;MEDIAN(M:M), "High Price", "Low Price")</f>
        <v>Low Price</v>
      </c>
      <c r="W541" t="str">
        <f>IF(Orders[[#This Row],[Quantity]]&gt;MEDIAN(E:E), "High Volume", "Low Volume")</f>
        <v>High Volume</v>
      </c>
      <c r="X541" t="str">
        <f>Orders[[#This Row],[Sales Tier]] &amp; "-" &amp; Orders[[#This Row],[Quantity Tier]]</f>
        <v>Low Price-High Volume</v>
      </c>
      <c r="Y541" t="str">
        <f>TEXT(Orders[[#This Row],[Order Date]], "mmmm")</f>
        <v>February</v>
      </c>
      <c r="Z54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541" t="str">
        <f>Orders[[#This Row],[Coffee Type Name]] &amp; "-" &amp; Orders[[#This Row],[Roast Type Name]]</f>
        <v>Robusta-Dark</v>
      </c>
      <c r="AB54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542" spans="1:28" x14ac:dyDescent="0.25">
      <c r="A542" s="2" t="s">
        <v>5742</v>
      </c>
      <c r="B542" s="4">
        <v>44165</v>
      </c>
      <c r="C542" s="2" t="s">
        <v>5743</v>
      </c>
      <c r="D542" t="s">
        <v>6184</v>
      </c>
      <c r="E542" s="2">
        <v>2</v>
      </c>
      <c r="F542" s="2" t="str">
        <f>_xlfn.XLOOKUP(C542,customers!$A$1:$A$1001,customers!$B$1:$B$1001,,0)</f>
        <v>Jarred Camillo</v>
      </c>
      <c r="G542" s="2" t="str">
        <f>IF(_xlfn.XLOOKUP(C542,customers!$A$1:$A$1001,customers!$C$1:$C$1001,,0)=0,"",_xlfn.XLOOKUP(C542,customers!$A$1:$A$1001,customers!$C$1:$C$1001,,0))</f>
        <v>jcamillopt@shinystat.com</v>
      </c>
      <c r="H542" s="2" t="str">
        <f>_xlfn.XLOOKUP(C542,customers!$A$1:$A$1001,customers!$G$1:$G$1001,,0)</f>
        <v>United States</v>
      </c>
      <c r="I542" t="str">
        <f>INDEX(products!$A$1:$G$49, MATCH(orders!$D931,products!$A$1:$A978,0), MATCH(orders!I$1,products!$A$1:$G$1,0))</f>
        <v>Exc</v>
      </c>
      <c r="J542" t="str">
        <f>INDEX(products!$A$1:$G$49, MATCH(orders!$D931,products!$A$1:$A978,0), MATCH(orders!J$1,products!$A$1:$G$1,0))</f>
        <v>L</v>
      </c>
      <c r="K542" s="5">
        <f>INDEX(products!$A$1:$G$49, MATCH(orders!$D931,products!$A$1:$A978,0), MATCH(orders!K$1,products!$A$1:$G$1,0))</f>
        <v>0.2</v>
      </c>
      <c r="L542" s="6">
        <f>INDEX(products!$A$1:$G$49, MATCH(orders!$D931,products!$A$1:$A978,0), MATCH(orders!L$1,products!$A$1:$G$1,0))</f>
        <v>4.4550000000000001</v>
      </c>
      <c r="M542" s="6">
        <f t="shared" si="24"/>
        <v>8.91</v>
      </c>
      <c r="N542" t="str">
        <f t="shared" si="25"/>
        <v>Excelsa</v>
      </c>
      <c r="O542" t="str">
        <f t="shared" si="26"/>
        <v>Light</v>
      </c>
      <c r="P542" t="str">
        <f>_xlfn.XLOOKUP(Orders[[#This Row],[Customer ID]],customers!$A$1:$A$1001,customers!$I$1:$I$1001,,0)</f>
        <v>Yes</v>
      </c>
      <c r="Q542">
        <f>COUNTIF(Orders[Order ID],Orders[[#This Row],[Order ID]])</f>
        <v>1</v>
      </c>
      <c r="R542" s="10">
        <f>SUMIF(Orders[Order ID], Orders[[#This Row],[Order ID]],Orders[Sales])/Orders[[#This Row],[Order Frequency]]</f>
        <v>8.91</v>
      </c>
      <c r="S542" t="str">
        <f>IF(Orders[[#This Row],[Order Frequency]]&gt;4, "More than 4", IF(AND(Orders[[#This Row],[Order Frequency]]&lt;=4,Orders[[#This Row],[Order Frequency]]&gt;=2), "Between 4 and 2", "Less than 2"))</f>
        <v>Less than 2</v>
      </c>
      <c r="T542" t="str">
        <f>IF(Orders[[#This Row],[Frequency Group]]="less than 2", "Low Value", IF(Orders[[#This Row],[Frequency Group]]="between 4 and 2", "Medium Value", "High Value"))</f>
        <v>Low Value</v>
      </c>
      <c r="U542" t="str">
        <f>IF(Orders[[#This Row],[Sales]]&lt;50, "$0-50", IF(AND(Orders[[#This Row],[Sales]]&gt;=50,Orders[[#This Row],[Sales]]&lt;=100), "$50-100", IF(AND(Orders[[#This Row],[Sales]]&gt;100,Orders[[#This Row],[Sales]]&lt;=150), "$101-150", "$150+")))</f>
        <v>$0-50</v>
      </c>
      <c r="V542" t="str">
        <f>IF(Orders[[#This Row],[Sales]]&gt;MEDIAN(M:M), "High Price", "Low Price")</f>
        <v>Low Price</v>
      </c>
      <c r="W542" t="str">
        <f>IF(Orders[[#This Row],[Quantity]]&gt;MEDIAN(E:E), "High Volume", "Low Volume")</f>
        <v>Low Volume</v>
      </c>
      <c r="X542" t="str">
        <f>Orders[[#This Row],[Sales Tier]] &amp; "-" &amp; Orders[[#This Row],[Quantity Tier]]</f>
        <v>Low Price-Low Volume</v>
      </c>
      <c r="Y542" t="str">
        <f>TEXT(Orders[[#This Row],[Order Date]], "mmmm")</f>
        <v>November</v>
      </c>
      <c r="Z54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542" t="str">
        <f>Orders[[#This Row],[Coffee Type Name]] &amp; "-" &amp; Orders[[#This Row],[Roast Type Name]]</f>
        <v>Excelsa-Light</v>
      </c>
      <c r="AB54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543" spans="1:28" x14ac:dyDescent="0.25">
      <c r="A543" s="2" t="s">
        <v>5472</v>
      </c>
      <c r="B543" s="4">
        <v>44286</v>
      </c>
      <c r="C543" s="2" t="s">
        <v>5473</v>
      </c>
      <c r="D543" t="s">
        <v>6167</v>
      </c>
      <c r="E543" s="2">
        <v>6</v>
      </c>
      <c r="F543" s="2" t="str">
        <f>_xlfn.XLOOKUP(C543,customers!$A$1:$A$1001,customers!$B$1:$B$1001,,0)</f>
        <v>Bobbe Castagneto</v>
      </c>
      <c r="G543" s="2" t="str">
        <f>IF(_xlfn.XLOOKUP(C543,customers!$A$1:$A$1001,customers!$C$1:$C$1001,,0)=0,"",_xlfn.XLOOKUP(C543,customers!$A$1:$A$1001,customers!$C$1:$C$1001,,0))</f>
        <v/>
      </c>
      <c r="H543" s="2" t="str">
        <f>_xlfn.XLOOKUP(C543,customers!$A$1:$A$1001,customers!$G$1:$G$1001,,0)</f>
        <v>United States</v>
      </c>
      <c r="I543" t="str">
        <f>INDEX(products!$A$1:$G$49, MATCH(orders!$D883,products!$A$1:$A930,0), MATCH(orders!I$1,products!$A$1:$G$1,0))</f>
        <v>Ara</v>
      </c>
      <c r="J543" t="str">
        <f>INDEX(products!$A$1:$G$49, MATCH(orders!$D883,products!$A$1:$A930,0), MATCH(orders!J$1,products!$A$1:$G$1,0))</f>
        <v>L</v>
      </c>
      <c r="K543" s="5">
        <f>INDEX(products!$A$1:$G$49, MATCH(orders!$D883,products!$A$1:$A930,0), MATCH(orders!K$1,products!$A$1:$G$1,0))</f>
        <v>0.2</v>
      </c>
      <c r="L543" s="6">
        <f>INDEX(products!$A$1:$G$49, MATCH(orders!$D883,products!$A$1:$A930,0), MATCH(orders!L$1,products!$A$1:$G$1,0))</f>
        <v>3.8849999999999998</v>
      </c>
      <c r="M543" s="6">
        <f t="shared" si="24"/>
        <v>23.31</v>
      </c>
      <c r="N543" t="str">
        <f t="shared" si="25"/>
        <v>Arabica</v>
      </c>
      <c r="O543" t="str">
        <f t="shared" si="26"/>
        <v>Light</v>
      </c>
      <c r="P543" t="str">
        <f>_xlfn.XLOOKUP(Orders[[#This Row],[Customer ID]],customers!$A$1:$A$1001,customers!$I$1:$I$1001,,0)</f>
        <v>Yes</v>
      </c>
      <c r="Q543">
        <f>COUNTIF(Orders[Order ID],Orders[[#This Row],[Order ID]])</f>
        <v>1</v>
      </c>
      <c r="R543" s="10">
        <f>SUMIF(Orders[Order ID], Orders[[#This Row],[Order ID]],Orders[Sales])/Orders[[#This Row],[Order Frequency]]</f>
        <v>23.31</v>
      </c>
      <c r="S543" t="str">
        <f>IF(Orders[[#This Row],[Order Frequency]]&gt;4, "More than 4", IF(AND(Orders[[#This Row],[Order Frequency]]&lt;=4,Orders[[#This Row],[Order Frequency]]&gt;=2), "Between 4 and 2", "Less than 2"))</f>
        <v>Less than 2</v>
      </c>
      <c r="T543" t="str">
        <f>IF(Orders[[#This Row],[Frequency Group]]="less than 2", "Low Value", IF(Orders[[#This Row],[Frequency Group]]="between 4 and 2", "Medium Value", "High Value"))</f>
        <v>Low Value</v>
      </c>
      <c r="U543" t="str">
        <f>IF(Orders[[#This Row],[Sales]]&lt;50, "$0-50", IF(AND(Orders[[#This Row],[Sales]]&gt;=50,Orders[[#This Row],[Sales]]&lt;=100), "$50-100", IF(AND(Orders[[#This Row],[Sales]]&gt;100,Orders[[#This Row],[Sales]]&lt;=150), "$101-150", "$150+")))</f>
        <v>$0-50</v>
      </c>
      <c r="V543" t="str">
        <f>IF(Orders[[#This Row],[Sales]]&gt;MEDIAN(M:M), "High Price", "Low Price")</f>
        <v>Low Price</v>
      </c>
      <c r="W543" t="str">
        <f>IF(Orders[[#This Row],[Quantity]]&gt;MEDIAN(E:E), "High Volume", "Low Volume")</f>
        <v>High Volume</v>
      </c>
      <c r="X543" t="str">
        <f>Orders[[#This Row],[Sales Tier]] &amp; "-" &amp; Orders[[#This Row],[Quantity Tier]]</f>
        <v>Low Price-High Volume</v>
      </c>
      <c r="Y543" t="str">
        <f>TEXT(Orders[[#This Row],[Order Date]], "mmmm")</f>
        <v>March</v>
      </c>
      <c r="Z54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543" t="str">
        <f>Orders[[#This Row],[Coffee Type Name]] &amp; "-" &amp; Orders[[#This Row],[Roast Type Name]]</f>
        <v>Arabica-Light</v>
      </c>
      <c r="AB54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544" spans="1:28" x14ac:dyDescent="0.25">
      <c r="A544" s="2" t="s">
        <v>3559</v>
      </c>
      <c r="B544" s="4">
        <v>44380</v>
      </c>
      <c r="C544" s="2" t="s">
        <v>3560</v>
      </c>
      <c r="D544" t="s">
        <v>6142</v>
      </c>
      <c r="E544" s="2">
        <v>2</v>
      </c>
      <c r="F544" s="2" t="str">
        <f>_xlfn.XLOOKUP(C544,customers!$A$1:$A$1001,customers!$B$1:$B$1001,,0)</f>
        <v>Ilaire Sprakes</v>
      </c>
      <c r="G544" s="2" t="str">
        <f>IF(_xlfn.XLOOKUP(C544,customers!$A$1:$A$1001,customers!$C$1:$C$1001,,0)=0,"",_xlfn.XLOOKUP(C544,customers!$A$1:$A$1001,customers!$C$1:$C$1001,,0))</f>
        <v>isprakesf3@spiegel.de</v>
      </c>
      <c r="H544" s="2" t="str">
        <f>_xlfn.XLOOKUP(C544,customers!$A$1:$A$1001,customers!$G$1:$G$1001,,0)</f>
        <v>United States</v>
      </c>
      <c r="I544" t="str">
        <f>INDEX(products!$A$1:$G$49, MATCH(orders!$D545,products!$A$1:$A592,0), MATCH(orders!I$1,products!$A$1:$G$1,0))</f>
        <v>Rob</v>
      </c>
      <c r="J544" t="str">
        <f>INDEX(products!$A$1:$G$49, MATCH(orders!$D545,products!$A$1:$A592,0), MATCH(orders!J$1,products!$A$1:$G$1,0))</f>
        <v>L</v>
      </c>
      <c r="K544" s="5">
        <f>INDEX(products!$A$1:$G$49, MATCH(orders!$D545,products!$A$1:$A592,0), MATCH(orders!K$1,products!$A$1:$G$1,0))</f>
        <v>2.5</v>
      </c>
      <c r="L544" s="6">
        <f>INDEX(products!$A$1:$G$49, MATCH(orders!$D545,products!$A$1:$A592,0), MATCH(orders!L$1,products!$A$1:$G$1,0))</f>
        <v>27.484999999999996</v>
      </c>
      <c r="M544" s="6">
        <f t="shared" si="24"/>
        <v>54.969999999999992</v>
      </c>
      <c r="N544" t="str">
        <f t="shared" si="25"/>
        <v>Robusta</v>
      </c>
      <c r="O544" t="str">
        <f t="shared" si="26"/>
        <v>Light</v>
      </c>
      <c r="P544" t="str">
        <f>_xlfn.XLOOKUP(Orders[[#This Row],[Customer ID]],customers!$A$1:$A$1001,customers!$I$1:$I$1001,,0)</f>
        <v>No</v>
      </c>
      <c r="Q544">
        <f>COUNTIF(Orders[Order ID],Orders[[#This Row],[Order ID]])</f>
        <v>1</v>
      </c>
      <c r="R544" s="10">
        <f>SUMIF(Orders[Order ID], Orders[[#This Row],[Order ID]],Orders[Sales])/Orders[[#This Row],[Order Frequency]]</f>
        <v>54.969999999999992</v>
      </c>
      <c r="S544" t="str">
        <f>IF(Orders[[#This Row],[Order Frequency]]&gt;4, "More than 4", IF(AND(Orders[[#This Row],[Order Frequency]]&lt;=4,Orders[[#This Row],[Order Frequency]]&gt;=2), "Between 4 and 2", "Less than 2"))</f>
        <v>Less than 2</v>
      </c>
      <c r="T544" t="str">
        <f>IF(Orders[[#This Row],[Frequency Group]]="less than 2", "Low Value", IF(Orders[[#This Row],[Frequency Group]]="between 4 and 2", "Medium Value", "High Value"))</f>
        <v>Low Value</v>
      </c>
      <c r="U544" t="str">
        <f>IF(Orders[[#This Row],[Sales]]&lt;50, "$0-50", IF(AND(Orders[[#This Row],[Sales]]&gt;=50,Orders[[#This Row],[Sales]]&lt;=100), "$50-100", IF(AND(Orders[[#This Row],[Sales]]&gt;100,Orders[[#This Row],[Sales]]&lt;=150), "$101-150", "$150+")))</f>
        <v>$50-100</v>
      </c>
      <c r="V544" t="str">
        <f>IF(Orders[[#This Row],[Sales]]&gt;MEDIAN(M:M), "High Price", "Low Price")</f>
        <v>High Price</v>
      </c>
      <c r="W544" t="str">
        <f>IF(Orders[[#This Row],[Quantity]]&gt;MEDIAN(E:E), "High Volume", "Low Volume")</f>
        <v>Low Volume</v>
      </c>
      <c r="X544" t="str">
        <f>Orders[[#This Row],[Sales Tier]] &amp; "-" &amp; Orders[[#This Row],[Quantity Tier]]</f>
        <v>High Price-Low Volume</v>
      </c>
      <c r="Y544" t="str">
        <f>TEXT(Orders[[#This Row],[Order Date]], "mmmm")</f>
        <v>July</v>
      </c>
      <c r="Z54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544" t="str">
        <f>Orders[[#This Row],[Coffee Type Name]] &amp; "-" &amp; Orders[[#This Row],[Roast Type Name]]</f>
        <v>Robusta-Light</v>
      </c>
      <c r="AB54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545" spans="1:28" x14ac:dyDescent="0.25">
      <c r="A545" s="2" t="s">
        <v>711</v>
      </c>
      <c r="B545" s="4">
        <v>44524</v>
      </c>
      <c r="C545" s="2" t="s">
        <v>712</v>
      </c>
      <c r="D545" t="s">
        <v>6138</v>
      </c>
      <c r="E545" s="2">
        <v>6</v>
      </c>
      <c r="F545" s="2" t="str">
        <f>_xlfn.XLOOKUP(C545,customers!$A$1:$A$1001,customers!$B$1:$B$1001,,0)</f>
        <v>Hy Zanetto</v>
      </c>
      <c r="G545" s="2" t="str">
        <f>IF(_xlfn.XLOOKUP(C545,customers!$A$1:$A$1001,customers!$C$1:$C$1001,,0)=0,"",_xlfn.XLOOKUP(C545,customers!$A$1:$A$1001,customers!$C$1:$C$1001,,0))</f>
        <v/>
      </c>
      <c r="H545" s="2" t="str">
        <f>_xlfn.XLOOKUP(C545,customers!$A$1:$A$1001,customers!$G$1:$G$1001,,0)</f>
        <v>United States</v>
      </c>
      <c r="I545" t="str">
        <f>INDEX(products!$A$1:$G$49, MATCH(orders!$D41,products!$A$1:$A88,0), MATCH(orders!I$1,products!$A$1:$G$1,0))</f>
        <v>Rob</v>
      </c>
      <c r="J545" t="str">
        <f>INDEX(products!$A$1:$G$49, MATCH(orders!$D41,products!$A$1:$A88,0), MATCH(orders!J$1,products!$A$1:$G$1,0))</f>
        <v>M</v>
      </c>
      <c r="K545" s="5">
        <f>INDEX(products!$A$1:$G$49, MATCH(orders!$D41,products!$A$1:$A88,0), MATCH(orders!K$1,products!$A$1:$G$1,0))</f>
        <v>1</v>
      </c>
      <c r="L545" s="6">
        <f>INDEX(products!$A$1:$G$49, MATCH(orders!$D41,products!$A$1:$A88,0), MATCH(orders!L$1,products!$A$1:$G$1,0))</f>
        <v>9.9499999999999993</v>
      </c>
      <c r="M545" s="6">
        <f t="shared" si="24"/>
        <v>59.699999999999996</v>
      </c>
      <c r="N545" t="str">
        <f t="shared" si="25"/>
        <v>Robusta</v>
      </c>
      <c r="O545" t="str">
        <f t="shared" si="26"/>
        <v>Medium</v>
      </c>
      <c r="P545" t="str">
        <f>_xlfn.XLOOKUP(Orders[[#This Row],[Customer ID]],customers!$A$1:$A$1001,customers!$I$1:$I$1001,,0)</f>
        <v>Yes</v>
      </c>
      <c r="Q545">
        <f>COUNTIF(Orders[Order ID],Orders[[#This Row],[Order ID]])</f>
        <v>1</v>
      </c>
      <c r="R545" s="10">
        <f>SUMIF(Orders[Order ID], Orders[[#This Row],[Order ID]],Orders[Sales])/Orders[[#This Row],[Order Frequency]]</f>
        <v>59.699999999999996</v>
      </c>
      <c r="S545" t="str">
        <f>IF(Orders[[#This Row],[Order Frequency]]&gt;4, "More than 4", IF(AND(Orders[[#This Row],[Order Frequency]]&lt;=4,Orders[[#This Row],[Order Frequency]]&gt;=2), "Between 4 and 2", "Less than 2"))</f>
        <v>Less than 2</v>
      </c>
      <c r="T545" t="str">
        <f>IF(Orders[[#This Row],[Frequency Group]]="less than 2", "Low Value", IF(Orders[[#This Row],[Frequency Group]]="between 4 and 2", "Medium Value", "High Value"))</f>
        <v>Low Value</v>
      </c>
      <c r="U545" t="str">
        <f>IF(Orders[[#This Row],[Sales]]&lt;50, "$0-50", IF(AND(Orders[[#This Row],[Sales]]&gt;=50,Orders[[#This Row],[Sales]]&lt;=100), "$50-100", IF(AND(Orders[[#This Row],[Sales]]&gt;100,Orders[[#This Row],[Sales]]&lt;=150), "$101-150", "$150+")))</f>
        <v>$50-100</v>
      </c>
      <c r="V545" t="str">
        <f>IF(Orders[[#This Row],[Sales]]&gt;MEDIAN(M:M), "High Price", "Low Price")</f>
        <v>High Price</v>
      </c>
      <c r="W545" t="str">
        <f>IF(Orders[[#This Row],[Quantity]]&gt;MEDIAN(E:E), "High Volume", "Low Volume")</f>
        <v>High Volume</v>
      </c>
      <c r="X545" t="str">
        <f>Orders[[#This Row],[Sales Tier]] &amp; "-" &amp; Orders[[#This Row],[Quantity Tier]]</f>
        <v>High Price-High Volume</v>
      </c>
      <c r="Y545" t="str">
        <f>TEXT(Orders[[#This Row],[Order Date]], "mmmm")</f>
        <v>November</v>
      </c>
      <c r="Z54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545" t="str">
        <f>Orders[[#This Row],[Coffee Type Name]] &amp; "-" &amp; Orders[[#This Row],[Roast Type Name]]</f>
        <v>Robusta-Medium</v>
      </c>
      <c r="AB54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546" spans="1:28" x14ac:dyDescent="0.25">
      <c r="A546" s="2" t="s">
        <v>1900</v>
      </c>
      <c r="B546" s="4">
        <v>43879</v>
      </c>
      <c r="C546" s="2" t="s">
        <v>1901</v>
      </c>
      <c r="D546" t="s">
        <v>6174</v>
      </c>
      <c r="E546" s="2">
        <v>1</v>
      </c>
      <c r="F546" s="2" t="str">
        <f>_xlfn.XLOOKUP(C546,customers!$A$1:$A$1001,customers!$B$1:$B$1001,,0)</f>
        <v>Mercedes Acott</v>
      </c>
      <c r="G546" s="2" t="str">
        <f>IF(_xlfn.XLOOKUP(C546,customers!$A$1:$A$1001,customers!$C$1:$C$1001,,0)=0,"",_xlfn.XLOOKUP(C546,customers!$A$1:$A$1001,customers!$C$1:$C$1001,,0))</f>
        <v>macott6y@pagesperso-orange.fr</v>
      </c>
      <c r="H546" s="2" t="str">
        <f>_xlfn.XLOOKUP(C546,customers!$A$1:$A$1001,customers!$G$1:$G$1001,,0)</f>
        <v>United States</v>
      </c>
      <c r="I546" t="str">
        <f>INDEX(products!$A$1:$G$49, MATCH(orders!$D252,products!$A$1:$A299,0), MATCH(orders!I$1,products!$A$1:$G$1,0))</f>
        <v>Rob</v>
      </c>
      <c r="J546" t="str">
        <f>INDEX(products!$A$1:$G$49, MATCH(orders!$D252,products!$A$1:$A299,0), MATCH(orders!J$1,products!$A$1:$G$1,0))</f>
        <v>M</v>
      </c>
      <c r="K546" s="5">
        <f>INDEX(products!$A$1:$G$49, MATCH(orders!$D252,products!$A$1:$A299,0), MATCH(orders!K$1,products!$A$1:$G$1,0))</f>
        <v>0.2</v>
      </c>
      <c r="L546" s="6">
        <f>INDEX(products!$A$1:$G$49, MATCH(orders!$D252,products!$A$1:$A299,0), MATCH(orders!L$1,products!$A$1:$G$1,0))</f>
        <v>2.9849999999999999</v>
      </c>
      <c r="M546" s="6">
        <f t="shared" si="24"/>
        <v>2.9849999999999999</v>
      </c>
      <c r="N546" t="str">
        <f t="shared" si="25"/>
        <v>Robusta</v>
      </c>
      <c r="O546" t="str">
        <f t="shared" si="26"/>
        <v>Medium</v>
      </c>
      <c r="P546" t="str">
        <f>_xlfn.XLOOKUP(Orders[[#This Row],[Customer ID]],customers!$A$1:$A$1001,customers!$I$1:$I$1001,,0)</f>
        <v>Yes</v>
      </c>
      <c r="Q546">
        <f>COUNTIF(Orders[Order ID],Orders[[#This Row],[Order ID]])</f>
        <v>1</v>
      </c>
      <c r="R546" s="10">
        <f>SUMIF(Orders[Order ID], Orders[[#This Row],[Order ID]],Orders[Sales])/Orders[[#This Row],[Order Frequency]]</f>
        <v>2.9849999999999999</v>
      </c>
      <c r="S546" t="str">
        <f>IF(Orders[[#This Row],[Order Frequency]]&gt;4, "More than 4", IF(AND(Orders[[#This Row],[Order Frequency]]&lt;=4,Orders[[#This Row],[Order Frequency]]&gt;=2), "Between 4 and 2", "Less than 2"))</f>
        <v>Less than 2</v>
      </c>
      <c r="T546" t="str">
        <f>IF(Orders[[#This Row],[Frequency Group]]="less than 2", "Low Value", IF(Orders[[#This Row],[Frequency Group]]="between 4 and 2", "Medium Value", "High Value"))</f>
        <v>Low Value</v>
      </c>
      <c r="U546" t="str">
        <f>IF(Orders[[#This Row],[Sales]]&lt;50, "$0-50", IF(AND(Orders[[#This Row],[Sales]]&gt;=50,Orders[[#This Row],[Sales]]&lt;=100), "$50-100", IF(AND(Orders[[#This Row],[Sales]]&gt;100,Orders[[#This Row],[Sales]]&lt;=150), "$101-150", "$150+")))</f>
        <v>$0-50</v>
      </c>
      <c r="V546" t="str">
        <f>IF(Orders[[#This Row],[Sales]]&gt;MEDIAN(M:M), "High Price", "Low Price")</f>
        <v>Low Price</v>
      </c>
      <c r="W546" t="str">
        <f>IF(Orders[[#This Row],[Quantity]]&gt;MEDIAN(E:E), "High Volume", "Low Volume")</f>
        <v>Low Volume</v>
      </c>
      <c r="X546" t="str">
        <f>Orders[[#This Row],[Sales Tier]] &amp; "-" &amp; Orders[[#This Row],[Quantity Tier]]</f>
        <v>Low Price-Low Volume</v>
      </c>
      <c r="Y546" t="str">
        <f>TEXT(Orders[[#This Row],[Order Date]], "mmmm")</f>
        <v>February</v>
      </c>
      <c r="Z54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546" t="str">
        <f>Orders[[#This Row],[Coffee Type Name]] &amp; "-" &amp; Orders[[#This Row],[Roast Type Name]]</f>
        <v>Robusta-Medium</v>
      </c>
      <c r="AB54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547" spans="1:28" x14ac:dyDescent="0.25">
      <c r="A547" s="2" t="s">
        <v>2585</v>
      </c>
      <c r="B547" s="4">
        <v>44108</v>
      </c>
      <c r="C547" s="2" t="s">
        <v>2586</v>
      </c>
      <c r="D547" t="s">
        <v>6173</v>
      </c>
      <c r="E547" s="2">
        <v>6</v>
      </c>
      <c r="F547" s="2" t="str">
        <f>_xlfn.XLOOKUP(C547,customers!$A$1:$A$1001,customers!$B$1:$B$1001,,0)</f>
        <v>Terri Farra</v>
      </c>
      <c r="G547" s="2" t="str">
        <f>IF(_xlfn.XLOOKUP(C547,customers!$A$1:$A$1001,customers!$C$1:$C$1001,,0)=0,"",_xlfn.XLOOKUP(C547,customers!$A$1:$A$1001,customers!$C$1:$C$1001,,0))</f>
        <v>tfarraac@behance.net</v>
      </c>
      <c r="H547" s="2" t="str">
        <f>_xlfn.XLOOKUP(C547,customers!$A$1:$A$1001,customers!$G$1:$G$1001,,0)</f>
        <v>United States</v>
      </c>
      <c r="I547" t="str">
        <f>INDEX(products!$A$1:$G$49, MATCH(orders!$D374,products!$A$1:$A421,0), MATCH(orders!I$1,products!$A$1:$G$1,0))</f>
        <v>Rob</v>
      </c>
      <c r="J547" t="str">
        <f>INDEX(products!$A$1:$G$49, MATCH(orders!$D374,products!$A$1:$A421,0), MATCH(orders!J$1,products!$A$1:$G$1,0))</f>
        <v>L</v>
      </c>
      <c r="K547" s="5">
        <f>INDEX(products!$A$1:$G$49, MATCH(orders!$D374,products!$A$1:$A421,0), MATCH(orders!K$1,products!$A$1:$G$1,0))</f>
        <v>0.5</v>
      </c>
      <c r="L547" s="6">
        <f>INDEX(products!$A$1:$G$49, MATCH(orders!$D374,products!$A$1:$A421,0), MATCH(orders!L$1,products!$A$1:$G$1,0))</f>
        <v>7.169999999999999</v>
      </c>
      <c r="M547" s="6">
        <f t="shared" si="24"/>
        <v>43.019999999999996</v>
      </c>
      <c r="N547" t="str">
        <f t="shared" si="25"/>
        <v>Robusta</v>
      </c>
      <c r="O547" t="str">
        <f t="shared" si="26"/>
        <v>Light</v>
      </c>
      <c r="P547" t="str">
        <f>_xlfn.XLOOKUP(Orders[[#This Row],[Customer ID]],customers!$A$1:$A$1001,customers!$I$1:$I$1001,,0)</f>
        <v>No</v>
      </c>
      <c r="Q547">
        <f>COUNTIF(Orders[Order ID],Orders[[#This Row],[Order ID]])</f>
        <v>1</v>
      </c>
      <c r="R547" s="10">
        <f>SUMIF(Orders[Order ID], Orders[[#This Row],[Order ID]],Orders[Sales])/Orders[[#This Row],[Order Frequency]]</f>
        <v>43.019999999999996</v>
      </c>
      <c r="S547" t="str">
        <f>IF(Orders[[#This Row],[Order Frequency]]&gt;4, "More than 4", IF(AND(Orders[[#This Row],[Order Frequency]]&lt;=4,Orders[[#This Row],[Order Frequency]]&gt;=2), "Between 4 and 2", "Less than 2"))</f>
        <v>Less than 2</v>
      </c>
      <c r="T547" t="str">
        <f>IF(Orders[[#This Row],[Frequency Group]]="less than 2", "Low Value", IF(Orders[[#This Row],[Frequency Group]]="between 4 and 2", "Medium Value", "High Value"))</f>
        <v>Low Value</v>
      </c>
      <c r="U547" t="str">
        <f>IF(Orders[[#This Row],[Sales]]&lt;50, "$0-50", IF(AND(Orders[[#This Row],[Sales]]&gt;=50,Orders[[#This Row],[Sales]]&lt;=100), "$50-100", IF(AND(Orders[[#This Row],[Sales]]&gt;100,Orders[[#This Row],[Sales]]&lt;=150), "$101-150", "$150+")))</f>
        <v>$0-50</v>
      </c>
      <c r="V547" t="str">
        <f>IF(Orders[[#This Row],[Sales]]&gt;MEDIAN(M:M), "High Price", "Low Price")</f>
        <v>High Price</v>
      </c>
      <c r="W547" t="str">
        <f>IF(Orders[[#This Row],[Quantity]]&gt;MEDIAN(E:E), "High Volume", "Low Volume")</f>
        <v>High Volume</v>
      </c>
      <c r="X547" t="str">
        <f>Orders[[#This Row],[Sales Tier]] &amp; "-" &amp; Orders[[#This Row],[Quantity Tier]]</f>
        <v>High Price-High Volume</v>
      </c>
      <c r="Y547" t="str">
        <f>TEXT(Orders[[#This Row],[Order Date]], "mmmm")</f>
        <v>October</v>
      </c>
      <c r="Z54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547" t="str">
        <f>Orders[[#This Row],[Coffee Type Name]] &amp; "-" &amp; Orders[[#This Row],[Roast Type Name]]</f>
        <v>Robusta-Light</v>
      </c>
      <c r="AB54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548" spans="1:28" x14ac:dyDescent="0.25">
      <c r="A548" s="2" t="s">
        <v>3527</v>
      </c>
      <c r="B548" s="4">
        <v>44156</v>
      </c>
      <c r="C548" s="2" t="s">
        <v>3528</v>
      </c>
      <c r="D548" t="s">
        <v>6185</v>
      </c>
      <c r="E548" s="2">
        <v>4</v>
      </c>
      <c r="F548" s="2" t="str">
        <f>_xlfn.XLOOKUP(C548,customers!$A$1:$A$1001,customers!$B$1:$B$1001,,0)</f>
        <v>Hildegarde Brangan</v>
      </c>
      <c r="G548" s="2" t="str">
        <f>IF(_xlfn.XLOOKUP(C548,customers!$A$1:$A$1001,customers!$C$1:$C$1001,,0)=0,"",_xlfn.XLOOKUP(C548,customers!$A$1:$A$1001,customers!$C$1:$C$1001,,0))</f>
        <v>hbranganex@woothemes.com</v>
      </c>
      <c r="H548" s="2" t="str">
        <f>_xlfn.XLOOKUP(C548,customers!$A$1:$A$1001,customers!$G$1:$G$1001,,0)</f>
        <v>United States</v>
      </c>
      <c r="I548" t="str">
        <f>INDEX(products!$A$1:$G$49, MATCH(orders!$D539,products!$A$1:$A586,0), MATCH(orders!I$1,products!$A$1:$G$1,0))</f>
        <v>Exc</v>
      </c>
      <c r="J548" t="str">
        <f>INDEX(products!$A$1:$G$49, MATCH(orders!$D539,products!$A$1:$A586,0), MATCH(orders!J$1,products!$A$1:$G$1,0))</f>
        <v>D</v>
      </c>
      <c r="K548" s="5">
        <f>INDEX(products!$A$1:$G$49, MATCH(orders!$D539,products!$A$1:$A586,0), MATCH(orders!K$1,products!$A$1:$G$1,0))</f>
        <v>2.5</v>
      </c>
      <c r="L548" s="6">
        <f>INDEX(products!$A$1:$G$49, MATCH(orders!$D539,products!$A$1:$A586,0), MATCH(orders!L$1,products!$A$1:$G$1,0))</f>
        <v>27.945</v>
      </c>
      <c r="M548" s="6">
        <f t="shared" si="24"/>
        <v>111.78</v>
      </c>
      <c r="N548" t="str">
        <f t="shared" si="25"/>
        <v>Excelsa</v>
      </c>
      <c r="O548" t="str">
        <f t="shared" si="26"/>
        <v>Dark</v>
      </c>
      <c r="P548" t="str">
        <f>_xlfn.XLOOKUP(Orders[[#This Row],[Customer ID]],customers!$A$1:$A$1001,customers!$I$1:$I$1001,,0)</f>
        <v>Yes</v>
      </c>
      <c r="Q548">
        <f>COUNTIF(Orders[Order ID],Orders[[#This Row],[Order ID]])</f>
        <v>1</v>
      </c>
      <c r="R548" s="10">
        <f>SUMIF(Orders[Order ID], Orders[[#This Row],[Order ID]],Orders[Sales])/Orders[[#This Row],[Order Frequency]]</f>
        <v>111.78</v>
      </c>
      <c r="S548" t="str">
        <f>IF(Orders[[#This Row],[Order Frequency]]&gt;4, "More than 4", IF(AND(Orders[[#This Row],[Order Frequency]]&lt;=4,Orders[[#This Row],[Order Frequency]]&gt;=2), "Between 4 and 2", "Less than 2"))</f>
        <v>Less than 2</v>
      </c>
      <c r="T548" t="str">
        <f>IF(Orders[[#This Row],[Frequency Group]]="less than 2", "Low Value", IF(Orders[[#This Row],[Frequency Group]]="between 4 and 2", "Medium Value", "High Value"))</f>
        <v>Low Value</v>
      </c>
      <c r="U548" t="str">
        <f>IF(Orders[[#This Row],[Sales]]&lt;50, "$0-50", IF(AND(Orders[[#This Row],[Sales]]&gt;=50,Orders[[#This Row],[Sales]]&lt;=100), "$50-100", IF(AND(Orders[[#This Row],[Sales]]&gt;100,Orders[[#This Row],[Sales]]&lt;=150), "$101-150", "$150+")))</f>
        <v>$101-150</v>
      </c>
      <c r="V548" t="str">
        <f>IF(Orders[[#This Row],[Sales]]&gt;MEDIAN(M:M), "High Price", "Low Price")</f>
        <v>High Price</v>
      </c>
      <c r="W548" t="str">
        <f>IF(Orders[[#This Row],[Quantity]]&gt;MEDIAN(E:E), "High Volume", "Low Volume")</f>
        <v>Low Volume</v>
      </c>
      <c r="X548" t="str">
        <f>Orders[[#This Row],[Sales Tier]] &amp; "-" &amp; Orders[[#This Row],[Quantity Tier]]</f>
        <v>High Price-Low Volume</v>
      </c>
      <c r="Y548" t="str">
        <f>TEXT(Orders[[#This Row],[Order Date]], "mmmm")</f>
        <v>November</v>
      </c>
      <c r="Z54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548" t="str">
        <f>Orders[[#This Row],[Coffee Type Name]] &amp; "-" &amp; Orders[[#This Row],[Roast Type Name]]</f>
        <v>Excelsa-Dark</v>
      </c>
      <c r="AB54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549" spans="1:28" x14ac:dyDescent="0.25">
      <c r="A549" s="2" t="s">
        <v>2015</v>
      </c>
      <c r="B549" s="4">
        <v>43655</v>
      </c>
      <c r="C549" s="2" t="s">
        <v>2016</v>
      </c>
      <c r="D549" t="s">
        <v>6144</v>
      </c>
      <c r="E549" s="2">
        <v>1</v>
      </c>
      <c r="F549" s="2" t="str">
        <f>_xlfn.XLOOKUP(C549,customers!$A$1:$A$1001,customers!$B$1:$B$1001,,0)</f>
        <v>Barney Chisnell</v>
      </c>
      <c r="G549" s="2" t="str">
        <f>IF(_xlfn.XLOOKUP(C549,customers!$A$1:$A$1001,customers!$C$1:$C$1001,,0)=0,"",_xlfn.XLOOKUP(C549,customers!$A$1:$A$1001,customers!$C$1:$C$1001,,0))</f>
        <v/>
      </c>
      <c r="H549" s="2" t="str">
        <f>_xlfn.XLOOKUP(C549,customers!$A$1:$A$1001,customers!$G$1:$G$1001,,0)</f>
        <v>Ireland</v>
      </c>
      <c r="I549" t="str">
        <f>INDEX(products!$A$1:$G$49, MATCH(orders!$D272,products!$A$1:$A319,0), MATCH(orders!I$1,products!$A$1:$G$1,0))</f>
        <v>Exc</v>
      </c>
      <c r="J549" t="str">
        <f>INDEX(products!$A$1:$G$49, MATCH(orders!$D272,products!$A$1:$A319,0), MATCH(orders!J$1,products!$A$1:$G$1,0))</f>
        <v>D</v>
      </c>
      <c r="K549" s="5">
        <f>INDEX(products!$A$1:$G$49, MATCH(orders!$D272,products!$A$1:$A319,0), MATCH(orders!K$1,products!$A$1:$G$1,0))</f>
        <v>0.5</v>
      </c>
      <c r="L549" s="6">
        <f>INDEX(products!$A$1:$G$49, MATCH(orders!$D272,products!$A$1:$A319,0), MATCH(orders!L$1,products!$A$1:$G$1,0))</f>
        <v>7.29</v>
      </c>
      <c r="M549" s="6">
        <f t="shared" si="24"/>
        <v>7.29</v>
      </c>
      <c r="N549" t="str">
        <f t="shared" si="25"/>
        <v>Excelsa</v>
      </c>
      <c r="O549" t="str">
        <f t="shared" si="26"/>
        <v>Dark</v>
      </c>
      <c r="P549" t="str">
        <f>_xlfn.XLOOKUP(Orders[[#This Row],[Customer ID]],customers!$A$1:$A$1001,customers!$I$1:$I$1001,,0)</f>
        <v>Yes</v>
      </c>
      <c r="Q549">
        <f>COUNTIF(Orders[Order ID],Orders[[#This Row],[Order ID]])</f>
        <v>1</v>
      </c>
      <c r="R549" s="10">
        <f>SUMIF(Orders[Order ID], Orders[[#This Row],[Order ID]],Orders[Sales])/Orders[[#This Row],[Order Frequency]]</f>
        <v>7.29</v>
      </c>
      <c r="S549" t="str">
        <f>IF(Orders[[#This Row],[Order Frequency]]&gt;4, "More than 4", IF(AND(Orders[[#This Row],[Order Frequency]]&lt;=4,Orders[[#This Row],[Order Frequency]]&gt;=2), "Between 4 and 2", "Less than 2"))</f>
        <v>Less than 2</v>
      </c>
      <c r="T549" t="str">
        <f>IF(Orders[[#This Row],[Frequency Group]]="less than 2", "Low Value", IF(Orders[[#This Row],[Frequency Group]]="between 4 and 2", "Medium Value", "High Value"))</f>
        <v>Low Value</v>
      </c>
      <c r="U549" t="str">
        <f>IF(Orders[[#This Row],[Sales]]&lt;50, "$0-50", IF(AND(Orders[[#This Row],[Sales]]&gt;=50,Orders[[#This Row],[Sales]]&lt;=100), "$50-100", IF(AND(Orders[[#This Row],[Sales]]&gt;100,Orders[[#This Row],[Sales]]&lt;=150), "$101-150", "$150+")))</f>
        <v>$0-50</v>
      </c>
      <c r="V549" t="str">
        <f>IF(Orders[[#This Row],[Sales]]&gt;MEDIAN(M:M), "High Price", "Low Price")</f>
        <v>Low Price</v>
      </c>
      <c r="W549" t="str">
        <f>IF(Orders[[#This Row],[Quantity]]&gt;MEDIAN(E:E), "High Volume", "Low Volume")</f>
        <v>Low Volume</v>
      </c>
      <c r="X549" t="str">
        <f>Orders[[#This Row],[Sales Tier]] &amp; "-" &amp; Orders[[#This Row],[Quantity Tier]]</f>
        <v>Low Price-Low Volume</v>
      </c>
      <c r="Y549" t="str">
        <f>TEXT(Orders[[#This Row],[Order Date]], "mmmm")</f>
        <v>July</v>
      </c>
      <c r="Z54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549" t="str">
        <f>Orders[[#This Row],[Coffee Type Name]] &amp; "-" &amp; Orders[[#This Row],[Roast Type Name]]</f>
        <v>Excelsa-Dark</v>
      </c>
      <c r="AB54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550" spans="1:28" x14ac:dyDescent="0.25">
      <c r="A550" s="2" t="s">
        <v>3939</v>
      </c>
      <c r="B550" s="4">
        <v>43739</v>
      </c>
      <c r="C550" s="2" t="s">
        <v>3940</v>
      </c>
      <c r="D550" t="s">
        <v>6148</v>
      </c>
      <c r="E550" s="2">
        <v>2</v>
      </c>
      <c r="F550" s="2" t="str">
        <f>_xlfn.XLOOKUP(C550,customers!$A$1:$A$1001,customers!$B$1:$B$1001,,0)</f>
        <v>Temple Castiglione</v>
      </c>
      <c r="G550" s="2" t="str">
        <f>IF(_xlfn.XLOOKUP(C550,customers!$A$1:$A$1001,customers!$C$1:$C$1001,,0)=0,"",_xlfn.XLOOKUP(C550,customers!$A$1:$A$1001,customers!$C$1:$C$1001,,0))</f>
        <v>tcastiglionegz@xing.com</v>
      </c>
      <c r="H550" s="2" t="str">
        <f>_xlfn.XLOOKUP(C550,customers!$A$1:$A$1001,customers!$G$1:$G$1001,,0)</f>
        <v>United States</v>
      </c>
      <c r="I550" t="str">
        <f>INDEX(products!$A$1:$G$49, MATCH(orders!$D613,products!$A$1:$A660,0), MATCH(orders!I$1,products!$A$1:$G$1,0))</f>
        <v>Exc</v>
      </c>
      <c r="J550" t="str">
        <f>INDEX(products!$A$1:$G$49, MATCH(orders!$D613,products!$A$1:$A660,0), MATCH(orders!J$1,products!$A$1:$G$1,0))</f>
        <v>L</v>
      </c>
      <c r="K550" s="5">
        <f>INDEX(products!$A$1:$G$49, MATCH(orders!$D613,products!$A$1:$A660,0), MATCH(orders!K$1,products!$A$1:$G$1,0))</f>
        <v>2.5</v>
      </c>
      <c r="L550" s="6">
        <f>INDEX(products!$A$1:$G$49, MATCH(orders!$D613,products!$A$1:$A660,0), MATCH(orders!L$1,products!$A$1:$G$1,0))</f>
        <v>34.154999999999994</v>
      </c>
      <c r="M550" s="6">
        <f t="shared" si="24"/>
        <v>68.309999999999988</v>
      </c>
      <c r="N550" t="str">
        <f t="shared" si="25"/>
        <v>Excelsa</v>
      </c>
      <c r="O550" t="str">
        <f t="shared" si="26"/>
        <v>Light</v>
      </c>
      <c r="P550" t="str">
        <f>_xlfn.XLOOKUP(Orders[[#This Row],[Customer ID]],customers!$A$1:$A$1001,customers!$I$1:$I$1001,,0)</f>
        <v>No</v>
      </c>
      <c r="Q550">
        <f>COUNTIF(Orders[Order ID],Orders[[#This Row],[Order ID]])</f>
        <v>1</v>
      </c>
      <c r="R550" s="10">
        <f>SUMIF(Orders[Order ID], Orders[[#This Row],[Order ID]],Orders[Sales])/Orders[[#This Row],[Order Frequency]]</f>
        <v>68.309999999999988</v>
      </c>
      <c r="S550" t="str">
        <f>IF(Orders[[#This Row],[Order Frequency]]&gt;4, "More than 4", IF(AND(Orders[[#This Row],[Order Frequency]]&lt;=4,Orders[[#This Row],[Order Frequency]]&gt;=2), "Between 4 and 2", "Less than 2"))</f>
        <v>Less than 2</v>
      </c>
      <c r="T550" t="str">
        <f>IF(Orders[[#This Row],[Frequency Group]]="less than 2", "Low Value", IF(Orders[[#This Row],[Frequency Group]]="between 4 and 2", "Medium Value", "High Value"))</f>
        <v>Low Value</v>
      </c>
      <c r="U550" t="str">
        <f>IF(Orders[[#This Row],[Sales]]&lt;50, "$0-50", IF(AND(Orders[[#This Row],[Sales]]&gt;=50,Orders[[#This Row],[Sales]]&lt;=100), "$50-100", IF(AND(Orders[[#This Row],[Sales]]&gt;100,Orders[[#This Row],[Sales]]&lt;=150), "$101-150", "$150+")))</f>
        <v>$50-100</v>
      </c>
      <c r="V550" t="str">
        <f>IF(Orders[[#This Row],[Sales]]&gt;MEDIAN(M:M), "High Price", "Low Price")</f>
        <v>High Price</v>
      </c>
      <c r="W550" t="str">
        <f>IF(Orders[[#This Row],[Quantity]]&gt;MEDIAN(E:E), "High Volume", "Low Volume")</f>
        <v>Low Volume</v>
      </c>
      <c r="X550" t="str">
        <f>Orders[[#This Row],[Sales Tier]] &amp; "-" &amp; Orders[[#This Row],[Quantity Tier]]</f>
        <v>High Price-Low Volume</v>
      </c>
      <c r="Y550" t="str">
        <f>TEXT(Orders[[#This Row],[Order Date]], "mmmm")</f>
        <v>October</v>
      </c>
      <c r="Z55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550" t="str">
        <f>Orders[[#This Row],[Coffee Type Name]] &amp; "-" &amp; Orders[[#This Row],[Roast Type Name]]</f>
        <v>Excelsa-Light</v>
      </c>
      <c r="AB55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551" spans="1:28" x14ac:dyDescent="0.25">
      <c r="A551" s="2" t="s">
        <v>5872</v>
      </c>
      <c r="B551" s="4">
        <v>44439</v>
      </c>
      <c r="C551" s="2" t="s">
        <v>5873</v>
      </c>
      <c r="D551" t="s">
        <v>6155</v>
      </c>
      <c r="E551" s="2">
        <v>2</v>
      </c>
      <c r="F551" s="2" t="str">
        <f>_xlfn.XLOOKUP(C551,customers!$A$1:$A$1001,customers!$B$1:$B$1001,,0)</f>
        <v>Jilly Dreng</v>
      </c>
      <c r="G551" s="2" t="str">
        <f>IF(_xlfn.XLOOKUP(C551,customers!$A$1:$A$1001,customers!$C$1:$C$1001,,0)=0,"",_xlfn.XLOOKUP(C551,customers!$A$1:$A$1001,customers!$C$1:$C$1001,,0))</f>
        <v>jdrengqg@uiuc.edu</v>
      </c>
      <c r="H551" s="2" t="str">
        <f>_xlfn.XLOOKUP(C551,customers!$A$1:$A$1001,customers!$G$1:$G$1001,,0)</f>
        <v>Ireland</v>
      </c>
      <c r="I551" t="str">
        <f>INDEX(products!$A$1:$G$49, MATCH(orders!$D954,products!$A$1:$A1001,0), MATCH(orders!I$1,products!$A$1:$G$1,0))</f>
        <v>Ara</v>
      </c>
      <c r="J551" t="str">
        <f>INDEX(products!$A$1:$G$49, MATCH(orders!$D954,products!$A$1:$A1001,0), MATCH(orders!J$1,products!$A$1:$G$1,0))</f>
        <v>M</v>
      </c>
      <c r="K551" s="5">
        <f>INDEX(products!$A$1:$G$49, MATCH(orders!$D954,products!$A$1:$A1001,0), MATCH(orders!K$1,products!$A$1:$G$1,0))</f>
        <v>1</v>
      </c>
      <c r="L551" s="6">
        <f>INDEX(products!$A$1:$G$49, MATCH(orders!$D954,products!$A$1:$A1001,0), MATCH(orders!L$1,products!$A$1:$G$1,0))</f>
        <v>11.25</v>
      </c>
      <c r="M551" s="6">
        <f t="shared" si="24"/>
        <v>22.5</v>
      </c>
      <c r="N551" t="str">
        <f t="shared" si="25"/>
        <v>Arabica</v>
      </c>
      <c r="O551" t="str">
        <f t="shared" si="26"/>
        <v>Medium</v>
      </c>
      <c r="P551" t="str">
        <f>_xlfn.XLOOKUP(Orders[[#This Row],[Customer ID]],customers!$A$1:$A$1001,customers!$I$1:$I$1001,,0)</f>
        <v>Yes</v>
      </c>
      <c r="Q551">
        <f>COUNTIF(Orders[Order ID],Orders[[#This Row],[Order ID]])</f>
        <v>1</v>
      </c>
      <c r="R551" s="10">
        <f>SUMIF(Orders[Order ID], Orders[[#This Row],[Order ID]],Orders[Sales])/Orders[[#This Row],[Order Frequency]]</f>
        <v>22.5</v>
      </c>
      <c r="S551" t="str">
        <f>IF(Orders[[#This Row],[Order Frequency]]&gt;4, "More than 4", IF(AND(Orders[[#This Row],[Order Frequency]]&lt;=4,Orders[[#This Row],[Order Frequency]]&gt;=2), "Between 4 and 2", "Less than 2"))</f>
        <v>Less than 2</v>
      </c>
      <c r="T551" t="str">
        <f>IF(Orders[[#This Row],[Frequency Group]]="less than 2", "Low Value", IF(Orders[[#This Row],[Frequency Group]]="between 4 and 2", "Medium Value", "High Value"))</f>
        <v>Low Value</v>
      </c>
      <c r="U551" t="str">
        <f>IF(Orders[[#This Row],[Sales]]&lt;50, "$0-50", IF(AND(Orders[[#This Row],[Sales]]&gt;=50,Orders[[#This Row],[Sales]]&lt;=100), "$50-100", IF(AND(Orders[[#This Row],[Sales]]&gt;100,Orders[[#This Row],[Sales]]&lt;=150), "$101-150", "$150+")))</f>
        <v>$0-50</v>
      </c>
      <c r="V551" t="str">
        <f>IF(Orders[[#This Row],[Sales]]&gt;MEDIAN(M:M), "High Price", "Low Price")</f>
        <v>Low Price</v>
      </c>
      <c r="W551" t="str">
        <f>IF(Orders[[#This Row],[Quantity]]&gt;MEDIAN(E:E), "High Volume", "Low Volume")</f>
        <v>Low Volume</v>
      </c>
      <c r="X551" t="str">
        <f>Orders[[#This Row],[Sales Tier]] &amp; "-" &amp; Orders[[#This Row],[Quantity Tier]]</f>
        <v>Low Price-Low Volume</v>
      </c>
      <c r="Y551" t="str">
        <f>TEXT(Orders[[#This Row],[Order Date]], "mmmm")</f>
        <v>August</v>
      </c>
      <c r="Z55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551" t="str">
        <f>Orders[[#This Row],[Coffee Type Name]] &amp; "-" &amp; Orders[[#This Row],[Roast Type Name]]</f>
        <v>Arabica-Medium</v>
      </c>
      <c r="AB55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552" spans="1:28" x14ac:dyDescent="0.25">
      <c r="A552" s="2" t="s">
        <v>3773</v>
      </c>
      <c r="B552" s="4">
        <v>44190</v>
      </c>
      <c r="C552" s="2" t="s">
        <v>3774</v>
      </c>
      <c r="D552" t="s">
        <v>6176</v>
      </c>
      <c r="E552" s="2">
        <v>5</v>
      </c>
      <c r="F552" s="2" t="str">
        <f>_xlfn.XLOOKUP(C552,customers!$A$1:$A$1001,customers!$B$1:$B$1001,,0)</f>
        <v>Carney Clemencet</v>
      </c>
      <c r="G552" s="2" t="str">
        <f>IF(_xlfn.XLOOKUP(C552,customers!$A$1:$A$1001,customers!$C$1:$C$1001,,0)=0,"",_xlfn.XLOOKUP(C552,customers!$A$1:$A$1001,customers!$C$1:$C$1001,,0))</f>
        <v>cclemencetg5@weather.com</v>
      </c>
      <c r="H552" s="2" t="str">
        <f>_xlfn.XLOOKUP(C552,customers!$A$1:$A$1001,customers!$G$1:$G$1001,,0)</f>
        <v>United Kingdom</v>
      </c>
      <c r="I552" t="str">
        <f>INDEX(products!$A$1:$G$49, MATCH(orders!$D583,products!$A$1:$A630,0), MATCH(orders!I$1,products!$A$1:$G$1,0))</f>
        <v>Exc</v>
      </c>
      <c r="J552" t="str">
        <f>INDEX(products!$A$1:$G$49, MATCH(orders!$D583,products!$A$1:$A630,0), MATCH(orders!J$1,products!$A$1:$G$1,0))</f>
        <v>L</v>
      </c>
      <c r="K552" s="5">
        <f>INDEX(products!$A$1:$G$49, MATCH(orders!$D583,products!$A$1:$A630,0), MATCH(orders!K$1,products!$A$1:$G$1,0))</f>
        <v>0.5</v>
      </c>
      <c r="L552" s="6">
        <f>INDEX(products!$A$1:$G$49, MATCH(orders!$D583,products!$A$1:$A630,0), MATCH(orders!L$1,products!$A$1:$G$1,0))</f>
        <v>8.91</v>
      </c>
      <c r="M552" s="6">
        <f t="shared" si="24"/>
        <v>44.55</v>
      </c>
      <c r="N552" t="str">
        <f t="shared" si="25"/>
        <v>Excelsa</v>
      </c>
      <c r="O552" t="str">
        <f t="shared" si="26"/>
        <v>Light</v>
      </c>
      <c r="P552" t="str">
        <f>_xlfn.XLOOKUP(Orders[[#This Row],[Customer ID]],customers!$A$1:$A$1001,customers!$I$1:$I$1001,,0)</f>
        <v>Yes</v>
      </c>
      <c r="Q552">
        <f>COUNTIF(Orders[Order ID],Orders[[#This Row],[Order ID]])</f>
        <v>1</v>
      </c>
      <c r="R552" s="10">
        <f>SUMIF(Orders[Order ID], Orders[[#This Row],[Order ID]],Orders[Sales])/Orders[[#This Row],[Order Frequency]]</f>
        <v>44.55</v>
      </c>
      <c r="S552" t="str">
        <f>IF(Orders[[#This Row],[Order Frequency]]&gt;4, "More than 4", IF(AND(Orders[[#This Row],[Order Frequency]]&lt;=4,Orders[[#This Row],[Order Frequency]]&gt;=2), "Between 4 and 2", "Less than 2"))</f>
        <v>Less than 2</v>
      </c>
      <c r="T552" t="str">
        <f>IF(Orders[[#This Row],[Frequency Group]]="less than 2", "Low Value", IF(Orders[[#This Row],[Frequency Group]]="between 4 and 2", "Medium Value", "High Value"))</f>
        <v>Low Value</v>
      </c>
      <c r="U552" t="str">
        <f>IF(Orders[[#This Row],[Sales]]&lt;50, "$0-50", IF(AND(Orders[[#This Row],[Sales]]&gt;=50,Orders[[#This Row],[Sales]]&lt;=100), "$50-100", IF(AND(Orders[[#This Row],[Sales]]&gt;100,Orders[[#This Row],[Sales]]&lt;=150), "$101-150", "$150+")))</f>
        <v>$0-50</v>
      </c>
      <c r="V552" t="str">
        <f>IF(Orders[[#This Row],[Sales]]&gt;MEDIAN(M:M), "High Price", "Low Price")</f>
        <v>High Price</v>
      </c>
      <c r="W552" t="str">
        <f>IF(Orders[[#This Row],[Quantity]]&gt;MEDIAN(E:E), "High Volume", "Low Volume")</f>
        <v>High Volume</v>
      </c>
      <c r="X552" t="str">
        <f>Orders[[#This Row],[Sales Tier]] &amp; "-" &amp; Orders[[#This Row],[Quantity Tier]]</f>
        <v>High Price-High Volume</v>
      </c>
      <c r="Y552" t="str">
        <f>TEXT(Orders[[#This Row],[Order Date]], "mmmm")</f>
        <v>December</v>
      </c>
      <c r="Z55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552" t="str">
        <f>Orders[[#This Row],[Coffee Type Name]] &amp; "-" &amp; Orders[[#This Row],[Roast Type Name]]</f>
        <v>Excelsa-Light</v>
      </c>
      <c r="AB55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553" spans="1:28" x14ac:dyDescent="0.25">
      <c r="A553" s="2" t="s">
        <v>1210</v>
      </c>
      <c r="B553" s="4">
        <v>44439</v>
      </c>
      <c r="C553" s="2" t="s">
        <v>1211</v>
      </c>
      <c r="D553" t="s">
        <v>6157</v>
      </c>
      <c r="E553" s="2">
        <v>1</v>
      </c>
      <c r="F553" s="2" t="str">
        <f>_xlfn.XLOOKUP(C553,customers!$A$1:$A$1001,customers!$B$1:$B$1001,,0)</f>
        <v>Timofei Woofinden</v>
      </c>
      <c r="G553" s="2" t="str">
        <f>IF(_xlfn.XLOOKUP(C553,customers!$A$1:$A$1001,customers!$C$1:$C$1001,,0)=0,"",_xlfn.XLOOKUP(C553,customers!$A$1:$A$1001,customers!$C$1:$C$1001,,0))</f>
        <v>twoofinden3k@businesswire.com</v>
      </c>
      <c r="H553" s="2" t="str">
        <f>_xlfn.XLOOKUP(C553,customers!$A$1:$A$1001,customers!$G$1:$G$1001,,0)</f>
        <v>United States</v>
      </c>
      <c r="I553" t="str">
        <f>INDEX(products!$A$1:$G$49, MATCH(orders!$D130,products!$A$1:$A177,0), MATCH(orders!I$1,products!$A$1:$G$1,0))</f>
        <v>Ara</v>
      </c>
      <c r="J553" t="str">
        <f>INDEX(products!$A$1:$G$49, MATCH(orders!$D130,products!$A$1:$A177,0), MATCH(orders!J$1,products!$A$1:$G$1,0))</f>
        <v>M</v>
      </c>
      <c r="K553" s="5">
        <f>INDEX(products!$A$1:$G$49, MATCH(orders!$D130,products!$A$1:$A177,0), MATCH(orders!K$1,products!$A$1:$G$1,0))</f>
        <v>0.5</v>
      </c>
      <c r="L553" s="6">
        <f>INDEX(products!$A$1:$G$49, MATCH(orders!$D130,products!$A$1:$A177,0), MATCH(orders!L$1,products!$A$1:$G$1,0))</f>
        <v>6.75</v>
      </c>
      <c r="M553" s="6">
        <f t="shared" si="24"/>
        <v>6.75</v>
      </c>
      <c r="N553" t="str">
        <f t="shared" si="25"/>
        <v>Arabica</v>
      </c>
      <c r="O553" t="str">
        <f t="shared" si="26"/>
        <v>Medium</v>
      </c>
      <c r="P553" t="str">
        <f>_xlfn.XLOOKUP(Orders[[#This Row],[Customer ID]],customers!$A$1:$A$1001,customers!$I$1:$I$1001,,0)</f>
        <v>No</v>
      </c>
      <c r="Q553">
        <f>COUNTIF(Orders[Order ID],Orders[[#This Row],[Order ID]])</f>
        <v>1</v>
      </c>
      <c r="R553" s="10">
        <f>SUMIF(Orders[Order ID], Orders[[#This Row],[Order ID]],Orders[Sales])/Orders[[#This Row],[Order Frequency]]</f>
        <v>6.75</v>
      </c>
      <c r="S553" t="str">
        <f>IF(Orders[[#This Row],[Order Frequency]]&gt;4, "More than 4", IF(AND(Orders[[#This Row],[Order Frequency]]&lt;=4,Orders[[#This Row],[Order Frequency]]&gt;=2), "Between 4 and 2", "Less than 2"))</f>
        <v>Less than 2</v>
      </c>
      <c r="T553" t="str">
        <f>IF(Orders[[#This Row],[Frequency Group]]="less than 2", "Low Value", IF(Orders[[#This Row],[Frequency Group]]="between 4 and 2", "Medium Value", "High Value"))</f>
        <v>Low Value</v>
      </c>
      <c r="U553" t="str">
        <f>IF(Orders[[#This Row],[Sales]]&lt;50, "$0-50", IF(AND(Orders[[#This Row],[Sales]]&gt;=50,Orders[[#This Row],[Sales]]&lt;=100), "$50-100", IF(AND(Orders[[#This Row],[Sales]]&gt;100,Orders[[#This Row],[Sales]]&lt;=150), "$101-150", "$150+")))</f>
        <v>$0-50</v>
      </c>
      <c r="V553" t="str">
        <f>IF(Orders[[#This Row],[Sales]]&gt;MEDIAN(M:M), "High Price", "Low Price")</f>
        <v>Low Price</v>
      </c>
      <c r="W553" t="str">
        <f>IF(Orders[[#This Row],[Quantity]]&gt;MEDIAN(E:E), "High Volume", "Low Volume")</f>
        <v>Low Volume</v>
      </c>
      <c r="X553" t="str">
        <f>Orders[[#This Row],[Sales Tier]] &amp; "-" &amp; Orders[[#This Row],[Quantity Tier]]</f>
        <v>Low Price-Low Volume</v>
      </c>
      <c r="Y553" t="str">
        <f>TEXT(Orders[[#This Row],[Order Date]], "mmmm")</f>
        <v>August</v>
      </c>
      <c r="Z55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553" t="str">
        <f>Orders[[#This Row],[Coffee Type Name]] &amp; "-" &amp; Orders[[#This Row],[Roast Type Name]]</f>
        <v>Arabica-Medium</v>
      </c>
      <c r="AB55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554" spans="1:28" x14ac:dyDescent="0.25">
      <c r="A554" s="2" t="s">
        <v>4961</v>
      </c>
      <c r="B554" s="4">
        <v>43954</v>
      </c>
      <c r="C554" s="2" t="s">
        <v>4962</v>
      </c>
      <c r="D554" t="s">
        <v>6145</v>
      </c>
      <c r="E554" s="2">
        <v>5</v>
      </c>
      <c r="F554" s="2" t="str">
        <f>_xlfn.XLOOKUP(C554,customers!$A$1:$A$1001,customers!$B$1:$B$1001,,0)</f>
        <v>Karylin Huddart</v>
      </c>
      <c r="G554" s="2" t="str">
        <f>IF(_xlfn.XLOOKUP(C554,customers!$A$1:$A$1001,customers!$C$1:$C$1001,,0)=0,"",_xlfn.XLOOKUP(C554,customers!$A$1:$A$1001,customers!$C$1:$C$1001,,0))</f>
        <v>khuddartlz@about.com</v>
      </c>
      <c r="H554" s="2" t="str">
        <f>_xlfn.XLOOKUP(C554,customers!$A$1:$A$1001,customers!$G$1:$G$1001,,0)</f>
        <v>United States</v>
      </c>
      <c r="I554" t="str">
        <f>INDEX(products!$A$1:$G$49, MATCH(orders!$D793,products!$A$1:$A840,0), MATCH(orders!I$1,products!$A$1:$G$1,0))</f>
        <v>Lib</v>
      </c>
      <c r="J554" t="str">
        <f>INDEX(products!$A$1:$G$49, MATCH(orders!$D793,products!$A$1:$A840,0), MATCH(orders!J$1,products!$A$1:$G$1,0))</f>
        <v>L</v>
      </c>
      <c r="K554" s="5">
        <f>INDEX(products!$A$1:$G$49, MATCH(orders!$D793,products!$A$1:$A840,0), MATCH(orders!K$1,products!$A$1:$G$1,0))</f>
        <v>0.2</v>
      </c>
      <c r="L554" s="6">
        <f>INDEX(products!$A$1:$G$49, MATCH(orders!$D793,products!$A$1:$A840,0), MATCH(orders!L$1,products!$A$1:$G$1,0))</f>
        <v>4.7549999999999999</v>
      </c>
      <c r="M554" s="6">
        <f t="shared" si="24"/>
        <v>23.774999999999999</v>
      </c>
      <c r="N554" t="str">
        <f t="shared" si="25"/>
        <v>Liberica</v>
      </c>
      <c r="O554" t="str">
        <f t="shared" si="26"/>
        <v>Light</v>
      </c>
      <c r="P554" t="str">
        <f>_xlfn.XLOOKUP(Orders[[#This Row],[Customer ID]],customers!$A$1:$A$1001,customers!$I$1:$I$1001,,0)</f>
        <v>Yes</v>
      </c>
      <c r="Q554">
        <f>COUNTIF(Orders[Order ID],Orders[[#This Row],[Order ID]])</f>
        <v>1</v>
      </c>
      <c r="R554" s="10">
        <f>SUMIF(Orders[Order ID], Orders[[#This Row],[Order ID]],Orders[Sales])/Orders[[#This Row],[Order Frequency]]</f>
        <v>23.774999999999999</v>
      </c>
      <c r="S554" t="str">
        <f>IF(Orders[[#This Row],[Order Frequency]]&gt;4, "More than 4", IF(AND(Orders[[#This Row],[Order Frequency]]&lt;=4,Orders[[#This Row],[Order Frequency]]&gt;=2), "Between 4 and 2", "Less than 2"))</f>
        <v>Less than 2</v>
      </c>
      <c r="T554" t="str">
        <f>IF(Orders[[#This Row],[Frequency Group]]="less than 2", "Low Value", IF(Orders[[#This Row],[Frequency Group]]="between 4 and 2", "Medium Value", "High Value"))</f>
        <v>Low Value</v>
      </c>
      <c r="U554" t="str">
        <f>IF(Orders[[#This Row],[Sales]]&lt;50, "$0-50", IF(AND(Orders[[#This Row],[Sales]]&gt;=50,Orders[[#This Row],[Sales]]&lt;=100), "$50-100", IF(AND(Orders[[#This Row],[Sales]]&gt;100,Orders[[#This Row],[Sales]]&lt;=150), "$101-150", "$150+")))</f>
        <v>$0-50</v>
      </c>
      <c r="V554" t="str">
        <f>IF(Orders[[#This Row],[Sales]]&gt;MEDIAN(M:M), "High Price", "Low Price")</f>
        <v>Low Price</v>
      </c>
      <c r="W554" t="str">
        <f>IF(Orders[[#This Row],[Quantity]]&gt;MEDIAN(E:E), "High Volume", "Low Volume")</f>
        <v>High Volume</v>
      </c>
      <c r="X554" t="str">
        <f>Orders[[#This Row],[Sales Tier]] &amp; "-" &amp; Orders[[#This Row],[Quantity Tier]]</f>
        <v>Low Price-High Volume</v>
      </c>
      <c r="Y554" t="str">
        <f>TEXT(Orders[[#This Row],[Order Date]], "mmmm")</f>
        <v>May</v>
      </c>
      <c r="Z55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554" t="str">
        <f>Orders[[#This Row],[Coffee Type Name]] &amp; "-" &amp; Orders[[#This Row],[Roast Type Name]]</f>
        <v>Liberica-Light</v>
      </c>
      <c r="AB55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555" spans="1:28" x14ac:dyDescent="0.25">
      <c r="A555" s="2" t="s">
        <v>2569</v>
      </c>
      <c r="B555" s="4">
        <v>43500</v>
      </c>
      <c r="C555" s="2" t="s">
        <v>2570</v>
      </c>
      <c r="D555" t="s">
        <v>6176</v>
      </c>
      <c r="E555" s="2">
        <v>1</v>
      </c>
      <c r="F555" s="2" t="str">
        <f>_xlfn.XLOOKUP(C555,customers!$A$1:$A$1001,customers!$B$1:$B$1001,,0)</f>
        <v>Abba Pummell</v>
      </c>
      <c r="G555" s="2" t="str">
        <f>IF(_xlfn.XLOOKUP(C555,customers!$A$1:$A$1001,customers!$C$1:$C$1001,,0)=0,"",_xlfn.XLOOKUP(C555,customers!$A$1:$A$1001,customers!$C$1:$C$1001,,0))</f>
        <v/>
      </c>
      <c r="H555" s="2" t="str">
        <f>_xlfn.XLOOKUP(C555,customers!$A$1:$A$1001,customers!$G$1:$G$1001,,0)</f>
        <v>United States</v>
      </c>
      <c r="I555" t="str">
        <f>INDEX(products!$A$1:$G$49, MATCH(orders!$D371,products!$A$1:$A418,0), MATCH(orders!I$1,products!$A$1:$G$1,0))</f>
        <v>Exc</v>
      </c>
      <c r="J555" t="str">
        <f>INDEX(products!$A$1:$G$49, MATCH(orders!$D371,products!$A$1:$A418,0), MATCH(orders!J$1,products!$A$1:$G$1,0))</f>
        <v>L</v>
      </c>
      <c r="K555" s="5">
        <f>INDEX(products!$A$1:$G$49, MATCH(orders!$D371,products!$A$1:$A418,0), MATCH(orders!K$1,products!$A$1:$G$1,0))</f>
        <v>0.5</v>
      </c>
      <c r="L555" s="6">
        <f>INDEX(products!$A$1:$G$49, MATCH(orders!$D371,products!$A$1:$A418,0), MATCH(orders!L$1,products!$A$1:$G$1,0))</f>
        <v>8.91</v>
      </c>
      <c r="M555" s="6">
        <f t="shared" si="24"/>
        <v>8.91</v>
      </c>
      <c r="N555" t="str">
        <f t="shared" si="25"/>
        <v>Excelsa</v>
      </c>
      <c r="O555" t="str">
        <f t="shared" si="26"/>
        <v>Light</v>
      </c>
      <c r="P555" t="str">
        <f>_xlfn.XLOOKUP(Orders[[#This Row],[Customer ID]],customers!$A$1:$A$1001,customers!$I$1:$I$1001,,0)</f>
        <v>Yes</v>
      </c>
      <c r="Q555">
        <f>COUNTIF(Orders[Order ID],Orders[[#This Row],[Order ID]])</f>
        <v>1</v>
      </c>
      <c r="R555" s="10">
        <f>SUMIF(Orders[Order ID], Orders[[#This Row],[Order ID]],Orders[Sales])/Orders[[#This Row],[Order Frequency]]</f>
        <v>8.91</v>
      </c>
      <c r="S555" t="str">
        <f>IF(Orders[[#This Row],[Order Frequency]]&gt;4, "More than 4", IF(AND(Orders[[#This Row],[Order Frequency]]&lt;=4,Orders[[#This Row],[Order Frequency]]&gt;=2), "Between 4 and 2", "Less than 2"))</f>
        <v>Less than 2</v>
      </c>
      <c r="T555" t="str">
        <f>IF(Orders[[#This Row],[Frequency Group]]="less than 2", "Low Value", IF(Orders[[#This Row],[Frequency Group]]="between 4 and 2", "Medium Value", "High Value"))</f>
        <v>Low Value</v>
      </c>
      <c r="U555" t="str">
        <f>IF(Orders[[#This Row],[Sales]]&lt;50, "$0-50", IF(AND(Orders[[#This Row],[Sales]]&gt;=50,Orders[[#This Row],[Sales]]&lt;=100), "$50-100", IF(AND(Orders[[#This Row],[Sales]]&gt;100,Orders[[#This Row],[Sales]]&lt;=150), "$101-150", "$150+")))</f>
        <v>$0-50</v>
      </c>
      <c r="V555" t="str">
        <f>IF(Orders[[#This Row],[Sales]]&gt;MEDIAN(M:M), "High Price", "Low Price")</f>
        <v>Low Price</v>
      </c>
      <c r="W555" t="str">
        <f>IF(Orders[[#This Row],[Quantity]]&gt;MEDIAN(E:E), "High Volume", "Low Volume")</f>
        <v>Low Volume</v>
      </c>
      <c r="X555" t="str">
        <f>Orders[[#This Row],[Sales Tier]] &amp; "-" &amp; Orders[[#This Row],[Quantity Tier]]</f>
        <v>Low Price-Low Volume</v>
      </c>
      <c r="Y555" t="str">
        <f>TEXT(Orders[[#This Row],[Order Date]], "mmmm")</f>
        <v>February</v>
      </c>
      <c r="Z55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555" t="str">
        <f>Orders[[#This Row],[Coffee Type Name]] &amp; "-" &amp; Orders[[#This Row],[Roast Type Name]]</f>
        <v>Excelsa-Light</v>
      </c>
      <c r="AB55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556" spans="1:28" x14ac:dyDescent="0.25">
      <c r="A556" s="2" t="s">
        <v>3955</v>
      </c>
      <c r="B556" s="4">
        <v>43944</v>
      </c>
      <c r="C556" s="2" t="s">
        <v>3840</v>
      </c>
      <c r="D556" t="s">
        <v>6146</v>
      </c>
      <c r="E556" s="2">
        <v>5</v>
      </c>
      <c r="F556" s="2" t="str">
        <f>_xlfn.XLOOKUP(C556,customers!$A$1:$A$1001,customers!$B$1:$B$1001,,0)</f>
        <v>Cody Verissimo</v>
      </c>
      <c r="G556" s="2" t="str">
        <f>IF(_xlfn.XLOOKUP(C556,customers!$A$1:$A$1001,customers!$C$1:$C$1001,,0)=0,"",_xlfn.XLOOKUP(C556,customers!$A$1:$A$1001,customers!$C$1:$C$1001,,0))</f>
        <v>cverissimogh@theglobeandmail.com</v>
      </c>
      <c r="H556" s="2" t="str">
        <f>_xlfn.XLOOKUP(C556,customers!$A$1:$A$1001,customers!$G$1:$G$1001,,0)</f>
        <v>United Kingdom</v>
      </c>
      <c r="I556" t="str">
        <f>INDEX(products!$A$1:$G$49, MATCH(orders!$D616,products!$A$1:$A663,0), MATCH(orders!I$1,products!$A$1:$G$1,0))</f>
        <v>Rob</v>
      </c>
      <c r="J556" t="str">
        <f>INDEX(products!$A$1:$G$49, MATCH(orders!$D616,products!$A$1:$A663,0), MATCH(orders!J$1,products!$A$1:$G$1,0))</f>
        <v>M</v>
      </c>
      <c r="K556" s="5">
        <f>INDEX(products!$A$1:$G$49, MATCH(orders!$D616,products!$A$1:$A663,0), MATCH(orders!K$1,products!$A$1:$G$1,0))</f>
        <v>0.5</v>
      </c>
      <c r="L556" s="6">
        <f>INDEX(products!$A$1:$G$49, MATCH(orders!$D616,products!$A$1:$A663,0), MATCH(orders!L$1,products!$A$1:$G$1,0))</f>
        <v>5.97</v>
      </c>
      <c r="M556" s="6">
        <f t="shared" si="24"/>
        <v>29.849999999999998</v>
      </c>
      <c r="N556" t="str">
        <f t="shared" si="25"/>
        <v>Robusta</v>
      </c>
      <c r="O556" t="str">
        <f t="shared" si="26"/>
        <v>Medium</v>
      </c>
      <c r="P556" t="str">
        <f>_xlfn.XLOOKUP(Orders[[#This Row],[Customer ID]],customers!$A$1:$A$1001,customers!$I$1:$I$1001,,0)</f>
        <v>Yes</v>
      </c>
      <c r="Q556">
        <f>COUNTIF(Orders[Order ID],Orders[[#This Row],[Order ID]])</f>
        <v>1</v>
      </c>
      <c r="R556" s="10">
        <f>SUMIF(Orders[Order ID], Orders[[#This Row],[Order ID]],Orders[Sales])/Orders[[#This Row],[Order Frequency]]</f>
        <v>29.849999999999998</v>
      </c>
      <c r="S556" t="str">
        <f>IF(Orders[[#This Row],[Order Frequency]]&gt;4, "More than 4", IF(AND(Orders[[#This Row],[Order Frequency]]&lt;=4,Orders[[#This Row],[Order Frequency]]&gt;=2), "Between 4 and 2", "Less than 2"))</f>
        <v>Less than 2</v>
      </c>
      <c r="T556" t="str">
        <f>IF(Orders[[#This Row],[Frequency Group]]="less than 2", "Low Value", IF(Orders[[#This Row],[Frequency Group]]="between 4 and 2", "Medium Value", "High Value"))</f>
        <v>Low Value</v>
      </c>
      <c r="U556" t="str">
        <f>IF(Orders[[#This Row],[Sales]]&lt;50, "$0-50", IF(AND(Orders[[#This Row],[Sales]]&gt;=50,Orders[[#This Row],[Sales]]&lt;=100), "$50-100", IF(AND(Orders[[#This Row],[Sales]]&gt;100,Orders[[#This Row],[Sales]]&lt;=150), "$101-150", "$150+")))</f>
        <v>$0-50</v>
      </c>
      <c r="V556" t="str">
        <f>IF(Orders[[#This Row],[Sales]]&gt;MEDIAN(M:M), "High Price", "Low Price")</f>
        <v>High Price</v>
      </c>
      <c r="W556" t="str">
        <f>IF(Orders[[#This Row],[Quantity]]&gt;MEDIAN(E:E), "High Volume", "Low Volume")</f>
        <v>High Volume</v>
      </c>
      <c r="X556" t="str">
        <f>Orders[[#This Row],[Sales Tier]] &amp; "-" &amp; Orders[[#This Row],[Quantity Tier]]</f>
        <v>High Price-High Volume</v>
      </c>
      <c r="Y556" t="str">
        <f>TEXT(Orders[[#This Row],[Order Date]], "mmmm")</f>
        <v>April</v>
      </c>
      <c r="Z55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556" t="str">
        <f>Orders[[#This Row],[Coffee Type Name]] &amp; "-" &amp; Orders[[#This Row],[Roast Type Name]]</f>
        <v>Robusta-Medium</v>
      </c>
      <c r="AB55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557" spans="1:28" x14ac:dyDescent="0.25">
      <c r="A557" s="2" t="s">
        <v>3611</v>
      </c>
      <c r="B557" s="4">
        <v>43761</v>
      </c>
      <c r="C557" s="2" t="s">
        <v>3612</v>
      </c>
      <c r="D557" t="s">
        <v>6184</v>
      </c>
      <c r="E557" s="2">
        <v>4</v>
      </c>
      <c r="F557" s="2" t="str">
        <f>_xlfn.XLOOKUP(C557,customers!$A$1:$A$1001,customers!$B$1:$B$1001,,0)</f>
        <v>Granville Alberts</v>
      </c>
      <c r="G557" s="2" t="str">
        <f>IF(_xlfn.XLOOKUP(C557,customers!$A$1:$A$1001,customers!$C$1:$C$1001,,0)=0,"",_xlfn.XLOOKUP(C557,customers!$A$1:$A$1001,customers!$C$1:$C$1001,,0))</f>
        <v>galbertsfc@etsy.com</v>
      </c>
      <c r="H557" s="2" t="str">
        <f>_xlfn.XLOOKUP(C557,customers!$A$1:$A$1001,customers!$G$1:$G$1001,,0)</f>
        <v>United Kingdom</v>
      </c>
      <c r="I557" t="str">
        <f>INDEX(products!$A$1:$G$49, MATCH(orders!$D554,products!$A$1:$A601,0), MATCH(orders!I$1,products!$A$1:$G$1,0))</f>
        <v>Exc</v>
      </c>
      <c r="J557" t="str">
        <f>INDEX(products!$A$1:$G$49, MATCH(orders!$D554,products!$A$1:$A601,0), MATCH(orders!J$1,products!$A$1:$G$1,0))</f>
        <v>L</v>
      </c>
      <c r="K557" s="5">
        <f>INDEX(products!$A$1:$G$49, MATCH(orders!$D554,products!$A$1:$A601,0), MATCH(orders!K$1,products!$A$1:$G$1,0))</f>
        <v>0.2</v>
      </c>
      <c r="L557" s="6">
        <f>INDEX(products!$A$1:$G$49, MATCH(orders!$D554,products!$A$1:$A601,0), MATCH(orders!L$1,products!$A$1:$G$1,0))</f>
        <v>4.4550000000000001</v>
      </c>
      <c r="M557" s="6">
        <f t="shared" si="24"/>
        <v>17.82</v>
      </c>
      <c r="N557" t="str">
        <f t="shared" si="25"/>
        <v>Excelsa</v>
      </c>
      <c r="O557" t="str">
        <f t="shared" si="26"/>
        <v>Light</v>
      </c>
      <c r="P557" t="str">
        <f>_xlfn.XLOOKUP(Orders[[#This Row],[Customer ID]],customers!$A$1:$A$1001,customers!$I$1:$I$1001,,0)</f>
        <v>Yes</v>
      </c>
      <c r="Q557">
        <f>COUNTIF(Orders[Order ID],Orders[[#This Row],[Order ID]])</f>
        <v>1</v>
      </c>
      <c r="R557" s="10">
        <f>SUMIF(Orders[Order ID], Orders[[#This Row],[Order ID]],Orders[Sales])/Orders[[#This Row],[Order Frequency]]</f>
        <v>17.82</v>
      </c>
      <c r="S557" t="str">
        <f>IF(Orders[[#This Row],[Order Frequency]]&gt;4, "More than 4", IF(AND(Orders[[#This Row],[Order Frequency]]&lt;=4,Orders[[#This Row],[Order Frequency]]&gt;=2), "Between 4 and 2", "Less than 2"))</f>
        <v>Less than 2</v>
      </c>
      <c r="T557" t="str">
        <f>IF(Orders[[#This Row],[Frequency Group]]="less than 2", "Low Value", IF(Orders[[#This Row],[Frequency Group]]="between 4 and 2", "Medium Value", "High Value"))</f>
        <v>Low Value</v>
      </c>
      <c r="U557" t="str">
        <f>IF(Orders[[#This Row],[Sales]]&lt;50, "$0-50", IF(AND(Orders[[#This Row],[Sales]]&gt;=50,Orders[[#This Row],[Sales]]&lt;=100), "$50-100", IF(AND(Orders[[#This Row],[Sales]]&gt;100,Orders[[#This Row],[Sales]]&lt;=150), "$101-150", "$150+")))</f>
        <v>$0-50</v>
      </c>
      <c r="V557" t="str">
        <f>IF(Orders[[#This Row],[Sales]]&gt;MEDIAN(M:M), "High Price", "Low Price")</f>
        <v>Low Price</v>
      </c>
      <c r="W557" t="str">
        <f>IF(Orders[[#This Row],[Quantity]]&gt;MEDIAN(E:E), "High Volume", "Low Volume")</f>
        <v>Low Volume</v>
      </c>
      <c r="X557" t="str">
        <f>Orders[[#This Row],[Sales Tier]] &amp; "-" &amp; Orders[[#This Row],[Quantity Tier]]</f>
        <v>Low Price-Low Volume</v>
      </c>
      <c r="Y557" t="str">
        <f>TEXT(Orders[[#This Row],[Order Date]], "mmmm")</f>
        <v>October</v>
      </c>
      <c r="Z55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557" t="str">
        <f>Orders[[#This Row],[Coffee Type Name]] &amp; "-" &amp; Orders[[#This Row],[Roast Type Name]]</f>
        <v>Excelsa-Light</v>
      </c>
      <c r="AB55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558" spans="1:28" x14ac:dyDescent="0.25">
      <c r="A558" s="2" t="s">
        <v>5725</v>
      </c>
      <c r="B558" s="4">
        <v>44012</v>
      </c>
      <c r="C558" s="2" t="s">
        <v>5726</v>
      </c>
      <c r="D558" t="s">
        <v>6157</v>
      </c>
      <c r="E558" s="2">
        <v>5</v>
      </c>
      <c r="F558" s="2" t="str">
        <f>_xlfn.XLOOKUP(C558,customers!$A$1:$A$1001,customers!$B$1:$B$1001,,0)</f>
        <v>Evy Wilsone</v>
      </c>
      <c r="G558" s="2" t="str">
        <f>IF(_xlfn.XLOOKUP(C558,customers!$A$1:$A$1001,customers!$C$1:$C$1001,,0)=0,"",_xlfn.XLOOKUP(C558,customers!$A$1:$A$1001,customers!$C$1:$C$1001,,0))</f>
        <v>ewilsonepq@eepurl.com</v>
      </c>
      <c r="H558" s="2" t="str">
        <f>_xlfn.XLOOKUP(C558,customers!$A$1:$A$1001,customers!$G$1:$G$1001,,0)</f>
        <v>United States</v>
      </c>
      <c r="I558" t="str">
        <f>INDEX(products!$A$1:$G$49, MATCH(orders!$D928,products!$A$1:$A975,0), MATCH(orders!I$1,products!$A$1:$G$1,0))</f>
        <v>Ara</v>
      </c>
      <c r="J558" t="str">
        <f>INDEX(products!$A$1:$G$49, MATCH(orders!$D928,products!$A$1:$A975,0), MATCH(orders!J$1,products!$A$1:$G$1,0))</f>
        <v>M</v>
      </c>
      <c r="K558" s="5">
        <f>INDEX(products!$A$1:$G$49, MATCH(orders!$D928,products!$A$1:$A975,0), MATCH(orders!K$1,products!$A$1:$G$1,0))</f>
        <v>0.5</v>
      </c>
      <c r="L558" s="6">
        <f>INDEX(products!$A$1:$G$49, MATCH(orders!$D928,products!$A$1:$A975,0), MATCH(orders!L$1,products!$A$1:$G$1,0))</f>
        <v>6.75</v>
      </c>
      <c r="M558" s="6">
        <f t="shared" si="24"/>
        <v>33.75</v>
      </c>
      <c r="N558" t="str">
        <f t="shared" si="25"/>
        <v>Arabica</v>
      </c>
      <c r="O558" t="str">
        <f t="shared" si="26"/>
        <v>Medium</v>
      </c>
      <c r="P558" t="str">
        <f>_xlfn.XLOOKUP(Orders[[#This Row],[Customer ID]],customers!$A$1:$A$1001,customers!$I$1:$I$1001,,0)</f>
        <v>Yes</v>
      </c>
      <c r="Q558">
        <f>COUNTIF(Orders[Order ID],Orders[[#This Row],[Order ID]])</f>
        <v>1</v>
      </c>
      <c r="R558" s="10">
        <f>SUMIF(Orders[Order ID], Orders[[#This Row],[Order ID]],Orders[Sales])/Orders[[#This Row],[Order Frequency]]</f>
        <v>33.75</v>
      </c>
      <c r="S558" t="str">
        <f>IF(Orders[[#This Row],[Order Frequency]]&gt;4, "More than 4", IF(AND(Orders[[#This Row],[Order Frequency]]&lt;=4,Orders[[#This Row],[Order Frequency]]&gt;=2), "Between 4 and 2", "Less than 2"))</f>
        <v>Less than 2</v>
      </c>
      <c r="T558" t="str">
        <f>IF(Orders[[#This Row],[Frequency Group]]="less than 2", "Low Value", IF(Orders[[#This Row],[Frequency Group]]="between 4 and 2", "Medium Value", "High Value"))</f>
        <v>Low Value</v>
      </c>
      <c r="U558" t="str">
        <f>IF(Orders[[#This Row],[Sales]]&lt;50, "$0-50", IF(AND(Orders[[#This Row],[Sales]]&gt;=50,Orders[[#This Row],[Sales]]&lt;=100), "$50-100", IF(AND(Orders[[#This Row],[Sales]]&gt;100,Orders[[#This Row],[Sales]]&lt;=150), "$101-150", "$150+")))</f>
        <v>$0-50</v>
      </c>
      <c r="V558" t="str">
        <f>IF(Orders[[#This Row],[Sales]]&gt;MEDIAN(M:M), "High Price", "Low Price")</f>
        <v>High Price</v>
      </c>
      <c r="W558" t="str">
        <f>IF(Orders[[#This Row],[Quantity]]&gt;MEDIAN(E:E), "High Volume", "Low Volume")</f>
        <v>High Volume</v>
      </c>
      <c r="X558" t="str">
        <f>Orders[[#This Row],[Sales Tier]] &amp; "-" &amp; Orders[[#This Row],[Quantity Tier]]</f>
        <v>High Price-High Volume</v>
      </c>
      <c r="Y558" t="str">
        <f>TEXT(Orders[[#This Row],[Order Date]], "mmmm")</f>
        <v>June</v>
      </c>
      <c r="Z55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558" t="str">
        <f>Orders[[#This Row],[Coffee Type Name]] &amp; "-" &amp; Orders[[#This Row],[Roast Type Name]]</f>
        <v>Arabica-Medium</v>
      </c>
      <c r="AB55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559" spans="1:28" x14ac:dyDescent="0.25">
      <c r="A559" s="2" t="s">
        <v>3844</v>
      </c>
      <c r="B559" s="4">
        <v>43512</v>
      </c>
      <c r="C559" s="2" t="s">
        <v>3845</v>
      </c>
      <c r="D559" t="s">
        <v>6182</v>
      </c>
      <c r="E559" s="2">
        <v>2</v>
      </c>
      <c r="F559" s="2" t="str">
        <f>_xlfn.XLOOKUP(C559,customers!$A$1:$A$1001,customers!$B$1:$B$1001,,0)</f>
        <v>Gabriel Starcks</v>
      </c>
      <c r="G559" s="2" t="str">
        <f>IF(_xlfn.XLOOKUP(C559,customers!$A$1:$A$1001,customers!$C$1:$C$1001,,0)=0,"",_xlfn.XLOOKUP(C559,customers!$A$1:$A$1001,customers!$C$1:$C$1001,,0))</f>
        <v>gstarcksgi@abc.net.au</v>
      </c>
      <c r="H559" s="2" t="str">
        <f>_xlfn.XLOOKUP(C559,customers!$A$1:$A$1001,customers!$G$1:$G$1001,,0)</f>
        <v>United States</v>
      </c>
      <c r="I559" t="str">
        <f>INDEX(products!$A$1:$G$49, MATCH(orders!$D596,products!$A$1:$A643,0), MATCH(orders!I$1,products!$A$1:$G$1,0))</f>
        <v>Ara</v>
      </c>
      <c r="J559" t="str">
        <f>INDEX(products!$A$1:$G$49, MATCH(orders!$D596,products!$A$1:$A643,0), MATCH(orders!J$1,products!$A$1:$G$1,0))</f>
        <v>L</v>
      </c>
      <c r="K559" s="5">
        <f>INDEX(products!$A$1:$G$49, MATCH(orders!$D596,products!$A$1:$A643,0), MATCH(orders!K$1,products!$A$1:$G$1,0))</f>
        <v>2.5</v>
      </c>
      <c r="L559" s="6">
        <f>INDEX(products!$A$1:$G$49, MATCH(orders!$D596,products!$A$1:$A643,0), MATCH(orders!L$1,products!$A$1:$G$1,0))</f>
        <v>29.784999999999997</v>
      </c>
      <c r="M559" s="6">
        <f t="shared" si="24"/>
        <v>59.569999999999993</v>
      </c>
      <c r="N559" t="str">
        <f t="shared" si="25"/>
        <v>Arabica</v>
      </c>
      <c r="O559" t="str">
        <f t="shared" si="26"/>
        <v>Light</v>
      </c>
      <c r="P559" t="str">
        <f>_xlfn.XLOOKUP(Orders[[#This Row],[Customer ID]],customers!$A$1:$A$1001,customers!$I$1:$I$1001,,0)</f>
        <v>No</v>
      </c>
      <c r="Q559">
        <f>COUNTIF(Orders[Order ID],Orders[[#This Row],[Order ID]])</f>
        <v>1</v>
      </c>
      <c r="R559" s="10">
        <f>SUMIF(Orders[Order ID], Orders[[#This Row],[Order ID]],Orders[Sales])/Orders[[#This Row],[Order Frequency]]</f>
        <v>59.569999999999993</v>
      </c>
      <c r="S559" t="str">
        <f>IF(Orders[[#This Row],[Order Frequency]]&gt;4, "More than 4", IF(AND(Orders[[#This Row],[Order Frequency]]&lt;=4,Orders[[#This Row],[Order Frequency]]&gt;=2), "Between 4 and 2", "Less than 2"))</f>
        <v>Less than 2</v>
      </c>
      <c r="T559" t="str">
        <f>IF(Orders[[#This Row],[Frequency Group]]="less than 2", "Low Value", IF(Orders[[#This Row],[Frequency Group]]="between 4 and 2", "Medium Value", "High Value"))</f>
        <v>Low Value</v>
      </c>
      <c r="U559" t="str">
        <f>IF(Orders[[#This Row],[Sales]]&lt;50, "$0-50", IF(AND(Orders[[#This Row],[Sales]]&gt;=50,Orders[[#This Row],[Sales]]&lt;=100), "$50-100", IF(AND(Orders[[#This Row],[Sales]]&gt;100,Orders[[#This Row],[Sales]]&lt;=150), "$101-150", "$150+")))</f>
        <v>$50-100</v>
      </c>
      <c r="V559" t="str">
        <f>IF(Orders[[#This Row],[Sales]]&gt;MEDIAN(M:M), "High Price", "Low Price")</f>
        <v>High Price</v>
      </c>
      <c r="W559" t="str">
        <f>IF(Orders[[#This Row],[Quantity]]&gt;MEDIAN(E:E), "High Volume", "Low Volume")</f>
        <v>Low Volume</v>
      </c>
      <c r="X559" t="str">
        <f>Orders[[#This Row],[Sales Tier]] &amp; "-" &amp; Orders[[#This Row],[Quantity Tier]]</f>
        <v>High Price-Low Volume</v>
      </c>
      <c r="Y559" t="str">
        <f>TEXT(Orders[[#This Row],[Order Date]], "mmmm")</f>
        <v>February</v>
      </c>
      <c r="Z55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559" t="str">
        <f>Orders[[#This Row],[Coffee Type Name]] &amp; "-" &amp; Orders[[#This Row],[Roast Type Name]]</f>
        <v>Arabica-Light</v>
      </c>
      <c r="AB55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560" spans="1:28" x14ac:dyDescent="0.25">
      <c r="A560" s="2" t="s">
        <v>5780</v>
      </c>
      <c r="B560" s="4">
        <v>44493</v>
      </c>
      <c r="C560" s="2" t="s">
        <v>5781</v>
      </c>
      <c r="D560" t="s">
        <v>6169</v>
      </c>
      <c r="E560" s="2">
        <v>3</v>
      </c>
      <c r="F560" s="2" t="str">
        <f>_xlfn.XLOOKUP(C560,customers!$A$1:$A$1001,customers!$B$1:$B$1001,,0)</f>
        <v>Devland Gritton</v>
      </c>
      <c r="G560" s="2" t="str">
        <f>IF(_xlfn.XLOOKUP(C560,customers!$A$1:$A$1001,customers!$C$1:$C$1001,,0)=0,"",_xlfn.XLOOKUP(C560,customers!$A$1:$A$1001,customers!$C$1:$C$1001,,0))</f>
        <v>dgrittonq0@nydailynews.com</v>
      </c>
      <c r="H560" s="2" t="str">
        <f>_xlfn.XLOOKUP(C560,customers!$A$1:$A$1001,customers!$G$1:$G$1001,,0)</f>
        <v>United States</v>
      </c>
      <c r="I560" t="str">
        <f>INDEX(products!$A$1:$G$49, MATCH(orders!$D938,products!$A$1:$A985,0), MATCH(orders!I$1,products!$A$1:$G$1,0))</f>
        <v>Lib</v>
      </c>
      <c r="J560" t="str">
        <f>INDEX(products!$A$1:$G$49, MATCH(orders!$D938,products!$A$1:$A985,0), MATCH(orders!J$1,products!$A$1:$G$1,0))</f>
        <v>D</v>
      </c>
      <c r="K560" s="5">
        <f>INDEX(products!$A$1:$G$49, MATCH(orders!$D938,products!$A$1:$A985,0), MATCH(orders!K$1,products!$A$1:$G$1,0))</f>
        <v>0.5</v>
      </c>
      <c r="L560" s="6">
        <f>INDEX(products!$A$1:$G$49, MATCH(orders!$D938,products!$A$1:$A985,0), MATCH(orders!L$1,products!$A$1:$G$1,0))</f>
        <v>7.77</v>
      </c>
      <c r="M560" s="6">
        <f t="shared" si="24"/>
        <v>23.31</v>
      </c>
      <c r="N560" t="str">
        <f t="shared" si="25"/>
        <v>Liberica</v>
      </c>
      <c r="O560" t="str">
        <f t="shared" si="26"/>
        <v>Dark</v>
      </c>
      <c r="P560" t="str">
        <f>_xlfn.XLOOKUP(Orders[[#This Row],[Customer ID]],customers!$A$1:$A$1001,customers!$I$1:$I$1001,,0)</f>
        <v>Yes</v>
      </c>
      <c r="Q560">
        <f>COUNTIF(Orders[Order ID],Orders[[#This Row],[Order ID]])</f>
        <v>2</v>
      </c>
      <c r="R560" s="10">
        <f>SUMIF(Orders[Order ID], Orders[[#This Row],[Order ID]],Orders[Sales])/Orders[[#This Row],[Order Frequency]]</f>
        <v>57.424999999999997</v>
      </c>
      <c r="S560" t="str">
        <f>IF(Orders[[#This Row],[Order Frequency]]&gt;4, "More than 4", IF(AND(Orders[[#This Row],[Order Frequency]]&lt;=4,Orders[[#This Row],[Order Frequency]]&gt;=2), "Between 4 and 2", "Less than 2"))</f>
        <v>Between 4 and 2</v>
      </c>
      <c r="T560" t="str">
        <f>IF(Orders[[#This Row],[Frequency Group]]="less than 2", "Low Value", IF(Orders[[#This Row],[Frequency Group]]="between 4 and 2", "Medium Value", "High Value"))</f>
        <v>Medium Value</v>
      </c>
      <c r="U560" t="str">
        <f>IF(Orders[[#This Row],[Sales]]&lt;50, "$0-50", IF(AND(Orders[[#This Row],[Sales]]&gt;=50,Orders[[#This Row],[Sales]]&lt;=100), "$50-100", IF(AND(Orders[[#This Row],[Sales]]&gt;100,Orders[[#This Row],[Sales]]&lt;=150), "$101-150", "$150+")))</f>
        <v>$0-50</v>
      </c>
      <c r="V560" t="str">
        <f>IF(Orders[[#This Row],[Sales]]&gt;MEDIAN(M:M), "High Price", "Low Price")</f>
        <v>Low Price</v>
      </c>
      <c r="W560" t="str">
        <f>IF(Orders[[#This Row],[Quantity]]&gt;MEDIAN(E:E), "High Volume", "Low Volume")</f>
        <v>Low Volume</v>
      </c>
      <c r="X560" t="str">
        <f>Orders[[#This Row],[Sales Tier]] &amp; "-" &amp; Orders[[#This Row],[Quantity Tier]]</f>
        <v>Low Price-Low Volume</v>
      </c>
      <c r="Y560" t="str">
        <f>TEXT(Orders[[#This Row],[Order Date]], "mmmm")</f>
        <v>October</v>
      </c>
      <c r="Z56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560" t="str">
        <f>Orders[[#This Row],[Coffee Type Name]] &amp; "-" &amp; Orders[[#This Row],[Roast Type Name]]</f>
        <v>Liberica-Dark</v>
      </c>
      <c r="AB56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561" spans="1:28" x14ac:dyDescent="0.25">
      <c r="A561" s="2" t="s">
        <v>5780</v>
      </c>
      <c r="B561" s="4">
        <v>44493</v>
      </c>
      <c r="C561" s="2" t="s">
        <v>5781</v>
      </c>
      <c r="D561" t="s">
        <v>6151</v>
      </c>
      <c r="E561" s="2">
        <v>4</v>
      </c>
      <c r="F561" s="2" t="str">
        <f>_xlfn.XLOOKUP(C561,customers!$A$1:$A$1001,customers!$B$1:$B$1001,,0)</f>
        <v>Devland Gritton</v>
      </c>
      <c r="G561" s="2" t="str">
        <f>IF(_xlfn.XLOOKUP(C561,customers!$A$1:$A$1001,customers!$C$1:$C$1001,,0)=0,"",_xlfn.XLOOKUP(C561,customers!$A$1:$A$1001,customers!$C$1:$C$1001,,0))</f>
        <v>dgrittonq0@nydailynews.com</v>
      </c>
      <c r="H561" s="2" t="str">
        <f>_xlfn.XLOOKUP(C561,customers!$A$1:$A$1001,customers!$G$1:$G$1001,,0)</f>
        <v>United States</v>
      </c>
      <c r="I561" t="str">
        <f>INDEX(products!$A$1:$G$49, MATCH(orders!$D939,products!$A$1:$A986,0), MATCH(orders!I$1,products!$A$1:$G$1,0))</f>
        <v>Rob</v>
      </c>
      <c r="J561" t="str">
        <f>INDEX(products!$A$1:$G$49, MATCH(orders!$D939,products!$A$1:$A986,0), MATCH(orders!J$1,products!$A$1:$G$1,0))</f>
        <v>M</v>
      </c>
      <c r="K561" s="5">
        <f>INDEX(products!$A$1:$G$49, MATCH(orders!$D939,products!$A$1:$A986,0), MATCH(orders!K$1,products!$A$1:$G$1,0))</f>
        <v>2.5</v>
      </c>
      <c r="L561" s="6">
        <f>INDEX(products!$A$1:$G$49, MATCH(orders!$D939,products!$A$1:$A986,0), MATCH(orders!L$1,products!$A$1:$G$1,0))</f>
        <v>22.884999999999998</v>
      </c>
      <c r="M561" s="6">
        <f t="shared" si="24"/>
        <v>91.539999999999992</v>
      </c>
      <c r="N561" t="str">
        <f t="shared" si="25"/>
        <v>Robusta</v>
      </c>
      <c r="O561" t="str">
        <f t="shared" si="26"/>
        <v>Medium</v>
      </c>
      <c r="P561" t="str">
        <f>_xlfn.XLOOKUP(Orders[[#This Row],[Customer ID]],customers!$A$1:$A$1001,customers!$I$1:$I$1001,,0)</f>
        <v>Yes</v>
      </c>
      <c r="Q561">
        <f>COUNTIF(Orders[Order ID],Orders[[#This Row],[Order ID]])</f>
        <v>2</v>
      </c>
      <c r="R561" s="10">
        <f>SUMIF(Orders[Order ID], Orders[[#This Row],[Order ID]],Orders[Sales])/Orders[[#This Row],[Order Frequency]]</f>
        <v>57.424999999999997</v>
      </c>
      <c r="S561" t="str">
        <f>IF(Orders[[#This Row],[Order Frequency]]&gt;4, "More than 4", IF(AND(Orders[[#This Row],[Order Frequency]]&lt;=4,Orders[[#This Row],[Order Frequency]]&gt;=2), "Between 4 and 2", "Less than 2"))</f>
        <v>Between 4 and 2</v>
      </c>
      <c r="T561" t="str">
        <f>IF(Orders[[#This Row],[Frequency Group]]="less than 2", "Low Value", IF(Orders[[#This Row],[Frequency Group]]="between 4 and 2", "Medium Value", "High Value"))</f>
        <v>Medium Value</v>
      </c>
      <c r="U561" t="str">
        <f>IF(Orders[[#This Row],[Sales]]&lt;50, "$0-50", IF(AND(Orders[[#This Row],[Sales]]&gt;=50,Orders[[#This Row],[Sales]]&lt;=100), "$50-100", IF(AND(Orders[[#This Row],[Sales]]&gt;100,Orders[[#This Row],[Sales]]&lt;=150), "$101-150", "$150+")))</f>
        <v>$50-100</v>
      </c>
      <c r="V561" t="str">
        <f>IF(Orders[[#This Row],[Sales]]&gt;MEDIAN(M:M), "High Price", "Low Price")</f>
        <v>High Price</v>
      </c>
      <c r="W561" t="str">
        <f>IF(Orders[[#This Row],[Quantity]]&gt;MEDIAN(E:E), "High Volume", "Low Volume")</f>
        <v>Low Volume</v>
      </c>
      <c r="X561" t="str">
        <f>Orders[[#This Row],[Sales Tier]] &amp; "-" &amp; Orders[[#This Row],[Quantity Tier]]</f>
        <v>High Price-Low Volume</v>
      </c>
      <c r="Y561" t="str">
        <f>TEXT(Orders[[#This Row],[Order Date]], "mmmm")</f>
        <v>October</v>
      </c>
      <c r="Z56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561" t="str">
        <f>Orders[[#This Row],[Coffee Type Name]] &amp; "-" &amp; Orders[[#This Row],[Roast Type Name]]</f>
        <v>Robusta-Medium</v>
      </c>
      <c r="AB56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562" spans="1:28" x14ac:dyDescent="0.25">
      <c r="A562" s="2" t="s">
        <v>5421</v>
      </c>
      <c r="B562" s="4">
        <v>43521</v>
      </c>
      <c r="C562" s="2" t="s">
        <v>5422</v>
      </c>
      <c r="D562" t="s">
        <v>6155</v>
      </c>
      <c r="E562" s="2">
        <v>2</v>
      </c>
      <c r="F562" s="2" t="str">
        <f>_xlfn.XLOOKUP(C562,customers!$A$1:$A$1001,customers!$B$1:$B$1001,,0)</f>
        <v>Claudie Weond</v>
      </c>
      <c r="G562" s="2" t="str">
        <f>IF(_xlfn.XLOOKUP(C562,customers!$A$1:$A$1001,customers!$C$1:$C$1001,,0)=0,"",_xlfn.XLOOKUP(C562,customers!$A$1:$A$1001,customers!$C$1:$C$1001,,0))</f>
        <v>cweondo8@theglobeandmail.com</v>
      </c>
      <c r="H562" s="2" t="str">
        <f>_xlfn.XLOOKUP(C562,customers!$A$1:$A$1001,customers!$G$1:$G$1001,,0)</f>
        <v>United States</v>
      </c>
      <c r="I562" t="str">
        <f>INDEX(products!$A$1:$G$49, MATCH(orders!$D874,products!$A$1:$A921,0), MATCH(orders!I$1,products!$A$1:$G$1,0))</f>
        <v>Ara</v>
      </c>
      <c r="J562" t="str">
        <f>INDEX(products!$A$1:$G$49, MATCH(orders!$D874,products!$A$1:$A921,0), MATCH(orders!J$1,products!$A$1:$G$1,0))</f>
        <v>M</v>
      </c>
      <c r="K562" s="5">
        <f>INDEX(products!$A$1:$G$49, MATCH(orders!$D874,products!$A$1:$A921,0), MATCH(orders!K$1,products!$A$1:$G$1,0))</f>
        <v>1</v>
      </c>
      <c r="L562" s="6">
        <f>INDEX(products!$A$1:$G$49, MATCH(orders!$D874,products!$A$1:$A921,0), MATCH(orders!L$1,products!$A$1:$G$1,0))</f>
        <v>11.25</v>
      </c>
      <c r="M562" s="6">
        <f t="shared" si="24"/>
        <v>22.5</v>
      </c>
      <c r="N562" t="str">
        <f t="shared" si="25"/>
        <v>Arabica</v>
      </c>
      <c r="O562" t="str">
        <f t="shared" si="26"/>
        <v>Medium</v>
      </c>
      <c r="P562" t="str">
        <f>_xlfn.XLOOKUP(Orders[[#This Row],[Customer ID]],customers!$A$1:$A$1001,customers!$I$1:$I$1001,,0)</f>
        <v>No</v>
      </c>
      <c r="Q562">
        <f>COUNTIF(Orders[Order ID],Orders[[#This Row],[Order ID]])</f>
        <v>1</v>
      </c>
      <c r="R562" s="10">
        <f>SUMIF(Orders[Order ID], Orders[[#This Row],[Order ID]],Orders[Sales])/Orders[[#This Row],[Order Frequency]]</f>
        <v>22.5</v>
      </c>
      <c r="S562" t="str">
        <f>IF(Orders[[#This Row],[Order Frequency]]&gt;4, "More than 4", IF(AND(Orders[[#This Row],[Order Frequency]]&lt;=4,Orders[[#This Row],[Order Frequency]]&gt;=2), "Between 4 and 2", "Less than 2"))</f>
        <v>Less than 2</v>
      </c>
      <c r="T562" t="str">
        <f>IF(Orders[[#This Row],[Frequency Group]]="less than 2", "Low Value", IF(Orders[[#This Row],[Frequency Group]]="between 4 and 2", "Medium Value", "High Value"))</f>
        <v>Low Value</v>
      </c>
      <c r="U562" t="str">
        <f>IF(Orders[[#This Row],[Sales]]&lt;50, "$0-50", IF(AND(Orders[[#This Row],[Sales]]&gt;=50,Orders[[#This Row],[Sales]]&lt;=100), "$50-100", IF(AND(Orders[[#This Row],[Sales]]&gt;100,Orders[[#This Row],[Sales]]&lt;=150), "$101-150", "$150+")))</f>
        <v>$0-50</v>
      </c>
      <c r="V562" t="str">
        <f>IF(Orders[[#This Row],[Sales]]&gt;MEDIAN(M:M), "High Price", "Low Price")</f>
        <v>Low Price</v>
      </c>
      <c r="W562" t="str">
        <f>IF(Orders[[#This Row],[Quantity]]&gt;MEDIAN(E:E), "High Volume", "Low Volume")</f>
        <v>Low Volume</v>
      </c>
      <c r="X562" t="str">
        <f>Orders[[#This Row],[Sales Tier]] &amp; "-" &amp; Orders[[#This Row],[Quantity Tier]]</f>
        <v>Low Price-Low Volume</v>
      </c>
      <c r="Y562" t="str">
        <f>TEXT(Orders[[#This Row],[Order Date]], "mmmm")</f>
        <v>February</v>
      </c>
      <c r="Z56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562" t="str">
        <f>Orders[[#This Row],[Coffee Type Name]] &amp; "-" &amp; Orders[[#This Row],[Roast Type Name]]</f>
        <v>Arabica-Medium</v>
      </c>
      <c r="AB56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563" spans="1:28" x14ac:dyDescent="0.25">
      <c r="A563" s="2" t="s">
        <v>1648</v>
      </c>
      <c r="B563" s="4">
        <v>44211</v>
      </c>
      <c r="C563" s="2" t="s">
        <v>1649</v>
      </c>
      <c r="D563" t="s">
        <v>6155</v>
      </c>
      <c r="E563" s="2">
        <v>2</v>
      </c>
      <c r="F563" s="2" t="str">
        <f>_xlfn.XLOOKUP(C563,customers!$A$1:$A$1001,customers!$B$1:$B$1001,,0)</f>
        <v>Nertie Poolman</v>
      </c>
      <c r="G563" s="2" t="str">
        <f>IF(_xlfn.XLOOKUP(C563,customers!$A$1:$A$1001,customers!$C$1:$C$1001,,0)=0,"",_xlfn.XLOOKUP(C563,customers!$A$1:$A$1001,customers!$C$1:$C$1001,,0))</f>
        <v>npoolman5q@howstuffworks.com</v>
      </c>
      <c r="H563" s="2" t="str">
        <f>_xlfn.XLOOKUP(C563,customers!$A$1:$A$1001,customers!$G$1:$G$1001,,0)</f>
        <v>United States</v>
      </c>
      <c r="I563" t="str">
        <f>INDEX(products!$A$1:$G$49, MATCH(orders!$D208,products!$A$1:$A255,0), MATCH(orders!I$1,products!$A$1:$G$1,0))</f>
        <v>Ara</v>
      </c>
      <c r="J563" t="str">
        <f>INDEX(products!$A$1:$G$49, MATCH(orders!$D208,products!$A$1:$A255,0), MATCH(orders!J$1,products!$A$1:$G$1,0))</f>
        <v>M</v>
      </c>
      <c r="K563" s="5">
        <f>INDEX(products!$A$1:$G$49, MATCH(orders!$D208,products!$A$1:$A255,0), MATCH(orders!K$1,products!$A$1:$G$1,0))</f>
        <v>1</v>
      </c>
      <c r="L563" s="6">
        <f>INDEX(products!$A$1:$G$49, MATCH(orders!$D208,products!$A$1:$A255,0), MATCH(orders!L$1,products!$A$1:$G$1,0))</f>
        <v>11.25</v>
      </c>
      <c r="M563" s="6">
        <f t="shared" si="24"/>
        <v>22.5</v>
      </c>
      <c r="N563" t="str">
        <f t="shared" si="25"/>
        <v>Arabica</v>
      </c>
      <c r="O563" t="str">
        <f t="shared" si="26"/>
        <v>Medium</v>
      </c>
      <c r="P563" t="str">
        <f>_xlfn.XLOOKUP(Orders[[#This Row],[Customer ID]],customers!$A$1:$A$1001,customers!$I$1:$I$1001,,0)</f>
        <v>No</v>
      </c>
      <c r="Q563">
        <f>COUNTIF(Orders[Order ID],Orders[[#This Row],[Order ID]])</f>
        <v>1</v>
      </c>
      <c r="R563" s="10">
        <f>SUMIF(Orders[Order ID], Orders[[#This Row],[Order ID]],Orders[Sales])/Orders[[#This Row],[Order Frequency]]</f>
        <v>22.5</v>
      </c>
      <c r="S563" t="str">
        <f>IF(Orders[[#This Row],[Order Frequency]]&gt;4, "More than 4", IF(AND(Orders[[#This Row],[Order Frequency]]&lt;=4,Orders[[#This Row],[Order Frequency]]&gt;=2), "Between 4 and 2", "Less than 2"))</f>
        <v>Less than 2</v>
      </c>
      <c r="T563" t="str">
        <f>IF(Orders[[#This Row],[Frequency Group]]="less than 2", "Low Value", IF(Orders[[#This Row],[Frequency Group]]="between 4 and 2", "Medium Value", "High Value"))</f>
        <v>Low Value</v>
      </c>
      <c r="U563" t="str">
        <f>IF(Orders[[#This Row],[Sales]]&lt;50, "$0-50", IF(AND(Orders[[#This Row],[Sales]]&gt;=50,Orders[[#This Row],[Sales]]&lt;=100), "$50-100", IF(AND(Orders[[#This Row],[Sales]]&gt;100,Orders[[#This Row],[Sales]]&lt;=150), "$101-150", "$150+")))</f>
        <v>$0-50</v>
      </c>
      <c r="V563" t="str">
        <f>IF(Orders[[#This Row],[Sales]]&gt;MEDIAN(M:M), "High Price", "Low Price")</f>
        <v>Low Price</v>
      </c>
      <c r="W563" t="str">
        <f>IF(Orders[[#This Row],[Quantity]]&gt;MEDIAN(E:E), "High Volume", "Low Volume")</f>
        <v>Low Volume</v>
      </c>
      <c r="X563" t="str">
        <f>Orders[[#This Row],[Sales Tier]] &amp; "-" &amp; Orders[[#This Row],[Quantity Tier]]</f>
        <v>Low Price-Low Volume</v>
      </c>
      <c r="Y563" t="str">
        <f>TEXT(Orders[[#This Row],[Order Date]], "mmmm")</f>
        <v>January</v>
      </c>
      <c r="Z56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563" t="str">
        <f>Orders[[#This Row],[Coffee Type Name]] &amp; "-" &amp; Orders[[#This Row],[Roast Type Name]]</f>
        <v>Arabica-Medium</v>
      </c>
      <c r="AB56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564" spans="1:28" x14ac:dyDescent="0.25">
      <c r="A564" s="2" t="s">
        <v>1038</v>
      </c>
      <c r="B564" s="4">
        <v>44394</v>
      </c>
      <c r="C564" s="2" t="s">
        <v>1039</v>
      </c>
      <c r="D564" t="s">
        <v>6154</v>
      </c>
      <c r="E564" s="2">
        <v>1</v>
      </c>
      <c r="F564" s="2" t="str">
        <f>_xlfn.XLOOKUP(C564,customers!$A$1:$A$1001,customers!$B$1:$B$1001,,0)</f>
        <v>Ruy Cancellieri</v>
      </c>
      <c r="G564" s="2" t="str">
        <f>IF(_xlfn.XLOOKUP(C564,customers!$A$1:$A$1001,customers!$C$1:$C$1001,,0)=0,"",_xlfn.XLOOKUP(C564,customers!$A$1:$A$1001,customers!$C$1:$C$1001,,0))</f>
        <v/>
      </c>
      <c r="H564" s="2" t="str">
        <f>_xlfn.XLOOKUP(C564,customers!$A$1:$A$1001,customers!$G$1:$G$1001,,0)</f>
        <v>Ireland</v>
      </c>
      <c r="I564" t="str">
        <f>INDEX(products!$A$1:$G$49, MATCH(orders!$D100,products!$A$1:$A147,0), MATCH(orders!I$1,products!$A$1:$G$1,0))</f>
        <v>Ara</v>
      </c>
      <c r="J564" t="str">
        <f>INDEX(products!$A$1:$G$49, MATCH(orders!$D100,products!$A$1:$A147,0), MATCH(orders!J$1,products!$A$1:$G$1,0))</f>
        <v>D</v>
      </c>
      <c r="K564" s="5">
        <f>INDEX(products!$A$1:$G$49, MATCH(orders!$D100,products!$A$1:$A147,0), MATCH(orders!K$1,products!$A$1:$G$1,0))</f>
        <v>0.2</v>
      </c>
      <c r="L564" s="6">
        <f>INDEX(products!$A$1:$G$49, MATCH(orders!$D100,products!$A$1:$A147,0), MATCH(orders!L$1,products!$A$1:$G$1,0))</f>
        <v>2.9849999999999999</v>
      </c>
      <c r="M564" s="6">
        <f t="shared" si="24"/>
        <v>2.9849999999999999</v>
      </c>
      <c r="N564" t="str">
        <f t="shared" si="25"/>
        <v>Arabica</v>
      </c>
      <c r="O564" t="str">
        <f t="shared" si="26"/>
        <v>Dark</v>
      </c>
      <c r="P564" t="str">
        <f>_xlfn.XLOOKUP(Orders[[#This Row],[Customer ID]],customers!$A$1:$A$1001,customers!$I$1:$I$1001,,0)</f>
        <v>No</v>
      </c>
      <c r="Q564">
        <f>COUNTIF(Orders[Order ID],Orders[[#This Row],[Order ID]])</f>
        <v>1</v>
      </c>
      <c r="R564" s="10">
        <f>SUMIF(Orders[Order ID], Orders[[#This Row],[Order ID]],Orders[Sales])/Orders[[#This Row],[Order Frequency]]</f>
        <v>2.9849999999999999</v>
      </c>
      <c r="S564" t="str">
        <f>IF(Orders[[#This Row],[Order Frequency]]&gt;4, "More than 4", IF(AND(Orders[[#This Row],[Order Frequency]]&lt;=4,Orders[[#This Row],[Order Frequency]]&gt;=2), "Between 4 and 2", "Less than 2"))</f>
        <v>Less than 2</v>
      </c>
      <c r="T564" t="str">
        <f>IF(Orders[[#This Row],[Frequency Group]]="less than 2", "Low Value", IF(Orders[[#This Row],[Frequency Group]]="between 4 and 2", "Medium Value", "High Value"))</f>
        <v>Low Value</v>
      </c>
      <c r="U564" t="str">
        <f>IF(Orders[[#This Row],[Sales]]&lt;50, "$0-50", IF(AND(Orders[[#This Row],[Sales]]&gt;=50,Orders[[#This Row],[Sales]]&lt;=100), "$50-100", IF(AND(Orders[[#This Row],[Sales]]&gt;100,Orders[[#This Row],[Sales]]&lt;=150), "$101-150", "$150+")))</f>
        <v>$0-50</v>
      </c>
      <c r="V564" t="str">
        <f>IF(Orders[[#This Row],[Sales]]&gt;MEDIAN(M:M), "High Price", "Low Price")</f>
        <v>Low Price</v>
      </c>
      <c r="W564" t="str">
        <f>IF(Orders[[#This Row],[Quantity]]&gt;MEDIAN(E:E), "High Volume", "Low Volume")</f>
        <v>Low Volume</v>
      </c>
      <c r="X564" t="str">
        <f>Orders[[#This Row],[Sales Tier]] &amp; "-" &amp; Orders[[#This Row],[Quantity Tier]]</f>
        <v>Low Price-Low Volume</v>
      </c>
      <c r="Y564" t="str">
        <f>TEXT(Orders[[#This Row],[Order Date]], "mmmm")</f>
        <v>July</v>
      </c>
      <c r="Z56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564" t="str">
        <f>Orders[[#This Row],[Coffee Type Name]] &amp; "-" &amp; Orders[[#This Row],[Roast Type Name]]</f>
        <v>Arabica-Dark</v>
      </c>
      <c r="AB56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565" spans="1:28" x14ac:dyDescent="0.25">
      <c r="A565" s="2" t="s">
        <v>6081</v>
      </c>
      <c r="B565" s="4">
        <v>43560</v>
      </c>
      <c r="C565" s="2" t="s">
        <v>6082</v>
      </c>
      <c r="D565" t="s">
        <v>6175</v>
      </c>
      <c r="E565" s="2">
        <v>6</v>
      </c>
      <c r="F565" s="2" t="str">
        <f>_xlfn.XLOOKUP(C565,customers!$A$1:$A$1001,customers!$B$1:$B$1001,,0)</f>
        <v>Herta Layne</v>
      </c>
      <c r="G565" s="2" t="str">
        <f>IF(_xlfn.XLOOKUP(C565,customers!$A$1:$A$1001,customers!$C$1:$C$1001,,0)=0,"",_xlfn.XLOOKUP(C565,customers!$A$1:$A$1001,customers!$C$1:$C$1001,,0))</f>
        <v/>
      </c>
      <c r="H565" s="2" t="str">
        <f>_xlfn.XLOOKUP(C565,customers!$A$1:$A$1001,customers!$G$1:$G$1001,,0)</f>
        <v>United States</v>
      </c>
      <c r="I565" t="str">
        <f>INDEX(products!$A$1:$G$49, MATCH(orders!$D991,products!$A$1:$A1038,0), MATCH(orders!I$1,products!$A$1:$G$1,0))</f>
        <v>Ara</v>
      </c>
      <c r="J565" t="str">
        <f>INDEX(products!$A$1:$G$49, MATCH(orders!$D991,products!$A$1:$A1038,0), MATCH(orders!J$1,products!$A$1:$G$1,0))</f>
        <v>M</v>
      </c>
      <c r="K565" s="5">
        <f>INDEX(products!$A$1:$G$49, MATCH(orders!$D991,products!$A$1:$A1038,0), MATCH(orders!K$1,products!$A$1:$G$1,0))</f>
        <v>2.5</v>
      </c>
      <c r="L565" s="6">
        <f>INDEX(products!$A$1:$G$49, MATCH(orders!$D991,products!$A$1:$A1038,0), MATCH(orders!L$1,products!$A$1:$G$1,0))</f>
        <v>25.874999999999996</v>
      </c>
      <c r="M565" s="6">
        <f t="shared" si="24"/>
        <v>155.24999999999997</v>
      </c>
      <c r="N565" t="str">
        <f t="shared" si="25"/>
        <v>Arabica</v>
      </c>
      <c r="O565" t="str">
        <f t="shared" si="26"/>
        <v>Medium</v>
      </c>
      <c r="P565" t="str">
        <f>_xlfn.XLOOKUP(Orders[[#This Row],[Customer ID]],customers!$A$1:$A$1001,customers!$I$1:$I$1001,,0)</f>
        <v>Yes</v>
      </c>
      <c r="Q565">
        <f>COUNTIF(Orders[Order ID],Orders[[#This Row],[Order ID]])</f>
        <v>1</v>
      </c>
      <c r="R565" s="10">
        <f>SUMIF(Orders[Order ID], Orders[[#This Row],[Order ID]],Orders[Sales])/Orders[[#This Row],[Order Frequency]]</f>
        <v>155.24999999999997</v>
      </c>
      <c r="S565" t="str">
        <f>IF(Orders[[#This Row],[Order Frequency]]&gt;4, "More than 4", IF(AND(Orders[[#This Row],[Order Frequency]]&lt;=4,Orders[[#This Row],[Order Frequency]]&gt;=2), "Between 4 and 2", "Less than 2"))</f>
        <v>Less than 2</v>
      </c>
      <c r="T565" t="str">
        <f>IF(Orders[[#This Row],[Frequency Group]]="less than 2", "Low Value", IF(Orders[[#This Row],[Frequency Group]]="between 4 and 2", "Medium Value", "High Value"))</f>
        <v>Low Value</v>
      </c>
      <c r="U565" t="str">
        <f>IF(Orders[[#This Row],[Sales]]&lt;50, "$0-50", IF(AND(Orders[[#This Row],[Sales]]&gt;=50,Orders[[#This Row],[Sales]]&lt;=100), "$50-100", IF(AND(Orders[[#This Row],[Sales]]&gt;100,Orders[[#This Row],[Sales]]&lt;=150), "$101-150", "$150+")))</f>
        <v>$150+</v>
      </c>
      <c r="V565" t="str">
        <f>IF(Orders[[#This Row],[Sales]]&gt;MEDIAN(M:M), "High Price", "Low Price")</f>
        <v>High Price</v>
      </c>
      <c r="W565" t="str">
        <f>IF(Orders[[#This Row],[Quantity]]&gt;MEDIAN(E:E), "High Volume", "Low Volume")</f>
        <v>High Volume</v>
      </c>
      <c r="X565" t="str">
        <f>Orders[[#This Row],[Sales Tier]] &amp; "-" &amp; Orders[[#This Row],[Quantity Tier]]</f>
        <v>High Price-High Volume</v>
      </c>
      <c r="Y565" t="str">
        <f>TEXT(Orders[[#This Row],[Order Date]], "mmmm")</f>
        <v>April</v>
      </c>
      <c r="Z56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565" t="str">
        <f>Orders[[#This Row],[Coffee Type Name]] &amp; "-" &amp; Orders[[#This Row],[Roast Type Name]]</f>
        <v>Arabica-Medium</v>
      </c>
      <c r="AB56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566" spans="1:28" x14ac:dyDescent="0.25">
      <c r="A566" s="2" t="s">
        <v>2319</v>
      </c>
      <c r="B566" s="4">
        <v>43666</v>
      </c>
      <c r="C566" s="2" t="s">
        <v>2320</v>
      </c>
      <c r="D566" t="s">
        <v>6141</v>
      </c>
      <c r="E566" s="2">
        <v>1</v>
      </c>
      <c r="F566" s="2" t="str">
        <f>_xlfn.XLOOKUP(C566,customers!$A$1:$A$1001,customers!$B$1:$B$1001,,0)</f>
        <v>Diena Peetermann</v>
      </c>
      <c r="G566" s="2" t="str">
        <f>IF(_xlfn.XLOOKUP(C566,customers!$A$1:$A$1001,customers!$C$1:$C$1001,,0)=0,"",_xlfn.XLOOKUP(C566,customers!$A$1:$A$1001,customers!$C$1:$C$1001,,0))</f>
        <v/>
      </c>
      <c r="H566" s="2" t="str">
        <f>_xlfn.XLOOKUP(C566,customers!$A$1:$A$1001,customers!$G$1:$G$1001,,0)</f>
        <v>United States</v>
      </c>
      <c r="I566" t="str">
        <f>INDEX(products!$A$1:$G$49, MATCH(orders!$D326,products!$A$1:$A373,0), MATCH(orders!I$1,products!$A$1:$G$1,0))</f>
        <v>Exc</v>
      </c>
      <c r="J566" t="str">
        <f>INDEX(products!$A$1:$G$49, MATCH(orders!$D326,products!$A$1:$A373,0), MATCH(orders!J$1,products!$A$1:$G$1,0))</f>
        <v>M</v>
      </c>
      <c r="K566" s="5">
        <f>INDEX(products!$A$1:$G$49, MATCH(orders!$D326,products!$A$1:$A373,0), MATCH(orders!K$1,products!$A$1:$G$1,0))</f>
        <v>1</v>
      </c>
      <c r="L566" s="6">
        <f>INDEX(products!$A$1:$G$49, MATCH(orders!$D326,products!$A$1:$A373,0), MATCH(orders!L$1,products!$A$1:$G$1,0))</f>
        <v>13.75</v>
      </c>
      <c r="M566" s="6">
        <f t="shared" si="24"/>
        <v>13.75</v>
      </c>
      <c r="N566" t="str">
        <f t="shared" si="25"/>
        <v>Excelsa</v>
      </c>
      <c r="O566" t="str">
        <f t="shared" si="26"/>
        <v>Medium</v>
      </c>
      <c r="P566" t="str">
        <f>_xlfn.XLOOKUP(Orders[[#This Row],[Customer ID]],customers!$A$1:$A$1001,customers!$I$1:$I$1001,,0)</f>
        <v>No</v>
      </c>
      <c r="Q566">
        <f>COUNTIF(Orders[Order ID],Orders[[#This Row],[Order ID]])</f>
        <v>1</v>
      </c>
      <c r="R566" s="10">
        <f>SUMIF(Orders[Order ID], Orders[[#This Row],[Order ID]],Orders[Sales])/Orders[[#This Row],[Order Frequency]]</f>
        <v>13.75</v>
      </c>
      <c r="S566" t="str">
        <f>IF(Orders[[#This Row],[Order Frequency]]&gt;4, "More than 4", IF(AND(Orders[[#This Row],[Order Frequency]]&lt;=4,Orders[[#This Row],[Order Frequency]]&gt;=2), "Between 4 and 2", "Less than 2"))</f>
        <v>Less than 2</v>
      </c>
      <c r="T566" t="str">
        <f>IF(Orders[[#This Row],[Frequency Group]]="less than 2", "Low Value", IF(Orders[[#This Row],[Frequency Group]]="between 4 and 2", "Medium Value", "High Value"))</f>
        <v>Low Value</v>
      </c>
      <c r="U566" t="str">
        <f>IF(Orders[[#This Row],[Sales]]&lt;50, "$0-50", IF(AND(Orders[[#This Row],[Sales]]&gt;=50,Orders[[#This Row],[Sales]]&lt;=100), "$50-100", IF(AND(Orders[[#This Row],[Sales]]&gt;100,Orders[[#This Row],[Sales]]&lt;=150), "$101-150", "$150+")))</f>
        <v>$0-50</v>
      </c>
      <c r="V566" t="str">
        <f>IF(Orders[[#This Row],[Sales]]&gt;MEDIAN(M:M), "High Price", "Low Price")</f>
        <v>Low Price</v>
      </c>
      <c r="W566" t="str">
        <f>IF(Orders[[#This Row],[Quantity]]&gt;MEDIAN(E:E), "High Volume", "Low Volume")</f>
        <v>Low Volume</v>
      </c>
      <c r="X566" t="str">
        <f>Orders[[#This Row],[Sales Tier]] &amp; "-" &amp; Orders[[#This Row],[Quantity Tier]]</f>
        <v>Low Price-Low Volume</v>
      </c>
      <c r="Y566" t="str">
        <f>TEXT(Orders[[#This Row],[Order Date]], "mmmm")</f>
        <v>July</v>
      </c>
      <c r="Z56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566" t="str">
        <f>Orders[[#This Row],[Coffee Type Name]] &amp; "-" &amp; Orders[[#This Row],[Roast Type Name]]</f>
        <v>Excelsa-Medium</v>
      </c>
      <c r="AB56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567" spans="1:28" x14ac:dyDescent="0.25">
      <c r="A567" s="2" t="s">
        <v>5849</v>
      </c>
      <c r="B567" s="4">
        <v>44445</v>
      </c>
      <c r="C567" s="2" t="s">
        <v>5850</v>
      </c>
      <c r="D567" t="s">
        <v>6185</v>
      </c>
      <c r="E567" s="2">
        <v>3</v>
      </c>
      <c r="F567" s="2" t="str">
        <f>_xlfn.XLOOKUP(C567,customers!$A$1:$A$1001,customers!$B$1:$B$1001,,0)</f>
        <v>Gnni Cheeke</v>
      </c>
      <c r="G567" s="2" t="str">
        <f>IF(_xlfn.XLOOKUP(C567,customers!$A$1:$A$1001,customers!$C$1:$C$1001,,0)=0,"",_xlfn.XLOOKUP(C567,customers!$A$1:$A$1001,customers!$C$1:$C$1001,,0))</f>
        <v>gcheekeqc@sitemeter.com</v>
      </c>
      <c r="H567" s="2" t="str">
        <f>_xlfn.XLOOKUP(C567,customers!$A$1:$A$1001,customers!$G$1:$G$1001,,0)</f>
        <v>United Kingdom</v>
      </c>
      <c r="I567" t="str">
        <f>INDEX(products!$A$1:$G$49, MATCH(orders!$D950,products!$A$1:$A997,0), MATCH(orders!I$1,products!$A$1:$G$1,0))</f>
        <v>Exc</v>
      </c>
      <c r="J567" t="str">
        <f>INDEX(products!$A$1:$G$49, MATCH(orders!$D950,products!$A$1:$A997,0), MATCH(orders!J$1,products!$A$1:$G$1,0))</f>
        <v>D</v>
      </c>
      <c r="K567" s="5">
        <f>INDEX(products!$A$1:$G$49, MATCH(orders!$D950,products!$A$1:$A997,0), MATCH(orders!K$1,products!$A$1:$G$1,0))</f>
        <v>2.5</v>
      </c>
      <c r="L567" s="6">
        <f>INDEX(products!$A$1:$G$49, MATCH(orders!$D950,products!$A$1:$A997,0), MATCH(orders!L$1,products!$A$1:$G$1,0))</f>
        <v>27.945</v>
      </c>
      <c r="M567" s="6">
        <f t="shared" si="24"/>
        <v>83.835000000000008</v>
      </c>
      <c r="N567" t="str">
        <f t="shared" si="25"/>
        <v>Excelsa</v>
      </c>
      <c r="O567" t="str">
        <f t="shared" si="26"/>
        <v>Dark</v>
      </c>
      <c r="P567" t="str">
        <f>_xlfn.XLOOKUP(Orders[[#This Row],[Customer ID]],customers!$A$1:$A$1001,customers!$I$1:$I$1001,,0)</f>
        <v>Yes</v>
      </c>
      <c r="Q567">
        <f>COUNTIF(Orders[Order ID],Orders[[#This Row],[Order ID]])</f>
        <v>1</v>
      </c>
      <c r="R567" s="10">
        <f>SUMIF(Orders[Order ID], Orders[[#This Row],[Order ID]],Orders[Sales])/Orders[[#This Row],[Order Frequency]]</f>
        <v>83.835000000000008</v>
      </c>
      <c r="S567" t="str">
        <f>IF(Orders[[#This Row],[Order Frequency]]&gt;4, "More than 4", IF(AND(Orders[[#This Row],[Order Frequency]]&lt;=4,Orders[[#This Row],[Order Frequency]]&gt;=2), "Between 4 and 2", "Less than 2"))</f>
        <v>Less than 2</v>
      </c>
      <c r="T567" t="str">
        <f>IF(Orders[[#This Row],[Frequency Group]]="less than 2", "Low Value", IF(Orders[[#This Row],[Frequency Group]]="between 4 and 2", "Medium Value", "High Value"))</f>
        <v>Low Value</v>
      </c>
      <c r="U567" t="str">
        <f>IF(Orders[[#This Row],[Sales]]&lt;50, "$0-50", IF(AND(Orders[[#This Row],[Sales]]&gt;=50,Orders[[#This Row],[Sales]]&lt;=100), "$50-100", IF(AND(Orders[[#This Row],[Sales]]&gt;100,Orders[[#This Row],[Sales]]&lt;=150), "$101-150", "$150+")))</f>
        <v>$50-100</v>
      </c>
      <c r="V567" t="str">
        <f>IF(Orders[[#This Row],[Sales]]&gt;MEDIAN(M:M), "High Price", "Low Price")</f>
        <v>High Price</v>
      </c>
      <c r="W567" t="str">
        <f>IF(Orders[[#This Row],[Quantity]]&gt;MEDIAN(E:E), "High Volume", "Low Volume")</f>
        <v>Low Volume</v>
      </c>
      <c r="X567" t="str">
        <f>Orders[[#This Row],[Sales Tier]] &amp; "-" &amp; Orders[[#This Row],[Quantity Tier]]</f>
        <v>High Price-Low Volume</v>
      </c>
      <c r="Y567" t="str">
        <f>TEXT(Orders[[#This Row],[Order Date]], "mmmm")</f>
        <v>September</v>
      </c>
      <c r="Z56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567" t="str">
        <f>Orders[[#This Row],[Coffee Type Name]] &amp; "-" &amp; Orders[[#This Row],[Roast Type Name]]</f>
        <v>Excelsa-Dark</v>
      </c>
      <c r="AB56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568" spans="1:28" x14ac:dyDescent="0.25">
      <c r="A568" s="2" t="s">
        <v>2487</v>
      </c>
      <c r="B568" s="4">
        <v>43876</v>
      </c>
      <c r="C568" s="2" t="s">
        <v>2488</v>
      </c>
      <c r="D568" t="s">
        <v>6175</v>
      </c>
      <c r="E568" s="2">
        <v>6</v>
      </c>
      <c r="F568" s="2" t="str">
        <f>_xlfn.XLOOKUP(C568,customers!$A$1:$A$1001,customers!$B$1:$B$1001,,0)</f>
        <v>Jodee Caldicott</v>
      </c>
      <c r="G568" s="2" t="str">
        <f>IF(_xlfn.XLOOKUP(C568,customers!$A$1:$A$1001,customers!$C$1:$C$1001,,0)=0,"",_xlfn.XLOOKUP(C568,customers!$A$1:$A$1001,customers!$C$1:$C$1001,,0))</f>
        <v>jcaldicott9u@usda.gov</v>
      </c>
      <c r="H568" s="2" t="str">
        <f>_xlfn.XLOOKUP(C568,customers!$A$1:$A$1001,customers!$G$1:$G$1001,,0)</f>
        <v>United States</v>
      </c>
      <c r="I568" t="str">
        <f>INDEX(products!$A$1:$G$49, MATCH(orders!$D356,products!$A$1:$A403,0), MATCH(orders!I$1,products!$A$1:$G$1,0))</f>
        <v>Ara</v>
      </c>
      <c r="J568" t="str">
        <f>INDEX(products!$A$1:$G$49, MATCH(orders!$D356,products!$A$1:$A403,0), MATCH(orders!J$1,products!$A$1:$G$1,0))</f>
        <v>M</v>
      </c>
      <c r="K568" s="5">
        <f>INDEX(products!$A$1:$G$49, MATCH(orders!$D356,products!$A$1:$A403,0), MATCH(orders!K$1,products!$A$1:$G$1,0))</f>
        <v>2.5</v>
      </c>
      <c r="L568" s="6">
        <f>INDEX(products!$A$1:$G$49, MATCH(orders!$D356,products!$A$1:$A403,0), MATCH(orders!L$1,products!$A$1:$G$1,0))</f>
        <v>25.874999999999996</v>
      </c>
      <c r="M568" s="6">
        <f t="shared" si="24"/>
        <v>155.24999999999997</v>
      </c>
      <c r="N568" t="str">
        <f t="shared" si="25"/>
        <v>Arabica</v>
      </c>
      <c r="O568" t="str">
        <f t="shared" si="26"/>
        <v>Medium</v>
      </c>
      <c r="P568" t="str">
        <f>_xlfn.XLOOKUP(Orders[[#This Row],[Customer ID]],customers!$A$1:$A$1001,customers!$I$1:$I$1001,,0)</f>
        <v>No</v>
      </c>
      <c r="Q568">
        <f>COUNTIF(Orders[Order ID],Orders[[#This Row],[Order ID]])</f>
        <v>1</v>
      </c>
      <c r="R568" s="10">
        <f>SUMIF(Orders[Order ID], Orders[[#This Row],[Order ID]],Orders[Sales])/Orders[[#This Row],[Order Frequency]]</f>
        <v>155.24999999999997</v>
      </c>
      <c r="S568" t="str">
        <f>IF(Orders[[#This Row],[Order Frequency]]&gt;4, "More than 4", IF(AND(Orders[[#This Row],[Order Frequency]]&lt;=4,Orders[[#This Row],[Order Frequency]]&gt;=2), "Between 4 and 2", "Less than 2"))</f>
        <v>Less than 2</v>
      </c>
      <c r="T568" t="str">
        <f>IF(Orders[[#This Row],[Frequency Group]]="less than 2", "Low Value", IF(Orders[[#This Row],[Frequency Group]]="between 4 and 2", "Medium Value", "High Value"))</f>
        <v>Low Value</v>
      </c>
      <c r="U568" t="str">
        <f>IF(Orders[[#This Row],[Sales]]&lt;50, "$0-50", IF(AND(Orders[[#This Row],[Sales]]&gt;=50,Orders[[#This Row],[Sales]]&lt;=100), "$50-100", IF(AND(Orders[[#This Row],[Sales]]&gt;100,Orders[[#This Row],[Sales]]&lt;=150), "$101-150", "$150+")))</f>
        <v>$150+</v>
      </c>
      <c r="V568" t="str">
        <f>IF(Orders[[#This Row],[Sales]]&gt;MEDIAN(M:M), "High Price", "Low Price")</f>
        <v>High Price</v>
      </c>
      <c r="W568" t="str">
        <f>IF(Orders[[#This Row],[Quantity]]&gt;MEDIAN(E:E), "High Volume", "Low Volume")</f>
        <v>High Volume</v>
      </c>
      <c r="X568" t="str">
        <f>Orders[[#This Row],[Sales Tier]] &amp; "-" &amp; Orders[[#This Row],[Quantity Tier]]</f>
        <v>High Price-High Volume</v>
      </c>
      <c r="Y568" t="str">
        <f>TEXT(Orders[[#This Row],[Order Date]], "mmmm")</f>
        <v>February</v>
      </c>
      <c r="Z56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568" t="str">
        <f>Orders[[#This Row],[Coffee Type Name]] &amp; "-" &amp; Orders[[#This Row],[Roast Type Name]]</f>
        <v>Arabica-Medium</v>
      </c>
      <c r="AB56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569" spans="1:28" x14ac:dyDescent="0.25">
      <c r="A569" s="2" t="s">
        <v>1963</v>
      </c>
      <c r="B569" s="4">
        <v>43538</v>
      </c>
      <c r="C569" s="2" t="s">
        <v>1964</v>
      </c>
      <c r="D569" t="s">
        <v>6179</v>
      </c>
      <c r="E569" s="2">
        <v>5</v>
      </c>
      <c r="F569" s="2" t="str">
        <f>_xlfn.XLOOKUP(C569,customers!$A$1:$A$1001,customers!$B$1:$B$1001,,0)</f>
        <v>Monique Canty</v>
      </c>
      <c r="G569" s="2" t="str">
        <f>IF(_xlfn.XLOOKUP(C569,customers!$A$1:$A$1001,customers!$C$1:$C$1001,,0)=0,"",_xlfn.XLOOKUP(C569,customers!$A$1:$A$1001,customers!$C$1:$C$1001,,0))</f>
        <v>mcanty79@jigsy.com</v>
      </c>
      <c r="H569" s="2" t="str">
        <f>_xlfn.XLOOKUP(C569,customers!$A$1:$A$1001,customers!$G$1:$G$1001,,0)</f>
        <v>United States</v>
      </c>
      <c r="I569" t="str">
        <f>INDEX(products!$A$1:$G$49, MATCH(orders!$D263,products!$A$1:$A310,0), MATCH(orders!I$1,products!$A$1:$G$1,0))</f>
        <v>Rob</v>
      </c>
      <c r="J569" t="str">
        <f>INDEX(products!$A$1:$G$49, MATCH(orders!$D263,products!$A$1:$A310,0), MATCH(orders!J$1,products!$A$1:$G$1,0))</f>
        <v>L</v>
      </c>
      <c r="K569" s="5">
        <f>INDEX(products!$A$1:$G$49, MATCH(orders!$D263,products!$A$1:$A310,0), MATCH(orders!K$1,products!$A$1:$G$1,0))</f>
        <v>1</v>
      </c>
      <c r="L569" s="6">
        <f>INDEX(products!$A$1:$G$49, MATCH(orders!$D263,products!$A$1:$A310,0), MATCH(orders!L$1,products!$A$1:$G$1,0))</f>
        <v>11.95</v>
      </c>
      <c r="M569" s="6">
        <f t="shared" si="24"/>
        <v>59.75</v>
      </c>
      <c r="N569" t="str">
        <f t="shared" si="25"/>
        <v>Robusta</v>
      </c>
      <c r="O569" t="str">
        <f t="shared" si="26"/>
        <v>Light</v>
      </c>
      <c r="P569" t="str">
        <f>_xlfn.XLOOKUP(Orders[[#This Row],[Customer ID]],customers!$A$1:$A$1001,customers!$I$1:$I$1001,,0)</f>
        <v>Yes</v>
      </c>
      <c r="Q569">
        <f>COUNTIF(Orders[Order ID],Orders[[#This Row],[Order ID]])</f>
        <v>1</v>
      </c>
      <c r="R569" s="10">
        <f>SUMIF(Orders[Order ID], Orders[[#This Row],[Order ID]],Orders[Sales])/Orders[[#This Row],[Order Frequency]]</f>
        <v>59.75</v>
      </c>
      <c r="S569" t="str">
        <f>IF(Orders[[#This Row],[Order Frequency]]&gt;4, "More than 4", IF(AND(Orders[[#This Row],[Order Frequency]]&lt;=4,Orders[[#This Row],[Order Frequency]]&gt;=2), "Between 4 and 2", "Less than 2"))</f>
        <v>Less than 2</v>
      </c>
      <c r="T569" t="str">
        <f>IF(Orders[[#This Row],[Frequency Group]]="less than 2", "Low Value", IF(Orders[[#This Row],[Frequency Group]]="between 4 and 2", "Medium Value", "High Value"))</f>
        <v>Low Value</v>
      </c>
      <c r="U569" t="str">
        <f>IF(Orders[[#This Row],[Sales]]&lt;50, "$0-50", IF(AND(Orders[[#This Row],[Sales]]&gt;=50,Orders[[#This Row],[Sales]]&lt;=100), "$50-100", IF(AND(Orders[[#This Row],[Sales]]&gt;100,Orders[[#This Row],[Sales]]&lt;=150), "$101-150", "$150+")))</f>
        <v>$50-100</v>
      </c>
      <c r="V569" t="str">
        <f>IF(Orders[[#This Row],[Sales]]&gt;MEDIAN(M:M), "High Price", "Low Price")</f>
        <v>High Price</v>
      </c>
      <c r="W569" t="str">
        <f>IF(Orders[[#This Row],[Quantity]]&gt;MEDIAN(E:E), "High Volume", "Low Volume")</f>
        <v>High Volume</v>
      </c>
      <c r="X569" t="str">
        <f>Orders[[#This Row],[Sales Tier]] &amp; "-" &amp; Orders[[#This Row],[Quantity Tier]]</f>
        <v>High Price-High Volume</v>
      </c>
      <c r="Y569" t="str">
        <f>TEXT(Orders[[#This Row],[Order Date]], "mmmm")</f>
        <v>March</v>
      </c>
      <c r="Z56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569" t="str">
        <f>Orders[[#This Row],[Coffee Type Name]] &amp; "-" &amp; Orders[[#This Row],[Roast Type Name]]</f>
        <v>Robusta-Light</v>
      </c>
      <c r="AB56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570" spans="1:28" x14ac:dyDescent="0.25">
      <c r="A570" s="2" t="s">
        <v>3866</v>
      </c>
      <c r="B570" s="4">
        <v>43471</v>
      </c>
      <c r="C570" s="2" t="s">
        <v>3867</v>
      </c>
      <c r="D570" t="s">
        <v>6174</v>
      </c>
      <c r="E570" s="2">
        <v>4</v>
      </c>
      <c r="F570" s="2" t="str">
        <f>_xlfn.XLOOKUP(C570,customers!$A$1:$A$1001,customers!$B$1:$B$1001,,0)</f>
        <v>Krissie Hammett</v>
      </c>
      <c r="G570" s="2" t="str">
        <f>IF(_xlfn.XLOOKUP(C570,customers!$A$1:$A$1001,customers!$C$1:$C$1001,,0)=0,"",_xlfn.XLOOKUP(C570,customers!$A$1:$A$1001,customers!$C$1:$C$1001,,0))</f>
        <v>khammettgm@dmoz.org</v>
      </c>
      <c r="H570" s="2" t="str">
        <f>_xlfn.XLOOKUP(C570,customers!$A$1:$A$1001,customers!$G$1:$G$1001,,0)</f>
        <v>United States</v>
      </c>
      <c r="I570" t="str">
        <f>INDEX(products!$A$1:$G$49, MATCH(orders!$D600,products!$A$1:$A647,0), MATCH(orders!I$1,products!$A$1:$G$1,0))</f>
        <v>Rob</v>
      </c>
      <c r="J570" t="str">
        <f>INDEX(products!$A$1:$G$49, MATCH(orders!$D600,products!$A$1:$A647,0), MATCH(orders!J$1,products!$A$1:$G$1,0))</f>
        <v>M</v>
      </c>
      <c r="K570" s="5">
        <f>INDEX(products!$A$1:$G$49, MATCH(orders!$D600,products!$A$1:$A647,0), MATCH(orders!K$1,products!$A$1:$G$1,0))</f>
        <v>0.2</v>
      </c>
      <c r="L570" s="6">
        <f>INDEX(products!$A$1:$G$49, MATCH(orders!$D600,products!$A$1:$A647,0), MATCH(orders!L$1,products!$A$1:$G$1,0))</f>
        <v>2.9849999999999999</v>
      </c>
      <c r="M570" s="6">
        <f t="shared" si="24"/>
        <v>11.94</v>
      </c>
      <c r="N570" t="str">
        <f t="shared" si="25"/>
        <v>Robusta</v>
      </c>
      <c r="O570" t="str">
        <f t="shared" si="26"/>
        <v>Medium</v>
      </c>
      <c r="P570" t="str">
        <f>_xlfn.XLOOKUP(Orders[[#This Row],[Customer ID]],customers!$A$1:$A$1001,customers!$I$1:$I$1001,,0)</f>
        <v>Yes</v>
      </c>
      <c r="Q570">
        <f>COUNTIF(Orders[Order ID],Orders[[#This Row],[Order ID]])</f>
        <v>1</v>
      </c>
      <c r="R570" s="10">
        <f>SUMIF(Orders[Order ID], Orders[[#This Row],[Order ID]],Orders[Sales])/Orders[[#This Row],[Order Frequency]]</f>
        <v>11.94</v>
      </c>
      <c r="S570" t="str">
        <f>IF(Orders[[#This Row],[Order Frequency]]&gt;4, "More than 4", IF(AND(Orders[[#This Row],[Order Frequency]]&lt;=4,Orders[[#This Row],[Order Frequency]]&gt;=2), "Between 4 and 2", "Less than 2"))</f>
        <v>Less than 2</v>
      </c>
      <c r="T570" t="str">
        <f>IF(Orders[[#This Row],[Frequency Group]]="less than 2", "Low Value", IF(Orders[[#This Row],[Frequency Group]]="between 4 and 2", "Medium Value", "High Value"))</f>
        <v>Low Value</v>
      </c>
      <c r="U570" t="str">
        <f>IF(Orders[[#This Row],[Sales]]&lt;50, "$0-50", IF(AND(Orders[[#This Row],[Sales]]&gt;=50,Orders[[#This Row],[Sales]]&lt;=100), "$50-100", IF(AND(Orders[[#This Row],[Sales]]&gt;100,Orders[[#This Row],[Sales]]&lt;=150), "$101-150", "$150+")))</f>
        <v>$0-50</v>
      </c>
      <c r="V570" t="str">
        <f>IF(Orders[[#This Row],[Sales]]&gt;MEDIAN(M:M), "High Price", "Low Price")</f>
        <v>Low Price</v>
      </c>
      <c r="W570" t="str">
        <f>IF(Orders[[#This Row],[Quantity]]&gt;MEDIAN(E:E), "High Volume", "Low Volume")</f>
        <v>Low Volume</v>
      </c>
      <c r="X570" t="str">
        <f>Orders[[#This Row],[Sales Tier]] &amp; "-" &amp; Orders[[#This Row],[Quantity Tier]]</f>
        <v>Low Price-Low Volume</v>
      </c>
      <c r="Y570" t="str">
        <f>TEXT(Orders[[#This Row],[Order Date]], "mmmm")</f>
        <v>January</v>
      </c>
      <c r="Z57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570" t="str">
        <f>Orders[[#This Row],[Coffee Type Name]] &amp; "-" &amp; Orders[[#This Row],[Roast Type Name]]</f>
        <v>Robusta-Medium</v>
      </c>
      <c r="AB57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571" spans="1:28" x14ac:dyDescent="0.25">
      <c r="A571" s="2" t="s">
        <v>2351</v>
      </c>
      <c r="B571" s="4">
        <v>43782</v>
      </c>
      <c r="C571" s="2" t="s">
        <v>2280</v>
      </c>
      <c r="D571" t="s">
        <v>6172</v>
      </c>
      <c r="E571" s="2">
        <v>3</v>
      </c>
      <c r="F571" s="2" t="str">
        <f>_xlfn.XLOOKUP(C571,customers!$A$1:$A$1001,customers!$B$1:$B$1001,,0)</f>
        <v>Selma McMillian</v>
      </c>
      <c r="G571" s="2" t="str">
        <f>IF(_xlfn.XLOOKUP(C571,customers!$A$1:$A$1001,customers!$C$1:$C$1001,,0)=0,"",_xlfn.XLOOKUP(C571,customers!$A$1:$A$1001,customers!$C$1:$C$1001,,0))</f>
        <v>smcmillian8t@csmonitor.com</v>
      </c>
      <c r="H571" s="2" t="str">
        <f>_xlfn.XLOOKUP(C571,customers!$A$1:$A$1001,customers!$G$1:$G$1001,,0)</f>
        <v>United States</v>
      </c>
      <c r="I571" t="str">
        <f>INDEX(products!$A$1:$G$49, MATCH(orders!$D332,products!$A$1:$A379,0), MATCH(orders!I$1,products!$A$1:$G$1,0))</f>
        <v>Rob</v>
      </c>
      <c r="J571" t="str">
        <f>INDEX(products!$A$1:$G$49, MATCH(orders!$D332,products!$A$1:$A379,0), MATCH(orders!J$1,products!$A$1:$G$1,0))</f>
        <v>D</v>
      </c>
      <c r="K571" s="5">
        <f>INDEX(products!$A$1:$G$49, MATCH(orders!$D332,products!$A$1:$A379,0), MATCH(orders!K$1,products!$A$1:$G$1,0))</f>
        <v>0.5</v>
      </c>
      <c r="L571" s="6">
        <f>INDEX(products!$A$1:$G$49, MATCH(orders!$D332,products!$A$1:$A379,0), MATCH(orders!L$1,products!$A$1:$G$1,0))</f>
        <v>5.3699999999999992</v>
      </c>
      <c r="M571" s="6">
        <f t="shared" si="24"/>
        <v>16.11</v>
      </c>
      <c r="N571" t="str">
        <f t="shared" si="25"/>
        <v>Robusta</v>
      </c>
      <c r="O571" t="str">
        <f t="shared" si="26"/>
        <v>Dark</v>
      </c>
      <c r="P571" t="str">
        <f>_xlfn.XLOOKUP(Orders[[#This Row],[Customer ID]],customers!$A$1:$A$1001,customers!$I$1:$I$1001,,0)</f>
        <v>No</v>
      </c>
      <c r="Q571">
        <f>COUNTIF(Orders[Order ID],Orders[[#This Row],[Order ID]])</f>
        <v>1</v>
      </c>
      <c r="R571" s="10">
        <f>SUMIF(Orders[Order ID], Orders[[#This Row],[Order ID]],Orders[Sales])/Orders[[#This Row],[Order Frequency]]</f>
        <v>16.11</v>
      </c>
      <c r="S571" t="str">
        <f>IF(Orders[[#This Row],[Order Frequency]]&gt;4, "More than 4", IF(AND(Orders[[#This Row],[Order Frequency]]&lt;=4,Orders[[#This Row],[Order Frequency]]&gt;=2), "Between 4 and 2", "Less than 2"))</f>
        <v>Less than 2</v>
      </c>
      <c r="T571" t="str">
        <f>IF(Orders[[#This Row],[Frequency Group]]="less than 2", "Low Value", IF(Orders[[#This Row],[Frequency Group]]="between 4 and 2", "Medium Value", "High Value"))</f>
        <v>Low Value</v>
      </c>
      <c r="U571" t="str">
        <f>IF(Orders[[#This Row],[Sales]]&lt;50, "$0-50", IF(AND(Orders[[#This Row],[Sales]]&gt;=50,Orders[[#This Row],[Sales]]&lt;=100), "$50-100", IF(AND(Orders[[#This Row],[Sales]]&gt;100,Orders[[#This Row],[Sales]]&lt;=150), "$101-150", "$150+")))</f>
        <v>$0-50</v>
      </c>
      <c r="V571" t="str">
        <f>IF(Orders[[#This Row],[Sales]]&gt;MEDIAN(M:M), "High Price", "Low Price")</f>
        <v>Low Price</v>
      </c>
      <c r="W571" t="str">
        <f>IF(Orders[[#This Row],[Quantity]]&gt;MEDIAN(E:E), "High Volume", "Low Volume")</f>
        <v>Low Volume</v>
      </c>
      <c r="X571" t="str">
        <f>Orders[[#This Row],[Sales Tier]] &amp; "-" &amp; Orders[[#This Row],[Quantity Tier]]</f>
        <v>Low Price-Low Volume</v>
      </c>
      <c r="Y571" t="str">
        <f>TEXT(Orders[[#This Row],[Order Date]], "mmmm")</f>
        <v>November</v>
      </c>
      <c r="Z57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571" t="str">
        <f>Orders[[#This Row],[Coffee Type Name]] &amp; "-" &amp; Orders[[#This Row],[Roast Type Name]]</f>
        <v>Robusta-Dark</v>
      </c>
      <c r="AB57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572" spans="1:28" x14ac:dyDescent="0.25">
      <c r="A572" s="2" t="s">
        <v>4359</v>
      </c>
      <c r="B572" s="4">
        <v>44637</v>
      </c>
      <c r="C572" s="2" t="s">
        <v>4360</v>
      </c>
      <c r="D572" t="s">
        <v>6164</v>
      </c>
      <c r="E572" s="2">
        <v>2</v>
      </c>
      <c r="F572" s="2" t="str">
        <f>_xlfn.XLOOKUP(C572,customers!$A$1:$A$1001,customers!$B$1:$B$1001,,0)</f>
        <v>Jeno Druitt</v>
      </c>
      <c r="G572" s="2" t="str">
        <f>IF(_xlfn.XLOOKUP(C572,customers!$A$1:$A$1001,customers!$C$1:$C$1001,,0)=0,"",_xlfn.XLOOKUP(C572,customers!$A$1:$A$1001,customers!$C$1:$C$1001,,0))</f>
        <v>jdruittj1@feedburner.com</v>
      </c>
      <c r="H572" s="2" t="str">
        <f>_xlfn.XLOOKUP(C572,customers!$A$1:$A$1001,customers!$G$1:$G$1001,,0)</f>
        <v>United States</v>
      </c>
      <c r="I572" t="str">
        <f>INDEX(products!$A$1:$G$49, MATCH(orders!$D687,products!$A$1:$A734,0), MATCH(orders!I$1,products!$A$1:$G$1,0))</f>
        <v>Lib</v>
      </c>
      <c r="J572" t="str">
        <f>INDEX(products!$A$1:$G$49, MATCH(orders!$D687,products!$A$1:$A734,0), MATCH(orders!J$1,products!$A$1:$G$1,0))</f>
        <v>L</v>
      </c>
      <c r="K572" s="5">
        <f>INDEX(products!$A$1:$G$49, MATCH(orders!$D687,products!$A$1:$A734,0), MATCH(orders!K$1,products!$A$1:$G$1,0))</f>
        <v>2.5</v>
      </c>
      <c r="L572" s="6">
        <f>INDEX(products!$A$1:$G$49, MATCH(orders!$D687,products!$A$1:$A734,0), MATCH(orders!L$1,products!$A$1:$G$1,0))</f>
        <v>36.454999999999998</v>
      </c>
      <c r="M572" s="6">
        <f t="shared" si="24"/>
        <v>72.91</v>
      </c>
      <c r="N572" t="str">
        <f t="shared" si="25"/>
        <v>Liberica</v>
      </c>
      <c r="O572" t="str">
        <f t="shared" si="26"/>
        <v>Light</v>
      </c>
      <c r="P572" t="str">
        <f>_xlfn.XLOOKUP(Orders[[#This Row],[Customer ID]],customers!$A$1:$A$1001,customers!$I$1:$I$1001,,0)</f>
        <v>Yes</v>
      </c>
      <c r="Q572">
        <f>COUNTIF(Orders[Order ID],Orders[[#This Row],[Order ID]])</f>
        <v>1</v>
      </c>
      <c r="R572" s="10">
        <f>SUMIF(Orders[Order ID], Orders[[#This Row],[Order ID]],Orders[Sales])/Orders[[#This Row],[Order Frequency]]</f>
        <v>72.91</v>
      </c>
      <c r="S572" t="str">
        <f>IF(Orders[[#This Row],[Order Frequency]]&gt;4, "More than 4", IF(AND(Orders[[#This Row],[Order Frequency]]&lt;=4,Orders[[#This Row],[Order Frequency]]&gt;=2), "Between 4 and 2", "Less than 2"))</f>
        <v>Less than 2</v>
      </c>
      <c r="T572" t="str">
        <f>IF(Orders[[#This Row],[Frequency Group]]="less than 2", "Low Value", IF(Orders[[#This Row],[Frequency Group]]="between 4 and 2", "Medium Value", "High Value"))</f>
        <v>Low Value</v>
      </c>
      <c r="U572" t="str">
        <f>IF(Orders[[#This Row],[Sales]]&lt;50, "$0-50", IF(AND(Orders[[#This Row],[Sales]]&gt;=50,Orders[[#This Row],[Sales]]&lt;=100), "$50-100", IF(AND(Orders[[#This Row],[Sales]]&gt;100,Orders[[#This Row],[Sales]]&lt;=150), "$101-150", "$150+")))</f>
        <v>$50-100</v>
      </c>
      <c r="V572" t="str">
        <f>IF(Orders[[#This Row],[Sales]]&gt;MEDIAN(M:M), "High Price", "Low Price")</f>
        <v>High Price</v>
      </c>
      <c r="W572" t="str">
        <f>IF(Orders[[#This Row],[Quantity]]&gt;MEDIAN(E:E), "High Volume", "Low Volume")</f>
        <v>Low Volume</v>
      </c>
      <c r="X572" t="str">
        <f>Orders[[#This Row],[Sales Tier]] &amp; "-" &amp; Orders[[#This Row],[Quantity Tier]]</f>
        <v>High Price-Low Volume</v>
      </c>
      <c r="Y572" t="str">
        <f>TEXT(Orders[[#This Row],[Order Date]], "mmmm")</f>
        <v>March</v>
      </c>
      <c r="Z57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572" t="str">
        <f>Orders[[#This Row],[Coffee Type Name]] &amp; "-" &amp; Orders[[#This Row],[Roast Type Name]]</f>
        <v>Liberica-Light</v>
      </c>
      <c r="AB57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573" spans="1:28" x14ac:dyDescent="0.25">
      <c r="A573" s="2" t="s">
        <v>4268</v>
      </c>
      <c r="B573" s="4">
        <v>44551</v>
      </c>
      <c r="C573" s="2" t="s">
        <v>4269</v>
      </c>
      <c r="D573" t="s">
        <v>6181</v>
      </c>
      <c r="E573" s="2">
        <v>2</v>
      </c>
      <c r="F573" s="2" t="str">
        <f>_xlfn.XLOOKUP(C573,customers!$A$1:$A$1001,customers!$B$1:$B$1001,,0)</f>
        <v>Ferdie Tourry</v>
      </c>
      <c r="G573" s="2" t="str">
        <f>IF(_xlfn.XLOOKUP(C573,customers!$A$1:$A$1001,customers!$C$1:$C$1001,,0)=0,"",_xlfn.XLOOKUP(C573,customers!$A$1:$A$1001,customers!$C$1:$C$1001,,0))</f>
        <v>ftourryil@google.de</v>
      </c>
      <c r="H573" s="2" t="str">
        <f>_xlfn.XLOOKUP(C573,customers!$A$1:$A$1001,customers!$G$1:$G$1001,,0)</f>
        <v>United States</v>
      </c>
      <c r="I573" t="str">
        <f>INDEX(products!$A$1:$G$49, MATCH(orders!$D671,products!$A$1:$A718,0), MATCH(orders!I$1,products!$A$1:$G$1,0))</f>
        <v>Lib</v>
      </c>
      <c r="J573" t="str">
        <f>INDEX(products!$A$1:$G$49, MATCH(orders!$D671,products!$A$1:$A718,0), MATCH(orders!J$1,products!$A$1:$G$1,0))</f>
        <v>M</v>
      </c>
      <c r="K573" s="5">
        <f>INDEX(products!$A$1:$G$49, MATCH(orders!$D671,products!$A$1:$A718,0), MATCH(orders!K$1,products!$A$1:$G$1,0))</f>
        <v>2.5</v>
      </c>
      <c r="L573" s="6">
        <f>INDEX(products!$A$1:$G$49, MATCH(orders!$D671,products!$A$1:$A718,0), MATCH(orders!L$1,products!$A$1:$G$1,0))</f>
        <v>33.464999999999996</v>
      </c>
      <c r="M573" s="6">
        <f t="shared" si="24"/>
        <v>66.929999999999993</v>
      </c>
      <c r="N573" t="str">
        <f t="shared" si="25"/>
        <v>Liberica</v>
      </c>
      <c r="O573" t="str">
        <f t="shared" si="26"/>
        <v>Medium</v>
      </c>
      <c r="P573" t="str">
        <f>_xlfn.XLOOKUP(Orders[[#This Row],[Customer ID]],customers!$A$1:$A$1001,customers!$I$1:$I$1001,,0)</f>
        <v>No</v>
      </c>
      <c r="Q573">
        <f>COUNTIF(Orders[Order ID],Orders[[#This Row],[Order ID]])</f>
        <v>1</v>
      </c>
      <c r="R573" s="10">
        <f>SUMIF(Orders[Order ID], Orders[[#This Row],[Order ID]],Orders[Sales])/Orders[[#This Row],[Order Frequency]]</f>
        <v>66.929999999999993</v>
      </c>
      <c r="S573" t="str">
        <f>IF(Orders[[#This Row],[Order Frequency]]&gt;4, "More than 4", IF(AND(Orders[[#This Row],[Order Frequency]]&lt;=4,Orders[[#This Row],[Order Frequency]]&gt;=2), "Between 4 and 2", "Less than 2"))</f>
        <v>Less than 2</v>
      </c>
      <c r="T573" t="str">
        <f>IF(Orders[[#This Row],[Frequency Group]]="less than 2", "Low Value", IF(Orders[[#This Row],[Frequency Group]]="between 4 and 2", "Medium Value", "High Value"))</f>
        <v>Low Value</v>
      </c>
      <c r="U573" t="str">
        <f>IF(Orders[[#This Row],[Sales]]&lt;50, "$0-50", IF(AND(Orders[[#This Row],[Sales]]&gt;=50,Orders[[#This Row],[Sales]]&lt;=100), "$50-100", IF(AND(Orders[[#This Row],[Sales]]&gt;100,Orders[[#This Row],[Sales]]&lt;=150), "$101-150", "$150+")))</f>
        <v>$50-100</v>
      </c>
      <c r="V573" t="str">
        <f>IF(Orders[[#This Row],[Sales]]&gt;MEDIAN(M:M), "High Price", "Low Price")</f>
        <v>High Price</v>
      </c>
      <c r="W573" t="str">
        <f>IF(Orders[[#This Row],[Quantity]]&gt;MEDIAN(E:E), "High Volume", "Low Volume")</f>
        <v>Low Volume</v>
      </c>
      <c r="X573" t="str">
        <f>Orders[[#This Row],[Sales Tier]] &amp; "-" &amp; Orders[[#This Row],[Quantity Tier]]</f>
        <v>High Price-Low Volume</v>
      </c>
      <c r="Y573" t="str">
        <f>TEXT(Orders[[#This Row],[Order Date]], "mmmm")</f>
        <v>December</v>
      </c>
      <c r="Z57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573" t="str">
        <f>Orders[[#This Row],[Coffee Type Name]] &amp; "-" &amp; Orders[[#This Row],[Roast Type Name]]</f>
        <v>Liberica-Medium</v>
      </c>
      <c r="AB57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574" spans="1:28" x14ac:dyDescent="0.25">
      <c r="A574" s="2" t="s">
        <v>2301</v>
      </c>
      <c r="B574" s="4">
        <v>44170</v>
      </c>
      <c r="C574" s="2" t="s">
        <v>2302</v>
      </c>
      <c r="D574" t="s">
        <v>6152</v>
      </c>
      <c r="E574" s="2">
        <v>6</v>
      </c>
      <c r="F574" s="2" t="str">
        <f>_xlfn.XLOOKUP(C574,customers!$A$1:$A$1001,customers!$B$1:$B$1001,,0)</f>
        <v>Gaile Goggin</v>
      </c>
      <c r="G574" s="2" t="str">
        <f>IF(_xlfn.XLOOKUP(C574,customers!$A$1:$A$1001,customers!$C$1:$C$1001,,0)=0,"",_xlfn.XLOOKUP(C574,customers!$A$1:$A$1001,customers!$C$1:$C$1001,,0))</f>
        <v>ggoggin8x@wix.com</v>
      </c>
      <c r="H574" s="2" t="str">
        <f>_xlfn.XLOOKUP(C574,customers!$A$1:$A$1001,customers!$G$1:$G$1001,,0)</f>
        <v>Ireland</v>
      </c>
      <c r="I574" t="str">
        <f>INDEX(products!$A$1:$G$49, MATCH(orders!$D323,products!$A$1:$A370,0), MATCH(orders!I$1,products!$A$1:$G$1,0))</f>
        <v>Ara</v>
      </c>
      <c r="J574" t="str">
        <f>INDEX(products!$A$1:$G$49, MATCH(orders!$D323,products!$A$1:$A370,0), MATCH(orders!J$1,products!$A$1:$G$1,0))</f>
        <v>M</v>
      </c>
      <c r="K574" s="5">
        <f>INDEX(products!$A$1:$G$49, MATCH(orders!$D323,products!$A$1:$A370,0), MATCH(orders!K$1,products!$A$1:$G$1,0))</f>
        <v>0.2</v>
      </c>
      <c r="L574" s="6">
        <f>INDEX(products!$A$1:$G$49, MATCH(orders!$D323,products!$A$1:$A370,0), MATCH(orders!L$1,products!$A$1:$G$1,0))</f>
        <v>3.375</v>
      </c>
      <c r="M574" s="6">
        <f t="shared" si="24"/>
        <v>20.25</v>
      </c>
      <c r="N574" t="str">
        <f t="shared" si="25"/>
        <v>Arabica</v>
      </c>
      <c r="O574" t="str">
        <f t="shared" si="26"/>
        <v>Medium</v>
      </c>
      <c r="P574" t="str">
        <f>_xlfn.XLOOKUP(Orders[[#This Row],[Customer ID]],customers!$A$1:$A$1001,customers!$I$1:$I$1001,,0)</f>
        <v>Yes</v>
      </c>
      <c r="Q574">
        <f>COUNTIF(Orders[Order ID],Orders[[#This Row],[Order ID]])</f>
        <v>1</v>
      </c>
      <c r="R574" s="10">
        <f>SUMIF(Orders[Order ID], Orders[[#This Row],[Order ID]],Orders[Sales])/Orders[[#This Row],[Order Frequency]]</f>
        <v>20.25</v>
      </c>
      <c r="S574" t="str">
        <f>IF(Orders[[#This Row],[Order Frequency]]&gt;4, "More than 4", IF(AND(Orders[[#This Row],[Order Frequency]]&lt;=4,Orders[[#This Row],[Order Frequency]]&gt;=2), "Between 4 and 2", "Less than 2"))</f>
        <v>Less than 2</v>
      </c>
      <c r="T574" t="str">
        <f>IF(Orders[[#This Row],[Frequency Group]]="less than 2", "Low Value", IF(Orders[[#This Row],[Frequency Group]]="between 4 and 2", "Medium Value", "High Value"))</f>
        <v>Low Value</v>
      </c>
      <c r="U574" t="str">
        <f>IF(Orders[[#This Row],[Sales]]&lt;50, "$0-50", IF(AND(Orders[[#This Row],[Sales]]&gt;=50,Orders[[#This Row],[Sales]]&lt;=100), "$50-100", IF(AND(Orders[[#This Row],[Sales]]&gt;100,Orders[[#This Row],[Sales]]&lt;=150), "$101-150", "$150+")))</f>
        <v>$0-50</v>
      </c>
      <c r="V574" t="str">
        <f>IF(Orders[[#This Row],[Sales]]&gt;MEDIAN(M:M), "High Price", "Low Price")</f>
        <v>Low Price</v>
      </c>
      <c r="W574" t="str">
        <f>IF(Orders[[#This Row],[Quantity]]&gt;MEDIAN(E:E), "High Volume", "Low Volume")</f>
        <v>High Volume</v>
      </c>
      <c r="X574" t="str">
        <f>Orders[[#This Row],[Sales Tier]] &amp; "-" &amp; Orders[[#This Row],[Quantity Tier]]</f>
        <v>Low Price-High Volume</v>
      </c>
      <c r="Y574" t="str">
        <f>TEXT(Orders[[#This Row],[Order Date]], "mmmm")</f>
        <v>December</v>
      </c>
      <c r="Z57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574" t="str">
        <f>Orders[[#This Row],[Coffee Type Name]] &amp; "-" &amp; Orders[[#This Row],[Roast Type Name]]</f>
        <v>Arabica-Medium</v>
      </c>
      <c r="AB57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575" spans="1:28" x14ac:dyDescent="0.25">
      <c r="A575" s="2" t="s">
        <v>632</v>
      </c>
      <c r="B575" s="4">
        <v>44128</v>
      </c>
      <c r="C575" s="2" t="s">
        <v>633</v>
      </c>
      <c r="D575" t="s">
        <v>6156</v>
      </c>
      <c r="E575" s="2">
        <v>3</v>
      </c>
      <c r="F575" s="2" t="str">
        <f>_xlfn.XLOOKUP(C575,customers!$A$1:$A$1001,customers!$B$1:$B$1001,,0)</f>
        <v>Culley Farris</v>
      </c>
      <c r="G575" s="2" t="str">
        <f>IF(_xlfn.XLOOKUP(C575,customers!$A$1:$A$1001,customers!$C$1:$C$1001,,0)=0,"",_xlfn.XLOOKUP(C575,customers!$A$1:$A$1001,customers!$C$1:$C$1001,,0))</f>
        <v/>
      </c>
      <c r="H575" s="2" t="str">
        <f>_xlfn.XLOOKUP(C575,customers!$A$1:$A$1001,customers!$G$1:$G$1001,,0)</f>
        <v>United States</v>
      </c>
      <c r="I575" t="str">
        <f>INDEX(products!$A$1:$G$49, MATCH(orders!$D27,products!$A$1:$A74,0), MATCH(orders!I$1,products!$A$1:$G$1,0))</f>
        <v>Exc</v>
      </c>
      <c r="J575" t="str">
        <f>INDEX(products!$A$1:$G$49, MATCH(orders!$D27,products!$A$1:$A74,0), MATCH(orders!J$1,products!$A$1:$G$1,0))</f>
        <v>M</v>
      </c>
      <c r="K575" s="5">
        <f>INDEX(products!$A$1:$G$49, MATCH(orders!$D27,products!$A$1:$A74,0), MATCH(orders!K$1,products!$A$1:$G$1,0))</f>
        <v>0.2</v>
      </c>
      <c r="L575" s="6">
        <f>INDEX(products!$A$1:$G$49, MATCH(orders!$D27,products!$A$1:$A74,0), MATCH(orders!L$1,products!$A$1:$G$1,0))</f>
        <v>4.125</v>
      </c>
      <c r="M575" s="6">
        <f t="shared" si="24"/>
        <v>12.375</v>
      </c>
      <c r="N575" t="str">
        <f t="shared" si="25"/>
        <v>Excelsa</v>
      </c>
      <c r="O575" t="str">
        <f t="shared" si="26"/>
        <v>Medium</v>
      </c>
      <c r="P575" t="str">
        <f>_xlfn.XLOOKUP(Orders[[#This Row],[Customer ID]],customers!$A$1:$A$1001,customers!$I$1:$I$1001,,0)</f>
        <v>Yes</v>
      </c>
      <c r="Q575">
        <f>COUNTIF(Orders[Order ID],Orders[[#This Row],[Order ID]])</f>
        <v>1</v>
      </c>
      <c r="R575" s="10">
        <f>SUMIF(Orders[Order ID], Orders[[#This Row],[Order ID]],Orders[Sales])/Orders[[#This Row],[Order Frequency]]</f>
        <v>12.375</v>
      </c>
      <c r="S575" t="str">
        <f>IF(Orders[[#This Row],[Order Frequency]]&gt;4, "More than 4", IF(AND(Orders[[#This Row],[Order Frequency]]&lt;=4,Orders[[#This Row],[Order Frequency]]&gt;=2), "Between 4 and 2", "Less than 2"))</f>
        <v>Less than 2</v>
      </c>
      <c r="T575" t="str">
        <f>IF(Orders[[#This Row],[Frequency Group]]="less than 2", "Low Value", IF(Orders[[#This Row],[Frequency Group]]="between 4 and 2", "Medium Value", "High Value"))</f>
        <v>Low Value</v>
      </c>
      <c r="U575" t="str">
        <f>IF(Orders[[#This Row],[Sales]]&lt;50, "$0-50", IF(AND(Orders[[#This Row],[Sales]]&gt;=50,Orders[[#This Row],[Sales]]&lt;=100), "$50-100", IF(AND(Orders[[#This Row],[Sales]]&gt;100,Orders[[#This Row],[Sales]]&lt;=150), "$101-150", "$150+")))</f>
        <v>$0-50</v>
      </c>
      <c r="V575" t="str">
        <f>IF(Orders[[#This Row],[Sales]]&gt;MEDIAN(M:M), "High Price", "Low Price")</f>
        <v>Low Price</v>
      </c>
      <c r="W575" t="str">
        <f>IF(Orders[[#This Row],[Quantity]]&gt;MEDIAN(E:E), "High Volume", "Low Volume")</f>
        <v>Low Volume</v>
      </c>
      <c r="X575" t="str">
        <f>Orders[[#This Row],[Sales Tier]] &amp; "-" &amp; Orders[[#This Row],[Quantity Tier]]</f>
        <v>Low Price-Low Volume</v>
      </c>
      <c r="Y575" t="str">
        <f>TEXT(Orders[[#This Row],[Order Date]], "mmmm")</f>
        <v>October</v>
      </c>
      <c r="Z57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575" t="str">
        <f>Orders[[#This Row],[Coffee Type Name]] &amp; "-" &amp; Orders[[#This Row],[Roast Type Name]]</f>
        <v>Excelsa-Medium</v>
      </c>
      <c r="AB57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576" spans="1:28" x14ac:dyDescent="0.25">
      <c r="A576" s="2" t="s">
        <v>2396</v>
      </c>
      <c r="B576" s="4">
        <v>43995</v>
      </c>
      <c r="C576" s="2" t="s">
        <v>2397</v>
      </c>
      <c r="D576" t="s">
        <v>6171</v>
      </c>
      <c r="E576" s="2">
        <v>4</v>
      </c>
      <c r="F576" s="2" t="str">
        <f>_xlfn.XLOOKUP(C576,customers!$A$1:$A$1001,customers!$B$1:$B$1001,,0)</f>
        <v>Wyatan Fetherston</v>
      </c>
      <c r="G576" s="2" t="str">
        <f>IF(_xlfn.XLOOKUP(C576,customers!$A$1:$A$1001,customers!$C$1:$C$1001,,0)=0,"",_xlfn.XLOOKUP(C576,customers!$A$1:$A$1001,customers!$C$1:$C$1001,,0))</f>
        <v>wfetherston9e@constantcontact.com</v>
      </c>
      <c r="H576" s="2" t="str">
        <f>_xlfn.XLOOKUP(C576,customers!$A$1:$A$1001,customers!$G$1:$G$1001,,0)</f>
        <v>United States</v>
      </c>
      <c r="I576" t="str">
        <f>INDEX(products!$A$1:$G$49, MATCH(orders!$D340,products!$A$1:$A387,0), MATCH(orders!I$1,products!$A$1:$G$1,0))</f>
        <v>Exc</v>
      </c>
      <c r="J576" t="str">
        <f>INDEX(products!$A$1:$G$49, MATCH(orders!$D340,products!$A$1:$A387,0), MATCH(orders!J$1,products!$A$1:$G$1,0))</f>
        <v>L</v>
      </c>
      <c r="K576" s="5">
        <f>INDEX(products!$A$1:$G$49, MATCH(orders!$D340,products!$A$1:$A387,0), MATCH(orders!K$1,products!$A$1:$G$1,0))</f>
        <v>1</v>
      </c>
      <c r="L576" s="6">
        <f>INDEX(products!$A$1:$G$49, MATCH(orders!$D340,products!$A$1:$A387,0), MATCH(orders!L$1,products!$A$1:$G$1,0))</f>
        <v>14.85</v>
      </c>
      <c r="M576" s="6">
        <f t="shared" si="24"/>
        <v>59.4</v>
      </c>
      <c r="N576" t="str">
        <f t="shared" si="25"/>
        <v>Excelsa</v>
      </c>
      <c r="O576" t="str">
        <f t="shared" si="26"/>
        <v>Light</v>
      </c>
      <c r="P576" t="str">
        <f>_xlfn.XLOOKUP(Orders[[#This Row],[Customer ID]],customers!$A$1:$A$1001,customers!$I$1:$I$1001,,0)</f>
        <v>No</v>
      </c>
      <c r="Q576">
        <f>COUNTIF(Orders[Order ID],Orders[[#This Row],[Order ID]])</f>
        <v>1</v>
      </c>
      <c r="R576" s="10">
        <f>SUMIF(Orders[Order ID], Orders[[#This Row],[Order ID]],Orders[Sales])/Orders[[#This Row],[Order Frequency]]</f>
        <v>59.4</v>
      </c>
      <c r="S576" t="str">
        <f>IF(Orders[[#This Row],[Order Frequency]]&gt;4, "More than 4", IF(AND(Orders[[#This Row],[Order Frequency]]&lt;=4,Orders[[#This Row],[Order Frequency]]&gt;=2), "Between 4 and 2", "Less than 2"))</f>
        <v>Less than 2</v>
      </c>
      <c r="T576" t="str">
        <f>IF(Orders[[#This Row],[Frequency Group]]="less than 2", "Low Value", IF(Orders[[#This Row],[Frequency Group]]="between 4 and 2", "Medium Value", "High Value"))</f>
        <v>Low Value</v>
      </c>
      <c r="U576" t="str">
        <f>IF(Orders[[#This Row],[Sales]]&lt;50, "$0-50", IF(AND(Orders[[#This Row],[Sales]]&gt;=50,Orders[[#This Row],[Sales]]&lt;=100), "$50-100", IF(AND(Orders[[#This Row],[Sales]]&gt;100,Orders[[#This Row],[Sales]]&lt;=150), "$101-150", "$150+")))</f>
        <v>$50-100</v>
      </c>
      <c r="V576" t="str">
        <f>IF(Orders[[#This Row],[Sales]]&gt;MEDIAN(M:M), "High Price", "Low Price")</f>
        <v>High Price</v>
      </c>
      <c r="W576" t="str">
        <f>IF(Orders[[#This Row],[Quantity]]&gt;MEDIAN(E:E), "High Volume", "Low Volume")</f>
        <v>Low Volume</v>
      </c>
      <c r="X576" t="str">
        <f>Orders[[#This Row],[Sales Tier]] &amp; "-" &amp; Orders[[#This Row],[Quantity Tier]]</f>
        <v>High Price-Low Volume</v>
      </c>
      <c r="Y576" t="str">
        <f>TEXT(Orders[[#This Row],[Order Date]], "mmmm")</f>
        <v>June</v>
      </c>
      <c r="Z57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576" t="str">
        <f>Orders[[#This Row],[Coffee Type Name]] &amp; "-" &amp; Orders[[#This Row],[Roast Type Name]]</f>
        <v>Excelsa-Light</v>
      </c>
      <c r="AB57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577" spans="1:28" x14ac:dyDescent="0.25">
      <c r="A577" s="2" t="s">
        <v>3593</v>
      </c>
      <c r="B577" s="4">
        <v>44232</v>
      </c>
      <c r="C577" s="2" t="s">
        <v>3594</v>
      </c>
      <c r="D577" t="s">
        <v>6184</v>
      </c>
      <c r="E577" s="2">
        <v>4</v>
      </c>
      <c r="F577" s="2" t="str">
        <f>_xlfn.XLOOKUP(C577,customers!$A$1:$A$1001,customers!$B$1:$B$1001,,0)</f>
        <v>Wilek Lightollers</v>
      </c>
      <c r="G577" s="2" t="str">
        <f>IF(_xlfn.XLOOKUP(C577,customers!$A$1:$A$1001,customers!$C$1:$C$1001,,0)=0,"",_xlfn.XLOOKUP(C577,customers!$A$1:$A$1001,customers!$C$1:$C$1001,,0))</f>
        <v>wlightollersf9@baidu.com</v>
      </c>
      <c r="H577" s="2" t="str">
        <f>_xlfn.XLOOKUP(C577,customers!$A$1:$A$1001,customers!$G$1:$G$1001,,0)</f>
        <v>United States</v>
      </c>
      <c r="I577" t="str">
        <f>INDEX(products!$A$1:$G$49, MATCH(orders!$D551,products!$A$1:$A598,0), MATCH(orders!I$1,products!$A$1:$G$1,0))</f>
        <v>Exc</v>
      </c>
      <c r="J577" t="str">
        <f>INDEX(products!$A$1:$G$49, MATCH(orders!$D551,products!$A$1:$A598,0), MATCH(orders!J$1,products!$A$1:$G$1,0))</f>
        <v>L</v>
      </c>
      <c r="K577" s="5">
        <f>INDEX(products!$A$1:$G$49, MATCH(orders!$D551,products!$A$1:$A598,0), MATCH(orders!K$1,products!$A$1:$G$1,0))</f>
        <v>0.2</v>
      </c>
      <c r="L577" s="6">
        <f>INDEX(products!$A$1:$G$49, MATCH(orders!$D551,products!$A$1:$A598,0), MATCH(orders!L$1,products!$A$1:$G$1,0))</f>
        <v>4.4550000000000001</v>
      </c>
      <c r="M577" s="6">
        <f t="shared" si="24"/>
        <v>17.82</v>
      </c>
      <c r="N577" t="str">
        <f t="shared" si="25"/>
        <v>Excelsa</v>
      </c>
      <c r="O577" t="str">
        <f t="shared" si="26"/>
        <v>Light</v>
      </c>
      <c r="P577" t="str">
        <f>_xlfn.XLOOKUP(Orders[[#This Row],[Customer ID]],customers!$A$1:$A$1001,customers!$I$1:$I$1001,,0)</f>
        <v>Yes</v>
      </c>
      <c r="Q577">
        <f>COUNTIF(Orders[Order ID],Orders[[#This Row],[Order ID]])</f>
        <v>1</v>
      </c>
      <c r="R577" s="10">
        <f>SUMIF(Orders[Order ID], Orders[[#This Row],[Order ID]],Orders[Sales])/Orders[[#This Row],[Order Frequency]]</f>
        <v>17.82</v>
      </c>
      <c r="S577" t="str">
        <f>IF(Orders[[#This Row],[Order Frequency]]&gt;4, "More than 4", IF(AND(Orders[[#This Row],[Order Frequency]]&lt;=4,Orders[[#This Row],[Order Frequency]]&gt;=2), "Between 4 and 2", "Less than 2"))</f>
        <v>Less than 2</v>
      </c>
      <c r="T577" t="str">
        <f>IF(Orders[[#This Row],[Frequency Group]]="less than 2", "Low Value", IF(Orders[[#This Row],[Frequency Group]]="between 4 and 2", "Medium Value", "High Value"))</f>
        <v>Low Value</v>
      </c>
      <c r="U577" t="str">
        <f>IF(Orders[[#This Row],[Sales]]&lt;50, "$0-50", IF(AND(Orders[[#This Row],[Sales]]&gt;=50,Orders[[#This Row],[Sales]]&lt;=100), "$50-100", IF(AND(Orders[[#This Row],[Sales]]&gt;100,Orders[[#This Row],[Sales]]&lt;=150), "$101-150", "$150+")))</f>
        <v>$0-50</v>
      </c>
      <c r="V577" t="str">
        <f>IF(Orders[[#This Row],[Sales]]&gt;MEDIAN(M:M), "High Price", "Low Price")</f>
        <v>Low Price</v>
      </c>
      <c r="W577" t="str">
        <f>IF(Orders[[#This Row],[Quantity]]&gt;MEDIAN(E:E), "High Volume", "Low Volume")</f>
        <v>Low Volume</v>
      </c>
      <c r="X577" t="str">
        <f>Orders[[#This Row],[Sales Tier]] &amp; "-" &amp; Orders[[#This Row],[Quantity Tier]]</f>
        <v>Low Price-Low Volume</v>
      </c>
      <c r="Y577" t="str">
        <f>TEXT(Orders[[#This Row],[Order Date]], "mmmm")</f>
        <v>February</v>
      </c>
      <c r="Z57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577" t="str">
        <f>Orders[[#This Row],[Coffee Type Name]] &amp; "-" &amp; Orders[[#This Row],[Roast Type Name]]</f>
        <v>Excelsa-Light</v>
      </c>
      <c r="AB57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578" spans="1:28" x14ac:dyDescent="0.25">
      <c r="A578" s="2" t="s">
        <v>4557</v>
      </c>
      <c r="B578" s="4">
        <v>44215</v>
      </c>
      <c r="C578" s="2" t="s">
        <v>4558</v>
      </c>
      <c r="D578" t="s">
        <v>6144</v>
      </c>
      <c r="E578" s="2">
        <v>5</v>
      </c>
      <c r="F578" s="2" t="str">
        <f>_xlfn.XLOOKUP(C578,customers!$A$1:$A$1001,customers!$B$1:$B$1001,,0)</f>
        <v>Reynolds Crookshanks</v>
      </c>
      <c r="G578" s="2" t="str">
        <f>IF(_xlfn.XLOOKUP(C578,customers!$A$1:$A$1001,customers!$C$1:$C$1001,,0)=0,"",_xlfn.XLOOKUP(C578,customers!$A$1:$A$1001,customers!$C$1:$C$1001,,0))</f>
        <v>rcrookshanksk0@unc.edu</v>
      </c>
      <c r="H578" s="2" t="str">
        <f>_xlfn.XLOOKUP(C578,customers!$A$1:$A$1001,customers!$G$1:$G$1001,,0)</f>
        <v>United States</v>
      </c>
      <c r="I578" t="str">
        <f>INDEX(products!$A$1:$G$49, MATCH(orders!$D722,products!$A$1:$A769,0), MATCH(orders!I$1,products!$A$1:$G$1,0))</f>
        <v>Exc</v>
      </c>
      <c r="J578" t="str">
        <f>INDEX(products!$A$1:$G$49, MATCH(orders!$D722,products!$A$1:$A769,0), MATCH(orders!J$1,products!$A$1:$G$1,0))</f>
        <v>D</v>
      </c>
      <c r="K578" s="5">
        <f>INDEX(products!$A$1:$G$49, MATCH(orders!$D722,products!$A$1:$A769,0), MATCH(orders!K$1,products!$A$1:$G$1,0))</f>
        <v>0.5</v>
      </c>
      <c r="L578" s="6">
        <f>INDEX(products!$A$1:$G$49, MATCH(orders!$D722,products!$A$1:$A769,0), MATCH(orders!L$1,products!$A$1:$G$1,0))</f>
        <v>7.29</v>
      </c>
      <c r="M578" s="6">
        <f t="shared" ref="M578:M641" si="27">L578*E578</f>
        <v>36.450000000000003</v>
      </c>
      <c r="N578" t="str">
        <f t="shared" ref="N578:N641" si="28">IF(I578="Rob", "Robusta", IF(I578="Exc", "Excelsa", IF(I578="Ara","Arabica", IF(I578="Lib", "Liberica",""))))</f>
        <v>Excelsa</v>
      </c>
      <c r="O578" t="str">
        <f t="shared" ref="O578:O641" si="29">IF(J578="M", "Medium", IF(J578="L", "Light", IF(J578="D", "Dark", "")))</f>
        <v>Dark</v>
      </c>
      <c r="P578" t="str">
        <f>_xlfn.XLOOKUP(Orders[[#This Row],[Customer ID]],customers!$A$1:$A$1001,customers!$I$1:$I$1001,,0)</f>
        <v>Yes</v>
      </c>
      <c r="Q578">
        <f>COUNTIF(Orders[Order ID],Orders[[#This Row],[Order ID]])</f>
        <v>1</v>
      </c>
      <c r="R578" s="10">
        <f>SUMIF(Orders[Order ID], Orders[[#This Row],[Order ID]],Orders[Sales])/Orders[[#This Row],[Order Frequency]]</f>
        <v>36.450000000000003</v>
      </c>
      <c r="S578" t="str">
        <f>IF(Orders[[#This Row],[Order Frequency]]&gt;4, "More than 4", IF(AND(Orders[[#This Row],[Order Frequency]]&lt;=4,Orders[[#This Row],[Order Frequency]]&gt;=2), "Between 4 and 2", "Less than 2"))</f>
        <v>Less than 2</v>
      </c>
      <c r="T578" t="str">
        <f>IF(Orders[[#This Row],[Frequency Group]]="less than 2", "Low Value", IF(Orders[[#This Row],[Frequency Group]]="between 4 and 2", "Medium Value", "High Value"))</f>
        <v>Low Value</v>
      </c>
      <c r="U578" t="str">
        <f>IF(Orders[[#This Row],[Sales]]&lt;50, "$0-50", IF(AND(Orders[[#This Row],[Sales]]&gt;=50,Orders[[#This Row],[Sales]]&lt;=100), "$50-100", IF(AND(Orders[[#This Row],[Sales]]&gt;100,Orders[[#This Row],[Sales]]&lt;=150), "$101-150", "$150+")))</f>
        <v>$0-50</v>
      </c>
      <c r="V578" t="str">
        <f>IF(Orders[[#This Row],[Sales]]&gt;MEDIAN(M:M), "High Price", "Low Price")</f>
        <v>High Price</v>
      </c>
      <c r="W578" t="str">
        <f>IF(Orders[[#This Row],[Quantity]]&gt;MEDIAN(E:E), "High Volume", "Low Volume")</f>
        <v>High Volume</v>
      </c>
      <c r="X578" t="str">
        <f>Orders[[#This Row],[Sales Tier]] &amp; "-" &amp; Orders[[#This Row],[Quantity Tier]]</f>
        <v>High Price-High Volume</v>
      </c>
      <c r="Y578" t="str">
        <f>TEXT(Orders[[#This Row],[Order Date]], "mmmm")</f>
        <v>January</v>
      </c>
      <c r="Z57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578" t="str">
        <f>Orders[[#This Row],[Coffee Type Name]] &amp; "-" &amp; Orders[[#This Row],[Roast Type Name]]</f>
        <v>Excelsa-Dark</v>
      </c>
      <c r="AB57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579" spans="1:28" x14ac:dyDescent="0.25">
      <c r="A579" s="2" t="s">
        <v>3751</v>
      </c>
      <c r="B579" s="4">
        <v>44410</v>
      </c>
      <c r="C579" s="2" t="s">
        <v>3752</v>
      </c>
      <c r="D579" t="s">
        <v>6162</v>
      </c>
      <c r="E579" s="2">
        <v>4</v>
      </c>
      <c r="F579" s="2" t="str">
        <f>_xlfn.XLOOKUP(C579,customers!$A$1:$A$1001,customers!$B$1:$B$1001,,0)</f>
        <v>Don Flintiff</v>
      </c>
      <c r="G579" s="2" t="str">
        <f>IF(_xlfn.XLOOKUP(C579,customers!$A$1:$A$1001,customers!$C$1:$C$1001,,0)=0,"",_xlfn.XLOOKUP(C579,customers!$A$1:$A$1001,customers!$C$1:$C$1001,,0))</f>
        <v>dflintiffg1@e-recht24.de</v>
      </c>
      <c r="H579" s="2" t="str">
        <f>_xlfn.XLOOKUP(C579,customers!$A$1:$A$1001,customers!$G$1:$G$1001,,0)</f>
        <v>United Kingdom</v>
      </c>
      <c r="I579" t="str">
        <f>INDEX(products!$A$1:$G$49, MATCH(orders!$D579,products!$A$1:$A626,0), MATCH(orders!I$1,products!$A$1:$G$1,0))</f>
        <v>Lib</v>
      </c>
      <c r="J579" t="str">
        <f>INDEX(products!$A$1:$G$49, MATCH(orders!$D579,products!$A$1:$A626,0), MATCH(orders!J$1,products!$A$1:$G$1,0))</f>
        <v>M</v>
      </c>
      <c r="K579" s="5">
        <f>INDEX(products!$A$1:$G$49, MATCH(orders!$D579,products!$A$1:$A626,0), MATCH(orders!K$1,products!$A$1:$G$1,0))</f>
        <v>1</v>
      </c>
      <c r="L579" s="6">
        <f>INDEX(products!$A$1:$G$49, MATCH(orders!$D579,products!$A$1:$A626,0), MATCH(orders!L$1,products!$A$1:$G$1,0))</f>
        <v>14.55</v>
      </c>
      <c r="M579" s="6">
        <f t="shared" si="27"/>
        <v>58.2</v>
      </c>
      <c r="N579" t="str">
        <f t="shared" si="28"/>
        <v>Liberica</v>
      </c>
      <c r="O579" t="str">
        <f t="shared" si="29"/>
        <v>Medium</v>
      </c>
      <c r="P579" t="str">
        <f>_xlfn.XLOOKUP(Orders[[#This Row],[Customer ID]],customers!$A$1:$A$1001,customers!$I$1:$I$1001,,0)</f>
        <v>No</v>
      </c>
      <c r="Q579">
        <f>COUNTIF(Orders[Order ID],Orders[[#This Row],[Order ID]])</f>
        <v>1</v>
      </c>
      <c r="R579" s="10">
        <f>SUMIF(Orders[Order ID], Orders[[#This Row],[Order ID]],Orders[Sales])/Orders[[#This Row],[Order Frequency]]</f>
        <v>58.2</v>
      </c>
      <c r="S579" t="str">
        <f>IF(Orders[[#This Row],[Order Frequency]]&gt;4, "More than 4", IF(AND(Orders[[#This Row],[Order Frequency]]&lt;=4,Orders[[#This Row],[Order Frequency]]&gt;=2), "Between 4 and 2", "Less than 2"))</f>
        <v>Less than 2</v>
      </c>
      <c r="T579" t="str">
        <f>IF(Orders[[#This Row],[Frequency Group]]="less than 2", "Low Value", IF(Orders[[#This Row],[Frequency Group]]="between 4 and 2", "Medium Value", "High Value"))</f>
        <v>Low Value</v>
      </c>
      <c r="U579" t="str">
        <f>IF(Orders[[#This Row],[Sales]]&lt;50, "$0-50", IF(AND(Orders[[#This Row],[Sales]]&gt;=50,Orders[[#This Row],[Sales]]&lt;=100), "$50-100", IF(AND(Orders[[#This Row],[Sales]]&gt;100,Orders[[#This Row],[Sales]]&lt;=150), "$101-150", "$150+")))</f>
        <v>$50-100</v>
      </c>
      <c r="V579" t="str">
        <f>IF(Orders[[#This Row],[Sales]]&gt;MEDIAN(M:M), "High Price", "Low Price")</f>
        <v>High Price</v>
      </c>
      <c r="W579" t="str">
        <f>IF(Orders[[#This Row],[Quantity]]&gt;MEDIAN(E:E), "High Volume", "Low Volume")</f>
        <v>Low Volume</v>
      </c>
      <c r="X579" t="str">
        <f>Orders[[#This Row],[Sales Tier]] &amp; "-" &amp; Orders[[#This Row],[Quantity Tier]]</f>
        <v>High Price-Low Volume</v>
      </c>
      <c r="Y579" t="str">
        <f>TEXT(Orders[[#This Row],[Order Date]], "mmmm")</f>
        <v>August</v>
      </c>
      <c r="Z57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579" t="str">
        <f>Orders[[#This Row],[Coffee Type Name]] &amp; "-" &amp; Orders[[#This Row],[Roast Type Name]]</f>
        <v>Liberica-Medium</v>
      </c>
      <c r="AB57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580" spans="1:28" x14ac:dyDescent="0.25">
      <c r="A580" s="2" t="s">
        <v>4973</v>
      </c>
      <c r="B580" s="4">
        <v>43629</v>
      </c>
      <c r="C580" s="2" t="s">
        <v>4974</v>
      </c>
      <c r="D580" t="s">
        <v>6178</v>
      </c>
      <c r="E580" s="2">
        <v>5</v>
      </c>
      <c r="F580" s="2" t="str">
        <f>_xlfn.XLOOKUP(C580,customers!$A$1:$A$1001,customers!$B$1:$B$1001,,0)</f>
        <v>Lukas Whittlesee</v>
      </c>
      <c r="G580" s="2" t="str">
        <f>IF(_xlfn.XLOOKUP(C580,customers!$A$1:$A$1001,customers!$C$1:$C$1001,,0)=0,"",_xlfn.XLOOKUP(C580,customers!$A$1:$A$1001,customers!$C$1:$C$1001,,0))</f>
        <v>lwhittleseem1@e-recht24.de</v>
      </c>
      <c r="H580" s="2" t="str">
        <f>_xlfn.XLOOKUP(C580,customers!$A$1:$A$1001,customers!$G$1:$G$1001,,0)</f>
        <v>United States</v>
      </c>
      <c r="I580" t="str">
        <f>INDEX(products!$A$1:$G$49, MATCH(orders!$D795,products!$A$1:$A842,0), MATCH(orders!I$1,products!$A$1:$G$1,0))</f>
        <v>Rob</v>
      </c>
      <c r="J580" t="str">
        <f>INDEX(products!$A$1:$G$49, MATCH(orders!$D795,products!$A$1:$A842,0), MATCH(orders!J$1,products!$A$1:$G$1,0))</f>
        <v>L</v>
      </c>
      <c r="K580" s="5">
        <f>INDEX(products!$A$1:$G$49, MATCH(orders!$D795,products!$A$1:$A842,0), MATCH(orders!K$1,products!$A$1:$G$1,0))</f>
        <v>0.2</v>
      </c>
      <c r="L580" s="6">
        <f>INDEX(products!$A$1:$G$49, MATCH(orders!$D795,products!$A$1:$A842,0), MATCH(orders!L$1,products!$A$1:$G$1,0))</f>
        <v>3.5849999999999995</v>
      </c>
      <c r="M580" s="6">
        <f t="shared" si="27"/>
        <v>17.924999999999997</v>
      </c>
      <c r="N580" t="str">
        <f t="shared" si="28"/>
        <v>Robusta</v>
      </c>
      <c r="O580" t="str">
        <f t="shared" si="29"/>
        <v>Light</v>
      </c>
      <c r="P580" t="str">
        <f>_xlfn.XLOOKUP(Orders[[#This Row],[Customer ID]],customers!$A$1:$A$1001,customers!$I$1:$I$1001,,0)</f>
        <v>No</v>
      </c>
      <c r="Q580">
        <f>COUNTIF(Orders[Order ID],Orders[[#This Row],[Order ID]])</f>
        <v>1</v>
      </c>
      <c r="R580" s="10">
        <f>SUMIF(Orders[Order ID], Orders[[#This Row],[Order ID]],Orders[Sales])/Orders[[#This Row],[Order Frequency]]</f>
        <v>17.924999999999997</v>
      </c>
      <c r="S580" t="str">
        <f>IF(Orders[[#This Row],[Order Frequency]]&gt;4, "More than 4", IF(AND(Orders[[#This Row],[Order Frequency]]&lt;=4,Orders[[#This Row],[Order Frequency]]&gt;=2), "Between 4 and 2", "Less than 2"))</f>
        <v>Less than 2</v>
      </c>
      <c r="T580" t="str">
        <f>IF(Orders[[#This Row],[Frequency Group]]="less than 2", "Low Value", IF(Orders[[#This Row],[Frequency Group]]="between 4 and 2", "Medium Value", "High Value"))</f>
        <v>Low Value</v>
      </c>
      <c r="U580" t="str">
        <f>IF(Orders[[#This Row],[Sales]]&lt;50, "$0-50", IF(AND(Orders[[#This Row],[Sales]]&gt;=50,Orders[[#This Row],[Sales]]&lt;=100), "$50-100", IF(AND(Orders[[#This Row],[Sales]]&gt;100,Orders[[#This Row],[Sales]]&lt;=150), "$101-150", "$150+")))</f>
        <v>$0-50</v>
      </c>
      <c r="V580" t="str">
        <f>IF(Orders[[#This Row],[Sales]]&gt;MEDIAN(M:M), "High Price", "Low Price")</f>
        <v>Low Price</v>
      </c>
      <c r="W580" t="str">
        <f>IF(Orders[[#This Row],[Quantity]]&gt;MEDIAN(E:E), "High Volume", "Low Volume")</f>
        <v>High Volume</v>
      </c>
      <c r="X580" t="str">
        <f>Orders[[#This Row],[Sales Tier]] &amp; "-" &amp; Orders[[#This Row],[Quantity Tier]]</f>
        <v>Low Price-High Volume</v>
      </c>
      <c r="Y580" t="str">
        <f>TEXT(Orders[[#This Row],[Order Date]], "mmmm")</f>
        <v>June</v>
      </c>
      <c r="Z58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580" t="str">
        <f>Orders[[#This Row],[Coffee Type Name]] &amp; "-" &amp; Orders[[#This Row],[Roast Type Name]]</f>
        <v>Robusta-Light</v>
      </c>
      <c r="AB58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581" spans="1:28" x14ac:dyDescent="0.25">
      <c r="A581" s="2" t="s">
        <v>5580</v>
      </c>
      <c r="B581" s="4">
        <v>44584</v>
      </c>
      <c r="C581" s="2" t="s">
        <v>5581</v>
      </c>
      <c r="D581" t="s">
        <v>6170</v>
      </c>
      <c r="E581" s="2">
        <v>3</v>
      </c>
      <c r="F581" s="2" t="str">
        <f>_xlfn.XLOOKUP(C581,customers!$A$1:$A$1001,customers!$B$1:$B$1001,,0)</f>
        <v>Skelly Dolohunty</v>
      </c>
      <c r="G581" s="2" t="str">
        <f>IF(_xlfn.XLOOKUP(C581,customers!$A$1:$A$1001,customers!$C$1:$C$1001,,0)=0,"",_xlfn.XLOOKUP(C581,customers!$A$1:$A$1001,customers!$C$1:$C$1001,,0))</f>
        <v/>
      </c>
      <c r="H581" s="2" t="str">
        <f>_xlfn.XLOOKUP(C581,customers!$A$1:$A$1001,customers!$G$1:$G$1001,,0)</f>
        <v>Ireland</v>
      </c>
      <c r="I581" t="str">
        <f>INDEX(products!$A$1:$G$49, MATCH(orders!$D902,products!$A$1:$A949,0), MATCH(orders!I$1,products!$A$1:$G$1,0))</f>
        <v>Lib</v>
      </c>
      <c r="J581" t="str">
        <f>INDEX(products!$A$1:$G$49, MATCH(orders!$D902,products!$A$1:$A949,0), MATCH(orders!J$1,products!$A$1:$G$1,0))</f>
        <v>L</v>
      </c>
      <c r="K581" s="5">
        <f>INDEX(products!$A$1:$G$49, MATCH(orders!$D902,products!$A$1:$A949,0), MATCH(orders!K$1,products!$A$1:$G$1,0))</f>
        <v>1</v>
      </c>
      <c r="L581" s="6">
        <f>INDEX(products!$A$1:$G$49, MATCH(orders!$D902,products!$A$1:$A949,0), MATCH(orders!L$1,products!$A$1:$G$1,0))</f>
        <v>15.85</v>
      </c>
      <c r="M581" s="6">
        <f t="shared" si="27"/>
        <v>47.55</v>
      </c>
      <c r="N581" t="str">
        <f t="shared" si="28"/>
        <v>Liberica</v>
      </c>
      <c r="O581" t="str">
        <f t="shared" si="29"/>
        <v>Light</v>
      </c>
      <c r="P581" t="str">
        <f>_xlfn.XLOOKUP(Orders[[#This Row],[Customer ID]],customers!$A$1:$A$1001,customers!$I$1:$I$1001,,0)</f>
        <v>No</v>
      </c>
      <c r="Q581">
        <f>COUNTIF(Orders[Order ID],Orders[[#This Row],[Order ID]])</f>
        <v>1</v>
      </c>
      <c r="R581" s="10">
        <f>SUMIF(Orders[Order ID], Orders[[#This Row],[Order ID]],Orders[Sales])/Orders[[#This Row],[Order Frequency]]</f>
        <v>47.55</v>
      </c>
      <c r="S581" t="str">
        <f>IF(Orders[[#This Row],[Order Frequency]]&gt;4, "More than 4", IF(AND(Orders[[#This Row],[Order Frequency]]&lt;=4,Orders[[#This Row],[Order Frequency]]&gt;=2), "Between 4 and 2", "Less than 2"))</f>
        <v>Less than 2</v>
      </c>
      <c r="T581" t="str">
        <f>IF(Orders[[#This Row],[Frequency Group]]="less than 2", "Low Value", IF(Orders[[#This Row],[Frequency Group]]="between 4 and 2", "Medium Value", "High Value"))</f>
        <v>Low Value</v>
      </c>
      <c r="U581" t="str">
        <f>IF(Orders[[#This Row],[Sales]]&lt;50, "$0-50", IF(AND(Orders[[#This Row],[Sales]]&gt;=50,Orders[[#This Row],[Sales]]&lt;=100), "$50-100", IF(AND(Orders[[#This Row],[Sales]]&gt;100,Orders[[#This Row],[Sales]]&lt;=150), "$101-150", "$150+")))</f>
        <v>$0-50</v>
      </c>
      <c r="V581" t="str">
        <f>IF(Orders[[#This Row],[Sales]]&gt;MEDIAN(M:M), "High Price", "Low Price")</f>
        <v>High Price</v>
      </c>
      <c r="W581" t="str">
        <f>IF(Orders[[#This Row],[Quantity]]&gt;MEDIAN(E:E), "High Volume", "Low Volume")</f>
        <v>Low Volume</v>
      </c>
      <c r="X581" t="str">
        <f>Orders[[#This Row],[Sales Tier]] &amp; "-" &amp; Orders[[#This Row],[Quantity Tier]]</f>
        <v>High Price-Low Volume</v>
      </c>
      <c r="Y581" t="str">
        <f>TEXT(Orders[[#This Row],[Order Date]], "mmmm")</f>
        <v>January</v>
      </c>
      <c r="Z58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581" t="str">
        <f>Orders[[#This Row],[Coffee Type Name]] &amp; "-" &amp; Orders[[#This Row],[Roast Type Name]]</f>
        <v>Liberica-Light</v>
      </c>
      <c r="AB58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582" spans="1:28" x14ac:dyDescent="0.25">
      <c r="A582" s="2" t="s">
        <v>3900</v>
      </c>
      <c r="B582" s="4">
        <v>44148</v>
      </c>
      <c r="C582" s="2" t="s">
        <v>3901</v>
      </c>
      <c r="D582" t="s">
        <v>6165</v>
      </c>
      <c r="E582" s="2">
        <v>4</v>
      </c>
      <c r="F582" s="2" t="str">
        <f>_xlfn.XLOOKUP(C582,customers!$A$1:$A$1001,customers!$B$1:$B$1001,,0)</f>
        <v>Jorge Bettison</v>
      </c>
      <c r="G582" s="2" t="str">
        <f>IF(_xlfn.XLOOKUP(C582,customers!$A$1:$A$1001,customers!$C$1:$C$1001,,0)=0,"",_xlfn.XLOOKUP(C582,customers!$A$1:$A$1001,customers!$C$1:$C$1001,,0))</f>
        <v/>
      </c>
      <c r="H582" s="2" t="str">
        <f>_xlfn.XLOOKUP(C582,customers!$A$1:$A$1001,customers!$G$1:$G$1001,,0)</f>
        <v>Ireland</v>
      </c>
      <c r="I582" t="str">
        <f>INDEX(products!$A$1:$G$49, MATCH(orders!$D606,products!$A$1:$A653,0), MATCH(orders!I$1,products!$A$1:$G$1,0))</f>
        <v>Lib</v>
      </c>
      <c r="J582" t="str">
        <f>INDEX(products!$A$1:$G$49, MATCH(orders!$D606,products!$A$1:$A653,0), MATCH(orders!J$1,products!$A$1:$G$1,0))</f>
        <v>D</v>
      </c>
      <c r="K582" s="5">
        <f>INDEX(products!$A$1:$G$49, MATCH(orders!$D606,products!$A$1:$A653,0), MATCH(orders!K$1,products!$A$1:$G$1,0))</f>
        <v>2.5</v>
      </c>
      <c r="L582" s="6">
        <f>INDEX(products!$A$1:$G$49, MATCH(orders!$D606,products!$A$1:$A653,0), MATCH(orders!L$1,products!$A$1:$G$1,0))</f>
        <v>29.784999999999997</v>
      </c>
      <c r="M582" s="6">
        <f t="shared" si="27"/>
        <v>119.13999999999999</v>
      </c>
      <c r="N582" t="str">
        <f t="shared" si="28"/>
        <v>Liberica</v>
      </c>
      <c r="O582" t="str">
        <f t="shared" si="29"/>
        <v>Dark</v>
      </c>
      <c r="P582" t="str">
        <f>_xlfn.XLOOKUP(Orders[[#This Row],[Customer ID]],customers!$A$1:$A$1001,customers!$I$1:$I$1001,,0)</f>
        <v>No</v>
      </c>
      <c r="Q582">
        <f>COUNTIF(Orders[Order ID],Orders[[#This Row],[Order ID]])</f>
        <v>1</v>
      </c>
      <c r="R582" s="10">
        <f>SUMIF(Orders[Order ID], Orders[[#This Row],[Order ID]],Orders[Sales])/Orders[[#This Row],[Order Frequency]]</f>
        <v>119.13999999999999</v>
      </c>
      <c r="S582" t="str">
        <f>IF(Orders[[#This Row],[Order Frequency]]&gt;4, "More than 4", IF(AND(Orders[[#This Row],[Order Frequency]]&lt;=4,Orders[[#This Row],[Order Frequency]]&gt;=2), "Between 4 and 2", "Less than 2"))</f>
        <v>Less than 2</v>
      </c>
      <c r="T582" t="str">
        <f>IF(Orders[[#This Row],[Frequency Group]]="less than 2", "Low Value", IF(Orders[[#This Row],[Frequency Group]]="between 4 and 2", "Medium Value", "High Value"))</f>
        <v>Low Value</v>
      </c>
      <c r="U582" t="str">
        <f>IF(Orders[[#This Row],[Sales]]&lt;50, "$0-50", IF(AND(Orders[[#This Row],[Sales]]&gt;=50,Orders[[#This Row],[Sales]]&lt;=100), "$50-100", IF(AND(Orders[[#This Row],[Sales]]&gt;100,Orders[[#This Row],[Sales]]&lt;=150), "$101-150", "$150+")))</f>
        <v>$101-150</v>
      </c>
      <c r="V582" t="str">
        <f>IF(Orders[[#This Row],[Sales]]&gt;MEDIAN(M:M), "High Price", "Low Price")</f>
        <v>High Price</v>
      </c>
      <c r="W582" t="str">
        <f>IF(Orders[[#This Row],[Quantity]]&gt;MEDIAN(E:E), "High Volume", "Low Volume")</f>
        <v>Low Volume</v>
      </c>
      <c r="X582" t="str">
        <f>Orders[[#This Row],[Sales Tier]] &amp; "-" &amp; Orders[[#This Row],[Quantity Tier]]</f>
        <v>High Price-Low Volume</v>
      </c>
      <c r="Y582" t="str">
        <f>TEXT(Orders[[#This Row],[Order Date]], "mmmm")</f>
        <v>November</v>
      </c>
      <c r="Z58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582" t="str">
        <f>Orders[[#This Row],[Coffee Type Name]] &amp; "-" &amp; Orders[[#This Row],[Roast Type Name]]</f>
        <v>Liberica-Dark</v>
      </c>
      <c r="AB58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583" spans="1:28" x14ac:dyDescent="0.25">
      <c r="A583" s="2" t="s">
        <v>5385</v>
      </c>
      <c r="B583" s="4">
        <v>44209</v>
      </c>
      <c r="C583" s="2" t="s">
        <v>5386</v>
      </c>
      <c r="D583" t="s">
        <v>6158</v>
      </c>
      <c r="E583" s="2">
        <v>3</v>
      </c>
      <c r="F583" s="2" t="str">
        <f>_xlfn.XLOOKUP(C583,customers!$A$1:$A$1001,customers!$B$1:$B$1001,,0)</f>
        <v>Rafaela Treacher</v>
      </c>
      <c r="G583" s="2" t="str">
        <f>IF(_xlfn.XLOOKUP(C583,customers!$A$1:$A$1001,customers!$C$1:$C$1001,,0)=0,"",_xlfn.XLOOKUP(C583,customers!$A$1:$A$1001,customers!$C$1:$C$1001,,0))</f>
        <v>rtreachero2@usa.gov</v>
      </c>
      <c r="H583" s="2" t="str">
        <f>_xlfn.XLOOKUP(C583,customers!$A$1:$A$1001,customers!$G$1:$G$1001,,0)</f>
        <v>Ireland</v>
      </c>
      <c r="I583" t="str">
        <f>INDEX(products!$A$1:$G$49, MATCH(orders!$D868,products!$A$1:$A915,0), MATCH(orders!I$1,products!$A$1:$G$1,0))</f>
        <v>Ara</v>
      </c>
      <c r="J583" t="str">
        <f>INDEX(products!$A$1:$G$49, MATCH(orders!$D868,products!$A$1:$A915,0), MATCH(orders!J$1,products!$A$1:$G$1,0))</f>
        <v>D</v>
      </c>
      <c r="K583" s="5">
        <f>INDEX(products!$A$1:$G$49, MATCH(orders!$D868,products!$A$1:$A915,0), MATCH(orders!K$1,products!$A$1:$G$1,0))</f>
        <v>0.5</v>
      </c>
      <c r="L583" s="6">
        <f>INDEX(products!$A$1:$G$49, MATCH(orders!$D868,products!$A$1:$A915,0), MATCH(orders!L$1,products!$A$1:$G$1,0))</f>
        <v>5.97</v>
      </c>
      <c r="M583" s="6">
        <f t="shared" si="27"/>
        <v>17.91</v>
      </c>
      <c r="N583" t="str">
        <f t="shared" si="28"/>
        <v>Arabica</v>
      </c>
      <c r="O583" t="str">
        <f t="shared" si="29"/>
        <v>Dark</v>
      </c>
      <c r="P583" t="str">
        <f>_xlfn.XLOOKUP(Orders[[#This Row],[Customer ID]],customers!$A$1:$A$1001,customers!$I$1:$I$1001,,0)</f>
        <v>No</v>
      </c>
      <c r="Q583">
        <f>COUNTIF(Orders[Order ID],Orders[[#This Row],[Order ID]])</f>
        <v>1</v>
      </c>
      <c r="R583" s="10">
        <f>SUMIF(Orders[Order ID], Orders[[#This Row],[Order ID]],Orders[Sales])/Orders[[#This Row],[Order Frequency]]</f>
        <v>17.91</v>
      </c>
      <c r="S583" t="str">
        <f>IF(Orders[[#This Row],[Order Frequency]]&gt;4, "More than 4", IF(AND(Orders[[#This Row],[Order Frequency]]&lt;=4,Orders[[#This Row],[Order Frequency]]&gt;=2), "Between 4 and 2", "Less than 2"))</f>
        <v>Less than 2</v>
      </c>
      <c r="T583" t="str">
        <f>IF(Orders[[#This Row],[Frequency Group]]="less than 2", "Low Value", IF(Orders[[#This Row],[Frequency Group]]="between 4 and 2", "Medium Value", "High Value"))</f>
        <v>Low Value</v>
      </c>
      <c r="U583" t="str">
        <f>IF(Orders[[#This Row],[Sales]]&lt;50, "$0-50", IF(AND(Orders[[#This Row],[Sales]]&gt;=50,Orders[[#This Row],[Sales]]&lt;=100), "$50-100", IF(AND(Orders[[#This Row],[Sales]]&gt;100,Orders[[#This Row],[Sales]]&lt;=150), "$101-150", "$150+")))</f>
        <v>$0-50</v>
      </c>
      <c r="V583" t="str">
        <f>IF(Orders[[#This Row],[Sales]]&gt;MEDIAN(M:M), "High Price", "Low Price")</f>
        <v>Low Price</v>
      </c>
      <c r="W583" t="str">
        <f>IF(Orders[[#This Row],[Quantity]]&gt;MEDIAN(E:E), "High Volume", "Low Volume")</f>
        <v>Low Volume</v>
      </c>
      <c r="X583" t="str">
        <f>Orders[[#This Row],[Sales Tier]] &amp; "-" &amp; Orders[[#This Row],[Quantity Tier]]</f>
        <v>Low Price-Low Volume</v>
      </c>
      <c r="Y583" t="str">
        <f>TEXT(Orders[[#This Row],[Order Date]], "mmmm")</f>
        <v>January</v>
      </c>
      <c r="Z58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583" t="str">
        <f>Orders[[#This Row],[Coffee Type Name]] &amp; "-" &amp; Orders[[#This Row],[Roast Type Name]]</f>
        <v>Arabica-Dark</v>
      </c>
      <c r="AB58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584" spans="1:28" x14ac:dyDescent="0.25">
      <c r="A584" s="2" t="s">
        <v>5531</v>
      </c>
      <c r="B584" s="4">
        <v>44469</v>
      </c>
      <c r="C584" s="2" t="s">
        <v>5532</v>
      </c>
      <c r="D584" t="s">
        <v>6168</v>
      </c>
      <c r="E584" s="2">
        <v>5</v>
      </c>
      <c r="F584" s="2" t="str">
        <f>_xlfn.XLOOKUP(C584,customers!$A$1:$A$1001,customers!$B$1:$B$1001,,0)</f>
        <v>Celestia Dolohunty</v>
      </c>
      <c r="G584" s="2" t="str">
        <f>IF(_xlfn.XLOOKUP(C584,customers!$A$1:$A$1001,customers!$C$1:$C$1001,,0)=0,"",_xlfn.XLOOKUP(C584,customers!$A$1:$A$1001,customers!$C$1:$C$1001,,0))</f>
        <v>cdolohuntyor@dailymail.co.uk</v>
      </c>
      <c r="H584" s="2" t="str">
        <f>_xlfn.XLOOKUP(C584,customers!$A$1:$A$1001,customers!$G$1:$G$1001,,0)</f>
        <v>United States</v>
      </c>
      <c r="I584" t="str">
        <f>INDEX(products!$A$1:$G$49, MATCH(orders!$D893,products!$A$1:$A940,0), MATCH(orders!I$1,products!$A$1:$G$1,0))</f>
        <v>Ara</v>
      </c>
      <c r="J584" t="str">
        <f>INDEX(products!$A$1:$G$49, MATCH(orders!$D893,products!$A$1:$A940,0), MATCH(orders!J$1,products!$A$1:$G$1,0))</f>
        <v>D</v>
      </c>
      <c r="K584" s="5">
        <f>INDEX(products!$A$1:$G$49, MATCH(orders!$D893,products!$A$1:$A940,0), MATCH(orders!K$1,products!$A$1:$G$1,0))</f>
        <v>2.5</v>
      </c>
      <c r="L584" s="6">
        <f>INDEX(products!$A$1:$G$49, MATCH(orders!$D893,products!$A$1:$A940,0), MATCH(orders!L$1,products!$A$1:$G$1,0))</f>
        <v>22.884999999999998</v>
      </c>
      <c r="M584" s="6">
        <f t="shared" si="27"/>
        <v>114.42499999999998</v>
      </c>
      <c r="N584" t="str">
        <f t="shared" si="28"/>
        <v>Arabica</v>
      </c>
      <c r="O584" t="str">
        <f t="shared" si="29"/>
        <v>Dark</v>
      </c>
      <c r="P584" t="str">
        <f>_xlfn.XLOOKUP(Orders[[#This Row],[Customer ID]],customers!$A$1:$A$1001,customers!$I$1:$I$1001,,0)</f>
        <v>Yes</v>
      </c>
      <c r="Q584">
        <f>COUNTIF(Orders[Order ID],Orders[[#This Row],[Order ID]])</f>
        <v>1</v>
      </c>
      <c r="R584" s="10">
        <f>SUMIF(Orders[Order ID], Orders[[#This Row],[Order ID]],Orders[Sales])/Orders[[#This Row],[Order Frequency]]</f>
        <v>114.42499999999998</v>
      </c>
      <c r="S584" t="str">
        <f>IF(Orders[[#This Row],[Order Frequency]]&gt;4, "More than 4", IF(AND(Orders[[#This Row],[Order Frequency]]&lt;=4,Orders[[#This Row],[Order Frequency]]&gt;=2), "Between 4 and 2", "Less than 2"))</f>
        <v>Less than 2</v>
      </c>
      <c r="T584" t="str">
        <f>IF(Orders[[#This Row],[Frequency Group]]="less than 2", "Low Value", IF(Orders[[#This Row],[Frequency Group]]="between 4 and 2", "Medium Value", "High Value"))</f>
        <v>Low Value</v>
      </c>
      <c r="U584" t="str">
        <f>IF(Orders[[#This Row],[Sales]]&lt;50, "$0-50", IF(AND(Orders[[#This Row],[Sales]]&gt;=50,Orders[[#This Row],[Sales]]&lt;=100), "$50-100", IF(AND(Orders[[#This Row],[Sales]]&gt;100,Orders[[#This Row],[Sales]]&lt;=150), "$101-150", "$150+")))</f>
        <v>$101-150</v>
      </c>
      <c r="V584" t="str">
        <f>IF(Orders[[#This Row],[Sales]]&gt;MEDIAN(M:M), "High Price", "Low Price")</f>
        <v>High Price</v>
      </c>
      <c r="W584" t="str">
        <f>IF(Orders[[#This Row],[Quantity]]&gt;MEDIAN(E:E), "High Volume", "Low Volume")</f>
        <v>High Volume</v>
      </c>
      <c r="X584" t="str">
        <f>Orders[[#This Row],[Sales Tier]] &amp; "-" &amp; Orders[[#This Row],[Quantity Tier]]</f>
        <v>High Price-High Volume</v>
      </c>
      <c r="Y584" t="str">
        <f>TEXT(Orders[[#This Row],[Order Date]], "mmmm")</f>
        <v>September</v>
      </c>
      <c r="Z58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584" t="str">
        <f>Orders[[#This Row],[Coffee Type Name]] &amp; "-" &amp; Orders[[#This Row],[Roast Type Name]]</f>
        <v>Arabica-Dark</v>
      </c>
      <c r="AB58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585" spans="1:28" x14ac:dyDescent="0.25">
      <c r="A585" s="2" t="s">
        <v>5878</v>
      </c>
      <c r="B585" s="4">
        <v>44582</v>
      </c>
      <c r="C585" s="2" t="s">
        <v>5764</v>
      </c>
      <c r="D585" t="s">
        <v>6167</v>
      </c>
      <c r="E585" s="2">
        <v>1</v>
      </c>
      <c r="F585" s="2" t="str">
        <f>_xlfn.XLOOKUP(C585,customers!$A$1:$A$1001,customers!$B$1:$B$1001,,0)</f>
        <v>Brenn Dundredge</v>
      </c>
      <c r="G585" s="2" t="str">
        <f>IF(_xlfn.XLOOKUP(C585,customers!$A$1:$A$1001,customers!$C$1:$C$1001,,0)=0,"",_xlfn.XLOOKUP(C585,customers!$A$1:$A$1001,customers!$C$1:$C$1001,,0))</f>
        <v/>
      </c>
      <c r="H585" s="2" t="str">
        <f>_xlfn.XLOOKUP(C585,customers!$A$1:$A$1001,customers!$G$1:$G$1001,,0)</f>
        <v>United States</v>
      </c>
      <c r="I585" t="str">
        <f>INDEX(products!$A$1:$G$49, MATCH(orders!$D955,products!$A$1:$A1002,0), MATCH(orders!I$1,products!$A$1:$G$1,0))</f>
        <v>Ara</v>
      </c>
      <c r="J585" t="str">
        <f>INDEX(products!$A$1:$G$49, MATCH(orders!$D955,products!$A$1:$A1002,0), MATCH(orders!J$1,products!$A$1:$G$1,0))</f>
        <v>L</v>
      </c>
      <c r="K585" s="5">
        <f>INDEX(products!$A$1:$G$49, MATCH(orders!$D955,products!$A$1:$A1002,0), MATCH(orders!K$1,products!$A$1:$G$1,0))</f>
        <v>0.2</v>
      </c>
      <c r="L585" s="6">
        <f>INDEX(products!$A$1:$G$49, MATCH(orders!$D955,products!$A$1:$A1002,0), MATCH(orders!L$1,products!$A$1:$G$1,0))</f>
        <v>3.8849999999999998</v>
      </c>
      <c r="M585" s="6">
        <f t="shared" si="27"/>
        <v>3.8849999999999998</v>
      </c>
      <c r="N585" t="str">
        <f t="shared" si="28"/>
        <v>Arabica</v>
      </c>
      <c r="O585" t="str">
        <f t="shared" si="29"/>
        <v>Light</v>
      </c>
      <c r="P585" t="str">
        <f>_xlfn.XLOOKUP(Orders[[#This Row],[Customer ID]],customers!$A$1:$A$1001,customers!$I$1:$I$1001,,0)</f>
        <v>Yes</v>
      </c>
      <c r="Q585">
        <f>COUNTIF(Orders[Order ID],Orders[[#This Row],[Order ID]])</f>
        <v>1</v>
      </c>
      <c r="R585" s="10">
        <f>SUMIF(Orders[Order ID], Orders[[#This Row],[Order ID]],Orders[Sales])/Orders[[#This Row],[Order Frequency]]</f>
        <v>3.8849999999999998</v>
      </c>
      <c r="S585" t="str">
        <f>IF(Orders[[#This Row],[Order Frequency]]&gt;4, "More than 4", IF(AND(Orders[[#This Row],[Order Frequency]]&lt;=4,Orders[[#This Row],[Order Frequency]]&gt;=2), "Between 4 and 2", "Less than 2"))</f>
        <v>Less than 2</v>
      </c>
      <c r="T585" t="str">
        <f>IF(Orders[[#This Row],[Frequency Group]]="less than 2", "Low Value", IF(Orders[[#This Row],[Frequency Group]]="between 4 and 2", "Medium Value", "High Value"))</f>
        <v>Low Value</v>
      </c>
      <c r="U585" t="str">
        <f>IF(Orders[[#This Row],[Sales]]&lt;50, "$0-50", IF(AND(Orders[[#This Row],[Sales]]&gt;=50,Orders[[#This Row],[Sales]]&lt;=100), "$50-100", IF(AND(Orders[[#This Row],[Sales]]&gt;100,Orders[[#This Row],[Sales]]&lt;=150), "$101-150", "$150+")))</f>
        <v>$0-50</v>
      </c>
      <c r="V585" t="str">
        <f>IF(Orders[[#This Row],[Sales]]&gt;MEDIAN(M:M), "High Price", "Low Price")</f>
        <v>Low Price</v>
      </c>
      <c r="W585" t="str">
        <f>IF(Orders[[#This Row],[Quantity]]&gt;MEDIAN(E:E), "High Volume", "Low Volume")</f>
        <v>Low Volume</v>
      </c>
      <c r="X585" t="str">
        <f>Orders[[#This Row],[Sales Tier]] &amp; "-" &amp; Orders[[#This Row],[Quantity Tier]]</f>
        <v>Low Price-Low Volume</v>
      </c>
      <c r="Y585" t="str">
        <f>TEXT(Orders[[#This Row],[Order Date]], "mmmm")</f>
        <v>January</v>
      </c>
      <c r="Z58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585" t="str">
        <f>Orders[[#This Row],[Coffee Type Name]] &amp; "-" &amp; Orders[[#This Row],[Roast Type Name]]</f>
        <v>Arabica-Light</v>
      </c>
      <c r="AB58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586" spans="1:28" x14ac:dyDescent="0.25">
      <c r="A586" s="2" t="s">
        <v>5715</v>
      </c>
      <c r="B586" s="4">
        <v>44451</v>
      </c>
      <c r="C586" s="2" t="s">
        <v>5716</v>
      </c>
      <c r="D586" t="s">
        <v>6182</v>
      </c>
      <c r="E586" s="2">
        <v>3</v>
      </c>
      <c r="F586" s="2" t="str">
        <f>_xlfn.XLOOKUP(C586,customers!$A$1:$A$1001,customers!$B$1:$B$1001,,0)</f>
        <v>Celie MacCourt</v>
      </c>
      <c r="G586" s="2" t="str">
        <f>IF(_xlfn.XLOOKUP(C586,customers!$A$1:$A$1001,customers!$C$1:$C$1001,,0)=0,"",_xlfn.XLOOKUP(C586,customers!$A$1:$A$1001,customers!$C$1:$C$1001,,0))</f>
        <v>cmaccourtpo@amazon.com</v>
      </c>
      <c r="H586" s="2" t="str">
        <f>_xlfn.XLOOKUP(C586,customers!$A$1:$A$1001,customers!$G$1:$G$1001,,0)</f>
        <v>United States</v>
      </c>
      <c r="I586" t="str">
        <f>INDEX(products!$A$1:$G$49, MATCH(orders!$D926,products!$A$1:$A973,0), MATCH(orders!I$1,products!$A$1:$G$1,0))</f>
        <v>Ara</v>
      </c>
      <c r="J586" t="str">
        <f>INDEX(products!$A$1:$G$49, MATCH(orders!$D926,products!$A$1:$A973,0), MATCH(orders!J$1,products!$A$1:$G$1,0))</f>
        <v>L</v>
      </c>
      <c r="K586" s="5">
        <f>INDEX(products!$A$1:$G$49, MATCH(orders!$D926,products!$A$1:$A973,0), MATCH(orders!K$1,products!$A$1:$G$1,0))</f>
        <v>2.5</v>
      </c>
      <c r="L586" s="6">
        <f>INDEX(products!$A$1:$G$49, MATCH(orders!$D926,products!$A$1:$A973,0), MATCH(orders!L$1,products!$A$1:$G$1,0))</f>
        <v>29.784999999999997</v>
      </c>
      <c r="M586" s="6">
        <f t="shared" si="27"/>
        <v>89.35499999999999</v>
      </c>
      <c r="N586" t="str">
        <f t="shared" si="28"/>
        <v>Arabica</v>
      </c>
      <c r="O586" t="str">
        <f t="shared" si="29"/>
        <v>Light</v>
      </c>
      <c r="P586" t="str">
        <f>_xlfn.XLOOKUP(Orders[[#This Row],[Customer ID]],customers!$A$1:$A$1001,customers!$I$1:$I$1001,,0)</f>
        <v>No</v>
      </c>
      <c r="Q586">
        <f>COUNTIF(Orders[Order ID],Orders[[#This Row],[Order ID]])</f>
        <v>1</v>
      </c>
      <c r="R586" s="10">
        <f>SUMIF(Orders[Order ID], Orders[[#This Row],[Order ID]],Orders[Sales])/Orders[[#This Row],[Order Frequency]]</f>
        <v>89.35499999999999</v>
      </c>
      <c r="S586" t="str">
        <f>IF(Orders[[#This Row],[Order Frequency]]&gt;4, "More than 4", IF(AND(Orders[[#This Row],[Order Frequency]]&lt;=4,Orders[[#This Row],[Order Frequency]]&gt;=2), "Between 4 and 2", "Less than 2"))</f>
        <v>Less than 2</v>
      </c>
      <c r="T586" t="str">
        <f>IF(Orders[[#This Row],[Frequency Group]]="less than 2", "Low Value", IF(Orders[[#This Row],[Frequency Group]]="between 4 and 2", "Medium Value", "High Value"))</f>
        <v>Low Value</v>
      </c>
      <c r="U586" t="str">
        <f>IF(Orders[[#This Row],[Sales]]&lt;50, "$0-50", IF(AND(Orders[[#This Row],[Sales]]&gt;=50,Orders[[#This Row],[Sales]]&lt;=100), "$50-100", IF(AND(Orders[[#This Row],[Sales]]&gt;100,Orders[[#This Row],[Sales]]&lt;=150), "$101-150", "$150+")))</f>
        <v>$50-100</v>
      </c>
      <c r="V586" t="str">
        <f>IF(Orders[[#This Row],[Sales]]&gt;MEDIAN(M:M), "High Price", "Low Price")</f>
        <v>High Price</v>
      </c>
      <c r="W586" t="str">
        <f>IF(Orders[[#This Row],[Quantity]]&gt;MEDIAN(E:E), "High Volume", "Low Volume")</f>
        <v>Low Volume</v>
      </c>
      <c r="X586" t="str">
        <f>Orders[[#This Row],[Sales Tier]] &amp; "-" &amp; Orders[[#This Row],[Quantity Tier]]</f>
        <v>High Price-Low Volume</v>
      </c>
      <c r="Y586" t="str">
        <f>TEXT(Orders[[#This Row],[Order Date]], "mmmm")</f>
        <v>September</v>
      </c>
      <c r="Z58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586" t="str">
        <f>Orders[[#This Row],[Coffee Type Name]] &amp; "-" &amp; Orders[[#This Row],[Roast Type Name]]</f>
        <v>Arabica-Light</v>
      </c>
      <c r="AB58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587" spans="1:28" x14ac:dyDescent="0.25">
      <c r="A587" s="2" t="s">
        <v>4699</v>
      </c>
      <c r="B587" s="4">
        <v>44557</v>
      </c>
      <c r="C587" s="2" t="s">
        <v>4700</v>
      </c>
      <c r="D587" t="s">
        <v>6144</v>
      </c>
      <c r="E587" s="2">
        <v>2</v>
      </c>
      <c r="F587" s="2" t="str">
        <f>_xlfn.XLOOKUP(C587,customers!$A$1:$A$1001,customers!$B$1:$B$1001,,0)</f>
        <v>Jordana Halden</v>
      </c>
      <c r="G587" s="2" t="str">
        <f>IF(_xlfn.XLOOKUP(C587,customers!$A$1:$A$1001,customers!$C$1:$C$1001,,0)=0,"",_xlfn.XLOOKUP(C587,customers!$A$1:$A$1001,customers!$C$1:$C$1001,,0))</f>
        <v>jhaldenkp@comcast.net</v>
      </c>
      <c r="H587" s="2" t="str">
        <f>_xlfn.XLOOKUP(C587,customers!$A$1:$A$1001,customers!$G$1:$G$1001,,0)</f>
        <v>Ireland</v>
      </c>
      <c r="I587" t="str">
        <f>INDEX(products!$A$1:$G$49, MATCH(orders!$D747,products!$A$1:$A794,0), MATCH(orders!I$1,products!$A$1:$G$1,0))</f>
        <v>Exc</v>
      </c>
      <c r="J587" t="str">
        <f>INDEX(products!$A$1:$G$49, MATCH(orders!$D747,products!$A$1:$A794,0), MATCH(orders!J$1,products!$A$1:$G$1,0))</f>
        <v>D</v>
      </c>
      <c r="K587" s="5">
        <f>INDEX(products!$A$1:$G$49, MATCH(orders!$D747,products!$A$1:$A794,0), MATCH(orders!K$1,products!$A$1:$G$1,0))</f>
        <v>0.5</v>
      </c>
      <c r="L587" s="6">
        <f>INDEX(products!$A$1:$G$49, MATCH(orders!$D747,products!$A$1:$A794,0), MATCH(orders!L$1,products!$A$1:$G$1,0))</f>
        <v>7.29</v>
      </c>
      <c r="M587" s="6">
        <f t="shared" si="27"/>
        <v>14.58</v>
      </c>
      <c r="N587" t="str">
        <f t="shared" si="28"/>
        <v>Excelsa</v>
      </c>
      <c r="O587" t="str">
        <f t="shared" si="29"/>
        <v>Dark</v>
      </c>
      <c r="P587" t="str">
        <f>_xlfn.XLOOKUP(Orders[[#This Row],[Customer ID]],customers!$A$1:$A$1001,customers!$I$1:$I$1001,,0)</f>
        <v>No</v>
      </c>
      <c r="Q587">
        <f>COUNTIF(Orders[Order ID],Orders[[#This Row],[Order ID]])</f>
        <v>1</v>
      </c>
      <c r="R587" s="10">
        <f>SUMIF(Orders[Order ID], Orders[[#This Row],[Order ID]],Orders[Sales])/Orders[[#This Row],[Order Frequency]]</f>
        <v>14.58</v>
      </c>
      <c r="S587" t="str">
        <f>IF(Orders[[#This Row],[Order Frequency]]&gt;4, "More than 4", IF(AND(Orders[[#This Row],[Order Frequency]]&lt;=4,Orders[[#This Row],[Order Frequency]]&gt;=2), "Between 4 and 2", "Less than 2"))</f>
        <v>Less than 2</v>
      </c>
      <c r="T587" t="str">
        <f>IF(Orders[[#This Row],[Frequency Group]]="less than 2", "Low Value", IF(Orders[[#This Row],[Frequency Group]]="between 4 and 2", "Medium Value", "High Value"))</f>
        <v>Low Value</v>
      </c>
      <c r="U587" t="str">
        <f>IF(Orders[[#This Row],[Sales]]&lt;50, "$0-50", IF(AND(Orders[[#This Row],[Sales]]&gt;=50,Orders[[#This Row],[Sales]]&lt;=100), "$50-100", IF(AND(Orders[[#This Row],[Sales]]&gt;100,Orders[[#This Row],[Sales]]&lt;=150), "$101-150", "$150+")))</f>
        <v>$0-50</v>
      </c>
      <c r="V587" t="str">
        <f>IF(Orders[[#This Row],[Sales]]&gt;MEDIAN(M:M), "High Price", "Low Price")</f>
        <v>Low Price</v>
      </c>
      <c r="W587" t="str">
        <f>IF(Orders[[#This Row],[Quantity]]&gt;MEDIAN(E:E), "High Volume", "Low Volume")</f>
        <v>Low Volume</v>
      </c>
      <c r="X587" t="str">
        <f>Orders[[#This Row],[Sales Tier]] &amp; "-" &amp; Orders[[#This Row],[Quantity Tier]]</f>
        <v>Low Price-Low Volume</v>
      </c>
      <c r="Y587" t="str">
        <f>TEXT(Orders[[#This Row],[Order Date]], "mmmm")</f>
        <v>December</v>
      </c>
      <c r="Z58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587" t="str">
        <f>Orders[[#This Row],[Coffee Type Name]] &amp; "-" &amp; Orders[[#This Row],[Roast Type Name]]</f>
        <v>Excelsa-Dark</v>
      </c>
      <c r="AB58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588" spans="1:28" x14ac:dyDescent="0.25">
      <c r="A588" s="2" t="s">
        <v>2980</v>
      </c>
      <c r="B588" s="4">
        <v>44384</v>
      </c>
      <c r="C588" s="2" t="s">
        <v>2981</v>
      </c>
      <c r="D588" t="s">
        <v>6173</v>
      </c>
      <c r="E588" s="2">
        <v>5</v>
      </c>
      <c r="F588" s="2" t="str">
        <f>_xlfn.XLOOKUP(C588,customers!$A$1:$A$1001,customers!$B$1:$B$1001,,0)</f>
        <v>Koralle Heads</v>
      </c>
      <c r="G588" s="2" t="str">
        <f>IF(_xlfn.XLOOKUP(C588,customers!$A$1:$A$1001,customers!$C$1:$C$1001,,0)=0,"",_xlfn.XLOOKUP(C588,customers!$A$1:$A$1001,customers!$C$1:$C$1001,,0))</f>
        <v>kheadsca@jalbum.net</v>
      </c>
      <c r="H588" s="2" t="str">
        <f>_xlfn.XLOOKUP(C588,customers!$A$1:$A$1001,customers!$G$1:$G$1001,,0)</f>
        <v>United States</v>
      </c>
      <c r="I588" t="str">
        <f>INDEX(products!$A$1:$G$49, MATCH(orders!$D444,products!$A$1:$A491,0), MATCH(orders!I$1,products!$A$1:$G$1,0))</f>
        <v>Rob</v>
      </c>
      <c r="J588" t="str">
        <f>INDEX(products!$A$1:$G$49, MATCH(orders!$D444,products!$A$1:$A491,0), MATCH(orders!J$1,products!$A$1:$G$1,0))</f>
        <v>L</v>
      </c>
      <c r="K588" s="5">
        <f>INDEX(products!$A$1:$G$49, MATCH(orders!$D444,products!$A$1:$A491,0), MATCH(orders!K$1,products!$A$1:$G$1,0))</f>
        <v>0.5</v>
      </c>
      <c r="L588" s="6">
        <f>INDEX(products!$A$1:$G$49, MATCH(orders!$D444,products!$A$1:$A491,0), MATCH(orders!L$1,products!$A$1:$G$1,0))</f>
        <v>7.169999999999999</v>
      </c>
      <c r="M588" s="6">
        <f t="shared" si="27"/>
        <v>35.849999999999994</v>
      </c>
      <c r="N588" t="str">
        <f t="shared" si="28"/>
        <v>Robusta</v>
      </c>
      <c r="O588" t="str">
        <f t="shared" si="29"/>
        <v>Light</v>
      </c>
      <c r="P588" t="str">
        <f>_xlfn.XLOOKUP(Orders[[#This Row],[Customer ID]],customers!$A$1:$A$1001,customers!$I$1:$I$1001,,0)</f>
        <v>No</v>
      </c>
      <c r="Q588">
        <f>COUNTIF(Orders[Order ID],Orders[[#This Row],[Order ID]])</f>
        <v>1</v>
      </c>
      <c r="R588" s="10">
        <f>SUMIF(Orders[Order ID], Orders[[#This Row],[Order ID]],Orders[Sales])/Orders[[#This Row],[Order Frequency]]</f>
        <v>35.849999999999994</v>
      </c>
      <c r="S588" t="str">
        <f>IF(Orders[[#This Row],[Order Frequency]]&gt;4, "More than 4", IF(AND(Orders[[#This Row],[Order Frequency]]&lt;=4,Orders[[#This Row],[Order Frequency]]&gt;=2), "Between 4 and 2", "Less than 2"))</f>
        <v>Less than 2</v>
      </c>
      <c r="T588" t="str">
        <f>IF(Orders[[#This Row],[Frequency Group]]="less than 2", "Low Value", IF(Orders[[#This Row],[Frequency Group]]="between 4 and 2", "Medium Value", "High Value"))</f>
        <v>Low Value</v>
      </c>
      <c r="U588" t="str">
        <f>IF(Orders[[#This Row],[Sales]]&lt;50, "$0-50", IF(AND(Orders[[#This Row],[Sales]]&gt;=50,Orders[[#This Row],[Sales]]&lt;=100), "$50-100", IF(AND(Orders[[#This Row],[Sales]]&gt;100,Orders[[#This Row],[Sales]]&lt;=150), "$101-150", "$150+")))</f>
        <v>$0-50</v>
      </c>
      <c r="V588" t="str">
        <f>IF(Orders[[#This Row],[Sales]]&gt;MEDIAN(M:M), "High Price", "Low Price")</f>
        <v>High Price</v>
      </c>
      <c r="W588" t="str">
        <f>IF(Orders[[#This Row],[Quantity]]&gt;MEDIAN(E:E), "High Volume", "Low Volume")</f>
        <v>High Volume</v>
      </c>
      <c r="X588" t="str">
        <f>Orders[[#This Row],[Sales Tier]] &amp; "-" &amp; Orders[[#This Row],[Quantity Tier]]</f>
        <v>High Price-High Volume</v>
      </c>
      <c r="Y588" t="str">
        <f>TEXT(Orders[[#This Row],[Order Date]], "mmmm")</f>
        <v>July</v>
      </c>
      <c r="Z58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588" t="str">
        <f>Orders[[#This Row],[Coffee Type Name]] &amp; "-" &amp; Orders[[#This Row],[Roast Type Name]]</f>
        <v>Robusta-Light</v>
      </c>
      <c r="AB58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589" spans="1:28" x14ac:dyDescent="0.25">
      <c r="A589" s="2" t="s">
        <v>4035</v>
      </c>
      <c r="B589" s="4">
        <v>44680</v>
      </c>
      <c r="C589" s="2" t="s">
        <v>4036</v>
      </c>
      <c r="D589" t="s">
        <v>6154</v>
      </c>
      <c r="E589" s="2">
        <v>1</v>
      </c>
      <c r="F589" s="2" t="str">
        <f>_xlfn.XLOOKUP(C589,customers!$A$1:$A$1001,customers!$B$1:$B$1001,,0)</f>
        <v>Faunie Brigham</v>
      </c>
      <c r="G589" s="2" t="str">
        <f>IF(_xlfn.XLOOKUP(C589,customers!$A$1:$A$1001,customers!$C$1:$C$1001,,0)=0,"",_xlfn.XLOOKUP(C589,customers!$A$1:$A$1001,customers!$C$1:$C$1001,,0))</f>
        <v>fbrighamhg@blog.com</v>
      </c>
      <c r="H589" s="2" t="str">
        <f>_xlfn.XLOOKUP(C589,customers!$A$1:$A$1001,customers!$G$1:$G$1001,,0)</f>
        <v>Ireland</v>
      </c>
      <c r="I589" t="str">
        <f>INDEX(products!$A$1:$G$49, MATCH(orders!$D632,products!$A$1:$A679,0), MATCH(orders!I$1,products!$A$1:$G$1,0))</f>
        <v>Ara</v>
      </c>
      <c r="J589" t="str">
        <f>INDEX(products!$A$1:$G$49, MATCH(orders!$D632,products!$A$1:$A679,0), MATCH(orders!J$1,products!$A$1:$G$1,0))</f>
        <v>D</v>
      </c>
      <c r="K589" s="5">
        <f>INDEX(products!$A$1:$G$49, MATCH(orders!$D632,products!$A$1:$A679,0), MATCH(orders!K$1,products!$A$1:$G$1,0))</f>
        <v>0.2</v>
      </c>
      <c r="L589" s="6">
        <f>INDEX(products!$A$1:$G$49, MATCH(orders!$D632,products!$A$1:$A679,0), MATCH(orders!L$1,products!$A$1:$G$1,0))</f>
        <v>2.9849999999999999</v>
      </c>
      <c r="M589" s="6">
        <f t="shared" si="27"/>
        <v>2.9849999999999999</v>
      </c>
      <c r="N589" t="str">
        <f t="shared" si="28"/>
        <v>Arabica</v>
      </c>
      <c r="O589" t="str">
        <f t="shared" si="29"/>
        <v>Dark</v>
      </c>
      <c r="P589" t="str">
        <f>_xlfn.XLOOKUP(Orders[[#This Row],[Customer ID]],customers!$A$1:$A$1001,customers!$I$1:$I$1001,,0)</f>
        <v>Yes</v>
      </c>
      <c r="Q589">
        <f>COUNTIF(Orders[Order ID],Orders[[#This Row],[Order ID]])</f>
        <v>4</v>
      </c>
      <c r="R589" s="10">
        <f>SUMIF(Orders[Order ID], Orders[[#This Row],[Order ID]],Orders[Sales])/Orders[[#This Row],[Order Frequency]]</f>
        <v>40.929999999999993</v>
      </c>
      <c r="S589" t="str">
        <f>IF(Orders[[#This Row],[Order Frequency]]&gt;4, "More than 4", IF(AND(Orders[[#This Row],[Order Frequency]]&lt;=4,Orders[[#This Row],[Order Frequency]]&gt;=2), "Between 4 and 2", "Less than 2"))</f>
        <v>Between 4 and 2</v>
      </c>
      <c r="T589" t="str">
        <f>IF(Orders[[#This Row],[Frequency Group]]="less than 2", "Low Value", IF(Orders[[#This Row],[Frequency Group]]="between 4 and 2", "Medium Value", "High Value"))</f>
        <v>Medium Value</v>
      </c>
      <c r="U589" t="str">
        <f>IF(Orders[[#This Row],[Sales]]&lt;50, "$0-50", IF(AND(Orders[[#This Row],[Sales]]&gt;=50,Orders[[#This Row],[Sales]]&lt;=100), "$50-100", IF(AND(Orders[[#This Row],[Sales]]&gt;100,Orders[[#This Row],[Sales]]&lt;=150), "$101-150", "$150+")))</f>
        <v>$0-50</v>
      </c>
      <c r="V589" t="str">
        <f>IF(Orders[[#This Row],[Sales]]&gt;MEDIAN(M:M), "High Price", "Low Price")</f>
        <v>Low Price</v>
      </c>
      <c r="W589" t="str">
        <f>IF(Orders[[#This Row],[Quantity]]&gt;MEDIAN(E:E), "High Volume", "Low Volume")</f>
        <v>Low Volume</v>
      </c>
      <c r="X589" t="str">
        <f>Orders[[#This Row],[Sales Tier]] &amp; "-" &amp; Orders[[#This Row],[Quantity Tier]]</f>
        <v>Low Price-Low Volume</v>
      </c>
      <c r="Y589" t="str">
        <f>TEXT(Orders[[#This Row],[Order Date]], "mmmm")</f>
        <v>April</v>
      </c>
      <c r="Z58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589" t="str">
        <f>Orders[[#This Row],[Coffee Type Name]] &amp; "-" &amp; Orders[[#This Row],[Roast Type Name]]</f>
        <v>Arabica-Dark</v>
      </c>
      <c r="AB58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590" spans="1:28" x14ac:dyDescent="0.25">
      <c r="A590" s="2" t="s">
        <v>4035</v>
      </c>
      <c r="B590" s="4">
        <v>44680</v>
      </c>
      <c r="C590" s="2" t="s">
        <v>4036</v>
      </c>
      <c r="D590" t="s">
        <v>6184</v>
      </c>
      <c r="E590" s="2">
        <v>6</v>
      </c>
      <c r="F590" s="2" t="str">
        <f>_xlfn.XLOOKUP(C590,customers!$A$1:$A$1001,customers!$B$1:$B$1001,,0)</f>
        <v>Faunie Brigham</v>
      </c>
      <c r="G590" s="2" t="str">
        <f>IF(_xlfn.XLOOKUP(C590,customers!$A$1:$A$1001,customers!$C$1:$C$1001,,0)=0,"",_xlfn.XLOOKUP(C590,customers!$A$1:$A$1001,customers!$C$1:$C$1001,,0))</f>
        <v>fbrighamhg@blog.com</v>
      </c>
      <c r="H590" s="2" t="str">
        <f>_xlfn.XLOOKUP(C590,customers!$A$1:$A$1001,customers!$G$1:$G$1001,,0)</f>
        <v>Ireland</v>
      </c>
      <c r="I590" t="str">
        <f>INDEX(products!$A$1:$G$49, MATCH(orders!$D630,products!$A$1:$A677,0), MATCH(orders!I$1,products!$A$1:$G$1,0))</f>
        <v>Exc</v>
      </c>
      <c r="J590" t="str">
        <f>INDEX(products!$A$1:$G$49, MATCH(orders!$D630,products!$A$1:$A677,0), MATCH(orders!J$1,products!$A$1:$G$1,0))</f>
        <v>L</v>
      </c>
      <c r="K590" s="5">
        <f>INDEX(products!$A$1:$G$49, MATCH(orders!$D630,products!$A$1:$A677,0), MATCH(orders!K$1,products!$A$1:$G$1,0))</f>
        <v>0.2</v>
      </c>
      <c r="L590" s="6">
        <f>INDEX(products!$A$1:$G$49, MATCH(orders!$D630,products!$A$1:$A677,0), MATCH(orders!L$1,products!$A$1:$G$1,0))</f>
        <v>4.4550000000000001</v>
      </c>
      <c r="M590" s="6">
        <f t="shared" si="27"/>
        <v>26.73</v>
      </c>
      <c r="N590" t="str">
        <f t="shared" si="28"/>
        <v>Excelsa</v>
      </c>
      <c r="O590" t="str">
        <f t="shared" si="29"/>
        <v>Light</v>
      </c>
      <c r="P590" t="str">
        <f>_xlfn.XLOOKUP(Orders[[#This Row],[Customer ID]],customers!$A$1:$A$1001,customers!$I$1:$I$1001,,0)</f>
        <v>Yes</v>
      </c>
      <c r="Q590">
        <f>COUNTIF(Orders[Order ID],Orders[[#This Row],[Order ID]])</f>
        <v>4</v>
      </c>
      <c r="R590" s="10">
        <f>SUMIF(Orders[Order ID], Orders[[#This Row],[Order ID]],Orders[Sales])/Orders[[#This Row],[Order Frequency]]</f>
        <v>40.929999999999993</v>
      </c>
      <c r="S590" t="str">
        <f>IF(Orders[[#This Row],[Order Frequency]]&gt;4, "More than 4", IF(AND(Orders[[#This Row],[Order Frequency]]&lt;=4,Orders[[#This Row],[Order Frequency]]&gt;=2), "Between 4 and 2", "Less than 2"))</f>
        <v>Between 4 and 2</v>
      </c>
      <c r="T590" t="str">
        <f>IF(Orders[[#This Row],[Frequency Group]]="less than 2", "Low Value", IF(Orders[[#This Row],[Frequency Group]]="between 4 and 2", "Medium Value", "High Value"))</f>
        <v>Medium Value</v>
      </c>
      <c r="U590" t="str">
        <f>IF(Orders[[#This Row],[Sales]]&lt;50, "$0-50", IF(AND(Orders[[#This Row],[Sales]]&gt;=50,Orders[[#This Row],[Sales]]&lt;=100), "$50-100", IF(AND(Orders[[#This Row],[Sales]]&gt;100,Orders[[#This Row],[Sales]]&lt;=150), "$101-150", "$150+")))</f>
        <v>$0-50</v>
      </c>
      <c r="V590" t="str">
        <f>IF(Orders[[#This Row],[Sales]]&gt;MEDIAN(M:M), "High Price", "Low Price")</f>
        <v>Low Price</v>
      </c>
      <c r="W590" t="str">
        <f>IF(Orders[[#This Row],[Quantity]]&gt;MEDIAN(E:E), "High Volume", "Low Volume")</f>
        <v>High Volume</v>
      </c>
      <c r="X590" t="str">
        <f>Orders[[#This Row],[Sales Tier]] &amp; "-" &amp; Orders[[#This Row],[Quantity Tier]]</f>
        <v>Low Price-High Volume</v>
      </c>
      <c r="Y590" t="str">
        <f>TEXT(Orders[[#This Row],[Order Date]], "mmmm")</f>
        <v>April</v>
      </c>
      <c r="Z59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590" t="str">
        <f>Orders[[#This Row],[Coffee Type Name]] &amp; "-" &amp; Orders[[#This Row],[Roast Type Name]]</f>
        <v>Excelsa-Light</v>
      </c>
      <c r="AB59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591" spans="1:28" x14ac:dyDescent="0.25">
      <c r="A591" s="2" t="s">
        <v>4035</v>
      </c>
      <c r="B591" s="4">
        <v>44680</v>
      </c>
      <c r="C591" s="2" t="s">
        <v>4036</v>
      </c>
      <c r="D591" t="s">
        <v>6169</v>
      </c>
      <c r="E591" s="2">
        <v>4</v>
      </c>
      <c r="F591" s="2" t="str">
        <f>_xlfn.XLOOKUP(C591,customers!$A$1:$A$1001,customers!$B$1:$B$1001,,0)</f>
        <v>Faunie Brigham</v>
      </c>
      <c r="G591" s="2" t="str">
        <f>IF(_xlfn.XLOOKUP(C591,customers!$A$1:$A$1001,customers!$C$1:$C$1001,,0)=0,"",_xlfn.XLOOKUP(C591,customers!$A$1:$A$1001,customers!$C$1:$C$1001,,0))</f>
        <v>fbrighamhg@blog.com</v>
      </c>
      <c r="H591" s="2" t="str">
        <f>_xlfn.XLOOKUP(C591,customers!$A$1:$A$1001,customers!$G$1:$G$1001,,0)</f>
        <v>Ireland</v>
      </c>
      <c r="I591" t="str">
        <f>INDEX(products!$A$1:$G$49, MATCH(orders!$D631,products!$A$1:$A678,0), MATCH(orders!I$1,products!$A$1:$G$1,0))</f>
        <v>Lib</v>
      </c>
      <c r="J591" t="str">
        <f>INDEX(products!$A$1:$G$49, MATCH(orders!$D631,products!$A$1:$A678,0), MATCH(orders!J$1,products!$A$1:$G$1,0))</f>
        <v>D</v>
      </c>
      <c r="K591" s="5">
        <f>INDEX(products!$A$1:$G$49, MATCH(orders!$D631,products!$A$1:$A678,0), MATCH(orders!K$1,products!$A$1:$G$1,0))</f>
        <v>0.5</v>
      </c>
      <c r="L591" s="6">
        <f>INDEX(products!$A$1:$G$49, MATCH(orders!$D631,products!$A$1:$A678,0), MATCH(orders!L$1,products!$A$1:$G$1,0))</f>
        <v>7.77</v>
      </c>
      <c r="M591" s="6">
        <f t="shared" si="27"/>
        <v>31.08</v>
      </c>
      <c r="N591" t="str">
        <f t="shared" si="28"/>
        <v>Liberica</v>
      </c>
      <c r="O591" t="str">
        <f t="shared" si="29"/>
        <v>Dark</v>
      </c>
      <c r="P591" t="str">
        <f>_xlfn.XLOOKUP(Orders[[#This Row],[Customer ID]],customers!$A$1:$A$1001,customers!$I$1:$I$1001,,0)</f>
        <v>Yes</v>
      </c>
      <c r="Q591">
        <f>COUNTIF(Orders[Order ID],Orders[[#This Row],[Order ID]])</f>
        <v>4</v>
      </c>
      <c r="R591" s="10">
        <f>SUMIF(Orders[Order ID], Orders[[#This Row],[Order ID]],Orders[Sales])/Orders[[#This Row],[Order Frequency]]</f>
        <v>40.929999999999993</v>
      </c>
      <c r="S591" t="str">
        <f>IF(Orders[[#This Row],[Order Frequency]]&gt;4, "More than 4", IF(AND(Orders[[#This Row],[Order Frequency]]&lt;=4,Orders[[#This Row],[Order Frequency]]&gt;=2), "Between 4 and 2", "Less than 2"))</f>
        <v>Between 4 and 2</v>
      </c>
      <c r="T591" t="str">
        <f>IF(Orders[[#This Row],[Frequency Group]]="less than 2", "Low Value", IF(Orders[[#This Row],[Frequency Group]]="between 4 and 2", "Medium Value", "High Value"))</f>
        <v>Medium Value</v>
      </c>
      <c r="U591" t="str">
        <f>IF(Orders[[#This Row],[Sales]]&lt;50, "$0-50", IF(AND(Orders[[#This Row],[Sales]]&gt;=50,Orders[[#This Row],[Sales]]&lt;=100), "$50-100", IF(AND(Orders[[#This Row],[Sales]]&gt;100,Orders[[#This Row],[Sales]]&lt;=150), "$101-150", "$150+")))</f>
        <v>$0-50</v>
      </c>
      <c r="V591" t="str">
        <f>IF(Orders[[#This Row],[Sales]]&gt;MEDIAN(M:M), "High Price", "Low Price")</f>
        <v>High Price</v>
      </c>
      <c r="W591" t="str">
        <f>IF(Orders[[#This Row],[Quantity]]&gt;MEDIAN(E:E), "High Volume", "Low Volume")</f>
        <v>Low Volume</v>
      </c>
      <c r="X591" t="str">
        <f>Orders[[#This Row],[Sales Tier]] &amp; "-" &amp; Orders[[#This Row],[Quantity Tier]]</f>
        <v>High Price-Low Volume</v>
      </c>
      <c r="Y591" t="str">
        <f>TEXT(Orders[[#This Row],[Order Date]], "mmmm")</f>
        <v>April</v>
      </c>
      <c r="Z59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591" t="str">
        <f>Orders[[#This Row],[Coffee Type Name]] &amp; "-" &amp; Orders[[#This Row],[Roast Type Name]]</f>
        <v>Liberica-Dark</v>
      </c>
      <c r="AB59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592" spans="1:28" x14ac:dyDescent="0.25">
      <c r="A592" s="2" t="s">
        <v>4035</v>
      </c>
      <c r="B592" s="4">
        <v>44680</v>
      </c>
      <c r="C592" s="2" t="s">
        <v>4036</v>
      </c>
      <c r="D592" t="s">
        <v>6149</v>
      </c>
      <c r="E592" s="2">
        <v>5</v>
      </c>
      <c r="F592" s="2" t="str">
        <f>_xlfn.XLOOKUP(C592,customers!$A$1:$A$1001,customers!$B$1:$B$1001,,0)</f>
        <v>Faunie Brigham</v>
      </c>
      <c r="G592" s="2" t="str">
        <f>IF(_xlfn.XLOOKUP(C592,customers!$A$1:$A$1001,customers!$C$1:$C$1001,,0)=0,"",_xlfn.XLOOKUP(C592,customers!$A$1:$A$1001,customers!$C$1:$C$1001,,0))</f>
        <v>fbrighamhg@blog.com</v>
      </c>
      <c r="H592" s="2" t="str">
        <f>_xlfn.XLOOKUP(C592,customers!$A$1:$A$1001,customers!$G$1:$G$1001,,0)</f>
        <v>Ireland</v>
      </c>
      <c r="I592" t="str">
        <f>INDEX(products!$A$1:$G$49, MATCH(orders!$D633,products!$A$1:$A680,0), MATCH(orders!I$1,products!$A$1:$G$1,0))</f>
        <v>Rob</v>
      </c>
      <c r="J592" t="str">
        <f>INDEX(products!$A$1:$G$49, MATCH(orders!$D633,products!$A$1:$A680,0), MATCH(orders!J$1,products!$A$1:$G$1,0))</f>
        <v>D</v>
      </c>
      <c r="K592" s="5">
        <f>INDEX(products!$A$1:$G$49, MATCH(orders!$D633,products!$A$1:$A680,0), MATCH(orders!K$1,products!$A$1:$G$1,0))</f>
        <v>2.5</v>
      </c>
      <c r="L592" s="6">
        <f>INDEX(products!$A$1:$G$49, MATCH(orders!$D633,products!$A$1:$A680,0), MATCH(orders!L$1,products!$A$1:$G$1,0))</f>
        <v>20.584999999999997</v>
      </c>
      <c r="M592" s="6">
        <f t="shared" si="27"/>
        <v>102.92499999999998</v>
      </c>
      <c r="N592" t="str">
        <f t="shared" si="28"/>
        <v>Robusta</v>
      </c>
      <c r="O592" t="str">
        <f t="shared" si="29"/>
        <v>Dark</v>
      </c>
      <c r="P592" t="str">
        <f>_xlfn.XLOOKUP(Orders[[#This Row],[Customer ID]],customers!$A$1:$A$1001,customers!$I$1:$I$1001,,0)</f>
        <v>Yes</v>
      </c>
      <c r="Q592">
        <f>COUNTIF(Orders[Order ID],Orders[[#This Row],[Order ID]])</f>
        <v>4</v>
      </c>
      <c r="R592" s="10">
        <f>SUMIF(Orders[Order ID], Orders[[#This Row],[Order ID]],Orders[Sales])/Orders[[#This Row],[Order Frequency]]</f>
        <v>40.929999999999993</v>
      </c>
      <c r="S592" t="str">
        <f>IF(Orders[[#This Row],[Order Frequency]]&gt;4, "More than 4", IF(AND(Orders[[#This Row],[Order Frequency]]&lt;=4,Orders[[#This Row],[Order Frequency]]&gt;=2), "Between 4 and 2", "Less than 2"))</f>
        <v>Between 4 and 2</v>
      </c>
      <c r="T592" t="str">
        <f>IF(Orders[[#This Row],[Frequency Group]]="less than 2", "Low Value", IF(Orders[[#This Row],[Frequency Group]]="between 4 and 2", "Medium Value", "High Value"))</f>
        <v>Medium Value</v>
      </c>
      <c r="U592" t="str">
        <f>IF(Orders[[#This Row],[Sales]]&lt;50, "$0-50", IF(AND(Orders[[#This Row],[Sales]]&gt;=50,Orders[[#This Row],[Sales]]&lt;=100), "$50-100", IF(AND(Orders[[#This Row],[Sales]]&gt;100,Orders[[#This Row],[Sales]]&lt;=150), "$101-150", "$150+")))</f>
        <v>$101-150</v>
      </c>
      <c r="V592" t="str">
        <f>IF(Orders[[#This Row],[Sales]]&gt;MEDIAN(M:M), "High Price", "Low Price")</f>
        <v>High Price</v>
      </c>
      <c r="W592" t="str">
        <f>IF(Orders[[#This Row],[Quantity]]&gt;MEDIAN(E:E), "High Volume", "Low Volume")</f>
        <v>High Volume</v>
      </c>
      <c r="X592" t="str">
        <f>Orders[[#This Row],[Sales Tier]] &amp; "-" &amp; Orders[[#This Row],[Quantity Tier]]</f>
        <v>High Price-High Volume</v>
      </c>
      <c r="Y592" t="str">
        <f>TEXT(Orders[[#This Row],[Order Date]], "mmmm")</f>
        <v>April</v>
      </c>
      <c r="Z59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592" t="str">
        <f>Orders[[#This Row],[Coffee Type Name]] &amp; "-" &amp; Orders[[#This Row],[Roast Type Name]]</f>
        <v>Robusta-Dark</v>
      </c>
      <c r="AB59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593" spans="1:28" x14ac:dyDescent="0.25">
      <c r="A593" s="2" t="s">
        <v>3010</v>
      </c>
      <c r="B593" s="4">
        <v>43908</v>
      </c>
      <c r="C593" s="2" t="s">
        <v>3011</v>
      </c>
      <c r="D593" t="s">
        <v>6146</v>
      </c>
      <c r="E593" s="2">
        <v>3</v>
      </c>
      <c r="F593" s="2" t="str">
        <f>_xlfn.XLOOKUP(C593,customers!$A$1:$A$1001,customers!$B$1:$B$1001,,0)</f>
        <v>Arleen Braidman</v>
      </c>
      <c r="G593" s="2" t="str">
        <f>IF(_xlfn.XLOOKUP(C593,customers!$A$1:$A$1001,customers!$C$1:$C$1001,,0)=0,"",_xlfn.XLOOKUP(C593,customers!$A$1:$A$1001,customers!$C$1:$C$1001,,0))</f>
        <v>abraidmancf@census.gov</v>
      </c>
      <c r="H593" s="2" t="str">
        <f>_xlfn.XLOOKUP(C593,customers!$A$1:$A$1001,customers!$G$1:$G$1001,,0)</f>
        <v>United States</v>
      </c>
      <c r="I593" t="str">
        <f>INDEX(products!$A$1:$G$49, MATCH(orders!$D449,products!$A$1:$A496,0), MATCH(orders!I$1,products!$A$1:$G$1,0))</f>
        <v>Rob</v>
      </c>
      <c r="J593" t="str">
        <f>INDEX(products!$A$1:$G$49, MATCH(orders!$D449,products!$A$1:$A496,0), MATCH(orders!J$1,products!$A$1:$G$1,0))</f>
        <v>M</v>
      </c>
      <c r="K593" s="5">
        <f>INDEX(products!$A$1:$G$49, MATCH(orders!$D449,products!$A$1:$A496,0), MATCH(orders!K$1,products!$A$1:$G$1,0))</f>
        <v>0.5</v>
      </c>
      <c r="L593" s="6">
        <f>INDEX(products!$A$1:$G$49, MATCH(orders!$D449,products!$A$1:$A496,0), MATCH(orders!L$1,products!$A$1:$G$1,0))</f>
        <v>5.97</v>
      </c>
      <c r="M593" s="6">
        <f t="shared" si="27"/>
        <v>17.91</v>
      </c>
      <c r="N593" t="str">
        <f t="shared" si="28"/>
        <v>Robusta</v>
      </c>
      <c r="O593" t="str">
        <f t="shared" si="29"/>
        <v>Medium</v>
      </c>
      <c r="P593" t="str">
        <f>_xlfn.XLOOKUP(Orders[[#This Row],[Customer ID]],customers!$A$1:$A$1001,customers!$I$1:$I$1001,,0)</f>
        <v>No</v>
      </c>
      <c r="Q593">
        <f>COUNTIF(Orders[Order ID],Orders[[#This Row],[Order ID]])</f>
        <v>1</v>
      </c>
      <c r="R593" s="10">
        <f>SUMIF(Orders[Order ID], Orders[[#This Row],[Order ID]],Orders[Sales])/Orders[[#This Row],[Order Frequency]]</f>
        <v>17.91</v>
      </c>
      <c r="S593" t="str">
        <f>IF(Orders[[#This Row],[Order Frequency]]&gt;4, "More than 4", IF(AND(Orders[[#This Row],[Order Frequency]]&lt;=4,Orders[[#This Row],[Order Frequency]]&gt;=2), "Between 4 and 2", "Less than 2"))</f>
        <v>Less than 2</v>
      </c>
      <c r="T593" t="str">
        <f>IF(Orders[[#This Row],[Frequency Group]]="less than 2", "Low Value", IF(Orders[[#This Row],[Frequency Group]]="between 4 and 2", "Medium Value", "High Value"))</f>
        <v>Low Value</v>
      </c>
      <c r="U593" t="str">
        <f>IF(Orders[[#This Row],[Sales]]&lt;50, "$0-50", IF(AND(Orders[[#This Row],[Sales]]&gt;=50,Orders[[#This Row],[Sales]]&lt;=100), "$50-100", IF(AND(Orders[[#This Row],[Sales]]&gt;100,Orders[[#This Row],[Sales]]&lt;=150), "$101-150", "$150+")))</f>
        <v>$0-50</v>
      </c>
      <c r="V593" t="str">
        <f>IF(Orders[[#This Row],[Sales]]&gt;MEDIAN(M:M), "High Price", "Low Price")</f>
        <v>Low Price</v>
      </c>
      <c r="W593" t="str">
        <f>IF(Orders[[#This Row],[Quantity]]&gt;MEDIAN(E:E), "High Volume", "Low Volume")</f>
        <v>Low Volume</v>
      </c>
      <c r="X593" t="str">
        <f>Orders[[#This Row],[Sales Tier]] &amp; "-" &amp; Orders[[#This Row],[Quantity Tier]]</f>
        <v>Low Price-Low Volume</v>
      </c>
      <c r="Y593" t="str">
        <f>TEXT(Orders[[#This Row],[Order Date]], "mmmm")</f>
        <v>March</v>
      </c>
      <c r="Z59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593" t="str">
        <f>Orders[[#This Row],[Coffee Type Name]] &amp; "-" &amp; Orders[[#This Row],[Roast Type Name]]</f>
        <v>Robusta-Medium</v>
      </c>
      <c r="AB59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594" spans="1:28" x14ac:dyDescent="0.25">
      <c r="A594" s="2" t="s">
        <v>1549</v>
      </c>
      <c r="B594" s="4">
        <v>44698</v>
      </c>
      <c r="C594" s="2" t="s">
        <v>1550</v>
      </c>
      <c r="D594" t="s">
        <v>6184</v>
      </c>
      <c r="E594" s="2">
        <v>1</v>
      </c>
      <c r="F594" s="2" t="str">
        <f>_xlfn.XLOOKUP(C594,customers!$A$1:$A$1001,customers!$B$1:$B$1001,,0)</f>
        <v>Astrix Kitchingham</v>
      </c>
      <c r="G594" s="2" t="str">
        <f>IF(_xlfn.XLOOKUP(C594,customers!$A$1:$A$1001,customers!$C$1:$C$1001,,0)=0,"",_xlfn.XLOOKUP(C594,customers!$A$1:$A$1001,customers!$C$1:$C$1001,,0))</f>
        <v>akitchingham58@com.com</v>
      </c>
      <c r="H594" s="2" t="str">
        <f>_xlfn.XLOOKUP(C594,customers!$A$1:$A$1001,customers!$G$1:$G$1001,,0)</f>
        <v>United States</v>
      </c>
      <c r="I594" t="str">
        <f>INDEX(products!$A$1:$G$49, MATCH(orders!$D190,products!$A$1:$A237,0), MATCH(orders!I$1,products!$A$1:$G$1,0))</f>
        <v>Exc</v>
      </c>
      <c r="J594" t="str">
        <f>INDEX(products!$A$1:$G$49, MATCH(orders!$D190,products!$A$1:$A237,0), MATCH(orders!J$1,products!$A$1:$G$1,0))</f>
        <v>L</v>
      </c>
      <c r="K594" s="5">
        <f>INDEX(products!$A$1:$G$49, MATCH(orders!$D190,products!$A$1:$A237,0), MATCH(orders!K$1,products!$A$1:$G$1,0))</f>
        <v>0.2</v>
      </c>
      <c r="L594" s="6">
        <f>INDEX(products!$A$1:$G$49, MATCH(orders!$D190,products!$A$1:$A237,0), MATCH(orders!L$1,products!$A$1:$G$1,0))</f>
        <v>4.4550000000000001</v>
      </c>
      <c r="M594" s="6">
        <f t="shared" si="27"/>
        <v>4.4550000000000001</v>
      </c>
      <c r="N594" t="str">
        <f t="shared" si="28"/>
        <v>Excelsa</v>
      </c>
      <c r="O594" t="str">
        <f t="shared" si="29"/>
        <v>Light</v>
      </c>
      <c r="P594" t="str">
        <f>_xlfn.XLOOKUP(Orders[[#This Row],[Customer ID]],customers!$A$1:$A$1001,customers!$I$1:$I$1001,,0)</f>
        <v>Yes</v>
      </c>
      <c r="Q594">
        <f>COUNTIF(Orders[Order ID],Orders[[#This Row],[Order ID]])</f>
        <v>1</v>
      </c>
      <c r="R594" s="10">
        <f>SUMIF(Orders[Order ID], Orders[[#This Row],[Order ID]],Orders[Sales])/Orders[[#This Row],[Order Frequency]]</f>
        <v>4.4550000000000001</v>
      </c>
      <c r="S594" t="str">
        <f>IF(Orders[[#This Row],[Order Frequency]]&gt;4, "More than 4", IF(AND(Orders[[#This Row],[Order Frequency]]&lt;=4,Orders[[#This Row],[Order Frequency]]&gt;=2), "Between 4 and 2", "Less than 2"))</f>
        <v>Less than 2</v>
      </c>
      <c r="T594" t="str">
        <f>IF(Orders[[#This Row],[Frequency Group]]="less than 2", "Low Value", IF(Orders[[#This Row],[Frequency Group]]="between 4 and 2", "Medium Value", "High Value"))</f>
        <v>Low Value</v>
      </c>
      <c r="U594" t="str">
        <f>IF(Orders[[#This Row],[Sales]]&lt;50, "$0-50", IF(AND(Orders[[#This Row],[Sales]]&gt;=50,Orders[[#This Row],[Sales]]&lt;=100), "$50-100", IF(AND(Orders[[#This Row],[Sales]]&gt;100,Orders[[#This Row],[Sales]]&lt;=150), "$101-150", "$150+")))</f>
        <v>$0-50</v>
      </c>
      <c r="V594" t="str">
        <f>IF(Orders[[#This Row],[Sales]]&gt;MEDIAN(M:M), "High Price", "Low Price")</f>
        <v>Low Price</v>
      </c>
      <c r="W594" t="str">
        <f>IF(Orders[[#This Row],[Quantity]]&gt;MEDIAN(E:E), "High Volume", "Low Volume")</f>
        <v>Low Volume</v>
      </c>
      <c r="X594" t="str">
        <f>Orders[[#This Row],[Sales Tier]] &amp; "-" &amp; Orders[[#This Row],[Quantity Tier]]</f>
        <v>Low Price-Low Volume</v>
      </c>
      <c r="Y594" t="str">
        <f>TEXT(Orders[[#This Row],[Order Date]], "mmmm")</f>
        <v>May</v>
      </c>
      <c r="Z59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594" t="str">
        <f>Orders[[#This Row],[Coffee Type Name]] &amp; "-" &amp; Orders[[#This Row],[Roast Type Name]]</f>
        <v>Excelsa-Light</v>
      </c>
      <c r="AB59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595" spans="1:28" x14ac:dyDescent="0.25">
      <c r="A595" s="2" t="s">
        <v>2644</v>
      </c>
      <c r="B595" s="4">
        <v>43840</v>
      </c>
      <c r="C595" s="2" t="s">
        <v>2645</v>
      </c>
      <c r="D595" t="s">
        <v>6144</v>
      </c>
      <c r="E595" s="2">
        <v>3</v>
      </c>
      <c r="F595" s="2" t="str">
        <f>_xlfn.XLOOKUP(C595,customers!$A$1:$A$1001,customers!$B$1:$B$1001,,0)</f>
        <v>Elka Windress</v>
      </c>
      <c r="G595" s="2" t="str">
        <f>IF(_xlfn.XLOOKUP(C595,customers!$A$1:$A$1001,customers!$C$1:$C$1001,,0)=0,"",_xlfn.XLOOKUP(C595,customers!$A$1:$A$1001,customers!$C$1:$C$1001,,0))</f>
        <v>ewindressam@marketwatch.com</v>
      </c>
      <c r="H595" s="2" t="str">
        <f>_xlfn.XLOOKUP(C595,customers!$A$1:$A$1001,customers!$G$1:$G$1001,,0)</f>
        <v>United States</v>
      </c>
      <c r="I595" t="str">
        <f>INDEX(products!$A$1:$G$49, MATCH(orders!$D384,products!$A$1:$A431,0), MATCH(orders!I$1,products!$A$1:$G$1,0))</f>
        <v>Exc</v>
      </c>
      <c r="J595" t="str">
        <f>INDEX(products!$A$1:$G$49, MATCH(orders!$D384,products!$A$1:$A431,0), MATCH(orders!J$1,products!$A$1:$G$1,0))</f>
        <v>D</v>
      </c>
      <c r="K595" s="5">
        <f>INDEX(products!$A$1:$G$49, MATCH(orders!$D384,products!$A$1:$A431,0), MATCH(orders!K$1,products!$A$1:$G$1,0))</f>
        <v>0.5</v>
      </c>
      <c r="L595" s="6">
        <f>INDEX(products!$A$1:$G$49, MATCH(orders!$D384,products!$A$1:$A431,0), MATCH(orders!L$1,products!$A$1:$G$1,0))</f>
        <v>7.29</v>
      </c>
      <c r="M595" s="6">
        <f t="shared" si="27"/>
        <v>21.87</v>
      </c>
      <c r="N595" t="str">
        <f t="shared" si="28"/>
        <v>Excelsa</v>
      </c>
      <c r="O595" t="str">
        <f t="shared" si="29"/>
        <v>Dark</v>
      </c>
      <c r="P595" t="str">
        <f>_xlfn.XLOOKUP(Orders[[#This Row],[Customer ID]],customers!$A$1:$A$1001,customers!$I$1:$I$1001,,0)</f>
        <v>No</v>
      </c>
      <c r="Q595">
        <f>COUNTIF(Orders[Order ID],Orders[[#This Row],[Order ID]])</f>
        <v>1</v>
      </c>
      <c r="R595" s="10">
        <f>SUMIF(Orders[Order ID], Orders[[#This Row],[Order ID]],Orders[Sales])/Orders[[#This Row],[Order Frequency]]</f>
        <v>21.87</v>
      </c>
      <c r="S595" t="str">
        <f>IF(Orders[[#This Row],[Order Frequency]]&gt;4, "More than 4", IF(AND(Orders[[#This Row],[Order Frequency]]&lt;=4,Orders[[#This Row],[Order Frequency]]&gt;=2), "Between 4 and 2", "Less than 2"))</f>
        <v>Less than 2</v>
      </c>
      <c r="T595" t="str">
        <f>IF(Orders[[#This Row],[Frequency Group]]="less than 2", "Low Value", IF(Orders[[#This Row],[Frequency Group]]="between 4 and 2", "Medium Value", "High Value"))</f>
        <v>Low Value</v>
      </c>
      <c r="U595" t="str">
        <f>IF(Orders[[#This Row],[Sales]]&lt;50, "$0-50", IF(AND(Orders[[#This Row],[Sales]]&gt;=50,Orders[[#This Row],[Sales]]&lt;=100), "$50-100", IF(AND(Orders[[#This Row],[Sales]]&gt;100,Orders[[#This Row],[Sales]]&lt;=150), "$101-150", "$150+")))</f>
        <v>$0-50</v>
      </c>
      <c r="V595" t="str">
        <f>IF(Orders[[#This Row],[Sales]]&gt;MEDIAN(M:M), "High Price", "Low Price")</f>
        <v>Low Price</v>
      </c>
      <c r="W595" t="str">
        <f>IF(Orders[[#This Row],[Quantity]]&gt;MEDIAN(E:E), "High Volume", "Low Volume")</f>
        <v>Low Volume</v>
      </c>
      <c r="X595" t="str">
        <f>Orders[[#This Row],[Sales Tier]] &amp; "-" &amp; Orders[[#This Row],[Quantity Tier]]</f>
        <v>Low Price-Low Volume</v>
      </c>
      <c r="Y595" t="str">
        <f>TEXT(Orders[[#This Row],[Order Date]], "mmmm")</f>
        <v>January</v>
      </c>
      <c r="Z59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595" t="str">
        <f>Orders[[#This Row],[Coffee Type Name]] &amp; "-" &amp; Orders[[#This Row],[Roast Type Name]]</f>
        <v>Excelsa-Dark</v>
      </c>
      <c r="AB59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596" spans="1:28" x14ac:dyDescent="0.25">
      <c r="A596" s="2" t="s">
        <v>4676</v>
      </c>
      <c r="B596" s="4">
        <v>43566</v>
      </c>
      <c r="C596" s="2" t="s">
        <v>4677</v>
      </c>
      <c r="D596" t="s">
        <v>6159</v>
      </c>
      <c r="E596" s="2">
        <v>2</v>
      </c>
      <c r="F596" s="2" t="str">
        <f>_xlfn.XLOOKUP(C596,customers!$A$1:$A$1001,customers!$B$1:$B$1001,,0)</f>
        <v>Lyon Ibert</v>
      </c>
      <c r="G596" s="2" t="str">
        <f>IF(_xlfn.XLOOKUP(C596,customers!$A$1:$A$1001,customers!$C$1:$C$1001,,0)=0,"",_xlfn.XLOOKUP(C596,customers!$A$1:$A$1001,customers!$C$1:$C$1001,,0))</f>
        <v>libertkl@huffingtonpost.com</v>
      </c>
      <c r="H596" s="2" t="str">
        <f>_xlfn.XLOOKUP(C596,customers!$A$1:$A$1001,customers!$G$1:$G$1001,,0)</f>
        <v>United States</v>
      </c>
      <c r="I596" t="str">
        <f>INDEX(products!$A$1:$G$49, MATCH(orders!$D743,products!$A$1:$A790,0), MATCH(orders!I$1,products!$A$1:$G$1,0))</f>
        <v>Lib</v>
      </c>
      <c r="J596" t="str">
        <f>INDEX(products!$A$1:$G$49, MATCH(orders!$D743,products!$A$1:$A790,0), MATCH(orders!J$1,products!$A$1:$G$1,0))</f>
        <v>M</v>
      </c>
      <c r="K596" s="5">
        <f>INDEX(products!$A$1:$G$49, MATCH(orders!$D743,products!$A$1:$A790,0), MATCH(orders!K$1,products!$A$1:$G$1,0))</f>
        <v>0.2</v>
      </c>
      <c r="L596" s="6">
        <f>INDEX(products!$A$1:$G$49, MATCH(orders!$D743,products!$A$1:$A790,0), MATCH(orders!L$1,products!$A$1:$G$1,0))</f>
        <v>4.3650000000000002</v>
      </c>
      <c r="M596" s="6">
        <f t="shared" si="27"/>
        <v>8.73</v>
      </c>
      <c r="N596" t="str">
        <f t="shared" si="28"/>
        <v>Liberica</v>
      </c>
      <c r="O596" t="str">
        <f t="shared" si="29"/>
        <v>Medium</v>
      </c>
      <c r="P596" t="str">
        <f>_xlfn.XLOOKUP(Orders[[#This Row],[Customer ID]],customers!$A$1:$A$1001,customers!$I$1:$I$1001,,0)</f>
        <v>No</v>
      </c>
      <c r="Q596">
        <f>COUNTIF(Orders[Order ID],Orders[[#This Row],[Order ID]])</f>
        <v>1</v>
      </c>
      <c r="R596" s="10">
        <f>SUMIF(Orders[Order ID], Orders[[#This Row],[Order ID]],Orders[Sales])/Orders[[#This Row],[Order Frequency]]</f>
        <v>8.73</v>
      </c>
      <c r="S596" t="str">
        <f>IF(Orders[[#This Row],[Order Frequency]]&gt;4, "More than 4", IF(AND(Orders[[#This Row],[Order Frequency]]&lt;=4,Orders[[#This Row],[Order Frequency]]&gt;=2), "Between 4 and 2", "Less than 2"))</f>
        <v>Less than 2</v>
      </c>
      <c r="T596" t="str">
        <f>IF(Orders[[#This Row],[Frequency Group]]="less than 2", "Low Value", IF(Orders[[#This Row],[Frequency Group]]="between 4 and 2", "Medium Value", "High Value"))</f>
        <v>Low Value</v>
      </c>
      <c r="U596" t="str">
        <f>IF(Orders[[#This Row],[Sales]]&lt;50, "$0-50", IF(AND(Orders[[#This Row],[Sales]]&gt;=50,Orders[[#This Row],[Sales]]&lt;=100), "$50-100", IF(AND(Orders[[#This Row],[Sales]]&gt;100,Orders[[#This Row],[Sales]]&lt;=150), "$101-150", "$150+")))</f>
        <v>$0-50</v>
      </c>
      <c r="V596" t="str">
        <f>IF(Orders[[#This Row],[Sales]]&gt;MEDIAN(M:M), "High Price", "Low Price")</f>
        <v>Low Price</v>
      </c>
      <c r="W596" t="str">
        <f>IF(Orders[[#This Row],[Quantity]]&gt;MEDIAN(E:E), "High Volume", "Low Volume")</f>
        <v>Low Volume</v>
      </c>
      <c r="X596" t="str">
        <f>Orders[[#This Row],[Sales Tier]] &amp; "-" &amp; Orders[[#This Row],[Quantity Tier]]</f>
        <v>Low Price-Low Volume</v>
      </c>
      <c r="Y596" t="str">
        <f>TEXT(Orders[[#This Row],[Order Date]], "mmmm")</f>
        <v>April</v>
      </c>
      <c r="Z59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596" t="str">
        <f>Orders[[#This Row],[Coffee Type Name]] &amp; "-" &amp; Orders[[#This Row],[Roast Type Name]]</f>
        <v>Liberica-Medium</v>
      </c>
      <c r="AB59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597" spans="1:28" x14ac:dyDescent="0.25">
      <c r="A597" s="2" t="s">
        <v>3659</v>
      </c>
      <c r="B597" s="4">
        <v>43688</v>
      </c>
      <c r="C597" s="2" t="s">
        <v>3660</v>
      </c>
      <c r="D597" t="s">
        <v>6154</v>
      </c>
      <c r="E597" s="2">
        <v>6</v>
      </c>
      <c r="F597" s="2" t="str">
        <f>_xlfn.XLOOKUP(C597,customers!$A$1:$A$1001,customers!$B$1:$B$1001,,0)</f>
        <v>Nathaniel Bloxland</v>
      </c>
      <c r="G597" s="2" t="str">
        <f>IF(_xlfn.XLOOKUP(C597,customers!$A$1:$A$1001,customers!$C$1:$C$1001,,0)=0,"",_xlfn.XLOOKUP(C597,customers!$A$1:$A$1001,customers!$C$1:$C$1001,,0))</f>
        <v/>
      </c>
      <c r="H597" s="2" t="str">
        <f>_xlfn.XLOOKUP(C597,customers!$A$1:$A$1001,customers!$G$1:$G$1001,,0)</f>
        <v>Ireland</v>
      </c>
      <c r="I597" t="str">
        <f>INDEX(products!$A$1:$G$49, MATCH(orders!$D563,products!$A$1:$A610,0), MATCH(orders!I$1,products!$A$1:$G$1,0))</f>
        <v>Ara</v>
      </c>
      <c r="J597" t="str">
        <f>INDEX(products!$A$1:$G$49, MATCH(orders!$D563,products!$A$1:$A610,0), MATCH(orders!J$1,products!$A$1:$G$1,0))</f>
        <v>D</v>
      </c>
      <c r="K597" s="5">
        <f>INDEX(products!$A$1:$G$49, MATCH(orders!$D563,products!$A$1:$A610,0), MATCH(orders!K$1,products!$A$1:$G$1,0))</f>
        <v>0.2</v>
      </c>
      <c r="L597" s="6">
        <f>INDEX(products!$A$1:$G$49, MATCH(orders!$D563,products!$A$1:$A610,0), MATCH(orders!L$1,products!$A$1:$G$1,0))</f>
        <v>2.9849999999999999</v>
      </c>
      <c r="M597" s="6">
        <f t="shared" si="27"/>
        <v>17.91</v>
      </c>
      <c r="N597" t="str">
        <f t="shared" si="28"/>
        <v>Arabica</v>
      </c>
      <c r="O597" t="str">
        <f t="shared" si="29"/>
        <v>Dark</v>
      </c>
      <c r="P597" t="str">
        <f>_xlfn.XLOOKUP(Orders[[#This Row],[Customer ID]],customers!$A$1:$A$1001,customers!$I$1:$I$1001,,0)</f>
        <v>Yes</v>
      </c>
      <c r="Q597">
        <f>COUNTIF(Orders[Order ID],Orders[[#This Row],[Order ID]])</f>
        <v>1</v>
      </c>
      <c r="R597" s="10">
        <f>SUMIF(Orders[Order ID], Orders[[#This Row],[Order ID]],Orders[Sales])/Orders[[#This Row],[Order Frequency]]</f>
        <v>17.91</v>
      </c>
      <c r="S597" t="str">
        <f>IF(Orders[[#This Row],[Order Frequency]]&gt;4, "More than 4", IF(AND(Orders[[#This Row],[Order Frequency]]&lt;=4,Orders[[#This Row],[Order Frequency]]&gt;=2), "Between 4 and 2", "Less than 2"))</f>
        <v>Less than 2</v>
      </c>
      <c r="T597" t="str">
        <f>IF(Orders[[#This Row],[Frequency Group]]="less than 2", "Low Value", IF(Orders[[#This Row],[Frequency Group]]="between 4 and 2", "Medium Value", "High Value"))</f>
        <v>Low Value</v>
      </c>
      <c r="U597" t="str">
        <f>IF(Orders[[#This Row],[Sales]]&lt;50, "$0-50", IF(AND(Orders[[#This Row],[Sales]]&gt;=50,Orders[[#This Row],[Sales]]&lt;=100), "$50-100", IF(AND(Orders[[#This Row],[Sales]]&gt;100,Orders[[#This Row],[Sales]]&lt;=150), "$101-150", "$150+")))</f>
        <v>$0-50</v>
      </c>
      <c r="V597" t="str">
        <f>IF(Orders[[#This Row],[Sales]]&gt;MEDIAN(M:M), "High Price", "Low Price")</f>
        <v>Low Price</v>
      </c>
      <c r="W597" t="str">
        <f>IF(Orders[[#This Row],[Quantity]]&gt;MEDIAN(E:E), "High Volume", "Low Volume")</f>
        <v>High Volume</v>
      </c>
      <c r="X597" t="str">
        <f>Orders[[#This Row],[Sales Tier]] &amp; "-" &amp; Orders[[#This Row],[Quantity Tier]]</f>
        <v>Low Price-High Volume</v>
      </c>
      <c r="Y597" t="str">
        <f>TEXT(Orders[[#This Row],[Order Date]], "mmmm")</f>
        <v>August</v>
      </c>
      <c r="Z59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597" t="str">
        <f>Orders[[#This Row],[Coffee Type Name]] &amp; "-" &amp; Orders[[#This Row],[Roast Type Name]]</f>
        <v>Arabica-Dark</v>
      </c>
      <c r="AB59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598" spans="1:28" x14ac:dyDescent="0.25">
      <c r="A598" s="2" t="s">
        <v>5995</v>
      </c>
      <c r="B598" s="4">
        <v>43556</v>
      </c>
      <c r="C598" s="2" t="s">
        <v>5996</v>
      </c>
      <c r="D598" t="s">
        <v>6172</v>
      </c>
      <c r="E598" s="2">
        <v>1</v>
      </c>
      <c r="F598" s="2" t="str">
        <f>_xlfn.XLOOKUP(C598,customers!$A$1:$A$1001,customers!$B$1:$B$1001,,0)</f>
        <v>Sada Roseborough</v>
      </c>
      <c r="G598" s="2" t="str">
        <f>IF(_xlfn.XLOOKUP(C598,customers!$A$1:$A$1001,customers!$C$1:$C$1001,,0)=0,"",_xlfn.XLOOKUP(C598,customers!$A$1:$A$1001,customers!$C$1:$C$1001,,0))</f>
        <v>sroseboroughr2@virginia.edu</v>
      </c>
      <c r="H598" s="2" t="str">
        <f>_xlfn.XLOOKUP(C598,customers!$A$1:$A$1001,customers!$G$1:$G$1001,,0)</f>
        <v>United States</v>
      </c>
      <c r="I598" t="str">
        <f>INDEX(products!$A$1:$G$49, MATCH(orders!$D976,products!$A$1:$A1023,0), MATCH(orders!I$1,products!$A$1:$G$1,0))</f>
        <v>Rob</v>
      </c>
      <c r="J598" t="str">
        <f>INDEX(products!$A$1:$G$49, MATCH(orders!$D976,products!$A$1:$A1023,0), MATCH(orders!J$1,products!$A$1:$G$1,0))</f>
        <v>D</v>
      </c>
      <c r="K598" s="5">
        <f>INDEX(products!$A$1:$G$49, MATCH(orders!$D976,products!$A$1:$A1023,0), MATCH(orders!K$1,products!$A$1:$G$1,0))</f>
        <v>0.5</v>
      </c>
      <c r="L598" s="6">
        <f>INDEX(products!$A$1:$G$49, MATCH(orders!$D976,products!$A$1:$A1023,0), MATCH(orders!L$1,products!$A$1:$G$1,0))</f>
        <v>5.3699999999999992</v>
      </c>
      <c r="M598" s="6">
        <f t="shared" si="27"/>
        <v>5.3699999999999992</v>
      </c>
      <c r="N598" t="str">
        <f t="shared" si="28"/>
        <v>Robusta</v>
      </c>
      <c r="O598" t="str">
        <f t="shared" si="29"/>
        <v>Dark</v>
      </c>
      <c r="P598" t="str">
        <f>_xlfn.XLOOKUP(Orders[[#This Row],[Customer ID]],customers!$A$1:$A$1001,customers!$I$1:$I$1001,,0)</f>
        <v>Yes</v>
      </c>
      <c r="Q598">
        <f>COUNTIF(Orders[Order ID],Orders[[#This Row],[Order ID]])</f>
        <v>1</v>
      </c>
      <c r="R598" s="10">
        <f>SUMIF(Orders[Order ID], Orders[[#This Row],[Order ID]],Orders[Sales])/Orders[[#This Row],[Order Frequency]]</f>
        <v>5.3699999999999992</v>
      </c>
      <c r="S598" t="str">
        <f>IF(Orders[[#This Row],[Order Frequency]]&gt;4, "More than 4", IF(AND(Orders[[#This Row],[Order Frequency]]&lt;=4,Orders[[#This Row],[Order Frequency]]&gt;=2), "Between 4 and 2", "Less than 2"))</f>
        <v>Less than 2</v>
      </c>
      <c r="T598" t="str">
        <f>IF(Orders[[#This Row],[Frequency Group]]="less than 2", "Low Value", IF(Orders[[#This Row],[Frequency Group]]="between 4 and 2", "Medium Value", "High Value"))</f>
        <v>Low Value</v>
      </c>
      <c r="U598" t="str">
        <f>IF(Orders[[#This Row],[Sales]]&lt;50, "$0-50", IF(AND(Orders[[#This Row],[Sales]]&gt;=50,Orders[[#This Row],[Sales]]&lt;=100), "$50-100", IF(AND(Orders[[#This Row],[Sales]]&gt;100,Orders[[#This Row],[Sales]]&lt;=150), "$101-150", "$150+")))</f>
        <v>$0-50</v>
      </c>
      <c r="V598" t="str">
        <f>IF(Orders[[#This Row],[Sales]]&gt;MEDIAN(M:M), "High Price", "Low Price")</f>
        <v>Low Price</v>
      </c>
      <c r="W598" t="str">
        <f>IF(Orders[[#This Row],[Quantity]]&gt;MEDIAN(E:E), "High Volume", "Low Volume")</f>
        <v>Low Volume</v>
      </c>
      <c r="X598" t="str">
        <f>Orders[[#This Row],[Sales Tier]] &amp; "-" &amp; Orders[[#This Row],[Quantity Tier]]</f>
        <v>Low Price-Low Volume</v>
      </c>
      <c r="Y598" t="str">
        <f>TEXT(Orders[[#This Row],[Order Date]], "mmmm")</f>
        <v>April</v>
      </c>
      <c r="Z59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598" t="str">
        <f>Orders[[#This Row],[Coffee Type Name]] &amp; "-" &amp; Orders[[#This Row],[Roast Type Name]]</f>
        <v>Robusta-Dark</v>
      </c>
      <c r="AB59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599" spans="1:28" x14ac:dyDescent="0.25">
      <c r="A599" s="2" t="s">
        <v>1266</v>
      </c>
      <c r="B599" s="4">
        <v>44238</v>
      </c>
      <c r="C599" s="2" t="s">
        <v>1267</v>
      </c>
      <c r="D599" t="s">
        <v>6183</v>
      </c>
      <c r="E599" s="2">
        <v>4</v>
      </c>
      <c r="F599" s="2" t="str">
        <f>_xlfn.XLOOKUP(C599,customers!$A$1:$A$1001,customers!$B$1:$B$1001,,0)</f>
        <v>Abraham Coleman</v>
      </c>
      <c r="G599" s="2" t="str">
        <f>IF(_xlfn.XLOOKUP(C599,customers!$A$1:$A$1001,customers!$C$1:$C$1001,,0)=0,"",_xlfn.XLOOKUP(C599,customers!$A$1:$A$1001,customers!$C$1:$C$1001,,0))</f>
        <v/>
      </c>
      <c r="H599" s="2" t="str">
        <f>_xlfn.XLOOKUP(C599,customers!$A$1:$A$1001,customers!$G$1:$G$1001,,0)</f>
        <v>United States</v>
      </c>
      <c r="I599" t="str">
        <f>INDEX(products!$A$1:$G$49, MATCH(orders!$D140,products!$A$1:$A187,0), MATCH(orders!I$1,products!$A$1:$G$1,0))</f>
        <v>Exc</v>
      </c>
      <c r="J599" t="str">
        <f>INDEX(products!$A$1:$G$49, MATCH(orders!$D140,products!$A$1:$A187,0), MATCH(orders!J$1,products!$A$1:$G$1,0))</f>
        <v>D</v>
      </c>
      <c r="K599" s="5">
        <f>INDEX(products!$A$1:$G$49, MATCH(orders!$D140,products!$A$1:$A187,0), MATCH(orders!K$1,products!$A$1:$G$1,0))</f>
        <v>1</v>
      </c>
      <c r="L599" s="6">
        <f>INDEX(products!$A$1:$G$49, MATCH(orders!$D140,products!$A$1:$A187,0), MATCH(orders!L$1,products!$A$1:$G$1,0))</f>
        <v>12.15</v>
      </c>
      <c r="M599" s="6">
        <f t="shared" si="27"/>
        <v>48.6</v>
      </c>
      <c r="N599" t="str">
        <f t="shared" si="28"/>
        <v>Excelsa</v>
      </c>
      <c r="O599" t="str">
        <f t="shared" si="29"/>
        <v>Dark</v>
      </c>
      <c r="P599" t="str">
        <f>_xlfn.XLOOKUP(Orders[[#This Row],[Customer ID]],customers!$A$1:$A$1001,customers!$I$1:$I$1001,,0)</f>
        <v>No</v>
      </c>
      <c r="Q599">
        <f>COUNTIF(Orders[Order ID],Orders[[#This Row],[Order ID]])</f>
        <v>1</v>
      </c>
      <c r="R599" s="10">
        <f>SUMIF(Orders[Order ID], Orders[[#This Row],[Order ID]],Orders[Sales])/Orders[[#This Row],[Order Frequency]]</f>
        <v>48.6</v>
      </c>
      <c r="S599" t="str">
        <f>IF(Orders[[#This Row],[Order Frequency]]&gt;4, "More than 4", IF(AND(Orders[[#This Row],[Order Frequency]]&lt;=4,Orders[[#This Row],[Order Frequency]]&gt;=2), "Between 4 and 2", "Less than 2"))</f>
        <v>Less than 2</v>
      </c>
      <c r="T599" t="str">
        <f>IF(Orders[[#This Row],[Frequency Group]]="less than 2", "Low Value", IF(Orders[[#This Row],[Frequency Group]]="between 4 and 2", "Medium Value", "High Value"))</f>
        <v>Low Value</v>
      </c>
      <c r="U599" t="str">
        <f>IF(Orders[[#This Row],[Sales]]&lt;50, "$0-50", IF(AND(Orders[[#This Row],[Sales]]&gt;=50,Orders[[#This Row],[Sales]]&lt;=100), "$50-100", IF(AND(Orders[[#This Row],[Sales]]&gt;100,Orders[[#This Row],[Sales]]&lt;=150), "$101-150", "$150+")))</f>
        <v>$0-50</v>
      </c>
      <c r="V599" t="str">
        <f>IF(Orders[[#This Row],[Sales]]&gt;MEDIAN(M:M), "High Price", "Low Price")</f>
        <v>High Price</v>
      </c>
      <c r="W599" t="str">
        <f>IF(Orders[[#This Row],[Quantity]]&gt;MEDIAN(E:E), "High Volume", "Low Volume")</f>
        <v>Low Volume</v>
      </c>
      <c r="X599" t="str">
        <f>Orders[[#This Row],[Sales Tier]] &amp; "-" &amp; Orders[[#This Row],[Quantity Tier]]</f>
        <v>High Price-Low Volume</v>
      </c>
      <c r="Y599" t="str">
        <f>TEXT(Orders[[#This Row],[Order Date]], "mmmm")</f>
        <v>February</v>
      </c>
      <c r="Z59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599" t="str">
        <f>Orders[[#This Row],[Coffee Type Name]] &amp; "-" &amp; Orders[[#This Row],[Roast Type Name]]</f>
        <v>Excelsa-Dark</v>
      </c>
      <c r="AB59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600" spans="1:28" x14ac:dyDescent="0.25">
      <c r="A600" s="2" t="s">
        <v>766</v>
      </c>
      <c r="B600" s="4">
        <v>44790</v>
      </c>
      <c r="C600" s="2" t="s">
        <v>767</v>
      </c>
      <c r="D600" t="s">
        <v>6140</v>
      </c>
      <c r="E600" s="2">
        <v>3</v>
      </c>
      <c r="F600" s="2" t="str">
        <f>_xlfn.XLOOKUP(C600,customers!$A$1:$A$1001,customers!$B$1:$B$1001,,0)</f>
        <v>Isis Pikett</v>
      </c>
      <c r="G600" s="2" t="str">
        <f>IF(_xlfn.XLOOKUP(C600,customers!$A$1:$A$1001,customers!$C$1:$C$1001,,0)=0,"",_xlfn.XLOOKUP(C600,customers!$A$1:$A$1001,customers!$C$1:$C$1001,,0))</f>
        <v>ipikett1d@xinhuanet.com</v>
      </c>
      <c r="H600" s="2" t="str">
        <f>_xlfn.XLOOKUP(C600,customers!$A$1:$A$1001,customers!$G$1:$G$1001,,0)</f>
        <v>United States</v>
      </c>
      <c r="I600" t="str">
        <f>INDEX(products!$A$1:$G$49, MATCH(orders!$D51,products!$A$1:$A98,0), MATCH(orders!I$1,products!$A$1:$G$1,0))</f>
        <v>Ara</v>
      </c>
      <c r="J600" t="str">
        <f>INDEX(products!$A$1:$G$49, MATCH(orders!$D51,products!$A$1:$A98,0), MATCH(orders!J$1,products!$A$1:$G$1,0))</f>
        <v>L</v>
      </c>
      <c r="K600" s="5">
        <f>INDEX(products!$A$1:$G$49, MATCH(orders!$D51,products!$A$1:$A98,0), MATCH(orders!K$1,products!$A$1:$G$1,0))</f>
        <v>1</v>
      </c>
      <c r="L600" s="6">
        <f>INDEX(products!$A$1:$G$49, MATCH(orders!$D51,products!$A$1:$A98,0), MATCH(orders!L$1,products!$A$1:$G$1,0))</f>
        <v>12.95</v>
      </c>
      <c r="M600" s="6">
        <f t="shared" si="27"/>
        <v>38.849999999999994</v>
      </c>
      <c r="N600" t="str">
        <f t="shared" si="28"/>
        <v>Arabica</v>
      </c>
      <c r="O600" t="str">
        <f t="shared" si="29"/>
        <v>Light</v>
      </c>
      <c r="P600" t="str">
        <f>_xlfn.XLOOKUP(Orders[[#This Row],[Customer ID]],customers!$A$1:$A$1001,customers!$I$1:$I$1001,,0)</f>
        <v>No</v>
      </c>
      <c r="Q600">
        <f>COUNTIF(Orders[Order ID],Orders[[#This Row],[Order ID]])</f>
        <v>1</v>
      </c>
      <c r="R600" s="10">
        <f>SUMIF(Orders[Order ID], Orders[[#This Row],[Order ID]],Orders[Sales])/Orders[[#This Row],[Order Frequency]]</f>
        <v>38.849999999999994</v>
      </c>
      <c r="S600" t="str">
        <f>IF(Orders[[#This Row],[Order Frequency]]&gt;4, "More than 4", IF(AND(Orders[[#This Row],[Order Frequency]]&lt;=4,Orders[[#This Row],[Order Frequency]]&gt;=2), "Between 4 and 2", "Less than 2"))</f>
        <v>Less than 2</v>
      </c>
      <c r="T600" t="str">
        <f>IF(Orders[[#This Row],[Frequency Group]]="less than 2", "Low Value", IF(Orders[[#This Row],[Frequency Group]]="between 4 and 2", "Medium Value", "High Value"))</f>
        <v>Low Value</v>
      </c>
      <c r="U600" t="str">
        <f>IF(Orders[[#This Row],[Sales]]&lt;50, "$0-50", IF(AND(Orders[[#This Row],[Sales]]&gt;=50,Orders[[#This Row],[Sales]]&lt;=100), "$50-100", IF(AND(Orders[[#This Row],[Sales]]&gt;100,Orders[[#This Row],[Sales]]&lt;=150), "$101-150", "$150+")))</f>
        <v>$0-50</v>
      </c>
      <c r="V600" t="str">
        <f>IF(Orders[[#This Row],[Sales]]&gt;MEDIAN(M:M), "High Price", "Low Price")</f>
        <v>High Price</v>
      </c>
      <c r="W600" t="str">
        <f>IF(Orders[[#This Row],[Quantity]]&gt;MEDIAN(E:E), "High Volume", "Low Volume")</f>
        <v>Low Volume</v>
      </c>
      <c r="X600" t="str">
        <f>Orders[[#This Row],[Sales Tier]] &amp; "-" &amp; Orders[[#This Row],[Quantity Tier]]</f>
        <v>High Price-Low Volume</v>
      </c>
      <c r="Y600" t="str">
        <f>TEXT(Orders[[#This Row],[Order Date]], "mmmm")</f>
        <v>August</v>
      </c>
      <c r="Z60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600" t="str">
        <f>Orders[[#This Row],[Coffee Type Name]] &amp; "-" &amp; Orders[[#This Row],[Roast Type Name]]</f>
        <v>Arabica-Light</v>
      </c>
      <c r="AB60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601" spans="1:28" x14ac:dyDescent="0.25">
      <c r="A601" s="2" t="s">
        <v>1677</v>
      </c>
      <c r="B601" s="4">
        <v>44283</v>
      </c>
      <c r="C601" s="2" t="s">
        <v>1678</v>
      </c>
      <c r="D601" t="s">
        <v>6176</v>
      </c>
      <c r="E601" s="2">
        <v>6</v>
      </c>
      <c r="F601" s="2" t="str">
        <f>_xlfn.XLOOKUP(C601,customers!$A$1:$A$1001,customers!$B$1:$B$1001,,0)</f>
        <v>Minette Whellans</v>
      </c>
      <c r="G601" s="2" t="str">
        <f>IF(_xlfn.XLOOKUP(C601,customers!$A$1:$A$1001,customers!$C$1:$C$1001,,0)=0,"",_xlfn.XLOOKUP(C601,customers!$A$1:$A$1001,customers!$C$1:$C$1001,,0))</f>
        <v>mwhellans5v@mapquest.com</v>
      </c>
      <c r="H601" s="2" t="str">
        <f>_xlfn.XLOOKUP(C601,customers!$A$1:$A$1001,customers!$G$1:$G$1001,,0)</f>
        <v>United States</v>
      </c>
      <c r="I601" t="str">
        <f>INDEX(products!$A$1:$G$49, MATCH(orders!$D213,products!$A$1:$A260,0), MATCH(orders!I$1,products!$A$1:$G$1,0))</f>
        <v>Exc</v>
      </c>
      <c r="J601" t="str">
        <f>INDEX(products!$A$1:$G$49, MATCH(orders!$D213,products!$A$1:$A260,0), MATCH(orders!J$1,products!$A$1:$G$1,0))</f>
        <v>L</v>
      </c>
      <c r="K601" s="5">
        <f>INDEX(products!$A$1:$G$49, MATCH(orders!$D213,products!$A$1:$A260,0), MATCH(orders!K$1,products!$A$1:$G$1,0))</f>
        <v>0.5</v>
      </c>
      <c r="L601" s="6">
        <f>INDEX(products!$A$1:$G$49, MATCH(orders!$D213,products!$A$1:$A260,0), MATCH(orders!L$1,products!$A$1:$G$1,0))</f>
        <v>8.91</v>
      </c>
      <c r="M601" s="6">
        <f t="shared" si="27"/>
        <v>53.46</v>
      </c>
      <c r="N601" t="str">
        <f t="shared" si="28"/>
        <v>Excelsa</v>
      </c>
      <c r="O601" t="str">
        <f t="shared" si="29"/>
        <v>Light</v>
      </c>
      <c r="P601" t="str">
        <f>_xlfn.XLOOKUP(Orders[[#This Row],[Customer ID]],customers!$A$1:$A$1001,customers!$I$1:$I$1001,,0)</f>
        <v>No</v>
      </c>
      <c r="Q601">
        <f>COUNTIF(Orders[Order ID],Orders[[#This Row],[Order ID]])</f>
        <v>1</v>
      </c>
      <c r="R601" s="10">
        <f>SUMIF(Orders[Order ID], Orders[[#This Row],[Order ID]],Orders[Sales])/Orders[[#This Row],[Order Frequency]]</f>
        <v>53.46</v>
      </c>
      <c r="S601" t="str">
        <f>IF(Orders[[#This Row],[Order Frequency]]&gt;4, "More than 4", IF(AND(Orders[[#This Row],[Order Frequency]]&lt;=4,Orders[[#This Row],[Order Frequency]]&gt;=2), "Between 4 and 2", "Less than 2"))</f>
        <v>Less than 2</v>
      </c>
      <c r="T601" t="str">
        <f>IF(Orders[[#This Row],[Frequency Group]]="less than 2", "Low Value", IF(Orders[[#This Row],[Frequency Group]]="between 4 and 2", "Medium Value", "High Value"))</f>
        <v>Low Value</v>
      </c>
      <c r="U601" t="str">
        <f>IF(Orders[[#This Row],[Sales]]&lt;50, "$0-50", IF(AND(Orders[[#This Row],[Sales]]&gt;=50,Orders[[#This Row],[Sales]]&lt;=100), "$50-100", IF(AND(Orders[[#This Row],[Sales]]&gt;100,Orders[[#This Row],[Sales]]&lt;=150), "$101-150", "$150+")))</f>
        <v>$50-100</v>
      </c>
      <c r="V601" t="str">
        <f>IF(Orders[[#This Row],[Sales]]&gt;MEDIAN(M:M), "High Price", "Low Price")</f>
        <v>High Price</v>
      </c>
      <c r="W601" t="str">
        <f>IF(Orders[[#This Row],[Quantity]]&gt;MEDIAN(E:E), "High Volume", "Low Volume")</f>
        <v>High Volume</v>
      </c>
      <c r="X601" t="str">
        <f>Orders[[#This Row],[Sales Tier]] &amp; "-" &amp; Orders[[#This Row],[Quantity Tier]]</f>
        <v>High Price-High Volume</v>
      </c>
      <c r="Y601" t="str">
        <f>TEXT(Orders[[#This Row],[Order Date]], "mmmm")</f>
        <v>March</v>
      </c>
      <c r="Z60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601" t="str">
        <f>Orders[[#This Row],[Coffee Type Name]] &amp; "-" &amp; Orders[[#This Row],[Roast Type Name]]</f>
        <v>Excelsa-Light</v>
      </c>
      <c r="AB60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602" spans="1:28" x14ac:dyDescent="0.25">
      <c r="A602" s="2" t="s">
        <v>2193</v>
      </c>
      <c r="B602" s="4">
        <v>43762</v>
      </c>
      <c r="C602" s="2" t="s">
        <v>2194</v>
      </c>
      <c r="D602" t="s">
        <v>6157</v>
      </c>
      <c r="E602" s="2">
        <v>1</v>
      </c>
      <c r="F602" s="2" t="str">
        <f>_xlfn.XLOOKUP(C602,customers!$A$1:$A$1001,customers!$B$1:$B$1001,,0)</f>
        <v>Perkin Stonner</v>
      </c>
      <c r="G602" s="2" t="str">
        <f>IF(_xlfn.XLOOKUP(C602,customers!$A$1:$A$1001,customers!$C$1:$C$1001,,0)=0,"",_xlfn.XLOOKUP(C602,customers!$A$1:$A$1001,customers!$C$1:$C$1001,,0))</f>
        <v>pstonner8e@moonfruit.com</v>
      </c>
      <c r="H602" s="2" t="str">
        <f>_xlfn.XLOOKUP(C602,customers!$A$1:$A$1001,customers!$G$1:$G$1001,,0)</f>
        <v>United States</v>
      </c>
      <c r="I602" t="str">
        <f>INDEX(products!$A$1:$G$49, MATCH(orders!$D304,products!$A$1:$A351,0), MATCH(orders!I$1,products!$A$1:$G$1,0))</f>
        <v>Ara</v>
      </c>
      <c r="J602" t="str">
        <f>INDEX(products!$A$1:$G$49, MATCH(orders!$D304,products!$A$1:$A351,0), MATCH(orders!J$1,products!$A$1:$G$1,0))</f>
        <v>M</v>
      </c>
      <c r="K602" s="5">
        <f>INDEX(products!$A$1:$G$49, MATCH(orders!$D304,products!$A$1:$A351,0), MATCH(orders!K$1,products!$A$1:$G$1,0))</f>
        <v>0.5</v>
      </c>
      <c r="L602" s="6">
        <f>INDEX(products!$A$1:$G$49, MATCH(orders!$D304,products!$A$1:$A351,0), MATCH(orders!L$1,products!$A$1:$G$1,0))</f>
        <v>6.75</v>
      </c>
      <c r="M602" s="6">
        <f t="shared" si="27"/>
        <v>6.75</v>
      </c>
      <c r="N602" t="str">
        <f t="shared" si="28"/>
        <v>Arabica</v>
      </c>
      <c r="O602" t="str">
        <f t="shared" si="29"/>
        <v>Medium</v>
      </c>
      <c r="P602" t="str">
        <f>_xlfn.XLOOKUP(Orders[[#This Row],[Customer ID]],customers!$A$1:$A$1001,customers!$I$1:$I$1001,,0)</f>
        <v>No</v>
      </c>
      <c r="Q602">
        <f>COUNTIF(Orders[Order ID],Orders[[#This Row],[Order ID]])</f>
        <v>1</v>
      </c>
      <c r="R602" s="10">
        <f>SUMIF(Orders[Order ID], Orders[[#This Row],[Order ID]],Orders[Sales])/Orders[[#This Row],[Order Frequency]]</f>
        <v>6.75</v>
      </c>
      <c r="S602" t="str">
        <f>IF(Orders[[#This Row],[Order Frequency]]&gt;4, "More than 4", IF(AND(Orders[[#This Row],[Order Frequency]]&lt;=4,Orders[[#This Row],[Order Frequency]]&gt;=2), "Between 4 and 2", "Less than 2"))</f>
        <v>Less than 2</v>
      </c>
      <c r="T602" t="str">
        <f>IF(Orders[[#This Row],[Frequency Group]]="less than 2", "Low Value", IF(Orders[[#This Row],[Frequency Group]]="between 4 and 2", "Medium Value", "High Value"))</f>
        <v>Low Value</v>
      </c>
      <c r="U602" t="str">
        <f>IF(Orders[[#This Row],[Sales]]&lt;50, "$0-50", IF(AND(Orders[[#This Row],[Sales]]&gt;=50,Orders[[#This Row],[Sales]]&lt;=100), "$50-100", IF(AND(Orders[[#This Row],[Sales]]&gt;100,Orders[[#This Row],[Sales]]&lt;=150), "$101-150", "$150+")))</f>
        <v>$0-50</v>
      </c>
      <c r="V602" t="str">
        <f>IF(Orders[[#This Row],[Sales]]&gt;MEDIAN(M:M), "High Price", "Low Price")</f>
        <v>Low Price</v>
      </c>
      <c r="W602" t="str">
        <f>IF(Orders[[#This Row],[Quantity]]&gt;MEDIAN(E:E), "High Volume", "Low Volume")</f>
        <v>Low Volume</v>
      </c>
      <c r="X602" t="str">
        <f>Orders[[#This Row],[Sales Tier]] &amp; "-" &amp; Orders[[#This Row],[Quantity Tier]]</f>
        <v>Low Price-Low Volume</v>
      </c>
      <c r="Y602" t="str">
        <f>TEXT(Orders[[#This Row],[Order Date]], "mmmm")</f>
        <v>October</v>
      </c>
      <c r="Z60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602" t="str">
        <f>Orders[[#This Row],[Coffee Type Name]] &amp; "-" &amp; Orders[[#This Row],[Roast Type Name]]</f>
        <v>Arabica-Medium</v>
      </c>
      <c r="AB60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603" spans="1:28" x14ac:dyDescent="0.25">
      <c r="A603" s="2" t="s">
        <v>1759</v>
      </c>
      <c r="B603" s="4">
        <v>44337</v>
      </c>
      <c r="C603" s="2" t="s">
        <v>1760</v>
      </c>
      <c r="D603" t="s">
        <v>6178</v>
      </c>
      <c r="E603" s="2">
        <v>4</v>
      </c>
      <c r="F603" s="2" t="str">
        <f>_xlfn.XLOOKUP(C603,customers!$A$1:$A$1001,customers!$B$1:$B$1001,,0)</f>
        <v>Elsbeth Westerman</v>
      </c>
      <c r="G603" s="2" t="str">
        <f>IF(_xlfn.XLOOKUP(C603,customers!$A$1:$A$1001,customers!$C$1:$C$1001,,0)=0,"",_xlfn.XLOOKUP(C603,customers!$A$1:$A$1001,customers!$C$1:$C$1001,,0))</f>
        <v>ewesterman69@si.edu</v>
      </c>
      <c r="H603" s="2" t="str">
        <f>_xlfn.XLOOKUP(C603,customers!$A$1:$A$1001,customers!$G$1:$G$1001,,0)</f>
        <v>Ireland</v>
      </c>
      <c r="I603" t="str">
        <f>INDEX(products!$A$1:$G$49, MATCH(orders!$D227,products!$A$1:$A274,0), MATCH(orders!I$1,products!$A$1:$G$1,0))</f>
        <v>Rob</v>
      </c>
      <c r="J603" t="str">
        <f>INDEX(products!$A$1:$G$49, MATCH(orders!$D227,products!$A$1:$A274,0), MATCH(orders!J$1,products!$A$1:$G$1,0))</f>
        <v>L</v>
      </c>
      <c r="K603" s="5">
        <f>INDEX(products!$A$1:$G$49, MATCH(orders!$D227,products!$A$1:$A274,0), MATCH(orders!K$1,products!$A$1:$G$1,0))</f>
        <v>0.2</v>
      </c>
      <c r="L603" s="6">
        <f>INDEX(products!$A$1:$G$49, MATCH(orders!$D227,products!$A$1:$A274,0), MATCH(orders!L$1,products!$A$1:$G$1,0))</f>
        <v>3.5849999999999995</v>
      </c>
      <c r="M603" s="6">
        <f t="shared" si="27"/>
        <v>14.339999999999998</v>
      </c>
      <c r="N603" t="str">
        <f t="shared" si="28"/>
        <v>Robusta</v>
      </c>
      <c r="O603" t="str">
        <f t="shared" si="29"/>
        <v>Light</v>
      </c>
      <c r="P603" t="str">
        <f>_xlfn.XLOOKUP(Orders[[#This Row],[Customer ID]],customers!$A$1:$A$1001,customers!$I$1:$I$1001,,0)</f>
        <v>No</v>
      </c>
      <c r="Q603">
        <f>COUNTIF(Orders[Order ID],Orders[[#This Row],[Order ID]])</f>
        <v>1</v>
      </c>
      <c r="R603" s="10">
        <f>SUMIF(Orders[Order ID], Orders[[#This Row],[Order ID]],Orders[Sales])/Orders[[#This Row],[Order Frequency]]</f>
        <v>14.339999999999998</v>
      </c>
      <c r="S603" t="str">
        <f>IF(Orders[[#This Row],[Order Frequency]]&gt;4, "More than 4", IF(AND(Orders[[#This Row],[Order Frequency]]&lt;=4,Orders[[#This Row],[Order Frequency]]&gt;=2), "Between 4 and 2", "Less than 2"))</f>
        <v>Less than 2</v>
      </c>
      <c r="T603" t="str">
        <f>IF(Orders[[#This Row],[Frequency Group]]="less than 2", "Low Value", IF(Orders[[#This Row],[Frequency Group]]="between 4 and 2", "Medium Value", "High Value"))</f>
        <v>Low Value</v>
      </c>
      <c r="U603" t="str">
        <f>IF(Orders[[#This Row],[Sales]]&lt;50, "$0-50", IF(AND(Orders[[#This Row],[Sales]]&gt;=50,Orders[[#This Row],[Sales]]&lt;=100), "$50-100", IF(AND(Orders[[#This Row],[Sales]]&gt;100,Orders[[#This Row],[Sales]]&lt;=150), "$101-150", "$150+")))</f>
        <v>$0-50</v>
      </c>
      <c r="V603" t="str">
        <f>IF(Orders[[#This Row],[Sales]]&gt;MEDIAN(M:M), "High Price", "Low Price")</f>
        <v>Low Price</v>
      </c>
      <c r="W603" t="str">
        <f>IF(Orders[[#This Row],[Quantity]]&gt;MEDIAN(E:E), "High Volume", "Low Volume")</f>
        <v>Low Volume</v>
      </c>
      <c r="X603" t="str">
        <f>Orders[[#This Row],[Sales Tier]] &amp; "-" &amp; Orders[[#This Row],[Quantity Tier]]</f>
        <v>Low Price-Low Volume</v>
      </c>
      <c r="Y603" t="str">
        <f>TEXT(Orders[[#This Row],[Order Date]], "mmmm")</f>
        <v>May</v>
      </c>
      <c r="Z60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603" t="str">
        <f>Orders[[#This Row],[Coffee Type Name]] &amp; "-" &amp; Orders[[#This Row],[Roast Type Name]]</f>
        <v>Robusta-Light</v>
      </c>
      <c r="AB60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604" spans="1:28" x14ac:dyDescent="0.25">
      <c r="A604" s="2" t="s">
        <v>3088</v>
      </c>
      <c r="B604" s="4">
        <v>43602</v>
      </c>
      <c r="C604" s="2" t="s">
        <v>3089</v>
      </c>
      <c r="D604" t="s">
        <v>6172</v>
      </c>
      <c r="E604" s="2">
        <v>3</v>
      </c>
      <c r="F604" s="2" t="str">
        <f>_xlfn.XLOOKUP(C604,customers!$A$1:$A$1001,customers!$B$1:$B$1001,,0)</f>
        <v>Araldo Bilbrook</v>
      </c>
      <c r="G604" s="2" t="str">
        <f>IF(_xlfn.XLOOKUP(C604,customers!$A$1:$A$1001,customers!$C$1:$C$1001,,0)=0,"",_xlfn.XLOOKUP(C604,customers!$A$1:$A$1001,customers!$C$1:$C$1001,,0))</f>
        <v>abilbrookcs@booking.com</v>
      </c>
      <c r="H604" s="2" t="str">
        <f>_xlfn.XLOOKUP(C604,customers!$A$1:$A$1001,customers!$G$1:$G$1001,,0)</f>
        <v>Ireland</v>
      </c>
      <c r="I604" t="str">
        <f>INDEX(products!$A$1:$G$49, MATCH(orders!$D462,products!$A$1:$A509,0), MATCH(orders!I$1,products!$A$1:$G$1,0))</f>
        <v>Rob</v>
      </c>
      <c r="J604" t="str">
        <f>INDEX(products!$A$1:$G$49, MATCH(orders!$D462,products!$A$1:$A509,0), MATCH(orders!J$1,products!$A$1:$G$1,0))</f>
        <v>D</v>
      </c>
      <c r="K604" s="5">
        <f>INDEX(products!$A$1:$G$49, MATCH(orders!$D462,products!$A$1:$A509,0), MATCH(orders!K$1,products!$A$1:$G$1,0))</f>
        <v>0.5</v>
      </c>
      <c r="L604" s="6">
        <f>INDEX(products!$A$1:$G$49, MATCH(orders!$D462,products!$A$1:$A509,0), MATCH(orders!L$1,products!$A$1:$G$1,0))</f>
        <v>5.3699999999999992</v>
      </c>
      <c r="M604" s="6">
        <f t="shared" si="27"/>
        <v>16.11</v>
      </c>
      <c r="N604" t="str">
        <f t="shared" si="28"/>
        <v>Robusta</v>
      </c>
      <c r="O604" t="str">
        <f t="shared" si="29"/>
        <v>Dark</v>
      </c>
      <c r="P604" t="str">
        <f>_xlfn.XLOOKUP(Orders[[#This Row],[Customer ID]],customers!$A$1:$A$1001,customers!$I$1:$I$1001,,0)</f>
        <v>Yes</v>
      </c>
      <c r="Q604">
        <f>COUNTIF(Orders[Order ID],Orders[[#This Row],[Order ID]])</f>
        <v>1</v>
      </c>
      <c r="R604" s="10">
        <f>SUMIF(Orders[Order ID], Orders[[#This Row],[Order ID]],Orders[Sales])/Orders[[#This Row],[Order Frequency]]</f>
        <v>16.11</v>
      </c>
      <c r="S604" t="str">
        <f>IF(Orders[[#This Row],[Order Frequency]]&gt;4, "More than 4", IF(AND(Orders[[#This Row],[Order Frequency]]&lt;=4,Orders[[#This Row],[Order Frequency]]&gt;=2), "Between 4 and 2", "Less than 2"))</f>
        <v>Less than 2</v>
      </c>
      <c r="T604" t="str">
        <f>IF(Orders[[#This Row],[Frequency Group]]="less than 2", "Low Value", IF(Orders[[#This Row],[Frequency Group]]="between 4 and 2", "Medium Value", "High Value"))</f>
        <v>Low Value</v>
      </c>
      <c r="U604" t="str">
        <f>IF(Orders[[#This Row],[Sales]]&lt;50, "$0-50", IF(AND(Orders[[#This Row],[Sales]]&gt;=50,Orders[[#This Row],[Sales]]&lt;=100), "$50-100", IF(AND(Orders[[#This Row],[Sales]]&gt;100,Orders[[#This Row],[Sales]]&lt;=150), "$101-150", "$150+")))</f>
        <v>$0-50</v>
      </c>
      <c r="V604" t="str">
        <f>IF(Orders[[#This Row],[Sales]]&gt;MEDIAN(M:M), "High Price", "Low Price")</f>
        <v>Low Price</v>
      </c>
      <c r="W604" t="str">
        <f>IF(Orders[[#This Row],[Quantity]]&gt;MEDIAN(E:E), "High Volume", "Low Volume")</f>
        <v>Low Volume</v>
      </c>
      <c r="X604" t="str">
        <f>Orders[[#This Row],[Sales Tier]] &amp; "-" &amp; Orders[[#This Row],[Quantity Tier]]</f>
        <v>Low Price-Low Volume</v>
      </c>
      <c r="Y604" t="str">
        <f>TEXT(Orders[[#This Row],[Order Date]], "mmmm")</f>
        <v>May</v>
      </c>
      <c r="Z60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604" t="str">
        <f>Orders[[#This Row],[Coffee Type Name]] &amp; "-" &amp; Orders[[#This Row],[Roast Type Name]]</f>
        <v>Robusta-Dark</v>
      </c>
      <c r="AB60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605" spans="1:28" x14ac:dyDescent="0.25">
      <c r="A605" s="2" t="s">
        <v>4439</v>
      </c>
      <c r="B605" s="4">
        <v>44298</v>
      </c>
      <c r="C605" s="2" t="s">
        <v>4440</v>
      </c>
      <c r="D605" t="s">
        <v>6158</v>
      </c>
      <c r="E605" s="2">
        <v>4</v>
      </c>
      <c r="F605" s="2" t="str">
        <f>_xlfn.XLOOKUP(C605,customers!$A$1:$A$1001,customers!$B$1:$B$1001,,0)</f>
        <v>Orland Tadman</v>
      </c>
      <c r="G605" s="2" t="str">
        <f>IF(_xlfn.XLOOKUP(C605,customers!$A$1:$A$1001,customers!$C$1:$C$1001,,0)=0,"",_xlfn.XLOOKUP(C605,customers!$A$1:$A$1001,customers!$C$1:$C$1001,,0))</f>
        <v>otadmanjf@ft.com</v>
      </c>
      <c r="H605" s="2" t="str">
        <f>_xlfn.XLOOKUP(C605,customers!$A$1:$A$1001,customers!$G$1:$G$1001,,0)</f>
        <v>United States</v>
      </c>
      <c r="I605" t="str">
        <f>INDEX(products!$A$1:$G$49, MATCH(orders!$D701,products!$A$1:$A748,0), MATCH(orders!I$1,products!$A$1:$G$1,0))</f>
        <v>Ara</v>
      </c>
      <c r="J605" t="str">
        <f>INDEX(products!$A$1:$G$49, MATCH(orders!$D701,products!$A$1:$A748,0), MATCH(orders!J$1,products!$A$1:$G$1,0))</f>
        <v>D</v>
      </c>
      <c r="K605" s="5">
        <f>INDEX(products!$A$1:$G$49, MATCH(orders!$D701,products!$A$1:$A748,0), MATCH(orders!K$1,products!$A$1:$G$1,0))</f>
        <v>0.5</v>
      </c>
      <c r="L605" s="6">
        <f>INDEX(products!$A$1:$G$49, MATCH(orders!$D701,products!$A$1:$A748,0), MATCH(orders!L$1,products!$A$1:$G$1,0))</f>
        <v>5.97</v>
      </c>
      <c r="M605" s="6">
        <f t="shared" si="27"/>
        <v>23.88</v>
      </c>
      <c r="N605" t="str">
        <f t="shared" si="28"/>
        <v>Arabica</v>
      </c>
      <c r="O605" t="str">
        <f t="shared" si="29"/>
        <v>Dark</v>
      </c>
      <c r="P605" t="str">
        <f>_xlfn.XLOOKUP(Orders[[#This Row],[Customer ID]],customers!$A$1:$A$1001,customers!$I$1:$I$1001,,0)</f>
        <v>Yes</v>
      </c>
      <c r="Q605">
        <f>COUNTIF(Orders[Order ID],Orders[[#This Row],[Order ID]])</f>
        <v>1</v>
      </c>
      <c r="R605" s="10">
        <f>SUMIF(Orders[Order ID], Orders[[#This Row],[Order ID]],Orders[Sales])/Orders[[#This Row],[Order Frequency]]</f>
        <v>23.88</v>
      </c>
      <c r="S605" t="str">
        <f>IF(Orders[[#This Row],[Order Frequency]]&gt;4, "More than 4", IF(AND(Orders[[#This Row],[Order Frequency]]&lt;=4,Orders[[#This Row],[Order Frequency]]&gt;=2), "Between 4 and 2", "Less than 2"))</f>
        <v>Less than 2</v>
      </c>
      <c r="T605" t="str">
        <f>IF(Orders[[#This Row],[Frequency Group]]="less than 2", "Low Value", IF(Orders[[#This Row],[Frequency Group]]="between 4 and 2", "Medium Value", "High Value"))</f>
        <v>Low Value</v>
      </c>
      <c r="U605" t="str">
        <f>IF(Orders[[#This Row],[Sales]]&lt;50, "$0-50", IF(AND(Orders[[#This Row],[Sales]]&gt;=50,Orders[[#This Row],[Sales]]&lt;=100), "$50-100", IF(AND(Orders[[#This Row],[Sales]]&gt;100,Orders[[#This Row],[Sales]]&lt;=150), "$101-150", "$150+")))</f>
        <v>$0-50</v>
      </c>
      <c r="V605" t="str">
        <f>IF(Orders[[#This Row],[Sales]]&gt;MEDIAN(M:M), "High Price", "Low Price")</f>
        <v>Low Price</v>
      </c>
      <c r="W605" t="str">
        <f>IF(Orders[[#This Row],[Quantity]]&gt;MEDIAN(E:E), "High Volume", "Low Volume")</f>
        <v>Low Volume</v>
      </c>
      <c r="X605" t="str">
        <f>Orders[[#This Row],[Sales Tier]] &amp; "-" &amp; Orders[[#This Row],[Quantity Tier]]</f>
        <v>Low Price-Low Volume</v>
      </c>
      <c r="Y605" t="str">
        <f>TEXT(Orders[[#This Row],[Order Date]], "mmmm")</f>
        <v>April</v>
      </c>
      <c r="Z60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605" t="str">
        <f>Orders[[#This Row],[Coffee Type Name]] &amp; "-" &amp; Orders[[#This Row],[Roast Type Name]]</f>
        <v>Arabica-Dark</v>
      </c>
      <c r="AB60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606" spans="1:28" x14ac:dyDescent="0.25">
      <c r="A606" s="2" t="s">
        <v>5961</v>
      </c>
      <c r="B606" s="4">
        <v>44642</v>
      </c>
      <c r="C606" s="2" t="s">
        <v>5962</v>
      </c>
      <c r="D606" t="s">
        <v>6174</v>
      </c>
      <c r="E606" s="2">
        <v>2</v>
      </c>
      <c r="F606" s="2" t="str">
        <f>_xlfn.XLOOKUP(C606,customers!$A$1:$A$1001,customers!$B$1:$B$1001,,0)</f>
        <v>Wiley Leopold</v>
      </c>
      <c r="G606" s="2" t="str">
        <f>IF(_xlfn.XLOOKUP(C606,customers!$A$1:$A$1001,customers!$C$1:$C$1001,,0)=0,"",_xlfn.XLOOKUP(C606,customers!$A$1:$A$1001,customers!$C$1:$C$1001,,0))</f>
        <v>wleopoldqw@blogspot.com</v>
      </c>
      <c r="H606" s="2" t="str">
        <f>_xlfn.XLOOKUP(C606,customers!$A$1:$A$1001,customers!$G$1:$G$1001,,0)</f>
        <v>United States</v>
      </c>
      <c r="I606" t="str">
        <f>INDEX(products!$A$1:$G$49, MATCH(orders!$D970,products!$A$1:$A1017,0), MATCH(orders!I$1,products!$A$1:$G$1,0))</f>
        <v>Rob</v>
      </c>
      <c r="J606" t="str">
        <f>INDEX(products!$A$1:$G$49, MATCH(orders!$D970,products!$A$1:$A1017,0), MATCH(orders!J$1,products!$A$1:$G$1,0))</f>
        <v>M</v>
      </c>
      <c r="K606" s="5">
        <f>INDEX(products!$A$1:$G$49, MATCH(orders!$D970,products!$A$1:$A1017,0), MATCH(orders!K$1,products!$A$1:$G$1,0))</f>
        <v>0.2</v>
      </c>
      <c r="L606" s="6">
        <f>INDEX(products!$A$1:$G$49, MATCH(orders!$D970,products!$A$1:$A1017,0), MATCH(orders!L$1,products!$A$1:$G$1,0))</f>
        <v>2.9849999999999999</v>
      </c>
      <c r="M606" s="6">
        <f t="shared" si="27"/>
        <v>5.97</v>
      </c>
      <c r="N606" t="str">
        <f t="shared" si="28"/>
        <v>Robusta</v>
      </c>
      <c r="O606" t="str">
        <f t="shared" si="29"/>
        <v>Medium</v>
      </c>
      <c r="P606" t="str">
        <f>_xlfn.XLOOKUP(Orders[[#This Row],[Customer ID]],customers!$A$1:$A$1001,customers!$I$1:$I$1001,,0)</f>
        <v>No</v>
      </c>
      <c r="Q606">
        <f>COUNTIF(Orders[Order ID],Orders[[#This Row],[Order ID]])</f>
        <v>1</v>
      </c>
      <c r="R606" s="10">
        <f>SUMIF(Orders[Order ID], Orders[[#This Row],[Order ID]],Orders[Sales])/Orders[[#This Row],[Order Frequency]]</f>
        <v>5.97</v>
      </c>
      <c r="S606" t="str">
        <f>IF(Orders[[#This Row],[Order Frequency]]&gt;4, "More than 4", IF(AND(Orders[[#This Row],[Order Frequency]]&lt;=4,Orders[[#This Row],[Order Frequency]]&gt;=2), "Between 4 and 2", "Less than 2"))</f>
        <v>Less than 2</v>
      </c>
      <c r="T606" t="str">
        <f>IF(Orders[[#This Row],[Frequency Group]]="less than 2", "Low Value", IF(Orders[[#This Row],[Frequency Group]]="between 4 and 2", "Medium Value", "High Value"))</f>
        <v>Low Value</v>
      </c>
      <c r="U606" t="str">
        <f>IF(Orders[[#This Row],[Sales]]&lt;50, "$0-50", IF(AND(Orders[[#This Row],[Sales]]&gt;=50,Orders[[#This Row],[Sales]]&lt;=100), "$50-100", IF(AND(Orders[[#This Row],[Sales]]&gt;100,Orders[[#This Row],[Sales]]&lt;=150), "$101-150", "$150+")))</f>
        <v>$0-50</v>
      </c>
      <c r="V606" t="str">
        <f>IF(Orders[[#This Row],[Sales]]&gt;MEDIAN(M:M), "High Price", "Low Price")</f>
        <v>Low Price</v>
      </c>
      <c r="W606" t="str">
        <f>IF(Orders[[#This Row],[Quantity]]&gt;MEDIAN(E:E), "High Volume", "Low Volume")</f>
        <v>Low Volume</v>
      </c>
      <c r="X606" t="str">
        <f>Orders[[#This Row],[Sales Tier]] &amp; "-" &amp; Orders[[#This Row],[Quantity Tier]]</f>
        <v>Low Price-Low Volume</v>
      </c>
      <c r="Y606" t="str">
        <f>TEXT(Orders[[#This Row],[Order Date]], "mmmm")</f>
        <v>March</v>
      </c>
      <c r="Z60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606" t="str">
        <f>Orders[[#This Row],[Coffee Type Name]] &amp; "-" &amp; Orders[[#This Row],[Roast Type Name]]</f>
        <v>Robusta-Medium</v>
      </c>
      <c r="AB60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607" spans="1:28" x14ac:dyDescent="0.25">
      <c r="A607" s="2" t="s">
        <v>1707</v>
      </c>
      <c r="B607" s="4">
        <v>44470</v>
      </c>
      <c r="C607" s="2" t="s">
        <v>1708</v>
      </c>
      <c r="D607" t="s">
        <v>6162</v>
      </c>
      <c r="E607" s="2">
        <v>4</v>
      </c>
      <c r="F607" s="2" t="str">
        <f>_xlfn.XLOOKUP(C607,customers!$A$1:$A$1001,customers!$B$1:$B$1001,,0)</f>
        <v>Alfy Snowding</v>
      </c>
      <c r="G607" s="2" t="str">
        <f>IF(_xlfn.XLOOKUP(C607,customers!$A$1:$A$1001,customers!$C$1:$C$1001,,0)=0,"",_xlfn.XLOOKUP(C607,customers!$A$1:$A$1001,customers!$C$1:$C$1001,,0))</f>
        <v>asnowding60@comsenz.com</v>
      </c>
      <c r="H607" s="2" t="str">
        <f>_xlfn.XLOOKUP(C607,customers!$A$1:$A$1001,customers!$G$1:$G$1001,,0)</f>
        <v>United States</v>
      </c>
      <c r="I607" t="str">
        <f>INDEX(products!$A$1:$G$49, MATCH(orders!$D218,products!$A$1:$A265,0), MATCH(orders!I$1,products!$A$1:$G$1,0))</f>
        <v>Lib</v>
      </c>
      <c r="J607" t="str">
        <f>INDEX(products!$A$1:$G$49, MATCH(orders!$D218,products!$A$1:$A265,0), MATCH(orders!J$1,products!$A$1:$G$1,0))</f>
        <v>M</v>
      </c>
      <c r="K607" s="5">
        <f>INDEX(products!$A$1:$G$49, MATCH(orders!$D218,products!$A$1:$A265,0), MATCH(orders!K$1,products!$A$1:$G$1,0))</f>
        <v>1</v>
      </c>
      <c r="L607" s="6">
        <f>INDEX(products!$A$1:$G$49, MATCH(orders!$D218,products!$A$1:$A265,0), MATCH(orders!L$1,products!$A$1:$G$1,0))</f>
        <v>14.55</v>
      </c>
      <c r="M607" s="6">
        <f t="shared" si="27"/>
        <v>58.2</v>
      </c>
      <c r="N607" t="str">
        <f t="shared" si="28"/>
        <v>Liberica</v>
      </c>
      <c r="O607" t="str">
        <f t="shared" si="29"/>
        <v>Medium</v>
      </c>
      <c r="P607" t="str">
        <f>_xlfn.XLOOKUP(Orders[[#This Row],[Customer ID]],customers!$A$1:$A$1001,customers!$I$1:$I$1001,,0)</f>
        <v>Yes</v>
      </c>
      <c r="Q607">
        <f>COUNTIF(Orders[Order ID],Orders[[#This Row],[Order ID]])</f>
        <v>1</v>
      </c>
      <c r="R607" s="10">
        <f>SUMIF(Orders[Order ID], Orders[[#This Row],[Order ID]],Orders[Sales])/Orders[[#This Row],[Order Frequency]]</f>
        <v>58.2</v>
      </c>
      <c r="S607" t="str">
        <f>IF(Orders[[#This Row],[Order Frequency]]&gt;4, "More than 4", IF(AND(Orders[[#This Row],[Order Frequency]]&lt;=4,Orders[[#This Row],[Order Frequency]]&gt;=2), "Between 4 and 2", "Less than 2"))</f>
        <v>Less than 2</v>
      </c>
      <c r="T607" t="str">
        <f>IF(Orders[[#This Row],[Frequency Group]]="less than 2", "Low Value", IF(Orders[[#This Row],[Frequency Group]]="between 4 and 2", "Medium Value", "High Value"))</f>
        <v>Low Value</v>
      </c>
      <c r="U607" t="str">
        <f>IF(Orders[[#This Row],[Sales]]&lt;50, "$0-50", IF(AND(Orders[[#This Row],[Sales]]&gt;=50,Orders[[#This Row],[Sales]]&lt;=100), "$50-100", IF(AND(Orders[[#This Row],[Sales]]&gt;100,Orders[[#This Row],[Sales]]&lt;=150), "$101-150", "$150+")))</f>
        <v>$50-100</v>
      </c>
      <c r="V607" t="str">
        <f>IF(Orders[[#This Row],[Sales]]&gt;MEDIAN(M:M), "High Price", "Low Price")</f>
        <v>High Price</v>
      </c>
      <c r="W607" t="str">
        <f>IF(Orders[[#This Row],[Quantity]]&gt;MEDIAN(E:E), "High Volume", "Low Volume")</f>
        <v>Low Volume</v>
      </c>
      <c r="X607" t="str">
        <f>Orders[[#This Row],[Sales Tier]] &amp; "-" &amp; Orders[[#This Row],[Quantity Tier]]</f>
        <v>High Price-Low Volume</v>
      </c>
      <c r="Y607" t="str">
        <f>TEXT(Orders[[#This Row],[Order Date]], "mmmm")</f>
        <v>October</v>
      </c>
      <c r="Z60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607" t="str">
        <f>Orders[[#This Row],[Coffee Type Name]] &amp; "-" &amp; Orders[[#This Row],[Roast Type Name]]</f>
        <v>Liberica-Medium</v>
      </c>
      <c r="AB60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608" spans="1:28" x14ac:dyDescent="0.25">
      <c r="A608" s="2" t="s">
        <v>1261</v>
      </c>
      <c r="B608" s="4">
        <v>44637</v>
      </c>
      <c r="C608" s="2" t="s">
        <v>1262</v>
      </c>
      <c r="D608" t="s">
        <v>6148</v>
      </c>
      <c r="E608" s="2">
        <v>3</v>
      </c>
      <c r="F608" s="2" t="str">
        <f>_xlfn.XLOOKUP(C608,customers!$A$1:$A$1001,customers!$B$1:$B$1001,,0)</f>
        <v>Elonore Joliffe</v>
      </c>
      <c r="G608" s="2" t="str">
        <f>IF(_xlfn.XLOOKUP(C608,customers!$A$1:$A$1001,customers!$C$1:$C$1001,,0)=0,"",_xlfn.XLOOKUP(C608,customers!$A$1:$A$1001,customers!$C$1:$C$1001,,0))</f>
        <v/>
      </c>
      <c r="H608" s="2" t="str">
        <f>_xlfn.XLOOKUP(C608,customers!$A$1:$A$1001,customers!$G$1:$G$1001,,0)</f>
        <v>Ireland</v>
      </c>
      <c r="I608" t="str">
        <f>INDEX(products!$A$1:$G$49, MATCH(orders!$D139,products!$A$1:$A186,0), MATCH(orders!I$1,products!$A$1:$G$1,0))</f>
        <v>Exc</v>
      </c>
      <c r="J608" t="str">
        <f>INDEX(products!$A$1:$G$49, MATCH(orders!$D139,products!$A$1:$A186,0), MATCH(orders!J$1,products!$A$1:$G$1,0))</f>
        <v>L</v>
      </c>
      <c r="K608" s="5">
        <f>INDEX(products!$A$1:$G$49, MATCH(orders!$D139,products!$A$1:$A186,0), MATCH(orders!K$1,products!$A$1:$G$1,0))</f>
        <v>2.5</v>
      </c>
      <c r="L608" s="6">
        <f>INDEX(products!$A$1:$G$49, MATCH(orders!$D139,products!$A$1:$A186,0), MATCH(orders!L$1,products!$A$1:$G$1,0))</f>
        <v>34.154999999999994</v>
      </c>
      <c r="M608" s="6">
        <f t="shared" si="27"/>
        <v>102.46499999999997</v>
      </c>
      <c r="N608" t="str">
        <f t="shared" si="28"/>
        <v>Excelsa</v>
      </c>
      <c r="O608" t="str">
        <f t="shared" si="29"/>
        <v>Light</v>
      </c>
      <c r="P608" t="str">
        <f>_xlfn.XLOOKUP(Orders[[#This Row],[Customer ID]],customers!$A$1:$A$1001,customers!$I$1:$I$1001,,0)</f>
        <v>No</v>
      </c>
      <c r="Q608">
        <f>COUNTIF(Orders[Order ID],Orders[[#This Row],[Order ID]])</f>
        <v>1</v>
      </c>
      <c r="R608" s="10">
        <f>SUMIF(Orders[Order ID], Orders[[#This Row],[Order ID]],Orders[Sales])/Orders[[#This Row],[Order Frequency]]</f>
        <v>102.46499999999997</v>
      </c>
      <c r="S608" t="str">
        <f>IF(Orders[[#This Row],[Order Frequency]]&gt;4, "More than 4", IF(AND(Orders[[#This Row],[Order Frequency]]&lt;=4,Orders[[#This Row],[Order Frequency]]&gt;=2), "Between 4 and 2", "Less than 2"))</f>
        <v>Less than 2</v>
      </c>
      <c r="T608" t="str">
        <f>IF(Orders[[#This Row],[Frequency Group]]="less than 2", "Low Value", IF(Orders[[#This Row],[Frequency Group]]="between 4 and 2", "Medium Value", "High Value"))</f>
        <v>Low Value</v>
      </c>
      <c r="U608" t="str">
        <f>IF(Orders[[#This Row],[Sales]]&lt;50, "$0-50", IF(AND(Orders[[#This Row],[Sales]]&gt;=50,Orders[[#This Row],[Sales]]&lt;=100), "$50-100", IF(AND(Orders[[#This Row],[Sales]]&gt;100,Orders[[#This Row],[Sales]]&lt;=150), "$101-150", "$150+")))</f>
        <v>$101-150</v>
      </c>
      <c r="V608" t="str">
        <f>IF(Orders[[#This Row],[Sales]]&gt;MEDIAN(M:M), "High Price", "Low Price")</f>
        <v>High Price</v>
      </c>
      <c r="W608" t="str">
        <f>IF(Orders[[#This Row],[Quantity]]&gt;MEDIAN(E:E), "High Volume", "Low Volume")</f>
        <v>Low Volume</v>
      </c>
      <c r="X608" t="str">
        <f>Orders[[#This Row],[Sales Tier]] &amp; "-" &amp; Orders[[#This Row],[Quantity Tier]]</f>
        <v>High Price-Low Volume</v>
      </c>
      <c r="Y608" t="str">
        <f>TEXT(Orders[[#This Row],[Order Date]], "mmmm")</f>
        <v>March</v>
      </c>
      <c r="Z60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608" t="str">
        <f>Orders[[#This Row],[Coffee Type Name]] &amp; "-" &amp; Orders[[#This Row],[Roast Type Name]]</f>
        <v>Excelsa-Light</v>
      </c>
      <c r="AB60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609" spans="1:28" x14ac:dyDescent="0.25">
      <c r="A609" s="2" t="s">
        <v>4007</v>
      </c>
      <c r="B609" s="4">
        <v>44224</v>
      </c>
      <c r="C609" s="2" t="s">
        <v>4008</v>
      </c>
      <c r="D609" t="s">
        <v>6183</v>
      </c>
      <c r="E609" s="2">
        <v>1</v>
      </c>
      <c r="F609" s="2" t="str">
        <f>_xlfn.XLOOKUP(C609,customers!$A$1:$A$1001,customers!$B$1:$B$1001,,0)</f>
        <v>Nelie Garnson</v>
      </c>
      <c r="G609" s="2" t="str">
        <f>IF(_xlfn.XLOOKUP(C609,customers!$A$1:$A$1001,customers!$C$1:$C$1001,,0)=0,"",_xlfn.XLOOKUP(C609,customers!$A$1:$A$1001,customers!$C$1:$C$1001,,0))</f>
        <v/>
      </c>
      <c r="H609" s="2" t="str">
        <f>_xlfn.XLOOKUP(C609,customers!$A$1:$A$1001,customers!$G$1:$G$1001,,0)</f>
        <v>United Kingdom</v>
      </c>
      <c r="I609" t="str">
        <f>INDEX(products!$A$1:$G$49, MATCH(orders!$D625,products!$A$1:$A672,0), MATCH(orders!I$1,products!$A$1:$G$1,0))</f>
        <v>Exc</v>
      </c>
      <c r="J609" t="str">
        <f>INDEX(products!$A$1:$G$49, MATCH(orders!$D625,products!$A$1:$A672,0), MATCH(orders!J$1,products!$A$1:$G$1,0))</f>
        <v>D</v>
      </c>
      <c r="K609" s="5">
        <f>INDEX(products!$A$1:$G$49, MATCH(orders!$D625,products!$A$1:$A672,0), MATCH(orders!K$1,products!$A$1:$G$1,0))</f>
        <v>1</v>
      </c>
      <c r="L609" s="6">
        <f>INDEX(products!$A$1:$G$49, MATCH(orders!$D625,products!$A$1:$A672,0), MATCH(orders!L$1,products!$A$1:$G$1,0))</f>
        <v>12.15</v>
      </c>
      <c r="M609" s="6">
        <f t="shared" si="27"/>
        <v>12.15</v>
      </c>
      <c r="N609" t="str">
        <f t="shared" si="28"/>
        <v>Excelsa</v>
      </c>
      <c r="O609" t="str">
        <f t="shared" si="29"/>
        <v>Dark</v>
      </c>
      <c r="P609" t="str">
        <f>_xlfn.XLOOKUP(Orders[[#This Row],[Customer ID]],customers!$A$1:$A$1001,customers!$I$1:$I$1001,,0)</f>
        <v>No</v>
      </c>
      <c r="Q609">
        <f>COUNTIF(Orders[Order ID],Orders[[#This Row],[Order ID]])</f>
        <v>1</v>
      </c>
      <c r="R609" s="10">
        <f>SUMIF(Orders[Order ID], Orders[[#This Row],[Order ID]],Orders[Sales])/Orders[[#This Row],[Order Frequency]]</f>
        <v>12.15</v>
      </c>
      <c r="S609" t="str">
        <f>IF(Orders[[#This Row],[Order Frequency]]&gt;4, "More than 4", IF(AND(Orders[[#This Row],[Order Frequency]]&lt;=4,Orders[[#This Row],[Order Frequency]]&gt;=2), "Between 4 and 2", "Less than 2"))</f>
        <v>Less than 2</v>
      </c>
      <c r="T609" t="str">
        <f>IF(Orders[[#This Row],[Frequency Group]]="less than 2", "Low Value", IF(Orders[[#This Row],[Frequency Group]]="between 4 and 2", "Medium Value", "High Value"))</f>
        <v>Low Value</v>
      </c>
      <c r="U609" t="str">
        <f>IF(Orders[[#This Row],[Sales]]&lt;50, "$0-50", IF(AND(Orders[[#This Row],[Sales]]&gt;=50,Orders[[#This Row],[Sales]]&lt;=100), "$50-100", IF(AND(Orders[[#This Row],[Sales]]&gt;100,Orders[[#This Row],[Sales]]&lt;=150), "$101-150", "$150+")))</f>
        <v>$0-50</v>
      </c>
      <c r="V609" t="str">
        <f>IF(Orders[[#This Row],[Sales]]&gt;MEDIAN(M:M), "High Price", "Low Price")</f>
        <v>Low Price</v>
      </c>
      <c r="W609" t="str">
        <f>IF(Orders[[#This Row],[Quantity]]&gt;MEDIAN(E:E), "High Volume", "Low Volume")</f>
        <v>Low Volume</v>
      </c>
      <c r="X609" t="str">
        <f>Orders[[#This Row],[Sales Tier]] &amp; "-" &amp; Orders[[#This Row],[Quantity Tier]]</f>
        <v>Low Price-Low Volume</v>
      </c>
      <c r="Y609" t="str">
        <f>TEXT(Orders[[#This Row],[Order Date]], "mmmm")</f>
        <v>January</v>
      </c>
      <c r="Z60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609" t="str">
        <f>Orders[[#This Row],[Coffee Type Name]] &amp; "-" &amp; Orders[[#This Row],[Roast Type Name]]</f>
        <v>Excelsa-Dark</v>
      </c>
      <c r="AB60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610" spans="1:28" x14ac:dyDescent="0.25">
      <c r="A610" s="2" t="s">
        <v>5828</v>
      </c>
      <c r="B610" s="4">
        <v>44054</v>
      </c>
      <c r="C610" s="2" t="s">
        <v>5829</v>
      </c>
      <c r="D610" t="s">
        <v>6173</v>
      </c>
      <c r="E610" s="2">
        <v>5</v>
      </c>
      <c r="F610" s="2" t="str">
        <f>_xlfn.XLOOKUP(C610,customers!$A$1:$A$1001,customers!$B$1:$B$1001,,0)</f>
        <v>Fanchon Haughian</v>
      </c>
      <c r="G610" s="2" t="str">
        <f>IF(_xlfn.XLOOKUP(C610,customers!$A$1:$A$1001,customers!$C$1:$C$1001,,0)=0,"",_xlfn.XLOOKUP(C610,customers!$A$1:$A$1001,customers!$C$1:$C$1001,,0))</f>
        <v>fhaughianq8@1688.com</v>
      </c>
      <c r="H610" s="2" t="str">
        <f>_xlfn.XLOOKUP(C610,customers!$A$1:$A$1001,customers!$G$1:$G$1001,,0)</f>
        <v>United States</v>
      </c>
      <c r="I610" t="str">
        <f>INDEX(products!$A$1:$G$49, MATCH(orders!$D946,products!$A$1:$A993,0), MATCH(orders!I$1,products!$A$1:$G$1,0))</f>
        <v>Rob</v>
      </c>
      <c r="J610" t="str">
        <f>INDEX(products!$A$1:$G$49, MATCH(orders!$D946,products!$A$1:$A993,0), MATCH(orders!J$1,products!$A$1:$G$1,0))</f>
        <v>L</v>
      </c>
      <c r="K610" s="5">
        <f>INDEX(products!$A$1:$G$49, MATCH(orders!$D946,products!$A$1:$A993,0), MATCH(orders!K$1,products!$A$1:$G$1,0))</f>
        <v>0.5</v>
      </c>
      <c r="L610" s="6">
        <f>INDEX(products!$A$1:$G$49, MATCH(orders!$D946,products!$A$1:$A993,0), MATCH(orders!L$1,products!$A$1:$G$1,0))</f>
        <v>7.169999999999999</v>
      </c>
      <c r="M610" s="6">
        <f t="shared" si="27"/>
        <v>35.849999999999994</v>
      </c>
      <c r="N610" t="str">
        <f t="shared" si="28"/>
        <v>Robusta</v>
      </c>
      <c r="O610" t="str">
        <f t="shared" si="29"/>
        <v>Light</v>
      </c>
      <c r="P610" t="str">
        <f>_xlfn.XLOOKUP(Orders[[#This Row],[Customer ID]],customers!$A$1:$A$1001,customers!$I$1:$I$1001,,0)</f>
        <v>No</v>
      </c>
      <c r="Q610">
        <f>COUNTIF(Orders[Order ID],Orders[[#This Row],[Order ID]])</f>
        <v>1</v>
      </c>
      <c r="R610" s="10">
        <f>SUMIF(Orders[Order ID], Orders[[#This Row],[Order ID]],Orders[Sales])/Orders[[#This Row],[Order Frequency]]</f>
        <v>35.849999999999994</v>
      </c>
      <c r="S610" t="str">
        <f>IF(Orders[[#This Row],[Order Frequency]]&gt;4, "More than 4", IF(AND(Orders[[#This Row],[Order Frequency]]&lt;=4,Orders[[#This Row],[Order Frequency]]&gt;=2), "Between 4 and 2", "Less than 2"))</f>
        <v>Less than 2</v>
      </c>
      <c r="T610" t="str">
        <f>IF(Orders[[#This Row],[Frequency Group]]="less than 2", "Low Value", IF(Orders[[#This Row],[Frequency Group]]="between 4 and 2", "Medium Value", "High Value"))</f>
        <v>Low Value</v>
      </c>
      <c r="U610" t="str">
        <f>IF(Orders[[#This Row],[Sales]]&lt;50, "$0-50", IF(AND(Orders[[#This Row],[Sales]]&gt;=50,Orders[[#This Row],[Sales]]&lt;=100), "$50-100", IF(AND(Orders[[#This Row],[Sales]]&gt;100,Orders[[#This Row],[Sales]]&lt;=150), "$101-150", "$150+")))</f>
        <v>$0-50</v>
      </c>
      <c r="V610" t="str">
        <f>IF(Orders[[#This Row],[Sales]]&gt;MEDIAN(M:M), "High Price", "Low Price")</f>
        <v>High Price</v>
      </c>
      <c r="W610" t="str">
        <f>IF(Orders[[#This Row],[Quantity]]&gt;MEDIAN(E:E), "High Volume", "Low Volume")</f>
        <v>High Volume</v>
      </c>
      <c r="X610" t="str">
        <f>Orders[[#This Row],[Sales Tier]] &amp; "-" &amp; Orders[[#This Row],[Quantity Tier]]</f>
        <v>High Price-High Volume</v>
      </c>
      <c r="Y610" t="str">
        <f>TEXT(Orders[[#This Row],[Order Date]], "mmmm")</f>
        <v>August</v>
      </c>
      <c r="Z61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610" t="str">
        <f>Orders[[#This Row],[Coffee Type Name]] &amp; "-" &amp; Orders[[#This Row],[Roast Type Name]]</f>
        <v>Robusta-Light</v>
      </c>
      <c r="AB61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611" spans="1:28" x14ac:dyDescent="0.25">
      <c r="A611" s="2" t="s">
        <v>2660</v>
      </c>
      <c r="B611" s="4">
        <v>44559</v>
      </c>
      <c r="C611" s="2" t="s">
        <v>2661</v>
      </c>
      <c r="D611" t="s">
        <v>6160</v>
      </c>
      <c r="E611" s="2">
        <v>5</v>
      </c>
      <c r="F611" s="2" t="str">
        <f>_xlfn.XLOOKUP(C611,customers!$A$1:$A$1001,customers!$B$1:$B$1001,,0)</f>
        <v>Virgil Baumadier</v>
      </c>
      <c r="G611" s="2" t="str">
        <f>IF(_xlfn.XLOOKUP(C611,customers!$A$1:$A$1001,customers!$C$1:$C$1001,,0)=0,"",_xlfn.XLOOKUP(C611,customers!$A$1:$A$1001,customers!$C$1:$C$1001,,0))</f>
        <v>vbaumadierap@google.cn</v>
      </c>
      <c r="H611" s="2" t="str">
        <f>_xlfn.XLOOKUP(C611,customers!$A$1:$A$1001,customers!$G$1:$G$1001,,0)</f>
        <v>United States</v>
      </c>
      <c r="I611" t="str">
        <f>INDEX(products!$A$1:$G$49, MATCH(orders!$D387,products!$A$1:$A434,0), MATCH(orders!I$1,products!$A$1:$G$1,0))</f>
        <v>Lib</v>
      </c>
      <c r="J611" t="str">
        <f>INDEX(products!$A$1:$G$49, MATCH(orders!$D387,products!$A$1:$A434,0), MATCH(orders!J$1,products!$A$1:$G$1,0))</f>
        <v>M</v>
      </c>
      <c r="K611" s="5">
        <f>INDEX(products!$A$1:$G$49, MATCH(orders!$D387,products!$A$1:$A434,0), MATCH(orders!K$1,products!$A$1:$G$1,0))</f>
        <v>0.5</v>
      </c>
      <c r="L611" s="6">
        <f>INDEX(products!$A$1:$G$49, MATCH(orders!$D387,products!$A$1:$A434,0), MATCH(orders!L$1,products!$A$1:$G$1,0))</f>
        <v>8.73</v>
      </c>
      <c r="M611" s="6">
        <f t="shared" si="27"/>
        <v>43.650000000000006</v>
      </c>
      <c r="N611" t="str">
        <f t="shared" si="28"/>
        <v>Liberica</v>
      </c>
      <c r="O611" t="str">
        <f t="shared" si="29"/>
        <v>Medium</v>
      </c>
      <c r="P611" t="str">
        <f>_xlfn.XLOOKUP(Orders[[#This Row],[Customer ID]],customers!$A$1:$A$1001,customers!$I$1:$I$1001,,0)</f>
        <v>Yes</v>
      </c>
      <c r="Q611">
        <f>COUNTIF(Orders[Order ID],Orders[[#This Row],[Order ID]])</f>
        <v>1</v>
      </c>
      <c r="R611" s="10">
        <f>SUMIF(Orders[Order ID], Orders[[#This Row],[Order ID]],Orders[Sales])/Orders[[#This Row],[Order Frequency]]</f>
        <v>43.650000000000006</v>
      </c>
      <c r="S611" t="str">
        <f>IF(Orders[[#This Row],[Order Frequency]]&gt;4, "More than 4", IF(AND(Orders[[#This Row],[Order Frequency]]&lt;=4,Orders[[#This Row],[Order Frequency]]&gt;=2), "Between 4 and 2", "Less than 2"))</f>
        <v>Less than 2</v>
      </c>
      <c r="T611" t="str">
        <f>IF(Orders[[#This Row],[Frequency Group]]="less than 2", "Low Value", IF(Orders[[#This Row],[Frequency Group]]="between 4 and 2", "Medium Value", "High Value"))</f>
        <v>Low Value</v>
      </c>
      <c r="U611" t="str">
        <f>IF(Orders[[#This Row],[Sales]]&lt;50, "$0-50", IF(AND(Orders[[#This Row],[Sales]]&gt;=50,Orders[[#This Row],[Sales]]&lt;=100), "$50-100", IF(AND(Orders[[#This Row],[Sales]]&gt;100,Orders[[#This Row],[Sales]]&lt;=150), "$101-150", "$150+")))</f>
        <v>$0-50</v>
      </c>
      <c r="V611" t="str">
        <f>IF(Orders[[#This Row],[Sales]]&gt;MEDIAN(M:M), "High Price", "Low Price")</f>
        <v>High Price</v>
      </c>
      <c r="W611" t="str">
        <f>IF(Orders[[#This Row],[Quantity]]&gt;MEDIAN(E:E), "High Volume", "Low Volume")</f>
        <v>High Volume</v>
      </c>
      <c r="X611" t="str">
        <f>Orders[[#This Row],[Sales Tier]] &amp; "-" &amp; Orders[[#This Row],[Quantity Tier]]</f>
        <v>High Price-High Volume</v>
      </c>
      <c r="Y611" t="str">
        <f>TEXT(Orders[[#This Row],[Order Date]], "mmmm")</f>
        <v>December</v>
      </c>
      <c r="Z61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611" t="str">
        <f>Orders[[#This Row],[Coffee Type Name]] &amp; "-" &amp; Orders[[#This Row],[Roast Type Name]]</f>
        <v>Liberica-Medium</v>
      </c>
      <c r="AB61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612" spans="1:28" x14ac:dyDescent="0.25">
      <c r="A612" s="2" t="s">
        <v>2899</v>
      </c>
      <c r="B612" s="4">
        <v>43759</v>
      </c>
      <c r="C612" s="2" t="s">
        <v>2900</v>
      </c>
      <c r="D612" t="s">
        <v>6179</v>
      </c>
      <c r="E612" s="2">
        <v>5</v>
      </c>
      <c r="F612" s="2" t="str">
        <f>_xlfn.XLOOKUP(C612,customers!$A$1:$A$1001,customers!$B$1:$B$1001,,0)</f>
        <v>Minetta Ackrill</v>
      </c>
      <c r="G612" s="2" t="str">
        <f>IF(_xlfn.XLOOKUP(C612,customers!$A$1:$A$1001,customers!$C$1:$C$1001,,0)=0,"",_xlfn.XLOOKUP(C612,customers!$A$1:$A$1001,customers!$C$1:$C$1001,,0))</f>
        <v>mackrillbw@bandcamp.com</v>
      </c>
      <c r="H612" s="2" t="str">
        <f>_xlfn.XLOOKUP(C612,customers!$A$1:$A$1001,customers!$G$1:$G$1001,,0)</f>
        <v>United States</v>
      </c>
      <c r="I612" t="str">
        <f>INDEX(products!$A$1:$G$49, MATCH(orders!$D430,products!$A$1:$A477,0), MATCH(orders!I$1,products!$A$1:$G$1,0))</f>
        <v>Rob</v>
      </c>
      <c r="J612" t="str">
        <f>INDEX(products!$A$1:$G$49, MATCH(orders!$D430,products!$A$1:$A477,0), MATCH(orders!J$1,products!$A$1:$G$1,0))</f>
        <v>L</v>
      </c>
      <c r="K612" s="5">
        <f>INDEX(products!$A$1:$G$49, MATCH(orders!$D430,products!$A$1:$A477,0), MATCH(orders!K$1,products!$A$1:$G$1,0))</f>
        <v>1</v>
      </c>
      <c r="L612" s="6">
        <f>INDEX(products!$A$1:$G$49, MATCH(orders!$D430,products!$A$1:$A477,0), MATCH(orders!L$1,products!$A$1:$G$1,0))</f>
        <v>11.95</v>
      </c>
      <c r="M612" s="6">
        <f t="shared" si="27"/>
        <v>59.75</v>
      </c>
      <c r="N612" t="str">
        <f t="shared" si="28"/>
        <v>Robusta</v>
      </c>
      <c r="O612" t="str">
        <f t="shared" si="29"/>
        <v>Light</v>
      </c>
      <c r="P612" t="str">
        <f>_xlfn.XLOOKUP(Orders[[#This Row],[Customer ID]],customers!$A$1:$A$1001,customers!$I$1:$I$1001,,0)</f>
        <v>No</v>
      </c>
      <c r="Q612">
        <f>COUNTIF(Orders[Order ID],Orders[[#This Row],[Order ID]])</f>
        <v>1</v>
      </c>
      <c r="R612" s="10">
        <f>SUMIF(Orders[Order ID], Orders[[#This Row],[Order ID]],Orders[Sales])/Orders[[#This Row],[Order Frequency]]</f>
        <v>59.75</v>
      </c>
      <c r="S612" t="str">
        <f>IF(Orders[[#This Row],[Order Frequency]]&gt;4, "More than 4", IF(AND(Orders[[#This Row],[Order Frequency]]&lt;=4,Orders[[#This Row],[Order Frequency]]&gt;=2), "Between 4 and 2", "Less than 2"))</f>
        <v>Less than 2</v>
      </c>
      <c r="T612" t="str">
        <f>IF(Orders[[#This Row],[Frequency Group]]="less than 2", "Low Value", IF(Orders[[#This Row],[Frequency Group]]="between 4 and 2", "Medium Value", "High Value"))</f>
        <v>Low Value</v>
      </c>
      <c r="U612" t="str">
        <f>IF(Orders[[#This Row],[Sales]]&lt;50, "$0-50", IF(AND(Orders[[#This Row],[Sales]]&gt;=50,Orders[[#This Row],[Sales]]&lt;=100), "$50-100", IF(AND(Orders[[#This Row],[Sales]]&gt;100,Orders[[#This Row],[Sales]]&lt;=150), "$101-150", "$150+")))</f>
        <v>$50-100</v>
      </c>
      <c r="V612" t="str">
        <f>IF(Orders[[#This Row],[Sales]]&gt;MEDIAN(M:M), "High Price", "Low Price")</f>
        <v>High Price</v>
      </c>
      <c r="W612" t="str">
        <f>IF(Orders[[#This Row],[Quantity]]&gt;MEDIAN(E:E), "High Volume", "Low Volume")</f>
        <v>High Volume</v>
      </c>
      <c r="X612" t="str">
        <f>Orders[[#This Row],[Sales Tier]] &amp; "-" &amp; Orders[[#This Row],[Quantity Tier]]</f>
        <v>High Price-High Volume</v>
      </c>
      <c r="Y612" t="str">
        <f>TEXT(Orders[[#This Row],[Order Date]], "mmmm")</f>
        <v>October</v>
      </c>
      <c r="Z61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612" t="str">
        <f>Orders[[#This Row],[Coffee Type Name]] &amp; "-" &amp; Orders[[#This Row],[Roast Type Name]]</f>
        <v>Robusta-Light</v>
      </c>
      <c r="AB61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613" spans="1:28" x14ac:dyDescent="0.25">
      <c r="A613" s="2" t="s">
        <v>5553</v>
      </c>
      <c r="B613" s="4">
        <v>44521</v>
      </c>
      <c r="C613" s="2" t="s">
        <v>5554</v>
      </c>
      <c r="D613" t="s">
        <v>6166</v>
      </c>
      <c r="E613" s="2">
        <v>5</v>
      </c>
      <c r="F613" s="2" t="str">
        <f>_xlfn.XLOOKUP(C613,customers!$A$1:$A$1001,customers!$B$1:$B$1001,,0)</f>
        <v>Derick Snow</v>
      </c>
      <c r="G613" s="2" t="str">
        <f>IF(_xlfn.XLOOKUP(C613,customers!$A$1:$A$1001,customers!$C$1:$C$1001,,0)=0,"",_xlfn.XLOOKUP(C613,customers!$A$1:$A$1001,customers!$C$1:$C$1001,,0))</f>
        <v/>
      </c>
      <c r="H613" s="2" t="str">
        <f>_xlfn.XLOOKUP(C613,customers!$A$1:$A$1001,customers!$G$1:$G$1001,,0)</f>
        <v>United States</v>
      </c>
      <c r="I613" t="str">
        <f>INDEX(products!$A$1:$G$49, MATCH(orders!$D897,products!$A$1:$A944,0), MATCH(orders!I$1,products!$A$1:$G$1,0))</f>
        <v>Exc</v>
      </c>
      <c r="J613" t="str">
        <f>INDEX(products!$A$1:$G$49, MATCH(orders!$D897,products!$A$1:$A944,0), MATCH(orders!J$1,products!$A$1:$G$1,0))</f>
        <v>M</v>
      </c>
      <c r="K613" s="5">
        <f>INDEX(products!$A$1:$G$49, MATCH(orders!$D897,products!$A$1:$A944,0), MATCH(orders!K$1,products!$A$1:$G$1,0))</f>
        <v>2.5</v>
      </c>
      <c r="L613" s="6">
        <f>INDEX(products!$A$1:$G$49, MATCH(orders!$D897,products!$A$1:$A944,0), MATCH(orders!L$1,products!$A$1:$G$1,0))</f>
        <v>31.624999999999996</v>
      </c>
      <c r="M613" s="6">
        <f t="shared" si="27"/>
        <v>158.12499999999997</v>
      </c>
      <c r="N613" t="str">
        <f t="shared" si="28"/>
        <v>Excelsa</v>
      </c>
      <c r="O613" t="str">
        <f t="shared" si="29"/>
        <v>Medium</v>
      </c>
      <c r="P613" t="str">
        <f>_xlfn.XLOOKUP(Orders[[#This Row],[Customer ID]],customers!$A$1:$A$1001,customers!$I$1:$I$1001,,0)</f>
        <v>No</v>
      </c>
      <c r="Q613">
        <f>COUNTIF(Orders[Order ID],Orders[[#This Row],[Order ID]])</f>
        <v>1</v>
      </c>
      <c r="R613" s="10">
        <f>SUMIF(Orders[Order ID], Orders[[#This Row],[Order ID]],Orders[Sales])/Orders[[#This Row],[Order Frequency]]</f>
        <v>158.12499999999997</v>
      </c>
      <c r="S613" t="str">
        <f>IF(Orders[[#This Row],[Order Frequency]]&gt;4, "More than 4", IF(AND(Orders[[#This Row],[Order Frequency]]&lt;=4,Orders[[#This Row],[Order Frequency]]&gt;=2), "Between 4 and 2", "Less than 2"))</f>
        <v>Less than 2</v>
      </c>
      <c r="T613" t="str">
        <f>IF(Orders[[#This Row],[Frequency Group]]="less than 2", "Low Value", IF(Orders[[#This Row],[Frequency Group]]="between 4 and 2", "Medium Value", "High Value"))</f>
        <v>Low Value</v>
      </c>
      <c r="U613" t="str">
        <f>IF(Orders[[#This Row],[Sales]]&lt;50, "$0-50", IF(AND(Orders[[#This Row],[Sales]]&gt;=50,Orders[[#This Row],[Sales]]&lt;=100), "$50-100", IF(AND(Orders[[#This Row],[Sales]]&gt;100,Orders[[#This Row],[Sales]]&lt;=150), "$101-150", "$150+")))</f>
        <v>$150+</v>
      </c>
      <c r="V613" t="str">
        <f>IF(Orders[[#This Row],[Sales]]&gt;MEDIAN(M:M), "High Price", "Low Price")</f>
        <v>High Price</v>
      </c>
      <c r="W613" t="str">
        <f>IF(Orders[[#This Row],[Quantity]]&gt;MEDIAN(E:E), "High Volume", "Low Volume")</f>
        <v>High Volume</v>
      </c>
      <c r="X613" t="str">
        <f>Orders[[#This Row],[Sales Tier]] &amp; "-" &amp; Orders[[#This Row],[Quantity Tier]]</f>
        <v>High Price-High Volume</v>
      </c>
      <c r="Y613" t="str">
        <f>TEXT(Orders[[#This Row],[Order Date]], "mmmm")</f>
        <v>November</v>
      </c>
      <c r="Z61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613" t="str">
        <f>Orders[[#This Row],[Coffee Type Name]] &amp; "-" &amp; Orders[[#This Row],[Roast Type Name]]</f>
        <v>Excelsa-Medium</v>
      </c>
      <c r="AB61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614" spans="1:28" x14ac:dyDescent="0.25">
      <c r="A614" s="2" t="s">
        <v>2939</v>
      </c>
      <c r="B614" s="4">
        <v>44528</v>
      </c>
      <c r="C614" s="2" t="s">
        <v>2940</v>
      </c>
      <c r="D614" t="s">
        <v>6139</v>
      </c>
      <c r="E614" s="2">
        <v>1</v>
      </c>
      <c r="F614" s="2" t="str">
        <f>_xlfn.XLOOKUP(C614,customers!$A$1:$A$1001,customers!$B$1:$B$1001,,0)</f>
        <v>Chance Rowthorn</v>
      </c>
      <c r="G614" s="2" t="str">
        <f>IF(_xlfn.XLOOKUP(C614,customers!$A$1:$A$1001,customers!$C$1:$C$1001,,0)=0,"",_xlfn.XLOOKUP(C614,customers!$A$1:$A$1001,customers!$C$1:$C$1001,,0))</f>
        <v>crowthornc3@msn.com</v>
      </c>
      <c r="H614" s="2" t="str">
        <f>_xlfn.XLOOKUP(C614,customers!$A$1:$A$1001,customers!$G$1:$G$1001,,0)</f>
        <v>United States</v>
      </c>
      <c r="I614" t="str">
        <f>INDEX(products!$A$1:$G$49, MATCH(orders!$D437,products!$A$1:$A484,0), MATCH(orders!I$1,products!$A$1:$G$1,0))</f>
        <v>Exc</v>
      </c>
      <c r="J614" t="str">
        <f>INDEX(products!$A$1:$G$49, MATCH(orders!$D437,products!$A$1:$A484,0), MATCH(orders!J$1,products!$A$1:$G$1,0))</f>
        <v>M</v>
      </c>
      <c r="K614" s="5">
        <f>INDEX(products!$A$1:$G$49, MATCH(orders!$D437,products!$A$1:$A484,0), MATCH(orders!K$1,products!$A$1:$G$1,0))</f>
        <v>0.5</v>
      </c>
      <c r="L614" s="6">
        <f>INDEX(products!$A$1:$G$49, MATCH(orders!$D437,products!$A$1:$A484,0), MATCH(orders!L$1,products!$A$1:$G$1,0))</f>
        <v>8.25</v>
      </c>
      <c r="M614" s="6">
        <f t="shared" si="27"/>
        <v>8.25</v>
      </c>
      <c r="N614" t="str">
        <f t="shared" si="28"/>
        <v>Excelsa</v>
      </c>
      <c r="O614" t="str">
        <f t="shared" si="29"/>
        <v>Medium</v>
      </c>
      <c r="P614" t="str">
        <f>_xlfn.XLOOKUP(Orders[[#This Row],[Customer ID]],customers!$A$1:$A$1001,customers!$I$1:$I$1001,,0)</f>
        <v>No</v>
      </c>
      <c r="Q614">
        <f>COUNTIF(Orders[Order ID],Orders[[#This Row],[Order ID]])</f>
        <v>1</v>
      </c>
      <c r="R614" s="10">
        <f>SUMIF(Orders[Order ID], Orders[[#This Row],[Order ID]],Orders[Sales])/Orders[[#This Row],[Order Frequency]]</f>
        <v>8.25</v>
      </c>
      <c r="S614" t="str">
        <f>IF(Orders[[#This Row],[Order Frequency]]&gt;4, "More than 4", IF(AND(Orders[[#This Row],[Order Frequency]]&lt;=4,Orders[[#This Row],[Order Frequency]]&gt;=2), "Between 4 and 2", "Less than 2"))</f>
        <v>Less than 2</v>
      </c>
      <c r="T614" t="str">
        <f>IF(Orders[[#This Row],[Frequency Group]]="less than 2", "Low Value", IF(Orders[[#This Row],[Frequency Group]]="between 4 and 2", "Medium Value", "High Value"))</f>
        <v>Low Value</v>
      </c>
      <c r="U614" t="str">
        <f>IF(Orders[[#This Row],[Sales]]&lt;50, "$0-50", IF(AND(Orders[[#This Row],[Sales]]&gt;=50,Orders[[#This Row],[Sales]]&lt;=100), "$50-100", IF(AND(Orders[[#This Row],[Sales]]&gt;100,Orders[[#This Row],[Sales]]&lt;=150), "$101-150", "$150+")))</f>
        <v>$0-50</v>
      </c>
      <c r="V614" t="str">
        <f>IF(Orders[[#This Row],[Sales]]&gt;MEDIAN(M:M), "High Price", "Low Price")</f>
        <v>Low Price</v>
      </c>
      <c r="W614" t="str">
        <f>IF(Orders[[#This Row],[Quantity]]&gt;MEDIAN(E:E), "High Volume", "Low Volume")</f>
        <v>Low Volume</v>
      </c>
      <c r="X614" t="str">
        <f>Orders[[#This Row],[Sales Tier]] &amp; "-" &amp; Orders[[#This Row],[Quantity Tier]]</f>
        <v>Low Price-Low Volume</v>
      </c>
      <c r="Y614" t="str">
        <f>TEXT(Orders[[#This Row],[Order Date]], "mmmm")</f>
        <v>November</v>
      </c>
      <c r="Z61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614" t="str">
        <f>Orders[[#This Row],[Coffee Type Name]] &amp; "-" &amp; Orders[[#This Row],[Roast Type Name]]</f>
        <v>Excelsa-Medium</v>
      </c>
      <c r="AB61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615" spans="1:28" x14ac:dyDescent="0.25">
      <c r="A615" s="2" t="s">
        <v>1192</v>
      </c>
      <c r="B615" s="4">
        <v>43608</v>
      </c>
      <c r="C615" s="2" t="s">
        <v>1193</v>
      </c>
      <c r="D615" t="s">
        <v>6160</v>
      </c>
      <c r="E615" s="2">
        <v>3</v>
      </c>
      <c r="F615" s="2" t="str">
        <f>_xlfn.XLOOKUP(C615,customers!$A$1:$A$1001,customers!$B$1:$B$1001,,0)</f>
        <v>Stevana Woodham</v>
      </c>
      <c r="G615" s="2" t="str">
        <f>IF(_xlfn.XLOOKUP(C615,customers!$A$1:$A$1001,customers!$C$1:$C$1001,,0)=0,"",_xlfn.XLOOKUP(C615,customers!$A$1:$A$1001,customers!$C$1:$C$1001,,0))</f>
        <v>swoodham3h@businesswire.com</v>
      </c>
      <c r="H615" s="2" t="str">
        <f>_xlfn.XLOOKUP(C615,customers!$A$1:$A$1001,customers!$G$1:$G$1001,,0)</f>
        <v>Ireland</v>
      </c>
      <c r="I615" t="str">
        <f>INDEX(products!$A$1:$G$49, MATCH(orders!$D127,products!$A$1:$A174,0), MATCH(orders!I$1,products!$A$1:$G$1,0))</f>
        <v>Lib</v>
      </c>
      <c r="J615" t="str">
        <f>INDEX(products!$A$1:$G$49, MATCH(orders!$D127,products!$A$1:$A174,0), MATCH(orders!J$1,products!$A$1:$G$1,0))</f>
        <v>M</v>
      </c>
      <c r="K615" s="5">
        <f>INDEX(products!$A$1:$G$49, MATCH(orders!$D127,products!$A$1:$A174,0), MATCH(orders!K$1,products!$A$1:$G$1,0))</f>
        <v>0.5</v>
      </c>
      <c r="L615" s="6">
        <f>INDEX(products!$A$1:$G$49, MATCH(orders!$D127,products!$A$1:$A174,0), MATCH(orders!L$1,products!$A$1:$G$1,0))</f>
        <v>8.73</v>
      </c>
      <c r="M615" s="6">
        <f t="shared" si="27"/>
        <v>26.19</v>
      </c>
      <c r="N615" t="str">
        <f t="shared" si="28"/>
        <v>Liberica</v>
      </c>
      <c r="O615" t="str">
        <f t="shared" si="29"/>
        <v>Medium</v>
      </c>
      <c r="P615" t="str">
        <f>_xlfn.XLOOKUP(Orders[[#This Row],[Customer ID]],customers!$A$1:$A$1001,customers!$I$1:$I$1001,,0)</f>
        <v>Yes</v>
      </c>
      <c r="Q615">
        <f>COUNTIF(Orders[Order ID],Orders[[#This Row],[Order ID]])</f>
        <v>1</v>
      </c>
      <c r="R615" s="10">
        <f>SUMIF(Orders[Order ID], Orders[[#This Row],[Order ID]],Orders[Sales])/Orders[[#This Row],[Order Frequency]]</f>
        <v>26.19</v>
      </c>
      <c r="S615" t="str">
        <f>IF(Orders[[#This Row],[Order Frequency]]&gt;4, "More than 4", IF(AND(Orders[[#This Row],[Order Frequency]]&lt;=4,Orders[[#This Row],[Order Frequency]]&gt;=2), "Between 4 and 2", "Less than 2"))</f>
        <v>Less than 2</v>
      </c>
      <c r="T615" t="str">
        <f>IF(Orders[[#This Row],[Frequency Group]]="less than 2", "Low Value", IF(Orders[[#This Row],[Frequency Group]]="between 4 and 2", "Medium Value", "High Value"))</f>
        <v>Low Value</v>
      </c>
      <c r="U615" t="str">
        <f>IF(Orders[[#This Row],[Sales]]&lt;50, "$0-50", IF(AND(Orders[[#This Row],[Sales]]&gt;=50,Orders[[#This Row],[Sales]]&lt;=100), "$50-100", IF(AND(Orders[[#This Row],[Sales]]&gt;100,Orders[[#This Row],[Sales]]&lt;=150), "$101-150", "$150+")))</f>
        <v>$0-50</v>
      </c>
      <c r="V615" t="str">
        <f>IF(Orders[[#This Row],[Sales]]&gt;MEDIAN(M:M), "High Price", "Low Price")</f>
        <v>Low Price</v>
      </c>
      <c r="W615" t="str">
        <f>IF(Orders[[#This Row],[Quantity]]&gt;MEDIAN(E:E), "High Volume", "Low Volume")</f>
        <v>Low Volume</v>
      </c>
      <c r="X615" t="str">
        <f>Orders[[#This Row],[Sales Tier]] &amp; "-" &amp; Orders[[#This Row],[Quantity Tier]]</f>
        <v>Low Price-Low Volume</v>
      </c>
      <c r="Y615" t="str">
        <f>TEXT(Orders[[#This Row],[Order Date]], "mmmm")</f>
        <v>May</v>
      </c>
      <c r="Z61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615" t="str">
        <f>Orders[[#This Row],[Coffee Type Name]] &amp; "-" &amp; Orders[[#This Row],[Roast Type Name]]</f>
        <v>Liberica-Medium</v>
      </c>
      <c r="AB61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616" spans="1:28" x14ac:dyDescent="0.25">
      <c r="A616" s="2" t="s">
        <v>490</v>
      </c>
      <c r="B616" s="4">
        <v>43713</v>
      </c>
      <c r="C616" s="2" t="s">
        <v>491</v>
      </c>
      <c r="D616" t="s">
        <v>6138</v>
      </c>
      <c r="E616" s="2">
        <v>2</v>
      </c>
      <c r="F616" s="2" t="str">
        <f>_xlfn.XLOOKUP(C616,customers!$A$1:$A$1001,customers!$B$1:$B$1001,,0)</f>
        <v>Aloisia Allner</v>
      </c>
      <c r="G616" s="2" t="str">
        <f>IF(_xlfn.XLOOKUP(C616,customers!$A$1:$A$1001,customers!$C$1:$C$1001,,0)=0,"",_xlfn.XLOOKUP(C616,customers!$A$1:$A$1001,customers!$C$1:$C$1001,,0))</f>
        <v>aallner0@lulu.com</v>
      </c>
      <c r="H616" s="2" t="str">
        <f>_xlfn.XLOOKUP(C616,customers!$A$1:$A$1001,customers!$G$1:$G$1001,,0)</f>
        <v>United States</v>
      </c>
      <c r="I616" t="str">
        <f>INDEX(products!$A$1:$G$49, MATCH(orders!$D2,products!$A$1:$A49,0), MATCH(orders!I$1,products!$A$1:$G$1,0))</f>
        <v>Rob</v>
      </c>
      <c r="J616" t="str">
        <f>INDEX(products!$A$1:$G$49, MATCH(orders!$D2,products!$A$1:$A49,0), MATCH(orders!J$1,products!$A$1:$G$1,0))</f>
        <v>M</v>
      </c>
      <c r="K616" s="5">
        <f>INDEX(products!$A$1:$G$49, MATCH(orders!$D2,products!$A$1:$A49,0), MATCH(orders!K$1,products!$A$1:$G$1,0))</f>
        <v>1</v>
      </c>
      <c r="L616" s="6">
        <f>INDEX(products!$A$1:$G$49, MATCH(orders!$D2,products!$A$1:$A49,0), MATCH(orders!L$1,products!$A$1:$G$1,0))</f>
        <v>9.9499999999999993</v>
      </c>
      <c r="M616" s="6">
        <f t="shared" si="27"/>
        <v>19.899999999999999</v>
      </c>
      <c r="N616" t="str">
        <f t="shared" si="28"/>
        <v>Robusta</v>
      </c>
      <c r="O616" t="str">
        <f t="shared" si="29"/>
        <v>Medium</v>
      </c>
      <c r="P616" t="str">
        <f>_xlfn.XLOOKUP(Orders[[#This Row],[Customer ID]],customers!$A$1:$A$1001,customers!$I$1:$I$1001,,0)</f>
        <v>Yes</v>
      </c>
      <c r="Q616">
        <f>COUNTIF(Orders[Order ID],Orders[[#This Row],[Order ID]])</f>
        <v>2</v>
      </c>
      <c r="R616" s="10">
        <f>SUMIF(Orders[Order ID], Orders[[#This Row],[Order ID]],Orders[Sales])/Orders[[#This Row],[Order Frequency]]</f>
        <v>30.574999999999999</v>
      </c>
      <c r="S616" t="str">
        <f>IF(Orders[[#This Row],[Order Frequency]]&gt;4, "More than 4", IF(AND(Orders[[#This Row],[Order Frequency]]&lt;=4,Orders[[#This Row],[Order Frequency]]&gt;=2), "Between 4 and 2", "Less than 2"))</f>
        <v>Between 4 and 2</v>
      </c>
      <c r="T616" t="str">
        <f>IF(Orders[[#This Row],[Frequency Group]]="less than 2", "Low Value", IF(Orders[[#This Row],[Frequency Group]]="between 4 and 2", "Medium Value", "High Value"))</f>
        <v>Medium Value</v>
      </c>
      <c r="U616" t="str">
        <f>IF(Orders[[#This Row],[Sales]]&lt;50, "$0-50", IF(AND(Orders[[#This Row],[Sales]]&gt;=50,Orders[[#This Row],[Sales]]&lt;=100), "$50-100", IF(AND(Orders[[#This Row],[Sales]]&gt;100,Orders[[#This Row],[Sales]]&lt;=150), "$101-150", "$150+")))</f>
        <v>$0-50</v>
      </c>
      <c r="V616" t="str">
        <f>IF(Orders[[#This Row],[Sales]]&gt;MEDIAN(M:M), "High Price", "Low Price")</f>
        <v>Low Price</v>
      </c>
      <c r="W616" t="str">
        <f>IF(Orders[[#This Row],[Quantity]]&gt;MEDIAN(E:E), "High Volume", "Low Volume")</f>
        <v>Low Volume</v>
      </c>
      <c r="X616" t="str">
        <f>Orders[[#This Row],[Sales Tier]] &amp; "-" &amp; Orders[[#This Row],[Quantity Tier]]</f>
        <v>Low Price-Low Volume</v>
      </c>
      <c r="Y616" t="str">
        <f>TEXT(Orders[[#This Row],[Order Date]], "mmmm")</f>
        <v>September</v>
      </c>
      <c r="Z61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616" t="str">
        <f>Orders[[#This Row],[Coffee Type Name]] &amp; "-" &amp; Orders[[#This Row],[Roast Type Name]]</f>
        <v>Robusta-Medium</v>
      </c>
      <c r="AB61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617" spans="1:28" x14ac:dyDescent="0.25">
      <c r="A617" s="2" t="s">
        <v>490</v>
      </c>
      <c r="B617" s="4">
        <v>43713</v>
      </c>
      <c r="C617" s="2" t="s">
        <v>491</v>
      </c>
      <c r="D617" t="s">
        <v>6139</v>
      </c>
      <c r="E617" s="2">
        <v>5</v>
      </c>
      <c r="F617" s="2" t="str">
        <f>_xlfn.XLOOKUP(C617,customers!$A$1:$A$1001,customers!$B$1:$B$1001,,0)</f>
        <v>Aloisia Allner</v>
      </c>
      <c r="G617" s="2" t="str">
        <f>IF(_xlfn.XLOOKUP(C617,customers!$A$1:$A$1001,customers!$C$1:$C$1001,,0)=0,"",_xlfn.XLOOKUP(C617,customers!$A$1:$A$1001,customers!$C$1:$C$1001,,0))</f>
        <v>aallner0@lulu.com</v>
      </c>
      <c r="H617" s="2" t="str">
        <f>_xlfn.XLOOKUP(C617,customers!$A$1:$A$1001,customers!$G$1:$G$1001,,0)</f>
        <v>United States</v>
      </c>
      <c r="I617" t="str">
        <f>INDEX(products!$A$1:$G$49, MATCH(orders!$D3,products!$A$1:$A50,0), MATCH(orders!I$1,products!$A$1:$G$1,0))</f>
        <v>Exc</v>
      </c>
      <c r="J617" t="str">
        <f>INDEX(products!$A$1:$G$49, MATCH(orders!$D3,products!$A$1:$A50,0), MATCH(orders!J$1,products!$A$1:$G$1,0))</f>
        <v>M</v>
      </c>
      <c r="K617" s="5">
        <f>INDEX(products!$A$1:$G$49, MATCH(orders!$D3,products!$A$1:$A50,0), MATCH(orders!K$1,products!$A$1:$G$1,0))</f>
        <v>0.5</v>
      </c>
      <c r="L617" s="6">
        <f>INDEX(products!$A$1:$G$49, MATCH(orders!$D3,products!$A$1:$A50,0), MATCH(orders!L$1,products!$A$1:$G$1,0))</f>
        <v>8.25</v>
      </c>
      <c r="M617" s="6">
        <f t="shared" si="27"/>
        <v>41.25</v>
      </c>
      <c r="N617" t="str">
        <f t="shared" si="28"/>
        <v>Excelsa</v>
      </c>
      <c r="O617" t="str">
        <f t="shared" si="29"/>
        <v>Medium</v>
      </c>
      <c r="P617" t="str">
        <f>_xlfn.XLOOKUP(Orders[[#This Row],[Customer ID]],customers!$A$1:$A$1001,customers!$I$1:$I$1001,,0)</f>
        <v>Yes</v>
      </c>
      <c r="Q617">
        <f>COUNTIF(Orders[Order ID],Orders[[#This Row],[Order ID]])</f>
        <v>2</v>
      </c>
      <c r="R617" s="10">
        <f>SUMIF(Orders[Order ID], Orders[[#This Row],[Order ID]],Orders[Sales])/Orders[[#This Row],[Order Frequency]]</f>
        <v>30.574999999999999</v>
      </c>
      <c r="S617" t="str">
        <f>IF(Orders[[#This Row],[Order Frequency]]&gt;4, "More than 4", IF(AND(Orders[[#This Row],[Order Frequency]]&lt;=4,Orders[[#This Row],[Order Frequency]]&gt;=2), "Between 4 and 2", "Less than 2"))</f>
        <v>Between 4 and 2</v>
      </c>
      <c r="T617" t="str">
        <f>IF(Orders[[#This Row],[Frequency Group]]="less than 2", "Low Value", IF(Orders[[#This Row],[Frequency Group]]="between 4 and 2", "Medium Value", "High Value"))</f>
        <v>Medium Value</v>
      </c>
      <c r="U617" t="str">
        <f>IF(Orders[[#This Row],[Sales]]&lt;50, "$0-50", IF(AND(Orders[[#This Row],[Sales]]&gt;=50,Orders[[#This Row],[Sales]]&lt;=100), "$50-100", IF(AND(Orders[[#This Row],[Sales]]&gt;100,Orders[[#This Row],[Sales]]&lt;=150), "$101-150", "$150+")))</f>
        <v>$0-50</v>
      </c>
      <c r="V617" t="str">
        <f>IF(Orders[[#This Row],[Sales]]&gt;MEDIAN(M:M), "High Price", "Low Price")</f>
        <v>High Price</v>
      </c>
      <c r="W617" t="str">
        <f>IF(Orders[[#This Row],[Quantity]]&gt;MEDIAN(E:E), "High Volume", "Low Volume")</f>
        <v>High Volume</v>
      </c>
      <c r="X617" t="str">
        <f>Orders[[#This Row],[Sales Tier]] &amp; "-" &amp; Orders[[#This Row],[Quantity Tier]]</f>
        <v>High Price-High Volume</v>
      </c>
      <c r="Y617" t="str">
        <f>TEXT(Orders[[#This Row],[Order Date]], "mmmm")</f>
        <v>September</v>
      </c>
      <c r="Z61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617" t="str">
        <f>Orders[[#This Row],[Coffee Type Name]] &amp; "-" &amp; Orders[[#This Row],[Roast Type Name]]</f>
        <v>Excelsa-Medium</v>
      </c>
      <c r="AB61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618" spans="1:28" x14ac:dyDescent="0.25">
      <c r="A618" s="2" t="s">
        <v>3082</v>
      </c>
      <c r="B618" s="4">
        <v>43840</v>
      </c>
      <c r="C618" s="2" t="s">
        <v>3083</v>
      </c>
      <c r="D618" t="s">
        <v>6145</v>
      </c>
      <c r="E618" s="2">
        <v>5</v>
      </c>
      <c r="F618" s="2" t="str">
        <f>_xlfn.XLOOKUP(C618,customers!$A$1:$A$1001,customers!$B$1:$B$1001,,0)</f>
        <v>Alvis Elwin</v>
      </c>
      <c r="G618" s="2" t="str">
        <f>IF(_xlfn.XLOOKUP(C618,customers!$A$1:$A$1001,customers!$C$1:$C$1001,,0)=0,"",_xlfn.XLOOKUP(C618,customers!$A$1:$A$1001,customers!$C$1:$C$1001,,0))</f>
        <v>aelwincr@privacy.gov.au</v>
      </c>
      <c r="H618" s="2" t="str">
        <f>_xlfn.XLOOKUP(C618,customers!$A$1:$A$1001,customers!$G$1:$G$1001,,0)</f>
        <v>United States</v>
      </c>
      <c r="I618" t="str">
        <f>INDEX(products!$A$1:$G$49, MATCH(orders!$D461,products!$A$1:$A508,0), MATCH(orders!I$1,products!$A$1:$G$1,0))</f>
        <v>Lib</v>
      </c>
      <c r="J618" t="str">
        <f>INDEX(products!$A$1:$G$49, MATCH(orders!$D461,products!$A$1:$A508,0), MATCH(orders!J$1,products!$A$1:$G$1,0))</f>
        <v>L</v>
      </c>
      <c r="K618" s="5">
        <f>INDEX(products!$A$1:$G$49, MATCH(orders!$D461,products!$A$1:$A508,0), MATCH(orders!K$1,products!$A$1:$G$1,0))</f>
        <v>0.2</v>
      </c>
      <c r="L618" s="6">
        <f>INDEX(products!$A$1:$G$49, MATCH(orders!$D461,products!$A$1:$A508,0), MATCH(orders!L$1,products!$A$1:$G$1,0))</f>
        <v>4.7549999999999999</v>
      </c>
      <c r="M618" s="6">
        <f t="shared" si="27"/>
        <v>23.774999999999999</v>
      </c>
      <c r="N618" t="str">
        <f t="shared" si="28"/>
        <v>Liberica</v>
      </c>
      <c r="O618" t="str">
        <f t="shared" si="29"/>
        <v>Light</v>
      </c>
      <c r="P618" t="str">
        <f>_xlfn.XLOOKUP(Orders[[#This Row],[Customer ID]],customers!$A$1:$A$1001,customers!$I$1:$I$1001,,0)</f>
        <v>No</v>
      </c>
      <c r="Q618">
        <f>COUNTIF(Orders[Order ID],Orders[[#This Row],[Order ID]])</f>
        <v>1</v>
      </c>
      <c r="R618" s="10">
        <f>SUMIF(Orders[Order ID], Orders[[#This Row],[Order ID]],Orders[Sales])/Orders[[#This Row],[Order Frequency]]</f>
        <v>23.774999999999999</v>
      </c>
      <c r="S618" t="str">
        <f>IF(Orders[[#This Row],[Order Frequency]]&gt;4, "More than 4", IF(AND(Orders[[#This Row],[Order Frequency]]&lt;=4,Orders[[#This Row],[Order Frequency]]&gt;=2), "Between 4 and 2", "Less than 2"))</f>
        <v>Less than 2</v>
      </c>
      <c r="T618" t="str">
        <f>IF(Orders[[#This Row],[Frequency Group]]="less than 2", "Low Value", IF(Orders[[#This Row],[Frequency Group]]="between 4 and 2", "Medium Value", "High Value"))</f>
        <v>Low Value</v>
      </c>
      <c r="U618" t="str">
        <f>IF(Orders[[#This Row],[Sales]]&lt;50, "$0-50", IF(AND(Orders[[#This Row],[Sales]]&gt;=50,Orders[[#This Row],[Sales]]&lt;=100), "$50-100", IF(AND(Orders[[#This Row],[Sales]]&gt;100,Orders[[#This Row],[Sales]]&lt;=150), "$101-150", "$150+")))</f>
        <v>$0-50</v>
      </c>
      <c r="V618" t="str">
        <f>IF(Orders[[#This Row],[Sales]]&gt;MEDIAN(M:M), "High Price", "Low Price")</f>
        <v>Low Price</v>
      </c>
      <c r="W618" t="str">
        <f>IF(Orders[[#This Row],[Quantity]]&gt;MEDIAN(E:E), "High Volume", "Low Volume")</f>
        <v>High Volume</v>
      </c>
      <c r="X618" t="str">
        <f>Orders[[#This Row],[Sales Tier]] &amp; "-" &amp; Orders[[#This Row],[Quantity Tier]]</f>
        <v>Low Price-High Volume</v>
      </c>
      <c r="Y618" t="str">
        <f>TEXT(Orders[[#This Row],[Order Date]], "mmmm")</f>
        <v>January</v>
      </c>
      <c r="Z61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618" t="str">
        <f>Orders[[#This Row],[Coffee Type Name]] &amp; "-" &amp; Orders[[#This Row],[Roast Type Name]]</f>
        <v>Liberica-Light</v>
      </c>
      <c r="AB61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619" spans="1:28" x14ac:dyDescent="0.25">
      <c r="A619" s="2" t="s">
        <v>2429</v>
      </c>
      <c r="B619" s="4">
        <v>44529</v>
      </c>
      <c r="C619" s="2" t="s">
        <v>2430</v>
      </c>
      <c r="D619" t="s">
        <v>6138</v>
      </c>
      <c r="E619" s="2">
        <v>2</v>
      </c>
      <c r="F619" s="2" t="str">
        <f>_xlfn.XLOOKUP(C619,customers!$A$1:$A$1001,customers!$B$1:$B$1001,,0)</f>
        <v>Catarina Donn</v>
      </c>
      <c r="G619" s="2" t="str">
        <f>IF(_xlfn.XLOOKUP(C619,customers!$A$1:$A$1001,customers!$C$1:$C$1001,,0)=0,"",_xlfn.XLOOKUP(C619,customers!$A$1:$A$1001,customers!$C$1:$C$1001,,0))</f>
        <v/>
      </c>
      <c r="H619" s="2" t="str">
        <f>_xlfn.XLOOKUP(C619,customers!$A$1:$A$1001,customers!$G$1:$G$1001,,0)</f>
        <v>Ireland</v>
      </c>
      <c r="I619" t="str">
        <f>INDEX(products!$A$1:$G$49, MATCH(orders!$D346,products!$A$1:$A393,0), MATCH(orders!I$1,products!$A$1:$G$1,0))</f>
        <v>Rob</v>
      </c>
      <c r="J619" t="str">
        <f>INDEX(products!$A$1:$G$49, MATCH(orders!$D346,products!$A$1:$A393,0), MATCH(orders!J$1,products!$A$1:$G$1,0))</f>
        <v>M</v>
      </c>
      <c r="K619" s="5">
        <f>INDEX(products!$A$1:$G$49, MATCH(orders!$D346,products!$A$1:$A393,0), MATCH(orders!K$1,products!$A$1:$G$1,0))</f>
        <v>1</v>
      </c>
      <c r="L619" s="6">
        <f>INDEX(products!$A$1:$G$49, MATCH(orders!$D346,products!$A$1:$A393,0), MATCH(orders!L$1,products!$A$1:$G$1,0))</f>
        <v>9.9499999999999993</v>
      </c>
      <c r="M619" s="6">
        <f t="shared" si="27"/>
        <v>19.899999999999999</v>
      </c>
      <c r="N619" t="str">
        <f t="shared" si="28"/>
        <v>Robusta</v>
      </c>
      <c r="O619" t="str">
        <f t="shared" si="29"/>
        <v>Medium</v>
      </c>
      <c r="P619" t="str">
        <f>_xlfn.XLOOKUP(Orders[[#This Row],[Customer ID]],customers!$A$1:$A$1001,customers!$I$1:$I$1001,,0)</f>
        <v>Yes</v>
      </c>
      <c r="Q619">
        <f>COUNTIF(Orders[Order ID],Orders[[#This Row],[Order ID]])</f>
        <v>1</v>
      </c>
      <c r="R619" s="10">
        <f>SUMIF(Orders[Order ID], Orders[[#This Row],[Order ID]],Orders[Sales])/Orders[[#This Row],[Order Frequency]]</f>
        <v>19.899999999999999</v>
      </c>
      <c r="S619" t="str">
        <f>IF(Orders[[#This Row],[Order Frequency]]&gt;4, "More than 4", IF(AND(Orders[[#This Row],[Order Frequency]]&lt;=4,Orders[[#This Row],[Order Frequency]]&gt;=2), "Between 4 and 2", "Less than 2"))</f>
        <v>Less than 2</v>
      </c>
      <c r="T619" t="str">
        <f>IF(Orders[[#This Row],[Frequency Group]]="less than 2", "Low Value", IF(Orders[[#This Row],[Frequency Group]]="between 4 and 2", "Medium Value", "High Value"))</f>
        <v>Low Value</v>
      </c>
      <c r="U619" t="str">
        <f>IF(Orders[[#This Row],[Sales]]&lt;50, "$0-50", IF(AND(Orders[[#This Row],[Sales]]&gt;=50,Orders[[#This Row],[Sales]]&lt;=100), "$50-100", IF(AND(Orders[[#This Row],[Sales]]&gt;100,Orders[[#This Row],[Sales]]&lt;=150), "$101-150", "$150+")))</f>
        <v>$0-50</v>
      </c>
      <c r="V619" t="str">
        <f>IF(Orders[[#This Row],[Sales]]&gt;MEDIAN(M:M), "High Price", "Low Price")</f>
        <v>Low Price</v>
      </c>
      <c r="W619" t="str">
        <f>IF(Orders[[#This Row],[Quantity]]&gt;MEDIAN(E:E), "High Volume", "Low Volume")</f>
        <v>Low Volume</v>
      </c>
      <c r="X619" t="str">
        <f>Orders[[#This Row],[Sales Tier]] &amp; "-" &amp; Orders[[#This Row],[Quantity Tier]]</f>
        <v>Low Price-Low Volume</v>
      </c>
      <c r="Y619" t="str">
        <f>TEXT(Orders[[#This Row],[Order Date]], "mmmm")</f>
        <v>November</v>
      </c>
      <c r="Z61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619" t="str">
        <f>Orders[[#This Row],[Coffee Type Name]] &amp; "-" &amp; Orders[[#This Row],[Roast Type Name]]</f>
        <v>Robusta-Medium</v>
      </c>
      <c r="AB61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620" spans="1:28" x14ac:dyDescent="0.25">
      <c r="A620" s="2" t="s">
        <v>4445</v>
      </c>
      <c r="B620" s="4">
        <v>43736</v>
      </c>
      <c r="C620" s="2" t="s">
        <v>4446</v>
      </c>
      <c r="D620" t="s">
        <v>6161</v>
      </c>
      <c r="E620" s="2">
        <v>2</v>
      </c>
      <c r="F620" s="2" t="str">
        <f>_xlfn.XLOOKUP(C620,customers!$A$1:$A$1001,customers!$B$1:$B$1001,,0)</f>
        <v>Barrett Gudde</v>
      </c>
      <c r="G620" s="2" t="str">
        <f>IF(_xlfn.XLOOKUP(C620,customers!$A$1:$A$1001,customers!$C$1:$C$1001,,0)=0,"",_xlfn.XLOOKUP(C620,customers!$A$1:$A$1001,customers!$C$1:$C$1001,,0))</f>
        <v>bguddejg@dailymotion.com</v>
      </c>
      <c r="H620" s="2" t="str">
        <f>_xlfn.XLOOKUP(C620,customers!$A$1:$A$1001,customers!$G$1:$G$1001,,0)</f>
        <v>United States</v>
      </c>
      <c r="I620" t="str">
        <f>INDEX(products!$A$1:$G$49, MATCH(orders!$D702,products!$A$1:$A749,0), MATCH(orders!I$1,products!$A$1:$G$1,0))</f>
        <v>Lib</v>
      </c>
      <c r="J620" t="str">
        <f>INDEX(products!$A$1:$G$49, MATCH(orders!$D702,products!$A$1:$A749,0), MATCH(orders!J$1,products!$A$1:$G$1,0))</f>
        <v>L</v>
      </c>
      <c r="K620" s="5">
        <f>INDEX(products!$A$1:$G$49, MATCH(orders!$D702,products!$A$1:$A749,0), MATCH(orders!K$1,products!$A$1:$G$1,0))</f>
        <v>0.5</v>
      </c>
      <c r="L620" s="6">
        <f>INDEX(products!$A$1:$G$49, MATCH(orders!$D702,products!$A$1:$A749,0), MATCH(orders!L$1,products!$A$1:$G$1,0))</f>
        <v>9.51</v>
      </c>
      <c r="M620" s="6">
        <f t="shared" si="27"/>
        <v>19.02</v>
      </c>
      <c r="N620" t="str">
        <f t="shared" si="28"/>
        <v>Liberica</v>
      </c>
      <c r="O620" t="str">
        <f t="shared" si="29"/>
        <v>Light</v>
      </c>
      <c r="P620" t="str">
        <f>_xlfn.XLOOKUP(Orders[[#This Row],[Customer ID]],customers!$A$1:$A$1001,customers!$I$1:$I$1001,,0)</f>
        <v>No</v>
      </c>
      <c r="Q620">
        <f>COUNTIF(Orders[Order ID],Orders[[#This Row],[Order ID]])</f>
        <v>1</v>
      </c>
      <c r="R620" s="10">
        <f>SUMIF(Orders[Order ID], Orders[[#This Row],[Order ID]],Orders[Sales])/Orders[[#This Row],[Order Frequency]]</f>
        <v>19.02</v>
      </c>
      <c r="S620" t="str">
        <f>IF(Orders[[#This Row],[Order Frequency]]&gt;4, "More than 4", IF(AND(Orders[[#This Row],[Order Frequency]]&lt;=4,Orders[[#This Row],[Order Frequency]]&gt;=2), "Between 4 and 2", "Less than 2"))</f>
        <v>Less than 2</v>
      </c>
      <c r="T620" t="str">
        <f>IF(Orders[[#This Row],[Frequency Group]]="less than 2", "Low Value", IF(Orders[[#This Row],[Frequency Group]]="between 4 and 2", "Medium Value", "High Value"))</f>
        <v>Low Value</v>
      </c>
      <c r="U620" t="str">
        <f>IF(Orders[[#This Row],[Sales]]&lt;50, "$0-50", IF(AND(Orders[[#This Row],[Sales]]&gt;=50,Orders[[#This Row],[Sales]]&lt;=100), "$50-100", IF(AND(Orders[[#This Row],[Sales]]&gt;100,Orders[[#This Row],[Sales]]&lt;=150), "$101-150", "$150+")))</f>
        <v>$0-50</v>
      </c>
      <c r="V620" t="str">
        <f>IF(Orders[[#This Row],[Sales]]&gt;MEDIAN(M:M), "High Price", "Low Price")</f>
        <v>Low Price</v>
      </c>
      <c r="W620" t="str">
        <f>IF(Orders[[#This Row],[Quantity]]&gt;MEDIAN(E:E), "High Volume", "Low Volume")</f>
        <v>Low Volume</v>
      </c>
      <c r="X620" t="str">
        <f>Orders[[#This Row],[Sales Tier]] &amp; "-" &amp; Orders[[#This Row],[Quantity Tier]]</f>
        <v>Low Price-Low Volume</v>
      </c>
      <c r="Y620" t="str">
        <f>TEXT(Orders[[#This Row],[Order Date]], "mmmm")</f>
        <v>September</v>
      </c>
      <c r="Z62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620" t="str">
        <f>Orders[[#This Row],[Coffee Type Name]] &amp; "-" &amp; Orders[[#This Row],[Roast Type Name]]</f>
        <v>Liberica-Light</v>
      </c>
      <c r="AB62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621" spans="1:28" x14ac:dyDescent="0.25">
      <c r="A621" s="2" t="s">
        <v>1180</v>
      </c>
      <c r="B621" s="4">
        <v>44724</v>
      </c>
      <c r="C621" s="2" t="s">
        <v>1181</v>
      </c>
      <c r="D621" t="s">
        <v>6164</v>
      </c>
      <c r="E621" s="2">
        <v>4</v>
      </c>
      <c r="F621" s="2" t="str">
        <f>_xlfn.XLOOKUP(C621,customers!$A$1:$A$1001,customers!$B$1:$B$1001,,0)</f>
        <v>Doll Beauchamp</v>
      </c>
      <c r="G621" s="2" t="str">
        <f>IF(_xlfn.XLOOKUP(C621,customers!$A$1:$A$1001,customers!$C$1:$C$1001,,0)=0,"",_xlfn.XLOOKUP(C621,customers!$A$1:$A$1001,customers!$C$1:$C$1001,,0))</f>
        <v>dbeauchamp3f@usda.gov</v>
      </c>
      <c r="H621" s="2" t="str">
        <f>_xlfn.XLOOKUP(C621,customers!$A$1:$A$1001,customers!$G$1:$G$1001,,0)</f>
        <v>United States</v>
      </c>
      <c r="I621" t="str">
        <f>INDEX(products!$A$1:$G$49, MATCH(orders!$D125,products!$A$1:$A172,0), MATCH(orders!I$1,products!$A$1:$G$1,0))</f>
        <v>Lib</v>
      </c>
      <c r="J621" t="str">
        <f>INDEX(products!$A$1:$G$49, MATCH(orders!$D125,products!$A$1:$A172,0), MATCH(orders!J$1,products!$A$1:$G$1,0))</f>
        <v>L</v>
      </c>
      <c r="K621" s="5">
        <f>INDEX(products!$A$1:$G$49, MATCH(orders!$D125,products!$A$1:$A172,0), MATCH(orders!K$1,products!$A$1:$G$1,0))</f>
        <v>2.5</v>
      </c>
      <c r="L621" s="6">
        <f>INDEX(products!$A$1:$G$49, MATCH(orders!$D125,products!$A$1:$A172,0), MATCH(orders!L$1,products!$A$1:$G$1,0))</f>
        <v>36.454999999999998</v>
      </c>
      <c r="M621" s="6">
        <f t="shared" si="27"/>
        <v>145.82</v>
      </c>
      <c r="N621" t="str">
        <f t="shared" si="28"/>
        <v>Liberica</v>
      </c>
      <c r="O621" t="str">
        <f t="shared" si="29"/>
        <v>Light</v>
      </c>
      <c r="P621" t="str">
        <f>_xlfn.XLOOKUP(Orders[[#This Row],[Customer ID]],customers!$A$1:$A$1001,customers!$I$1:$I$1001,,0)</f>
        <v>No</v>
      </c>
      <c r="Q621">
        <f>COUNTIF(Orders[Order ID],Orders[[#This Row],[Order ID]])</f>
        <v>1</v>
      </c>
      <c r="R621" s="10">
        <f>SUMIF(Orders[Order ID], Orders[[#This Row],[Order ID]],Orders[Sales])/Orders[[#This Row],[Order Frequency]]</f>
        <v>145.82</v>
      </c>
      <c r="S621" t="str">
        <f>IF(Orders[[#This Row],[Order Frequency]]&gt;4, "More than 4", IF(AND(Orders[[#This Row],[Order Frequency]]&lt;=4,Orders[[#This Row],[Order Frequency]]&gt;=2), "Between 4 and 2", "Less than 2"))</f>
        <v>Less than 2</v>
      </c>
      <c r="T621" t="str">
        <f>IF(Orders[[#This Row],[Frequency Group]]="less than 2", "Low Value", IF(Orders[[#This Row],[Frequency Group]]="between 4 and 2", "Medium Value", "High Value"))</f>
        <v>Low Value</v>
      </c>
      <c r="U621" t="str">
        <f>IF(Orders[[#This Row],[Sales]]&lt;50, "$0-50", IF(AND(Orders[[#This Row],[Sales]]&gt;=50,Orders[[#This Row],[Sales]]&lt;=100), "$50-100", IF(AND(Orders[[#This Row],[Sales]]&gt;100,Orders[[#This Row],[Sales]]&lt;=150), "$101-150", "$150+")))</f>
        <v>$101-150</v>
      </c>
      <c r="V621" t="str">
        <f>IF(Orders[[#This Row],[Sales]]&gt;MEDIAN(M:M), "High Price", "Low Price")</f>
        <v>High Price</v>
      </c>
      <c r="W621" t="str">
        <f>IF(Orders[[#This Row],[Quantity]]&gt;MEDIAN(E:E), "High Volume", "Low Volume")</f>
        <v>Low Volume</v>
      </c>
      <c r="X621" t="str">
        <f>Orders[[#This Row],[Sales Tier]] &amp; "-" &amp; Orders[[#This Row],[Quantity Tier]]</f>
        <v>High Price-Low Volume</v>
      </c>
      <c r="Y621" t="str">
        <f>TEXT(Orders[[#This Row],[Order Date]], "mmmm")</f>
        <v>June</v>
      </c>
      <c r="Z62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621" t="str">
        <f>Orders[[#This Row],[Coffee Type Name]] &amp; "-" &amp; Orders[[#This Row],[Roast Type Name]]</f>
        <v>Liberica-Light</v>
      </c>
      <c r="AB62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622" spans="1:28" x14ac:dyDescent="0.25">
      <c r="A622" s="2" t="s">
        <v>2133</v>
      </c>
      <c r="B622" s="4">
        <v>44181</v>
      </c>
      <c r="C622" s="2" t="s">
        <v>2134</v>
      </c>
      <c r="D622" t="s">
        <v>6139</v>
      </c>
      <c r="E622" s="2">
        <v>2</v>
      </c>
      <c r="F622" s="2" t="str">
        <f>_xlfn.XLOOKUP(C622,customers!$A$1:$A$1001,customers!$B$1:$B$1001,,0)</f>
        <v>Violante Skouling</v>
      </c>
      <c r="G622" s="2" t="str">
        <f>IF(_xlfn.XLOOKUP(C622,customers!$A$1:$A$1001,customers!$C$1:$C$1001,,0)=0,"",_xlfn.XLOOKUP(C622,customers!$A$1:$A$1001,customers!$C$1:$C$1001,,0))</f>
        <v/>
      </c>
      <c r="H622" s="2" t="str">
        <f>_xlfn.XLOOKUP(C622,customers!$A$1:$A$1001,customers!$G$1:$G$1001,,0)</f>
        <v>Ireland</v>
      </c>
      <c r="I622" t="str">
        <f>INDEX(products!$A$1:$G$49, MATCH(orders!$D293,products!$A$1:$A340,0), MATCH(orders!I$1,products!$A$1:$G$1,0))</f>
        <v>Exc</v>
      </c>
      <c r="J622" t="str">
        <f>INDEX(products!$A$1:$G$49, MATCH(orders!$D293,products!$A$1:$A340,0), MATCH(orders!J$1,products!$A$1:$G$1,0))</f>
        <v>M</v>
      </c>
      <c r="K622" s="5">
        <f>INDEX(products!$A$1:$G$49, MATCH(orders!$D293,products!$A$1:$A340,0), MATCH(orders!K$1,products!$A$1:$G$1,0))</f>
        <v>0.5</v>
      </c>
      <c r="L622" s="6">
        <f>INDEX(products!$A$1:$G$49, MATCH(orders!$D293,products!$A$1:$A340,0), MATCH(orders!L$1,products!$A$1:$G$1,0))</f>
        <v>8.25</v>
      </c>
      <c r="M622" s="6">
        <f t="shared" si="27"/>
        <v>16.5</v>
      </c>
      <c r="N622" t="str">
        <f t="shared" si="28"/>
        <v>Excelsa</v>
      </c>
      <c r="O622" t="str">
        <f t="shared" si="29"/>
        <v>Medium</v>
      </c>
      <c r="P622" t="str">
        <f>_xlfn.XLOOKUP(Orders[[#This Row],[Customer ID]],customers!$A$1:$A$1001,customers!$I$1:$I$1001,,0)</f>
        <v>No</v>
      </c>
      <c r="Q622">
        <f>COUNTIF(Orders[Order ID],Orders[[#This Row],[Order ID]])</f>
        <v>1</v>
      </c>
      <c r="R622" s="10">
        <f>SUMIF(Orders[Order ID], Orders[[#This Row],[Order ID]],Orders[Sales])/Orders[[#This Row],[Order Frequency]]</f>
        <v>16.5</v>
      </c>
      <c r="S622" t="str">
        <f>IF(Orders[[#This Row],[Order Frequency]]&gt;4, "More than 4", IF(AND(Orders[[#This Row],[Order Frequency]]&lt;=4,Orders[[#This Row],[Order Frequency]]&gt;=2), "Between 4 and 2", "Less than 2"))</f>
        <v>Less than 2</v>
      </c>
      <c r="T622" t="str">
        <f>IF(Orders[[#This Row],[Frequency Group]]="less than 2", "Low Value", IF(Orders[[#This Row],[Frequency Group]]="between 4 and 2", "Medium Value", "High Value"))</f>
        <v>Low Value</v>
      </c>
      <c r="U622" t="str">
        <f>IF(Orders[[#This Row],[Sales]]&lt;50, "$0-50", IF(AND(Orders[[#This Row],[Sales]]&gt;=50,Orders[[#This Row],[Sales]]&lt;=100), "$50-100", IF(AND(Orders[[#This Row],[Sales]]&gt;100,Orders[[#This Row],[Sales]]&lt;=150), "$101-150", "$150+")))</f>
        <v>$0-50</v>
      </c>
      <c r="V622" t="str">
        <f>IF(Orders[[#This Row],[Sales]]&gt;MEDIAN(M:M), "High Price", "Low Price")</f>
        <v>Low Price</v>
      </c>
      <c r="W622" t="str">
        <f>IF(Orders[[#This Row],[Quantity]]&gt;MEDIAN(E:E), "High Volume", "Low Volume")</f>
        <v>Low Volume</v>
      </c>
      <c r="X622" t="str">
        <f>Orders[[#This Row],[Sales Tier]] &amp; "-" &amp; Orders[[#This Row],[Quantity Tier]]</f>
        <v>Low Price-Low Volume</v>
      </c>
      <c r="Y622" t="str">
        <f>TEXT(Orders[[#This Row],[Order Date]], "mmmm")</f>
        <v>December</v>
      </c>
      <c r="Z62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622" t="str">
        <f>Orders[[#This Row],[Coffee Type Name]] &amp; "-" &amp; Orders[[#This Row],[Roast Type Name]]</f>
        <v>Excelsa-Medium</v>
      </c>
      <c r="AB62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623" spans="1:28" x14ac:dyDescent="0.25">
      <c r="A623" s="2" t="s">
        <v>4461</v>
      </c>
      <c r="B623" s="4">
        <v>43506</v>
      </c>
      <c r="C623" s="2" t="s">
        <v>4462</v>
      </c>
      <c r="D623" t="s">
        <v>6165</v>
      </c>
      <c r="E623" s="2">
        <v>4</v>
      </c>
      <c r="F623" s="2" t="str">
        <f>_xlfn.XLOOKUP(C623,customers!$A$1:$A$1001,customers!$B$1:$B$1001,,0)</f>
        <v>Doralin Baison</v>
      </c>
      <c r="G623" s="2" t="str">
        <f>IF(_xlfn.XLOOKUP(C623,customers!$A$1:$A$1001,customers!$C$1:$C$1001,,0)=0,"",_xlfn.XLOOKUP(C623,customers!$A$1:$A$1001,customers!$C$1:$C$1001,,0))</f>
        <v/>
      </c>
      <c r="H623" s="2" t="str">
        <f>_xlfn.XLOOKUP(C623,customers!$A$1:$A$1001,customers!$G$1:$G$1001,,0)</f>
        <v>Ireland</v>
      </c>
      <c r="I623" t="str">
        <f>INDEX(products!$A$1:$G$49, MATCH(orders!$D705,products!$A$1:$A752,0), MATCH(orders!I$1,products!$A$1:$G$1,0))</f>
        <v>Lib</v>
      </c>
      <c r="J623" t="str">
        <f>INDEX(products!$A$1:$G$49, MATCH(orders!$D705,products!$A$1:$A752,0), MATCH(orders!J$1,products!$A$1:$G$1,0))</f>
        <v>D</v>
      </c>
      <c r="K623" s="5">
        <f>INDEX(products!$A$1:$G$49, MATCH(orders!$D705,products!$A$1:$A752,0), MATCH(orders!K$1,products!$A$1:$G$1,0))</f>
        <v>2.5</v>
      </c>
      <c r="L623" s="6">
        <f>INDEX(products!$A$1:$G$49, MATCH(orders!$D705,products!$A$1:$A752,0), MATCH(orders!L$1,products!$A$1:$G$1,0))</f>
        <v>29.784999999999997</v>
      </c>
      <c r="M623" s="6">
        <f t="shared" si="27"/>
        <v>119.13999999999999</v>
      </c>
      <c r="N623" t="str">
        <f t="shared" si="28"/>
        <v>Liberica</v>
      </c>
      <c r="O623" t="str">
        <f t="shared" si="29"/>
        <v>Dark</v>
      </c>
      <c r="P623" t="str">
        <f>_xlfn.XLOOKUP(Orders[[#This Row],[Customer ID]],customers!$A$1:$A$1001,customers!$I$1:$I$1001,,0)</f>
        <v>Yes</v>
      </c>
      <c r="Q623">
        <f>COUNTIF(Orders[Order ID],Orders[[#This Row],[Order ID]])</f>
        <v>1</v>
      </c>
      <c r="R623" s="10">
        <f>SUMIF(Orders[Order ID], Orders[[#This Row],[Order ID]],Orders[Sales])/Orders[[#This Row],[Order Frequency]]</f>
        <v>119.13999999999999</v>
      </c>
      <c r="S623" t="str">
        <f>IF(Orders[[#This Row],[Order Frequency]]&gt;4, "More than 4", IF(AND(Orders[[#This Row],[Order Frequency]]&lt;=4,Orders[[#This Row],[Order Frequency]]&gt;=2), "Between 4 and 2", "Less than 2"))</f>
        <v>Less than 2</v>
      </c>
      <c r="T623" t="str">
        <f>IF(Orders[[#This Row],[Frequency Group]]="less than 2", "Low Value", IF(Orders[[#This Row],[Frequency Group]]="between 4 and 2", "Medium Value", "High Value"))</f>
        <v>Low Value</v>
      </c>
      <c r="U623" t="str">
        <f>IF(Orders[[#This Row],[Sales]]&lt;50, "$0-50", IF(AND(Orders[[#This Row],[Sales]]&gt;=50,Orders[[#This Row],[Sales]]&lt;=100), "$50-100", IF(AND(Orders[[#This Row],[Sales]]&gt;100,Orders[[#This Row],[Sales]]&lt;=150), "$101-150", "$150+")))</f>
        <v>$101-150</v>
      </c>
      <c r="V623" t="str">
        <f>IF(Orders[[#This Row],[Sales]]&gt;MEDIAN(M:M), "High Price", "Low Price")</f>
        <v>High Price</v>
      </c>
      <c r="W623" t="str">
        <f>IF(Orders[[#This Row],[Quantity]]&gt;MEDIAN(E:E), "High Volume", "Low Volume")</f>
        <v>Low Volume</v>
      </c>
      <c r="X623" t="str">
        <f>Orders[[#This Row],[Sales Tier]] &amp; "-" &amp; Orders[[#This Row],[Quantity Tier]]</f>
        <v>High Price-Low Volume</v>
      </c>
      <c r="Y623" t="str">
        <f>TEXT(Orders[[#This Row],[Order Date]], "mmmm")</f>
        <v>February</v>
      </c>
      <c r="Z62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623" t="str">
        <f>Orders[[#This Row],[Coffee Type Name]] &amp; "-" &amp; Orders[[#This Row],[Roast Type Name]]</f>
        <v>Liberica-Dark</v>
      </c>
      <c r="AB62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624" spans="1:28" x14ac:dyDescent="0.25">
      <c r="A624" s="2" t="s">
        <v>924</v>
      </c>
      <c r="B624" s="4">
        <v>43594</v>
      </c>
      <c r="C624" s="2" t="s">
        <v>925</v>
      </c>
      <c r="D624" t="s">
        <v>6153</v>
      </c>
      <c r="E624" s="2">
        <v>2</v>
      </c>
      <c r="F624" s="2" t="str">
        <f>_xlfn.XLOOKUP(C624,customers!$A$1:$A$1001,customers!$B$1:$B$1001,,0)</f>
        <v>Colene Elgey</v>
      </c>
      <c r="G624" s="2" t="str">
        <f>IF(_xlfn.XLOOKUP(C624,customers!$A$1:$A$1001,customers!$C$1:$C$1001,,0)=0,"",_xlfn.XLOOKUP(C624,customers!$A$1:$A$1001,customers!$C$1:$C$1001,,0))</f>
        <v>celgey25@webs.com</v>
      </c>
      <c r="H624" s="2" t="str">
        <f>_xlfn.XLOOKUP(C624,customers!$A$1:$A$1001,customers!$G$1:$G$1001,,0)</f>
        <v>United States</v>
      </c>
      <c r="I624" t="str">
        <f>INDEX(products!$A$1:$G$49, MATCH(orders!$D79,products!$A$1:$A126,0), MATCH(orders!I$1,products!$A$1:$G$1,0))</f>
        <v>Exc</v>
      </c>
      <c r="J624" t="str">
        <f>INDEX(products!$A$1:$G$49, MATCH(orders!$D79,products!$A$1:$A126,0), MATCH(orders!J$1,products!$A$1:$G$1,0))</f>
        <v>D</v>
      </c>
      <c r="K624" s="5">
        <f>INDEX(products!$A$1:$G$49, MATCH(orders!$D79,products!$A$1:$A126,0), MATCH(orders!K$1,products!$A$1:$G$1,0))</f>
        <v>0.2</v>
      </c>
      <c r="L624" s="6">
        <f>INDEX(products!$A$1:$G$49, MATCH(orders!$D79,products!$A$1:$A126,0), MATCH(orders!L$1,products!$A$1:$G$1,0))</f>
        <v>3.645</v>
      </c>
      <c r="M624" s="6">
        <f t="shared" si="27"/>
        <v>7.29</v>
      </c>
      <c r="N624" t="str">
        <f t="shared" si="28"/>
        <v>Excelsa</v>
      </c>
      <c r="O624" t="str">
        <f t="shared" si="29"/>
        <v>Dark</v>
      </c>
      <c r="P624" t="str">
        <f>_xlfn.XLOOKUP(Orders[[#This Row],[Customer ID]],customers!$A$1:$A$1001,customers!$I$1:$I$1001,,0)</f>
        <v>No</v>
      </c>
      <c r="Q624">
        <f>COUNTIF(Orders[Order ID],Orders[[#This Row],[Order ID]])</f>
        <v>1</v>
      </c>
      <c r="R624" s="10">
        <f>SUMIF(Orders[Order ID], Orders[[#This Row],[Order ID]],Orders[Sales])/Orders[[#This Row],[Order Frequency]]</f>
        <v>7.29</v>
      </c>
      <c r="S624" t="str">
        <f>IF(Orders[[#This Row],[Order Frequency]]&gt;4, "More than 4", IF(AND(Orders[[#This Row],[Order Frequency]]&lt;=4,Orders[[#This Row],[Order Frequency]]&gt;=2), "Between 4 and 2", "Less than 2"))</f>
        <v>Less than 2</v>
      </c>
      <c r="T624" t="str">
        <f>IF(Orders[[#This Row],[Frequency Group]]="less than 2", "Low Value", IF(Orders[[#This Row],[Frequency Group]]="between 4 and 2", "Medium Value", "High Value"))</f>
        <v>Low Value</v>
      </c>
      <c r="U624" t="str">
        <f>IF(Orders[[#This Row],[Sales]]&lt;50, "$0-50", IF(AND(Orders[[#This Row],[Sales]]&gt;=50,Orders[[#This Row],[Sales]]&lt;=100), "$50-100", IF(AND(Orders[[#This Row],[Sales]]&gt;100,Orders[[#This Row],[Sales]]&lt;=150), "$101-150", "$150+")))</f>
        <v>$0-50</v>
      </c>
      <c r="V624" t="str">
        <f>IF(Orders[[#This Row],[Sales]]&gt;MEDIAN(M:M), "High Price", "Low Price")</f>
        <v>Low Price</v>
      </c>
      <c r="W624" t="str">
        <f>IF(Orders[[#This Row],[Quantity]]&gt;MEDIAN(E:E), "High Volume", "Low Volume")</f>
        <v>Low Volume</v>
      </c>
      <c r="X624" t="str">
        <f>Orders[[#This Row],[Sales Tier]] &amp; "-" &amp; Orders[[#This Row],[Quantity Tier]]</f>
        <v>Low Price-Low Volume</v>
      </c>
      <c r="Y624" t="str">
        <f>TEXT(Orders[[#This Row],[Order Date]], "mmmm")</f>
        <v>May</v>
      </c>
      <c r="Z62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624" t="str">
        <f>Orders[[#This Row],[Coffee Type Name]] &amp; "-" &amp; Orders[[#This Row],[Roast Type Name]]</f>
        <v>Excelsa-Dark</v>
      </c>
      <c r="AB62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625" spans="1:28" x14ac:dyDescent="0.25">
      <c r="A625" s="2" t="s">
        <v>1305</v>
      </c>
      <c r="B625" s="4">
        <v>43562</v>
      </c>
      <c r="C625" s="2" t="s">
        <v>1306</v>
      </c>
      <c r="D625" t="s">
        <v>6159</v>
      </c>
      <c r="E625" s="2">
        <v>4</v>
      </c>
      <c r="F625" s="2" t="str">
        <f>_xlfn.XLOOKUP(C625,customers!$A$1:$A$1001,customers!$B$1:$B$1001,,0)</f>
        <v>Osmund Clausen-Thue</v>
      </c>
      <c r="G625" s="2" t="str">
        <f>IF(_xlfn.XLOOKUP(C625,customers!$A$1:$A$1001,customers!$C$1:$C$1001,,0)=0,"",_xlfn.XLOOKUP(C625,customers!$A$1:$A$1001,customers!$C$1:$C$1001,,0))</f>
        <v>oclausenthue41@marriott.com</v>
      </c>
      <c r="H625" s="2" t="str">
        <f>_xlfn.XLOOKUP(C625,customers!$A$1:$A$1001,customers!$G$1:$G$1001,,0)</f>
        <v>United States</v>
      </c>
      <c r="I625" t="str">
        <f>INDEX(products!$A$1:$G$49, MATCH(orders!$D147,products!$A$1:$A194,0), MATCH(orders!I$1,products!$A$1:$G$1,0))</f>
        <v>Lib</v>
      </c>
      <c r="J625" t="str">
        <f>INDEX(products!$A$1:$G$49, MATCH(orders!$D147,products!$A$1:$A194,0), MATCH(orders!J$1,products!$A$1:$G$1,0))</f>
        <v>M</v>
      </c>
      <c r="K625" s="5">
        <f>INDEX(products!$A$1:$G$49, MATCH(orders!$D147,products!$A$1:$A194,0), MATCH(orders!K$1,products!$A$1:$G$1,0))</f>
        <v>0.2</v>
      </c>
      <c r="L625" s="6">
        <f>INDEX(products!$A$1:$G$49, MATCH(orders!$D147,products!$A$1:$A194,0), MATCH(orders!L$1,products!$A$1:$G$1,0))</f>
        <v>4.3650000000000002</v>
      </c>
      <c r="M625" s="6">
        <f t="shared" si="27"/>
        <v>17.46</v>
      </c>
      <c r="N625" t="str">
        <f t="shared" si="28"/>
        <v>Liberica</v>
      </c>
      <c r="O625" t="str">
        <f t="shared" si="29"/>
        <v>Medium</v>
      </c>
      <c r="P625" t="str">
        <f>_xlfn.XLOOKUP(Orders[[#This Row],[Customer ID]],customers!$A$1:$A$1001,customers!$I$1:$I$1001,,0)</f>
        <v>No</v>
      </c>
      <c r="Q625">
        <f>COUNTIF(Orders[Order ID],Orders[[#This Row],[Order ID]])</f>
        <v>1</v>
      </c>
      <c r="R625" s="10">
        <f>SUMIF(Orders[Order ID], Orders[[#This Row],[Order ID]],Orders[Sales])/Orders[[#This Row],[Order Frequency]]</f>
        <v>17.46</v>
      </c>
      <c r="S625" t="str">
        <f>IF(Orders[[#This Row],[Order Frequency]]&gt;4, "More than 4", IF(AND(Orders[[#This Row],[Order Frequency]]&lt;=4,Orders[[#This Row],[Order Frequency]]&gt;=2), "Between 4 and 2", "Less than 2"))</f>
        <v>Less than 2</v>
      </c>
      <c r="T625" t="str">
        <f>IF(Orders[[#This Row],[Frequency Group]]="less than 2", "Low Value", IF(Orders[[#This Row],[Frequency Group]]="between 4 and 2", "Medium Value", "High Value"))</f>
        <v>Low Value</v>
      </c>
      <c r="U625" t="str">
        <f>IF(Orders[[#This Row],[Sales]]&lt;50, "$0-50", IF(AND(Orders[[#This Row],[Sales]]&gt;=50,Orders[[#This Row],[Sales]]&lt;=100), "$50-100", IF(AND(Orders[[#This Row],[Sales]]&gt;100,Orders[[#This Row],[Sales]]&lt;=150), "$101-150", "$150+")))</f>
        <v>$0-50</v>
      </c>
      <c r="V625" t="str">
        <f>IF(Orders[[#This Row],[Sales]]&gt;MEDIAN(M:M), "High Price", "Low Price")</f>
        <v>Low Price</v>
      </c>
      <c r="W625" t="str">
        <f>IF(Orders[[#This Row],[Quantity]]&gt;MEDIAN(E:E), "High Volume", "Low Volume")</f>
        <v>Low Volume</v>
      </c>
      <c r="X625" t="str">
        <f>Orders[[#This Row],[Sales Tier]] &amp; "-" &amp; Orders[[#This Row],[Quantity Tier]]</f>
        <v>Low Price-Low Volume</v>
      </c>
      <c r="Y625" t="str">
        <f>TEXT(Orders[[#This Row],[Order Date]], "mmmm")</f>
        <v>April</v>
      </c>
      <c r="Z62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625" t="str">
        <f>Orders[[#This Row],[Coffee Type Name]] &amp; "-" &amp; Orders[[#This Row],[Roast Type Name]]</f>
        <v>Liberica-Medium</v>
      </c>
      <c r="AB62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626" spans="1:28" x14ac:dyDescent="0.25">
      <c r="A626" s="2" t="s">
        <v>2375</v>
      </c>
      <c r="B626" s="4">
        <v>43742</v>
      </c>
      <c r="C626" s="2" t="s">
        <v>2376</v>
      </c>
      <c r="D626" t="s">
        <v>6179</v>
      </c>
      <c r="E626" s="2">
        <v>5</v>
      </c>
      <c r="F626" s="2" t="str">
        <f>_xlfn.XLOOKUP(C626,customers!$A$1:$A$1001,customers!$B$1:$B$1001,,0)</f>
        <v>Elonore Goodings</v>
      </c>
      <c r="G626" s="2" t="str">
        <f>IF(_xlfn.XLOOKUP(C626,customers!$A$1:$A$1001,customers!$C$1:$C$1001,,0)=0,"",_xlfn.XLOOKUP(C626,customers!$A$1:$A$1001,customers!$C$1:$C$1001,,0))</f>
        <v/>
      </c>
      <c r="H626" s="2" t="str">
        <f>_xlfn.XLOOKUP(C626,customers!$A$1:$A$1001,customers!$G$1:$G$1001,,0)</f>
        <v>United States</v>
      </c>
      <c r="I626" t="str">
        <f>INDEX(products!$A$1:$G$49, MATCH(orders!$D336,products!$A$1:$A383,0), MATCH(orders!I$1,products!$A$1:$G$1,0))</f>
        <v>Rob</v>
      </c>
      <c r="J626" t="str">
        <f>INDEX(products!$A$1:$G$49, MATCH(orders!$D336,products!$A$1:$A383,0), MATCH(orders!J$1,products!$A$1:$G$1,0))</f>
        <v>L</v>
      </c>
      <c r="K626" s="5">
        <f>INDEX(products!$A$1:$G$49, MATCH(orders!$D336,products!$A$1:$A383,0), MATCH(orders!K$1,products!$A$1:$G$1,0))</f>
        <v>1</v>
      </c>
      <c r="L626" s="6">
        <f>INDEX(products!$A$1:$G$49, MATCH(orders!$D336,products!$A$1:$A383,0), MATCH(orders!L$1,products!$A$1:$G$1,0))</f>
        <v>11.95</v>
      </c>
      <c r="M626" s="6">
        <f t="shared" si="27"/>
        <v>59.75</v>
      </c>
      <c r="N626" t="str">
        <f t="shared" si="28"/>
        <v>Robusta</v>
      </c>
      <c r="O626" t="str">
        <f t="shared" si="29"/>
        <v>Light</v>
      </c>
      <c r="P626" t="str">
        <f>_xlfn.XLOOKUP(Orders[[#This Row],[Customer ID]],customers!$A$1:$A$1001,customers!$I$1:$I$1001,,0)</f>
        <v>No</v>
      </c>
      <c r="Q626">
        <f>COUNTIF(Orders[Order ID],Orders[[#This Row],[Order ID]])</f>
        <v>1</v>
      </c>
      <c r="R626" s="10">
        <f>SUMIF(Orders[Order ID], Orders[[#This Row],[Order ID]],Orders[Sales])/Orders[[#This Row],[Order Frequency]]</f>
        <v>59.75</v>
      </c>
      <c r="S626" t="str">
        <f>IF(Orders[[#This Row],[Order Frequency]]&gt;4, "More than 4", IF(AND(Orders[[#This Row],[Order Frequency]]&lt;=4,Orders[[#This Row],[Order Frequency]]&gt;=2), "Between 4 and 2", "Less than 2"))</f>
        <v>Less than 2</v>
      </c>
      <c r="T626" t="str">
        <f>IF(Orders[[#This Row],[Frequency Group]]="less than 2", "Low Value", IF(Orders[[#This Row],[Frequency Group]]="between 4 and 2", "Medium Value", "High Value"))</f>
        <v>Low Value</v>
      </c>
      <c r="U626" t="str">
        <f>IF(Orders[[#This Row],[Sales]]&lt;50, "$0-50", IF(AND(Orders[[#This Row],[Sales]]&gt;=50,Orders[[#This Row],[Sales]]&lt;=100), "$50-100", IF(AND(Orders[[#This Row],[Sales]]&gt;100,Orders[[#This Row],[Sales]]&lt;=150), "$101-150", "$150+")))</f>
        <v>$50-100</v>
      </c>
      <c r="V626" t="str">
        <f>IF(Orders[[#This Row],[Sales]]&gt;MEDIAN(M:M), "High Price", "Low Price")</f>
        <v>High Price</v>
      </c>
      <c r="W626" t="str">
        <f>IF(Orders[[#This Row],[Quantity]]&gt;MEDIAN(E:E), "High Volume", "Low Volume")</f>
        <v>High Volume</v>
      </c>
      <c r="X626" t="str">
        <f>Orders[[#This Row],[Sales Tier]] &amp; "-" &amp; Orders[[#This Row],[Quantity Tier]]</f>
        <v>High Price-High Volume</v>
      </c>
      <c r="Y626" t="str">
        <f>TEXT(Orders[[#This Row],[Order Date]], "mmmm")</f>
        <v>October</v>
      </c>
      <c r="Z62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626" t="str">
        <f>Orders[[#This Row],[Coffee Type Name]] &amp; "-" &amp; Orders[[#This Row],[Roast Type Name]]</f>
        <v>Robusta-Light</v>
      </c>
      <c r="AB62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627" spans="1:28" x14ac:dyDescent="0.25">
      <c r="A627" s="2" t="s">
        <v>5591</v>
      </c>
      <c r="B627" s="4">
        <v>43640</v>
      </c>
      <c r="C627" s="2" t="s">
        <v>5592</v>
      </c>
      <c r="D627" t="s">
        <v>6166</v>
      </c>
      <c r="E627" s="2">
        <v>5</v>
      </c>
      <c r="F627" s="2" t="str">
        <f>_xlfn.XLOOKUP(C627,customers!$A$1:$A$1001,customers!$B$1:$B$1001,,0)</f>
        <v>Hall Ranner</v>
      </c>
      <c r="G627" s="2" t="str">
        <f>IF(_xlfn.XLOOKUP(C627,customers!$A$1:$A$1001,customers!$C$1:$C$1001,,0)=0,"",_xlfn.XLOOKUP(C627,customers!$A$1:$A$1001,customers!$C$1:$C$1001,,0))</f>
        <v>hrannerp2@omniture.com</v>
      </c>
      <c r="H627" s="2" t="str">
        <f>_xlfn.XLOOKUP(C627,customers!$A$1:$A$1001,customers!$G$1:$G$1001,,0)</f>
        <v>United States</v>
      </c>
      <c r="I627" t="str">
        <f>INDEX(products!$A$1:$G$49, MATCH(orders!$D904,products!$A$1:$A951,0), MATCH(orders!I$1,products!$A$1:$G$1,0))</f>
        <v>Exc</v>
      </c>
      <c r="J627" t="str">
        <f>INDEX(products!$A$1:$G$49, MATCH(orders!$D904,products!$A$1:$A951,0), MATCH(orders!J$1,products!$A$1:$G$1,0))</f>
        <v>M</v>
      </c>
      <c r="K627" s="5">
        <f>INDEX(products!$A$1:$G$49, MATCH(orders!$D904,products!$A$1:$A951,0), MATCH(orders!K$1,products!$A$1:$G$1,0))</f>
        <v>2.5</v>
      </c>
      <c r="L627" s="6">
        <f>INDEX(products!$A$1:$G$49, MATCH(orders!$D904,products!$A$1:$A951,0), MATCH(orders!L$1,products!$A$1:$G$1,0))</f>
        <v>31.624999999999996</v>
      </c>
      <c r="M627" s="6">
        <f t="shared" si="27"/>
        <v>158.12499999999997</v>
      </c>
      <c r="N627" t="str">
        <f t="shared" si="28"/>
        <v>Excelsa</v>
      </c>
      <c r="O627" t="str">
        <f t="shared" si="29"/>
        <v>Medium</v>
      </c>
      <c r="P627" t="str">
        <f>_xlfn.XLOOKUP(Orders[[#This Row],[Customer ID]],customers!$A$1:$A$1001,customers!$I$1:$I$1001,,0)</f>
        <v>No</v>
      </c>
      <c r="Q627">
        <f>COUNTIF(Orders[Order ID],Orders[[#This Row],[Order ID]])</f>
        <v>1</v>
      </c>
      <c r="R627" s="10">
        <f>SUMIF(Orders[Order ID], Orders[[#This Row],[Order ID]],Orders[Sales])/Orders[[#This Row],[Order Frequency]]</f>
        <v>158.12499999999997</v>
      </c>
      <c r="S627" t="str">
        <f>IF(Orders[[#This Row],[Order Frequency]]&gt;4, "More than 4", IF(AND(Orders[[#This Row],[Order Frequency]]&lt;=4,Orders[[#This Row],[Order Frequency]]&gt;=2), "Between 4 and 2", "Less than 2"))</f>
        <v>Less than 2</v>
      </c>
      <c r="T627" t="str">
        <f>IF(Orders[[#This Row],[Frequency Group]]="less than 2", "Low Value", IF(Orders[[#This Row],[Frequency Group]]="between 4 and 2", "Medium Value", "High Value"))</f>
        <v>Low Value</v>
      </c>
      <c r="U627" t="str">
        <f>IF(Orders[[#This Row],[Sales]]&lt;50, "$0-50", IF(AND(Orders[[#This Row],[Sales]]&gt;=50,Orders[[#This Row],[Sales]]&lt;=100), "$50-100", IF(AND(Orders[[#This Row],[Sales]]&gt;100,Orders[[#This Row],[Sales]]&lt;=150), "$101-150", "$150+")))</f>
        <v>$150+</v>
      </c>
      <c r="V627" t="str">
        <f>IF(Orders[[#This Row],[Sales]]&gt;MEDIAN(M:M), "High Price", "Low Price")</f>
        <v>High Price</v>
      </c>
      <c r="W627" t="str">
        <f>IF(Orders[[#This Row],[Quantity]]&gt;MEDIAN(E:E), "High Volume", "Low Volume")</f>
        <v>High Volume</v>
      </c>
      <c r="X627" t="str">
        <f>Orders[[#This Row],[Sales Tier]] &amp; "-" &amp; Orders[[#This Row],[Quantity Tier]]</f>
        <v>High Price-High Volume</v>
      </c>
      <c r="Y627" t="str">
        <f>TEXT(Orders[[#This Row],[Order Date]], "mmmm")</f>
        <v>June</v>
      </c>
      <c r="Z62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627" t="str">
        <f>Orders[[#This Row],[Coffee Type Name]] &amp; "-" &amp; Orders[[#This Row],[Roast Type Name]]</f>
        <v>Excelsa-Medium</v>
      </c>
      <c r="AB62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628" spans="1:28" x14ac:dyDescent="0.25">
      <c r="A628" s="2" t="s">
        <v>1538</v>
      </c>
      <c r="B628" s="4">
        <v>43684</v>
      </c>
      <c r="C628" s="2" t="s">
        <v>1539</v>
      </c>
      <c r="D628" t="s">
        <v>6151</v>
      </c>
      <c r="E628" s="2">
        <v>3</v>
      </c>
      <c r="F628" s="2" t="str">
        <f>_xlfn.XLOOKUP(C628,customers!$A$1:$A$1001,customers!$B$1:$B$1001,,0)</f>
        <v>Mord Meriet</v>
      </c>
      <c r="G628" s="2" t="str">
        <f>IF(_xlfn.XLOOKUP(C628,customers!$A$1:$A$1001,customers!$C$1:$C$1001,,0)=0,"",_xlfn.XLOOKUP(C628,customers!$A$1:$A$1001,customers!$C$1:$C$1001,,0))</f>
        <v>mmeriet56@noaa.gov</v>
      </c>
      <c r="H628" s="2" t="str">
        <f>_xlfn.XLOOKUP(C628,customers!$A$1:$A$1001,customers!$G$1:$G$1001,,0)</f>
        <v>United States</v>
      </c>
      <c r="I628" t="str">
        <f>INDEX(products!$A$1:$G$49, MATCH(orders!$D188,products!$A$1:$A235,0), MATCH(orders!I$1,products!$A$1:$G$1,0))</f>
        <v>Rob</v>
      </c>
      <c r="J628" t="str">
        <f>INDEX(products!$A$1:$G$49, MATCH(orders!$D188,products!$A$1:$A235,0), MATCH(orders!J$1,products!$A$1:$G$1,0))</f>
        <v>M</v>
      </c>
      <c r="K628" s="5">
        <f>INDEX(products!$A$1:$G$49, MATCH(orders!$D188,products!$A$1:$A235,0), MATCH(orders!K$1,products!$A$1:$G$1,0))</f>
        <v>2.5</v>
      </c>
      <c r="L628" s="6">
        <f>INDEX(products!$A$1:$G$49, MATCH(orders!$D188,products!$A$1:$A235,0), MATCH(orders!L$1,products!$A$1:$G$1,0))</f>
        <v>22.884999999999998</v>
      </c>
      <c r="M628" s="6">
        <f t="shared" si="27"/>
        <v>68.655000000000001</v>
      </c>
      <c r="N628" t="str">
        <f t="shared" si="28"/>
        <v>Robusta</v>
      </c>
      <c r="O628" t="str">
        <f t="shared" si="29"/>
        <v>Medium</v>
      </c>
      <c r="P628" t="str">
        <f>_xlfn.XLOOKUP(Orders[[#This Row],[Customer ID]],customers!$A$1:$A$1001,customers!$I$1:$I$1001,,0)</f>
        <v>No</v>
      </c>
      <c r="Q628">
        <f>COUNTIF(Orders[Order ID],Orders[[#This Row],[Order ID]])</f>
        <v>1</v>
      </c>
      <c r="R628" s="10">
        <f>SUMIF(Orders[Order ID], Orders[[#This Row],[Order ID]],Orders[Sales])/Orders[[#This Row],[Order Frequency]]</f>
        <v>68.655000000000001</v>
      </c>
      <c r="S628" t="str">
        <f>IF(Orders[[#This Row],[Order Frequency]]&gt;4, "More than 4", IF(AND(Orders[[#This Row],[Order Frequency]]&lt;=4,Orders[[#This Row],[Order Frequency]]&gt;=2), "Between 4 and 2", "Less than 2"))</f>
        <v>Less than 2</v>
      </c>
      <c r="T628" t="str">
        <f>IF(Orders[[#This Row],[Frequency Group]]="less than 2", "Low Value", IF(Orders[[#This Row],[Frequency Group]]="between 4 and 2", "Medium Value", "High Value"))</f>
        <v>Low Value</v>
      </c>
      <c r="U628" t="str">
        <f>IF(Orders[[#This Row],[Sales]]&lt;50, "$0-50", IF(AND(Orders[[#This Row],[Sales]]&gt;=50,Orders[[#This Row],[Sales]]&lt;=100), "$50-100", IF(AND(Orders[[#This Row],[Sales]]&gt;100,Orders[[#This Row],[Sales]]&lt;=150), "$101-150", "$150+")))</f>
        <v>$50-100</v>
      </c>
      <c r="V628" t="str">
        <f>IF(Orders[[#This Row],[Sales]]&gt;MEDIAN(M:M), "High Price", "Low Price")</f>
        <v>High Price</v>
      </c>
      <c r="W628" t="str">
        <f>IF(Orders[[#This Row],[Quantity]]&gt;MEDIAN(E:E), "High Volume", "Low Volume")</f>
        <v>Low Volume</v>
      </c>
      <c r="X628" t="str">
        <f>Orders[[#This Row],[Sales Tier]] &amp; "-" &amp; Orders[[#This Row],[Quantity Tier]]</f>
        <v>High Price-Low Volume</v>
      </c>
      <c r="Y628" t="str">
        <f>TEXT(Orders[[#This Row],[Order Date]], "mmmm")</f>
        <v>August</v>
      </c>
      <c r="Z62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628" t="str">
        <f>Orders[[#This Row],[Coffee Type Name]] &amp; "-" &amp; Orders[[#This Row],[Roast Type Name]]</f>
        <v>Robusta-Medium</v>
      </c>
      <c r="AB62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629" spans="1:28" x14ac:dyDescent="0.25">
      <c r="A629" s="2" t="s">
        <v>1694</v>
      </c>
      <c r="B629" s="4">
        <v>43775</v>
      </c>
      <c r="C629" s="2" t="s">
        <v>1695</v>
      </c>
      <c r="D629" t="s">
        <v>6170</v>
      </c>
      <c r="E629" s="2">
        <v>2</v>
      </c>
      <c r="F629" s="2" t="str">
        <f>_xlfn.XLOOKUP(C629,customers!$A$1:$A$1001,customers!$B$1:$B$1001,,0)</f>
        <v>Murdock Hame</v>
      </c>
      <c r="G629" s="2" t="str">
        <f>IF(_xlfn.XLOOKUP(C629,customers!$A$1:$A$1001,customers!$C$1:$C$1001,,0)=0,"",_xlfn.XLOOKUP(C629,customers!$A$1:$A$1001,customers!$C$1:$C$1001,,0))</f>
        <v>mhame5y@newsvine.com</v>
      </c>
      <c r="H629" s="2" t="str">
        <f>_xlfn.XLOOKUP(C629,customers!$A$1:$A$1001,customers!$G$1:$G$1001,,0)</f>
        <v>Ireland</v>
      </c>
      <c r="I629" t="str">
        <f>INDEX(products!$A$1:$G$49, MATCH(orders!$D216,products!$A$1:$A263,0), MATCH(orders!I$1,products!$A$1:$G$1,0))</f>
        <v>Lib</v>
      </c>
      <c r="J629" t="str">
        <f>INDEX(products!$A$1:$G$49, MATCH(orders!$D216,products!$A$1:$A263,0), MATCH(orders!J$1,products!$A$1:$G$1,0))</f>
        <v>L</v>
      </c>
      <c r="K629" s="5">
        <f>INDEX(products!$A$1:$G$49, MATCH(orders!$D216,products!$A$1:$A263,0), MATCH(orders!K$1,products!$A$1:$G$1,0))</f>
        <v>1</v>
      </c>
      <c r="L629" s="6">
        <f>INDEX(products!$A$1:$G$49, MATCH(orders!$D216,products!$A$1:$A263,0), MATCH(orders!L$1,products!$A$1:$G$1,0))</f>
        <v>15.85</v>
      </c>
      <c r="M629" s="6">
        <f t="shared" si="27"/>
        <v>31.7</v>
      </c>
      <c r="N629" t="str">
        <f t="shared" si="28"/>
        <v>Liberica</v>
      </c>
      <c r="O629" t="str">
        <f t="shared" si="29"/>
        <v>Light</v>
      </c>
      <c r="P629" t="str">
        <f>_xlfn.XLOOKUP(Orders[[#This Row],[Customer ID]],customers!$A$1:$A$1001,customers!$I$1:$I$1001,,0)</f>
        <v>No</v>
      </c>
      <c r="Q629">
        <f>COUNTIF(Orders[Order ID],Orders[[#This Row],[Order ID]])</f>
        <v>1</v>
      </c>
      <c r="R629" s="10">
        <f>SUMIF(Orders[Order ID], Orders[[#This Row],[Order ID]],Orders[Sales])/Orders[[#This Row],[Order Frequency]]</f>
        <v>31.7</v>
      </c>
      <c r="S629" t="str">
        <f>IF(Orders[[#This Row],[Order Frequency]]&gt;4, "More than 4", IF(AND(Orders[[#This Row],[Order Frequency]]&lt;=4,Orders[[#This Row],[Order Frequency]]&gt;=2), "Between 4 and 2", "Less than 2"))</f>
        <v>Less than 2</v>
      </c>
      <c r="T629" t="str">
        <f>IF(Orders[[#This Row],[Frequency Group]]="less than 2", "Low Value", IF(Orders[[#This Row],[Frequency Group]]="between 4 and 2", "Medium Value", "High Value"))</f>
        <v>Low Value</v>
      </c>
      <c r="U629" t="str">
        <f>IF(Orders[[#This Row],[Sales]]&lt;50, "$0-50", IF(AND(Orders[[#This Row],[Sales]]&gt;=50,Orders[[#This Row],[Sales]]&lt;=100), "$50-100", IF(AND(Orders[[#This Row],[Sales]]&gt;100,Orders[[#This Row],[Sales]]&lt;=150), "$101-150", "$150+")))</f>
        <v>$0-50</v>
      </c>
      <c r="V629" t="str">
        <f>IF(Orders[[#This Row],[Sales]]&gt;MEDIAN(M:M), "High Price", "Low Price")</f>
        <v>High Price</v>
      </c>
      <c r="W629" t="str">
        <f>IF(Orders[[#This Row],[Quantity]]&gt;MEDIAN(E:E), "High Volume", "Low Volume")</f>
        <v>Low Volume</v>
      </c>
      <c r="X629" t="str">
        <f>Orders[[#This Row],[Sales Tier]] &amp; "-" &amp; Orders[[#This Row],[Quantity Tier]]</f>
        <v>High Price-Low Volume</v>
      </c>
      <c r="Y629" t="str">
        <f>TEXT(Orders[[#This Row],[Order Date]], "mmmm")</f>
        <v>November</v>
      </c>
      <c r="Z62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629" t="str">
        <f>Orders[[#This Row],[Coffee Type Name]] &amp; "-" &amp; Orders[[#This Row],[Roast Type Name]]</f>
        <v>Liberica-Light</v>
      </c>
      <c r="AB62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630" spans="1:28" x14ac:dyDescent="0.25">
      <c r="A630" s="2" t="s">
        <v>1526</v>
      </c>
      <c r="B630" s="4">
        <v>44397</v>
      </c>
      <c r="C630" s="2" t="s">
        <v>1527</v>
      </c>
      <c r="D630" t="s">
        <v>6180</v>
      </c>
      <c r="E630" s="2">
        <v>4</v>
      </c>
      <c r="F630" s="2" t="str">
        <f>_xlfn.XLOOKUP(C630,customers!$A$1:$A$1001,customers!$B$1:$B$1001,,0)</f>
        <v>Isa Blazewicz</v>
      </c>
      <c r="G630" s="2" t="str">
        <f>IF(_xlfn.XLOOKUP(C630,customers!$A$1:$A$1001,customers!$C$1:$C$1001,,0)=0,"",_xlfn.XLOOKUP(C630,customers!$A$1:$A$1001,customers!$C$1:$C$1001,,0))</f>
        <v>iblazewicz54@thetimes.co.uk</v>
      </c>
      <c r="H630" s="2" t="str">
        <f>_xlfn.XLOOKUP(C630,customers!$A$1:$A$1001,customers!$G$1:$G$1001,,0)</f>
        <v>United States</v>
      </c>
      <c r="I630" t="str">
        <f>INDEX(products!$A$1:$G$49, MATCH(orders!$D186,products!$A$1:$A233,0), MATCH(orders!I$1,products!$A$1:$G$1,0))</f>
        <v>Ara</v>
      </c>
      <c r="J630" t="str">
        <f>INDEX(products!$A$1:$G$49, MATCH(orders!$D186,products!$A$1:$A233,0), MATCH(orders!J$1,products!$A$1:$G$1,0))</f>
        <v>L</v>
      </c>
      <c r="K630" s="5">
        <f>INDEX(products!$A$1:$G$49, MATCH(orders!$D186,products!$A$1:$A233,0), MATCH(orders!K$1,products!$A$1:$G$1,0))</f>
        <v>0.5</v>
      </c>
      <c r="L630" s="6">
        <f>INDEX(products!$A$1:$G$49, MATCH(orders!$D186,products!$A$1:$A233,0), MATCH(orders!L$1,products!$A$1:$G$1,0))</f>
        <v>7.77</v>
      </c>
      <c r="M630" s="6">
        <f t="shared" si="27"/>
        <v>31.08</v>
      </c>
      <c r="N630" t="str">
        <f t="shared" si="28"/>
        <v>Arabica</v>
      </c>
      <c r="O630" t="str">
        <f t="shared" si="29"/>
        <v>Light</v>
      </c>
      <c r="P630" t="str">
        <f>_xlfn.XLOOKUP(Orders[[#This Row],[Customer ID]],customers!$A$1:$A$1001,customers!$I$1:$I$1001,,0)</f>
        <v>No</v>
      </c>
      <c r="Q630">
        <f>COUNTIF(Orders[Order ID],Orders[[#This Row],[Order ID]])</f>
        <v>1</v>
      </c>
      <c r="R630" s="10">
        <f>SUMIF(Orders[Order ID], Orders[[#This Row],[Order ID]],Orders[Sales])/Orders[[#This Row],[Order Frequency]]</f>
        <v>31.08</v>
      </c>
      <c r="S630" t="str">
        <f>IF(Orders[[#This Row],[Order Frequency]]&gt;4, "More than 4", IF(AND(Orders[[#This Row],[Order Frequency]]&lt;=4,Orders[[#This Row],[Order Frequency]]&gt;=2), "Between 4 and 2", "Less than 2"))</f>
        <v>Less than 2</v>
      </c>
      <c r="T630" t="str">
        <f>IF(Orders[[#This Row],[Frequency Group]]="less than 2", "Low Value", IF(Orders[[#This Row],[Frequency Group]]="between 4 and 2", "Medium Value", "High Value"))</f>
        <v>Low Value</v>
      </c>
      <c r="U630" t="str">
        <f>IF(Orders[[#This Row],[Sales]]&lt;50, "$0-50", IF(AND(Orders[[#This Row],[Sales]]&gt;=50,Orders[[#This Row],[Sales]]&lt;=100), "$50-100", IF(AND(Orders[[#This Row],[Sales]]&gt;100,Orders[[#This Row],[Sales]]&lt;=150), "$101-150", "$150+")))</f>
        <v>$0-50</v>
      </c>
      <c r="V630" t="str">
        <f>IF(Orders[[#This Row],[Sales]]&gt;MEDIAN(M:M), "High Price", "Low Price")</f>
        <v>High Price</v>
      </c>
      <c r="W630" t="str">
        <f>IF(Orders[[#This Row],[Quantity]]&gt;MEDIAN(E:E), "High Volume", "Low Volume")</f>
        <v>Low Volume</v>
      </c>
      <c r="X630" t="str">
        <f>Orders[[#This Row],[Sales Tier]] &amp; "-" &amp; Orders[[#This Row],[Quantity Tier]]</f>
        <v>High Price-Low Volume</v>
      </c>
      <c r="Y630" t="str">
        <f>TEXT(Orders[[#This Row],[Order Date]], "mmmm")</f>
        <v>July</v>
      </c>
      <c r="Z63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630" t="str">
        <f>Orders[[#This Row],[Coffee Type Name]] &amp; "-" &amp; Orders[[#This Row],[Roast Type Name]]</f>
        <v>Arabica-Light</v>
      </c>
      <c r="AB63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631" spans="1:28" x14ac:dyDescent="0.25">
      <c r="A631" s="2" t="s">
        <v>2803</v>
      </c>
      <c r="B631" s="4">
        <v>44441</v>
      </c>
      <c r="C631" s="2" t="s">
        <v>2804</v>
      </c>
      <c r="D631" t="s">
        <v>6167</v>
      </c>
      <c r="E631" s="2">
        <v>4</v>
      </c>
      <c r="F631" s="2" t="str">
        <f>_xlfn.XLOOKUP(C631,customers!$A$1:$A$1001,customers!$B$1:$B$1001,,0)</f>
        <v>Giordano Lorenzin</v>
      </c>
      <c r="G631" s="2" t="str">
        <f>IF(_xlfn.XLOOKUP(C631,customers!$A$1:$A$1001,customers!$C$1:$C$1001,,0)=0,"",_xlfn.XLOOKUP(C631,customers!$A$1:$A$1001,customers!$C$1:$C$1001,,0))</f>
        <v/>
      </c>
      <c r="H631" s="2" t="str">
        <f>_xlfn.XLOOKUP(C631,customers!$A$1:$A$1001,customers!$G$1:$G$1001,,0)</f>
        <v>United States</v>
      </c>
      <c r="I631" t="str">
        <f>INDEX(products!$A$1:$G$49, MATCH(orders!$D412,products!$A$1:$A459,0), MATCH(orders!I$1,products!$A$1:$G$1,0))</f>
        <v>Ara</v>
      </c>
      <c r="J631" t="str">
        <f>INDEX(products!$A$1:$G$49, MATCH(orders!$D412,products!$A$1:$A459,0), MATCH(orders!J$1,products!$A$1:$G$1,0))</f>
        <v>L</v>
      </c>
      <c r="K631" s="5">
        <f>INDEX(products!$A$1:$G$49, MATCH(orders!$D412,products!$A$1:$A459,0), MATCH(orders!K$1,products!$A$1:$G$1,0))</f>
        <v>0.2</v>
      </c>
      <c r="L631" s="6">
        <f>INDEX(products!$A$1:$G$49, MATCH(orders!$D412,products!$A$1:$A459,0), MATCH(orders!L$1,products!$A$1:$G$1,0))</f>
        <v>3.8849999999999998</v>
      </c>
      <c r="M631" s="6">
        <f t="shared" si="27"/>
        <v>15.54</v>
      </c>
      <c r="N631" t="str">
        <f t="shared" si="28"/>
        <v>Arabica</v>
      </c>
      <c r="O631" t="str">
        <f t="shared" si="29"/>
        <v>Light</v>
      </c>
      <c r="P631" t="str">
        <f>_xlfn.XLOOKUP(Orders[[#This Row],[Customer ID]],customers!$A$1:$A$1001,customers!$I$1:$I$1001,,0)</f>
        <v>No</v>
      </c>
      <c r="Q631">
        <f>COUNTIF(Orders[Order ID],Orders[[#This Row],[Order ID]])</f>
        <v>1</v>
      </c>
      <c r="R631" s="10">
        <f>SUMIF(Orders[Order ID], Orders[[#This Row],[Order ID]],Orders[Sales])/Orders[[#This Row],[Order Frequency]]</f>
        <v>15.54</v>
      </c>
      <c r="S631" t="str">
        <f>IF(Orders[[#This Row],[Order Frequency]]&gt;4, "More than 4", IF(AND(Orders[[#This Row],[Order Frequency]]&lt;=4,Orders[[#This Row],[Order Frequency]]&gt;=2), "Between 4 and 2", "Less than 2"))</f>
        <v>Less than 2</v>
      </c>
      <c r="T631" t="str">
        <f>IF(Orders[[#This Row],[Frequency Group]]="less than 2", "Low Value", IF(Orders[[#This Row],[Frequency Group]]="between 4 and 2", "Medium Value", "High Value"))</f>
        <v>Low Value</v>
      </c>
      <c r="U631" t="str">
        <f>IF(Orders[[#This Row],[Sales]]&lt;50, "$0-50", IF(AND(Orders[[#This Row],[Sales]]&gt;=50,Orders[[#This Row],[Sales]]&lt;=100), "$50-100", IF(AND(Orders[[#This Row],[Sales]]&gt;100,Orders[[#This Row],[Sales]]&lt;=150), "$101-150", "$150+")))</f>
        <v>$0-50</v>
      </c>
      <c r="V631" t="str">
        <f>IF(Orders[[#This Row],[Sales]]&gt;MEDIAN(M:M), "High Price", "Low Price")</f>
        <v>Low Price</v>
      </c>
      <c r="W631" t="str">
        <f>IF(Orders[[#This Row],[Quantity]]&gt;MEDIAN(E:E), "High Volume", "Low Volume")</f>
        <v>Low Volume</v>
      </c>
      <c r="X631" t="str">
        <f>Orders[[#This Row],[Sales Tier]] &amp; "-" &amp; Orders[[#This Row],[Quantity Tier]]</f>
        <v>Low Price-Low Volume</v>
      </c>
      <c r="Y631" t="str">
        <f>TEXT(Orders[[#This Row],[Order Date]], "mmmm")</f>
        <v>September</v>
      </c>
      <c r="Z63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631" t="str">
        <f>Orders[[#This Row],[Coffee Type Name]] &amp; "-" &amp; Orders[[#This Row],[Roast Type Name]]</f>
        <v>Arabica-Light</v>
      </c>
      <c r="AB63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632" spans="1:28" x14ac:dyDescent="0.25">
      <c r="A632" s="2" t="s">
        <v>5676</v>
      </c>
      <c r="B632" s="4">
        <v>44573</v>
      </c>
      <c r="C632" s="2" t="s">
        <v>5677</v>
      </c>
      <c r="D632" t="s">
        <v>6157</v>
      </c>
      <c r="E632" s="2">
        <v>1</v>
      </c>
      <c r="F632" s="2" t="str">
        <f>_xlfn.XLOOKUP(C632,customers!$A$1:$A$1001,customers!$B$1:$B$1001,,0)</f>
        <v>Chloris Sorrell</v>
      </c>
      <c r="G632" s="2" t="str">
        <f>IF(_xlfn.XLOOKUP(C632,customers!$A$1:$A$1001,customers!$C$1:$C$1001,,0)=0,"",_xlfn.XLOOKUP(C632,customers!$A$1:$A$1001,customers!$C$1:$C$1001,,0))</f>
        <v>csorrellph@amazon.com</v>
      </c>
      <c r="H632" s="2" t="str">
        <f>_xlfn.XLOOKUP(C632,customers!$A$1:$A$1001,customers!$G$1:$G$1001,,0)</f>
        <v>United Kingdom</v>
      </c>
      <c r="I632" t="str">
        <f>INDEX(products!$A$1:$G$49, MATCH(orders!$D919,products!$A$1:$A966,0), MATCH(orders!I$1,products!$A$1:$G$1,0))</f>
        <v>Ara</v>
      </c>
      <c r="J632" t="str">
        <f>INDEX(products!$A$1:$G$49, MATCH(orders!$D919,products!$A$1:$A966,0), MATCH(orders!J$1,products!$A$1:$G$1,0))</f>
        <v>M</v>
      </c>
      <c r="K632" s="5">
        <f>INDEX(products!$A$1:$G$49, MATCH(orders!$D919,products!$A$1:$A966,0), MATCH(orders!K$1,products!$A$1:$G$1,0))</f>
        <v>0.5</v>
      </c>
      <c r="L632" s="6">
        <f>INDEX(products!$A$1:$G$49, MATCH(orders!$D919,products!$A$1:$A966,0), MATCH(orders!L$1,products!$A$1:$G$1,0))</f>
        <v>6.75</v>
      </c>
      <c r="M632" s="6">
        <f t="shared" si="27"/>
        <v>6.75</v>
      </c>
      <c r="N632" t="str">
        <f t="shared" si="28"/>
        <v>Arabica</v>
      </c>
      <c r="O632" t="str">
        <f t="shared" si="29"/>
        <v>Medium</v>
      </c>
      <c r="P632" t="str">
        <f>_xlfn.XLOOKUP(Orders[[#This Row],[Customer ID]],customers!$A$1:$A$1001,customers!$I$1:$I$1001,,0)</f>
        <v>No</v>
      </c>
      <c r="Q632">
        <f>COUNTIF(Orders[Order ID],Orders[[#This Row],[Order ID]])</f>
        <v>2</v>
      </c>
      <c r="R632" s="10">
        <f>SUMIF(Orders[Order ID], Orders[[#This Row],[Order ID]],Orders[Sales])/Orders[[#This Row],[Order Frequency]]</f>
        <v>14.31</v>
      </c>
      <c r="S632" t="str">
        <f>IF(Orders[[#This Row],[Order Frequency]]&gt;4, "More than 4", IF(AND(Orders[[#This Row],[Order Frequency]]&lt;=4,Orders[[#This Row],[Order Frequency]]&gt;=2), "Between 4 and 2", "Less than 2"))</f>
        <v>Between 4 and 2</v>
      </c>
      <c r="T632" t="str">
        <f>IF(Orders[[#This Row],[Frequency Group]]="less than 2", "Low Value", IF(Orders[[#This Row],[Frequency Group]]="between 4 and 2", "Medium Value", "High Value"))</f>
        <v>Medium Value</v>
      </c>
      <c r="U632" t="str">
        <f>IF(Orders[[#This Row],[Sales]]&lt;50, "$0-50", IF(AND(Orders[[#This Row],[Sales]]&gt;=50,Orders[[#This Row],[Sales]]&lt;=100), "$50-100", IF(AND(Orders[[#This Row],[Sales]]&gt;100,Orders[[#This Row],[Sales]]&lt;=150), "$101-150", "$150+")))</f>
        <v>$0-50</v>
      </c>
      <c r="V632" t="str">
        <f>IF(Orders[[#This Row],[Sales]]&gt;MEDIAN(M:M), "High Price", "Low Price")</f>
        <v>Low Price</v>
      </c>
      <c r="W632" t="str">
        <f>IF(Orders[[#This Row],[Quantity]]&gt;MEDIAN(E:E), "High Volume", "Low Volume")</f>
        <v>Low Volume</v>
      </c>
      <c r="X632" t="str">
        <f>Orders[[#This Row],[Sales Tier]] &amp; "-" &amp; Orders[[#This Row],[Quantity Tier]]</f>
        <v>Low Price-Low Volume</v>
      </c>
      <c r="Y632" t="str">
        <f>TEXT(Orders[[#This Row],[Order Date]], "mmmm")</f>
        <v>January</v>
      </c>
      <c r="Z63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632" t="str">
        <f>Orders[[#This Row],[Coffee Type Name]] &amp; "-" &amp; Orders[[#This Row],[Roast Type Name]]</f>
        <v>Arabica-Medium</v>
      </c>
      <c r="AB63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633" spans="1:28" x14ac:dyDescent="0.25">
      <c r="A633" s="2" t="s">
        <v>5676</v>
      </c>
      <c r="B633" s="4">
        <v>44573</v>
      </c>
      <c r="C633" s="2" t="s">
        <v>5677</v>
      </c>
      <c r="D633" t="s">
        <v>6144</v>
      </c>
      <c r="E633" s="2">
        <v>3</v>
      </c>
      <c r="F633" s="2" t="str">
        <f>_xlfn.XLOOKUP(C633,customers!$A$1:$A$1001,customers!$B$1:$B$1001,,0)</f>
        <v>Chloris Sorrell</v>
      </c>
      <c r="G633" s="2" t="str">
        <f>IF(_xlfn.XLOOKUP(C633,customers!$A$1:$A$1001,customers!$C$1:$C$1001,,0)=0,"",_xlfn.XLOOKUP(C633,customers!$A$1:$A$1001,customers!$C$1:$C$1001,,0))</f>
        <v>csorrellph@amazon.com</v>
      </c>
      <c r="H633" s="2" t="str">
        <f>_xlfn.XLOOKUP(C633,customers!$A$1:$A$1001,customers!$G$1:$G$1001,,0)</f>
        <v>United Kingdom</v>
      </c>
      <c r="I633" t="str">
        <f>INDEX(products!$A$1:$G$49, MATCH(orders!$D920,products!$A$1:$A967,0), MATCH(orders!I$1,products!$A$1:$G$1,0))</f>
        <v>Exc</v>
      </c>
      <c r="J633" t="str">
        <f>INDEX(products!$A$1:$G$49, MATCH(orders!$D920,products!$A$1:$A967,0), MATCH(orders!J$1,products!$A$1:$G$1,0))</f>
        <v>D</v>
      </c>
      <c r="K633" s="5">
        <f>INDEX(products!$A$1:$G$49, MATCH(orders!$D920,products!$A$1:$A967,0), MATCH(orders!K$1,products!$A$1:$G$1,0))</f>
        <v>0.5</v>
      </c>
      <c r="L633" s="6">
        <f>INDEX(products!$A$1:$G$49, MATCH(orders!$D920,products!$A$1:$A967,0), MATCH(orders!L$1,products!$A$1:$G$1,0))</f>
        <v>7.29</v>
      </c>
      <c r="M633" s="6">
        <f t="shared" si="27"/>
        <v>21.87</v>
      </c>
      <c r="N633" t="str">
        <f t="shared" si="28"/>
        <v>Excelsa</v>
      </c>
      <c r="O633" t="str">
        <f t="shared" si="29"/>
        <v>Dark</v>
      </c>
      <c r="P633" t="str">
        <f>_xlfn.XLOOKUP(Orders[[#This Row],[Customer ID]],customers!$A$1:$A$1001,customers!$I$1:$I$1001,,0)</f>
        <v>No</v>
      </c>
      <c r="Q633">
        <f>COUNTIF(Orders[Order ID],Orders[[#This Row],[Order ID]])</f>
        <v>2</v>
      </c>
      <c r="R633" s="10">
        <f>SUMIF(Orders[Order ID], Orders[[#This Row],[Order ID]],Orders[Sales])/Orders[[#This Row],[Order Frequency]]</f>
        <v>14.31</v>
      </c>
      <c r="S633" t="str">
        <f>IF(Orders[[#This Row],[Order Frequency]]&gt;4, "More than 4", IF(AND(Orders[[#This Row],[Order Frequency]]&lt;=4,Orders[[#This Row],[Order Frequency]]&gt;=2), "Between 4 and 2", "Less than 2"))</f>
        <v>Between 4 and 2</v>
      </c>
      <c r="T633" t="str">
        <f>IF(Orders[[#This Row],[Frequency Group]]="less than 2", "Low Value", IF(Orders[[#This Row],[Frequency Group]]="between 4 and 2", "Medium Value", "High Value"))</f>
        <v>Medium Value</v>
      </c>
      <c r="U633" t="str">
        <f>IF(Orders[[#This Row],[Sales]]&lt;50, "$0-50", IF(AND(Orders[[#This Row],[Sales]]&gt;=50,Orders[[#This Row],[Sales]]&lt;=100), "$50-100", IF(AND(Orders[[#This Row],[Sales]]&gt;100,Orders[[#This Row],[Sales]]&lt;=150), "$101-150", "$150+")))</f>
        <v>$0-50</v>
      </c>
      <c r="V633" t="str">
        <f>IF(Orders[[#This Row],[Sales]]&gt;MEDIAN(M:M), "High Price", "Low Price")</f>
        <v>Low Price</v>
      </c>
      <c r="W633" t="str">
        <f>IF(Orders[[#This Row],[Quantity]]&gt;MEDIAN(E:E), "High Volume", "Low Volume")</f>
        <v>Low Volume</v>
      </c>
      <c r="X633" t="str">
        <f>Orders[[#This Row],[Sales Tier]] &amp; "-" &amp; Orders[[#This Row],[Quantity Tier]]</f>
        <v>Low Price-Low Volume</v>
      </c>
      <c r="Y633" t="str">
        <f>TEXT(Orders[[#This Row],[Order Date]], "mmmm")</f>
        <v>January</v>
      </c>
      <c r="Z63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633" t="str">
        <f>Orders[[#This Row],[Coffee Type Name]] &amp; "-" &amp; Orders[[#This Row],[Roast Type Name]]</f>
        <v>Excelsa-Dark</v>
      </c>
      <c r="AB63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634" spans="1:28" x14ac:dyDescent="0.25">
      <c r="A634" s="2" t="s">
        <v>2004</v>
      </c>
      <c r="B634" s="4">
        <v>43790</v>
      </c>
      <c r="C634" s="2" t="s">
        <v>1672</v>
      </c>
      <c r="D634" t="s">
        <v>6147</v>
      </c>
      <c r="E634" s="2">
        <v>2</v>
      </c>
      <c r="F634" s="2" t="str">
        <f>_xlfn.XLOOKUP(C634,customers!$A$1:$A$1001,customers!$B$1:$B$1001,,0)</f>
        <v>Anselma Attwater</v>
      </c>
      <c r="G634" s="2" t="str">
        <f>IF(_xlfn.XLOOKUP(C634,customers!$A$1:$A$1001,customers!$C$1:$C$1001,,0)=0,"",_xlfn.XLOOKUP(C634,customers!$A$1:$A$1001,customers!$C$1:$C$1001,,0))</f>
        <v>aattwater5u@wikia.com</v>
      </c>
      <c r="H634" s="2" t="str">
        <f>_xlfn.XLOOKUP(C634,customers!$A$1:$A$1001,customers!$G$1:$G$1001,,0)</f>
        <v>United States</v>
      </c>
      <c r="I634" t="str">
        <f>INDEX(products!$A$1:$G$49, MATCH(orders!$D270,products!$A$1:$A317,0), MATCH(orders!I$1,products!$A$1:$G$1,0))</f>
        <v>Ara</v>
      </c>
      <c r="J634" t="str">
        <f>INDEX(products!$A$1:$G$49, MATCH(orders!$D270,products!$A$1:$A317,0), MATCH(orders!J$1,products!$A$1:$G$1,0))</f>
        <v>D</v>
      </c>
      <c r="K634" s="5">
        <f>INDEX(products!$A$1:$G$49, MATCH(orders!$D270,products!$A$1:$A317,0), MATCH(orders!K$1,products!$A$1:$G$1,0))</f>
        <v>1</v>
      </c>
      <c r="L634" s="6">
        <f>INDEX(products!$A$1:$G$49, MATCH(orders!$D270,products!$A$1:$A317,0), MATCH(orders!L$1,products!$A$1:$G$1,0))</f>
        <v>9.9499999999999993</v>
      </c>
      <c r="M634" s="6">
        <f t="shared" si="27"/>
        <v>19.899999999999999</v>
      </c>
      <c r="N634" t="str">
        <f t="shared" si="28"/>
        <v>Arabica</v>
      </c>
      <c r="O634" t="str">
        <f t="shared" si="29"/>
        <v>Dark</v>
      </c>
      <c r="P634" t="str">
        <f>_xlfn.XLOOKUP(Orders[[#This Row],[Customer ID]],customers!$A$1:$A$1001,customers!$I$1:$I$1001,,0)</f>
        <v>Yes</v>
      </c>
      <c r="Q634">
        <f>COUNTIF(Orders[Order ID],Orders[[#This Row],[Order ID]])</f>
        <v>1</v>
      </c>
      <c r="R634" s="10">
        <f>SUMIF(Orders[Order ID], Orders[[#This Row],[Order ID]],Orders[Sales])/Orders[[#This Row],[Order Frequency]]</f>
        <v>19.899999999999999</v>
      </c>
      <c r="S634" t="str">
        <f>IF(Orders[[#This Row],[Order Frequency]]&gt;4, "More than 4", IF(AND(Orders[[#This Row],[Order Frequency]]&lt;=4,Orders[[#This Row],[Order Frequency]]&gt;=2), "Between 4 and 2", "Less than 2"))</f>
        <v>Less than 2</v>
      </c>
      <c r="T634" t="str">
        <f>IF(Orders[[#This Row],[Frequency Group]]="less than 2", "Low Value", IF(Orders[[#This Row],[Frequency Group]]="between 4 and 2", "Medium Value", "High Value"))</f>
        <v>Low Value</v>
      </c>
      <c r="U634" t="str">
        <f>IF(Orders[[#This Row],[Sales]]&lt;50, "$0-50", IF(AND(Orders[[#This Row],[Sales]]&gt;=50,Orders[[#This Row],[Sales]]&lt;=100), "$50-100", IF(AND(Orders[[#This Row],[Sales]]&gt;100,Orders[[#This Row],[Sales]]&lt;=150), "$101-150", "$150+")))</f>
        <v>$0-50</v>
      </c>
      <c r="V634" t="str">
        <f>IF(Orders[[#This Row],[Sales]]&gt;MEDIAN(M:M), "High Price", "Low Price")</f>
        <v>Low Price</v>
      </c>
      <c r="W634" t="str">
        <f>IF(Orders[[#This Row],[Quantity]]&gt;MEDIAN(E:E), "High Volume", "Low Volume")</f>
        <v>Low Volume</v>
      </c>
      <c r="X634" t="str">
        <f>Orders[[#This Row],[Sales Tier]] &amp; "-" &amp; Orders[[#This Row],[Quantity Tier]]</f>
        <v>Low Price-Low Volume</v>
      </c>
      <c r="Y634" t="str">
        <f>TEXT(Orders[[#This Row],[Order Date]], "mmmm")</f>
        <v>November</v>
      </c>
      <c r="Z63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634" t="str">
        <f>Orders[[#This Row],[Coffee Type Name]] &amp; "-" &amp; Orders[[#This Row],[Roast Type Name]]</f>
        <v>Arabica-Dark</v>
      </c>
      <c r="AB63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635" spans="1:28" x14ac:dyDescent="0.25">
      <c r="A635" s="2" t="s">
        <v>693</v>
      </c>
      <c r="B635" s="4">
        <v>44233</v>
      </c>
      <c r="C635" s="2" t="s">
        <v>694</v>
      </c>
      <c r="D635" t="s">
        <v>6159</v>
      </c>
      <c r="E635" s="2">
        <v>2</v>
      </c>
      <c r="F635" s="2" t="str">
        <f>_xlfn.XLOOKUP(C635,customers!$A$1:$A$1001,customers!$B$1:$B$1001,,0)</f>
        <v>Zorina Ponting</v>
      </c>
      <c r="G635" s="2" t="str">
        <f>IF(_xlfn.XLOOKUP(C635,customers!$A$1:$A$1001,customers!$C$1:$C$1001,,0)=0,"",_xlfn.XLOOKUP(C635,customers!$A$1:$A$1001,customers!$C$1:$C$1001,,0))</f>
        <v>zponting10@altervista.org</v>
      </c>
      <c r="H635" s="2" t="str">
        <f>_xlfn.XLOOKUP(C635,customers!$A$1:$A$1001,customers!$G$1:$G$1001,,0)</f>
        <v>United States</v>
      </c>
      <c r="I635" t="str">
        <f>INDEX(products!$A$1:$G$49, MATCH(orders!$D38,products!$A$1:$A85,0), MATCH(orders!I$1,products!$A$1:$G$1,0))</f>
        <v>Lib</v>
      </c>
      <c r="J635" t="str">
        <f>INDEX(products!$A$1:$G$49, MATCH(orders!$D38,products!$A$1:$A85,0), MATCH(orders!J$1,products!$A$1:$G$1,0))</f>
        <v>M</v>
      </c>
      <c r="K635" s="5">
        <f>INDEX(products!$A$1:$G$49, MATCH(orders!$D38,products!$A$1:$A85,0), MATCH(orders!K$1,products!$A$1:$G$1,0))</f>
        <v>0.2</v>
      </c>
      <c r="L635" s="6">
        <f>INDEX(products!$A$1:$G$49, MATCH(orders!$D38,products!$A$1:$A85,0), MATCH(orders!L$1,products!$A$1:$G$1,0))</f>
        <v>4.3650000000000002</v>
      </c>
      <c r="M635" s="6">
        <f t="shared" si="27"/>
        <v>8.73</v>
      </c>
      <c r="N635" t="str">
        <f t="shared" si="28"/>
        <v>Liberica</v>
      </c>
      <c r="O635" t="str">
        <f t="shared" si="29"/>
        <v>Medium</v>
      </c>
      <c r="P635" t="str">
        <f>_xlfn.XLOOKUP(Orders[[#This Row],[Customer ID]],customers!$A$1:$A$1001,customers!$I$1:$I$1001,,0)</f>
        <v>No</v>
      </c>
      <c r="Q635">
        <f>COUNTIF(Orders[Order ID],Orders[[#This Row],[Order ID]])</f>
        <v>1</v>
      </c>
      <c r="R635" s="10">
        <f>SUMIF(Orders[Order ID], Orders[[#This Row],[Order ID]],Orders[Sales])/Orders[[#This Row],[Order Frequency]]</f>
        <v>8.73</v>
      </c>
      <c r="S635" t="str">
        <f>IF(Orders[[#This Row],[Order Frequency]]&gt;4, "More than 4", IF(AND(Orders[[#This Row],[Order Frequency]]&lt;=4,Orders[[#This Row],[Order Frequency]]&gt;=2), "Between 4 and 2", "Less than 2"))</f>
        <v>Less than 2</v>
      </c>
      <c r="T635" t="str">
        <f>IF(Orders[[#This Row],[Frequency Group]]="less than 2", "Low Value", IF(Orders[[#This Row],[Frequency Group]]="between 4 and 2", "Medium Value", "High Value"))</f>
        <v>Low Value</v>
      </c>
      <c r="U635" t="str">
        <f>IF(Orders[[#This Row],[Sales]]&lt;50, "$0-50", IF(AND(Orders[[#This Row],[Sales]]&gt;=50,Orders[[#This Row],[Sales]]&lt;=100), "$50-100", IF(AND(Orders[[#This Row],[Sales]]&gt;100,Orders[[#This Row],[Sales]]&lt;=150), "$101-150", "$150+")))</f>
        <v>$0-50</v>
      </c>
      <c r="V635" t="str">
        <f>IF(Orders[[#This Row],[Sales]]&gt;MEDIAN(M:M), "High Price", "Low Price")</f>
        <v>Low Price</v>
      </c>
      <c r="W635" t="str">
        <f>IF(Orders[[#This Row],[Quantity]]&gt;MEDIAN(E:E), "High Volume", "Low Volume")</f>
        <v>Low Volume</v>
      </c>
      <c r="X635" t="str">
        <f>Orders[[#This Row],[Sales Tier]] &amp; "-" &amp; Orders[[#This Row],[Quantity Tier]]</f>
        <v>Low Price-Low Volume</v>
      </c>
      <c r="Y635" t="str">
        <f>TEXT(Orders[[#This Row],[Order Date]], "mmmm")</f>
        <v>February</v>
      </c>
      <c r="Z63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635" t="str">
        <f>Orders[[#This Row],[Coffee Type Name]] &amp; "-" &amp; Orders[[#This Row],[Roast Type Name]]</f>
        <v>Liberica-Medium</v>
      </c>
      <c r="AB63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636" spans="1:28" x14ac:dyDescent="0.25">
      <c r="A636" s="2" t="s">
        <v>1255</v>
      </c>
      <c r="B636" s="4">
        <v>44406</v>
      </c>
      <c r="C636" s="2" t="s">
        <v>1256</v>
      </c>
      <c r="D636" t="s">
        <v>6154</v>
      </c>
      <c r="E636" s="2">
        <v>4</v>
      </c>
      <c r="F636" s="2" t="str">
        <f>_xlfn.XLOOKUP(C636,customers!$A$1:$A$1001,customers!$B$1:$B$1001,,0)</f>
        <v>Lowell Keenleyside</v>
      </c>
      <c r="G636" s="2" t="str">
        <f>IF(_xlfn.XLOOKUP(C636,customers!$A$1:$A$1001,customers!$C$1:$C$1001,,0)=0,"",_xlfn.XLOOKUP(C636,customers!$A$1:$A$1001,customers!$C$1:$C$1001,,0))</f>
        <v>lkeenleyside3s@topsy.com</v>
      </c>
      <c r="H636" s="2" t="str">
        <f>_xlfn.XLOOKUP(C636,customers!$A$1:$A$1001,customers!$G$1:$G$1001,,0)</f>
        <v>United States</v>
      </c>
      <c r="I636" t="str">
        <f>INDEX(products!$A$1:$G$49, MATCH(orders!$D138,products!$A$1:$A185,0), MATCH(orders!I$1,products!$A$1:$G$1,0))</f>
        <v>Ara</v>
      </c>
      <c r="J636" t="str">
        <f>INDEX(products!$A$1:$G$49, MATCH(orders!$D138,products!$A$1:$A185,0), MATCH(orders!J$1,products!$A$1:$G$1,0))</f>
        <v>D</v>
      </c>
      <c r="K636" s="5">
        <f>INDEX(products!$A$1:$G$49, MATCH(orders!$D138,products!$A$1:$A185,0), MATCH(orders!K$1,products!$A$1:$G$1,0))</f>
        <v>0.2</v>
      </c>
      <c r="L636" s="6">
        <f>INDEX(products!$A$1:$G$49, MATCH(orders!$D138,products!$A$1:$A185,0), MATCH(orders!L$1,products!$A$1:$G$1,0))</f>
        <v>2.9849999999999999</v>
      </c>
      <c r="M636" s="6">
        <f t="shared" si="27"/>
        <v>11.94</v>
      </c>
      <c r="N636" t="str">
        <f t="shared" si="28"/>
        <v>Arabica</v>
      </c>
      <c r="O636" t="str">
        <f t="shared" si="29"/>
        <v>Dark</v>
      </c>
      <c r="P636" t="str">
        <f>_xlfn.XLOOKUP(Orders[[#This Row],[Customer ID]],customers!$A$1:$A$1001,customers!$I$1:$I$1001,,0)</f>
        <v>No</v>
      </c>
      <c r="Q636">
        <f>COUNTIF(Orders[Order ID],Orders[[#This Row],[Order ID]])</f>
        <v>1</v>
      </c>
      <c r="R636" s="10">
        <f>SUMIF(Orders[Order ID], Orders[[#This Row],[Order ID]],Orders[Sales])/Orders[[#This Row],[Order Frequency]]</f>
        <v>11.94</v>
      </c>
      <c r="S636" t="str">
        <f>IF(Orders[[#This Row],[Order Frequency]]&gt;4, "More than 4", IF(AND(Orders[[#This Row],[Order Frequency]]&lt;=4,Orders[[#This Row],[Order Frequency]]&gt;=2), "Between 4 and 2", "Less than 2"))</f>
        <v>Less than 2</v>
      </c>
      <c r="T636" t="str">
        <f>IF(Orders[[#This Row],[Frequency Group]]="less than 2", "Low Value", IF(Orders[[#This Row],[Frequency Group]]="between 4 and 2", "Medium Value", "High Value"))</f>
        <v>Low Value</v>
      </c>
      <c r="U636" t="str">
        <f>IF(Orders[[#This Row],[Sales]]&lt;50, "$0-50", IF(AND(Orders[[#This Row],[Sales]]&gt;=50,Orders[[#This Row],[Sales]]&lt;=100), "$50-100", IF(AND(Orders[[#This Row],[Sales]]&gt;100,Orders[[#This Row],[Sales]]&lt;=150), "$101-150", "$150+")))</f>
        <v>$0-50</v>
      </c>
      <c r="V636" t="str">
        <f>IF(Orders[[#This Row],[Sales]]&gt;MEDIAN(M:M), "High Price", "Low Price")</f>
        <v>Low Price</v>
      </c>
      <c r="W636" t="str">
        <f>IF(Orders[[#This Row],[Quantity]]&gt;MEDIAN(E:E), "High Volume", "Low Volume")</f>
        <v>Low Volume</v>
      </c>
      <c r="X636" t="str">
        <f>Orders[[#This Row],[Sales Tier]] &amp; "-" &amp; Orders[[#This Row],[Quantity Tier]]</f>
        <v>Low Price-Low Volume</v>
      </c>
      <c r="Y636" t="str">
        <f>TEXT(Orders[[#This Row],[Order Date]], "mmmm")</f>
        <v>July</v>
      </c>
      <c r="Z63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636" t="str">
        <f>Orders[[#This Row],[Coffee Type Name]] &amp; "-" &amp; Orders[[#This Row],[Roast Type Name]]</f>
        <v>Arabica-Dark</v>
      </c>
      <c r="AB63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637" spans="1:28" x14ac:dyDescent="0.25">
      <c r="A637" s="2" t="s">
        <v>4383</v>
      </c>
      <c r="B637" s="4">
        <v>44346</v>
      </c>
      <c r="C637" s="2" t="s">
        <v>4384</v>
      </c>
      <c r="D637" t="s">
        <v>6157</v>
      </c>
      <c r="E637" s="2">
        <v>5</v>
      </c>
      <c r="F637" s="2" t="str">
        <f>_xlfn.XLOOKUP(C637,customers!$A$1:$A$1001,customers!$B$1:$B$1001,,0)</f>
        <v>Dionne Skyner</v>
      </c>
      <c r="G637" s="2" t="str">
        <f>IF(_xlfn.XLOOKUP(C637,customers!$A$1:$A$1001,customers!$C$1:$C$1001,,0)=0,"",_xlfn.XLOOKUP(C637,customers!$A$1:$A$1001,customers!$C$1:$C$1001,,0))</f>
        <v>dskynerj5@hubpages.com</v>
      </c>
      <c r="H637" s="2" t="str">
        <f>_xlfn.XLOOKUP(C637,customers!$A$1:$A$1001,customers!$G$1:$G$1001,,0)</f>
        <v>United States</v>
      </c>
      <c r="I637" t="str">
        <f>INDEX(products!$A$1:$G$49, MATCH(orders!$D691,products!$A$1:$A738,0), MATCH(orders!I$1,products!$A$1:$G$1,0))</f>
        <v>Ara</v>
      </c>
      <c r="J637" t="str">
        <f>INDEX(products!$A$1:$G$49, MATCH(orders!$D691,products!$A$1:$A738,0), MATCH(orders!J$1,products!$A$1:$G$1,0))</f>
        <v>M</v>
      </c>
      <c r="K637" s="5">
        <f>INDEX(products!$A$1:$G$49, MATCH(orders!$D691,products!$A$1:$A738,0), MATCH(orders!K$1,products!$A$1:$G$1,0))</f>
        <v>0.5</v>
      </c>
      <c r="L637" s="6">
        <f>INDEX(products!$A$1:$G$49, MATCH(orders!$D691,products!$A$1:$A738,0), MATCH(orders!L$1,products!$A$1:$G$1,0))</f>
        <v>6.75</v>
      </c>
      <c r="M637" s="6">
        <f t="shared" si="27"/>
        <v>33.75</v>
      </c>
      <c r="N637" t="str">
        <f t="shared" si="28"/>
        <v>Arabica</v>
      </c>
      <c r="O637" t="str">
        <f t="shared" si="29"/>
        <v>Medium</v>
      </c>
      <c r="P637" t="str">
        <f>_xlfn.XLOOKUP(Orders[[#This Row],[Customer ID]],customers!$A$1:$A$1001,customers!$I$1:$I$1001,,0)</f>
        <v>No</v>
      </c>
      <c r="Q637">
        <f>COUNTIF(Orders[Order ID],Orders[[#This Row],[Order ID]])</f>
        <v>1</v>
      </c>
      <c r="R637" s="10">
        <f>SUMIF(Orders[Order ID], Orders[[#This Row],[Order ID]],Orders[Sales])/Orders[[#This Row],[Order Frequency]]</f>
        <v>33.75</v>
      </c>
      <c r="S637" t="str">
        <f>IF(Orders[[#This Row],[Order Frequency]]&gt;4, "More than 4", IF(AND(Orders[[#This Row],[Order Frequency]]&lt;=4,Orders[[#This Row],[Order Frequency]]&gt;=2), "Between 4 and 2", "Less than 2"))</f>
        <v>Less than 2</v>
      </c>
      <c r="T637" t="str">
        <f>IF(Orders[[#This Row],[Frequency Group]]="less than 2", "Low Value", IF(Orders[[#This Row],[Frequency Group]]="between 4 and 2", "Medium Value", "High Value"))</f>
        <v>Low Value</v>
      </c>
      <c r="U637" t="str">
        <f>IF(Orders[[#This Row],[Sales]]&lt;50, "$0-50", IF(AND(Orders[[#This Row],[Sales]]&gt;=50,Orders[[#This Row],[Sales]]&lt;=100), "$50-100", IF(AND(Orders[[#This Row],[Sales]]&gt;100,Orders[[#This Row],[Sales]]&lt;=150), "$101-150", "$150+")))</f>
        <v>$0-50</v>
      </c>
      <c r="V637" t="str">
        <f>IF(Orders[[#This Row],[Sales]]&gt;MEDIAN(M:M), "High Price", "Low Price")</f>
        <v>High Price</v>
      </c>
      <c r="W637" t="str">
        <f>IF(Orders[[#This Row],[Quantity]]&gt;MEDIAN(E:E), "High Volume", "Low Volume")</f>
        <v>High Volume</v>
      </c>
      <c r="X637" t="str">
        <f>Orders[[#This Row],[Sales Tier]] &amp; "-" &amp; Orders[[#This Row],[Quantity Tier]]</f>
        <v>High Price-High Volume</v>
      </c>
      <c r="Y637" t="str">
        <f>TEXT(Orders[[#This Row],[Order Date]], "mmmm")</f>
        <v>May</v>
      </c>
      <c r="Z63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637" t="str">
        <f>Orders[[#This Row],[Coffee Type Name]] &amp; "-" &amp; Orders[[#This Row],[Roast Type Name]]</f>
        <v>Arabica-Medium</v>
      </c>
      <c r="AB63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638" spans="1:28" x14ac:dyDescent="0.25">
      <c r="A638" s="2" t="s">
        <v>5205</v>
      </c>
      <c r="B638" s="4">
        <v>44141</v>
      </c>
      <c r="C638" s="2" t="s">
        <v>5206</v>
      </c>
      <c r="D638" t="s">
        <v>6168</v>
      </c>
      <c r="E638" s="2">
        <v>1</v>
      </c>
      <c r="F638" s="2" t="str">
        <f>_xlfn.XLOOKUP(C638,customers!$A$1:$A$1001,customers!$B$1:$B$1001,,0)</f>
        <v>Nadeen Broomer</v>
      </c>
      <c r="G638" s="2" t="str">
        <f>IF(_xlfn.XLOOKUP(C638,customers!$A$1:$A$1001,customers!$C$1:$C$1001,,0)=0,"",_xlfn.XLOOKUP(C638,customers!$A$1:$A$1001,customers!$C$1:$C$1001,,0))</f>
        <v>nbroomern6@examiner.com</v>
      </c>
      <c r="H638" s="2" t="str">
        <f>_xlfn.XLOOKUP(C638,customers!$A$1:$A$1001,customers!$G$1:$G$1001,,0)</f>
        <v>United States</v>
      </c>
      <c r="I638" t="str">
        <f>INDEX(products!$A$1:$G$49, MATCH(orders!$D836,products!$A$1:$A883,0), MATCH(orders!I$1,products!$A$1:$G$1,0))</f>
        <v>Ara</v>
      </c>
      <c r="J638" t="str">
        <f>INDEX(products!$A$1:$G$49, MATCH(orders!$D836,products!$A$1:$A883,0), MATCH(orders!J$1,products!$A$1:$G$1,0))</f>
        <v>D</v>
      </c>
      <c r="K638" s="5">
        <f>INDEX(products!$A$1:$G$49, MATCH(orders!$D836,products!$A$1:$A883,0), MATCH(orders!K$1,products!$A$1:$G$1,0))</f>
        <v>2.5</v>
      </c>
      <c r="L638" s="6">
        <f>INDEX(products!$A$1:$G$49, MATCH(orders!$D836,products!$A$1:$A883,0), MATCH(orders!L$1,products!$A$1:$G$1,0))</f>
        <v>22.884999999999998</v>
      </c>
      <c r="M638" s="6">
        <f t="shared" si="27"/>
        <v>22.884999999999998</v>
      </c>
      <c r="N638" t="str">
        <f t="shared" si="28"/>
        <v>Arabica</v>
      </c>
      <c r="O638" t="str">
        <f t="shared" si="29"/>
        <v>Dark</v>
      </c>
      <c r="P638" t="str">
        <f>_xlfn.XLOOKUP(Orders[[#This Row],[Customer ID]],customers!$A$1:$A$1001,customers!$I$1:$I$1001,,0)</f>
        <v>No</v>
      </c>
      <c r="Q638">
        <f>COUNTIF(Orders[Order ID],Orders[[#This Row],[Order ID]])</f>
        <v>1</v>
      </c>
      <c r="R638" s="10">
        <f>SUMIF(Orders[Order ID], Orders[[#This Row],[Order ID]],Orders[Sales])/Orders[[#This Row],[Order Frequency]]</f>
        <v>22.884999999999998</v>
      </c>
      <c r="S638" t="str">
        <f>IF(Orders[[#This Row],[Order Frequency]]&gt;4, "More than 4", IF(AND(Orders[[#This Row],[Order Frequency]]&lt;=4,Orders[[#This Row],[Order Frequency]]&gt;=2), "Between 4 and 2", "Less than 2"))</f>
        <v>Less than 2</v>
      </c>
      <c r="T638" t="str">
        <f>IF(Orders[[#This Row],[Frequency Group]]="less than 2", "Low Value", IF(Orders[[#This Row],[Frequency Group]]="between 4 and 2", "Medium Value", "High Value"))</f>
        <v>Low Value</v>
      </c>
      <c r="U638" t="str">
        <f>IF(Orders[[#This Row],[Sales]]&lt;50, "$0-50", IF(AND(Orders[[#This Row],[Sales]]&gt;=50,Orders[[#This Row],[Sales]]&lt;=100), "$50-100", IF(AND(Orders[[#This Row],[Sales]]&gt;100,Orders[[#This Row],[Sales]]&lt;=150), "$101-150", "$150+")))</f>
        <v>$0-50</v>
      </c>
      <c r="V638" t="str">
        <f>IF(Orders[[#This Row],[Sales]]&gt;MEDIAN(M:M), "High Price", "Low Price")</f>
        <v>Low Price</v>
      </c>
      <c r="W638" t="str">
        <f>IF(Orders[[#This Row],[Quantity]]&gt;MEDIAN(E:E), "High Volume", "Low Volume")</f>
        <v>Low Volume</v>
      </c>
      <c r="X638" t="str">
        <f>Orders[[#This Row],[Sales Tier]] &amp; "-" &amp; Orders[[#This Row],[Quantity Tier]]</f>
        <v>Low Price-Low Volume</v>
      </c>
      <c r="Y638" t="str">
        <f>TEXT(Orders[[#This Row],[Order Date]], "mmmm")</f>
        <v>November</v>
      </c>
      <c r="Z63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638" t="str">
        <f>Orders[[#This Row],[Coffee Type Name]] &amp; "-" &amp; Orders[[#This Row],[Roast Type Name]]</f>
        <v>Arabica-Dark</v>
      </c>
      <c r="AB63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639" spans="1:28" x14ac:dyDescent="0.25">
      <c r="A639" s="2" t="s">
        <v>5024</v>
      </c>
      <c r="B639" s="4">
        <v>43902</v>
      </c>
      <c r="C639" s="2" t="s">
        <v>5025</v>
      </c>
      <c r="D639" t="s">
        <v>6163</v>
      </c>
      <c r="E639" s="2">
        <v>4</v>
      </c>
      <c r="F639" s="2" t="str">
        <f>_xlfn.XLOOKUP(C639,customers!$A$1:$A$1001,customers!$B$1:$B$1001,,0)</f>
        <v>Caddric Krzysztofiak</v>
      </c>
      <c r="G639" s="2" t="str">
        <f>IF(_xlfn.XLOOKUP(C639,customers!$A$1:$A$1001,customers!$C$1:$C$1001,,0)=0,"",_xlfn.XLOOKUP(C639,customers!$A$1:$A$1001,customers!$C$1:$C$1001,,0))</f>
        <v>ckrzysztofiakma@skyrock.com</v>
      </c>
      <c r="H639" s="2" t="str">
        <f>_xlfn.XLOOKUP(C639,customers!$A$1:$A$1001,customers!$G$1:$G$1001,,0)</f>
        <v>United States</v>
      </c>
      <c r="I639" t="str">
        <f>INDEX(products!$A$1:$G$49, MATCH(orders!$D804,products!$A$1:$A851,0), MATCH(orders!I$1,products!$A$1:$G$1,0))</f>
        <v>Rob</v>
      </c>
      <c r="J639" t="str">
        <f>INDEX(products!$A$1:$G$49, MATCH(orders!$D804,products!$A$1:$A851,0), MATCH(orders!J$1,products!$A$1:$G$1,0))</f>
        <v>D</v>
      </c>
      <c r="K639" s="5">
        <f>INDEX(products!$A$1:$G$49, MATCH(orders!$D804,products!$A$1:$A851,0), MATCH(orders!K$1,products!$A$1:$G$1,0))</f>
        <v>0.2</v>
      </c>
      <c r="L639" s="6">
        <f>INDEX(products!$A$1:$G$49, MATCH(orders!$D804,products!$A$1:$A851,0), MATCH(orders!L$1,products!$A$1:$G$1,0))</f>
        <v>2.6849999999999996</v>
      </c>
      <c r="M639" s="6">
        <f t="shared" si="27"/>
        <v>10.739999999999998</v>
      </c>
      <c r="N639" t="str">
        <f t="shared" si="28"/>
        <v>Robusta</v>
      </c>
      <c r="O639" t="str">
        <f t="shared" si="29"/>
        <v>Dark</v>
      </c>
      <c r="P639" t="str">
        <f>_xlfn.XLOOKUP(Orders[[#This Row],[Customer ID]],customers!$A$1:$A$1001,customers!$I$1:$I$1001,,0)</f>
        <v>No</v>
      </c>
      <c r="Q639">
        <f>COUNTIF(Orders[Order ID],Orders[[#This Row],[Order ID]])</f>
        <v>1</v>
      </c>
      <c r="R639" s="10">
        <f>SUMIF(Orders[Order ID], Orders[[#This Row],[Order ID]],Orders[Sales])/Orders[[#This Row],[Order Frequency]]</f>
        <v>10.739999999999998</v>
      </c>
      <c r="S639" t="str">
        <f>IF(Orders[[#This Row],[Order Frequency]]&gt;4, "More than 4", IF(AND(Orders[[#This Row],[Order Frequency]]&lt;=4,Orders[[#This Row],[Order Frequency]]&gt;=2), "Between 4 and 2", "Less than 2"))</f>
        <v>Less than 2</v>
      </c>
      <c r="T639" t="str">
        <f>IF(Orders[[#This Row],[Frequency Group]]="less than 2", "Low Value", IF(Orders[[#This Row],[Frequency Group]]="between 4 and 2", "Medium Value", "High Value"))</f>
        <v>Low Value</v>
      </c>
      <c r="U639" t="str">
        <f>IF(Orders[[#This Row],[Sales]]&lt;50, "$0-50", IF(AND(Orders[[#This Row],[Sales]]&gt;=50,Orders[[#This Row],[Sales]]&lt;=100), "$50-100", IF(AND(Orders[[#This Row],[Sales]]&gt;100,Orders[[#This Row],[Sales]]&lt;=150), "$101-150", "$150+")))</f>
        <v>$0-50</v>
      </c>
      <c r="V639" t="str">
        <f>IF(Orders[[#This Row],[Sales]]&gt;MEDIAN(M:M), "High Price", "Low Price")</f>
        <v>Low Price</v>
      </c>
      <c r="W639" t="str">
        <f>IF(Orders[[#This Row],[Quantity]]&gt;MEDIAN(E:E), "High Volume", "Low Volume")</f>
        <v>Low Volume</v>
      </c>
      <c r="X639" t="str">
        <f>Orders[[#This Row],[Sales Tier]] &amp; "-" &amp; Orders[[#This Row],[Quantity Tier]]</f>
        <v>Low Price-Low Volume</v>
      </c>
      <c r="Y639" t="str">
        <f>TEXT(Orders[[#This Row],[Order Date]], "mmmm")</f>
        <v>March</v>
      </c>
      <c r="Z63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639" t="str">
        <f>Orders[[#This Row],[Coffee Type Name]] &amp; "-" &amp; Orders[[#This Row],[Roast Type Name]]</f>
        <v>Robusta-Dark</v>
      </c>
      <c r="AB63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640" spans="1:28" x14ac:dyDescent="0.25">
      <c r="A640" s="2" t="s">
        <v>3767</v>
      </c>
      <c r="B640" s="4">
        <v>43965</v>
      </c>
      <c r="C640" s="2" t="s">
        <v>3768</v>
      </c>
      <c r="D640" t="s">
        <v>6171</v>
      </c>
      <c r="E640" s="2">
        <v>3</v>
      </c>
      <c r="F640" s="2" t="str">
        <f>_xlfn.XLOOKUP(C640,customers!$A$1:$A$1001,customers!$B$1:$B$1001,,0)</f>
        <v>Reinaldos Kirtley</v>
      </c>
      <c r="G640" s="2" t="str">
        <f>IF(_xlfn.XLOOKUP(C640,customers!$A$1:$A$1001,customers!$C$1:$C$1001,,0)=0,"",_xlfn.XLOOKUP(C640,customers!$A$1:$A$1001,customers!$C$1:$C$1001,,0))</f>
        <v>rkirtleyg4@hatena.ne.jp</v>
      </c>
      <c r="H640" s="2" t="str">
        <f>_xlfn.XLOOKUP(C640,customers!$A$1:$A$1001,customers!$G$1:$G$1001,,0)</f>
        <v>United States</v>
      </c>
      <c r="I640" t="str">
        <f>INDEX(products!$A$1:$G$49, MATCH(orders!$D582,products!$A$1:$A629,0), MATCH(orders!I$1,products!$A$1:$G$1,0))</f>
        <v>Exc</v>
      </c>
      <c r="J640" t="str">
        <f>INDEX(products!$A$1:$G$49, MATCH(orders!$D582,products!$A$1:$A629,0), MATCH(orders!J$1,products!$A$1:$G$1,0))</f>
        <v>L</v>
      </c>
      <c r="K640" s="5">
        <f>INDEX(products!$A$1:$G$49, MATCH(orders!$D582,products!$A$1:$A629,0), MATCH(orders!K$1,products!$A$1:$G$1,0))</f>
        <v>1</v>
      </c>
      <c r="L640" s="6">
        <f>INDEX(products!$A$1:$G$49, MATCH(orders!$D582,products!$A$1:$A629,0), MATCH(orders!L$1,products!$A$1:$G$1,0))</f>
        <v>14.85</v>
      </c>
      <c r="M640" s="6">
        <f t="shared" si="27"/>
        <v>44.55</v>
      </c>
      <c r="N640" t="str">
        <f t="shared" si="28"/>
        <v>Excelsa</v>
      </c>
      <c r="O640" t="str">
        <f t="shared" si="29"/>
        <v>Light</v>
      </c>
      <c r="P640" t="str">
        <f>_xlfn.XLOOKUP(Orders[[#This Row],[Customer ID]],customers!$A$1:$A$1001,customers!$I$1:$I$1001,,0)</f>
        <v>Yes</v>
      </c>
      <c r="Q640">
        <f>COUNTIF(Orders[Order ID],Orders[[#This Row],[Order ID]])</f>
        <v>1</v>
      </c>
      <c r="R640" s="10">
        <f>SUMIF(Orders[Order ID], Orders[[#This Row],[Order ID]],Orders[Sales])/Orders[[#This Row],[Order Frequency]]</f>
        <v>44.55</v>
      </c>
      <c r="S640" t="str">
        <f>IF(Orders[[#This Row],[Order Frequency]]&gt;4, "More than 4", IF(AND(Orders[[#This Row],[Order Frequency]]&lt;=4,Orders[[#This Row],[Order Frequency]]&gt;=2), "Between 4 and 2", "Less than 2"))</f>
        <v>Less than 2</v>
      </c>
      <c r="T640" t="str">
        <f>IF(Orders[[#This Row],[Frequency Group]]="less than 2", "Low Value", IF(Orders[[#This Row],[Frequency Group]]="between 4 and 2", "Medium Value", "High Value"))</f>
        <v>Low Value</v>
      </c>
      <c r="U640" t="str">
        <f>IF(Orders[[#This Row],[Sales]]&lt;50, "$0-50", IF(AND(Orders[[#This Row],[Sales]]&gt;=50,Orders[[#This Row],[Sales]]&lt;=100), "$50-100", IF(AND(Orders[[#This Row],[Sales]]&gt;100,Orders[[#This Row],[Sales]]&lt;=150), "$101-150", "$150+")))</f>
        <v>$0-50</v>
      </c>
      <c r="V640" t="str">
        <f>IF(Orders[[#This Row],[Sales]]&gt;MEDIAN(M:M), "High Price", "Low Price")</f>
        <v>High Price</v>
      </c>
      <c r="W640" t="str">
        <f>IF(Orders[[#This Row],[Quantity]]&gt;MEDIAN(E:E), "High Volume", "Low Volume")</f>
        <v>Low Volume</v>
      </c>
      <c r="X640" t="str">
        <f>Orders[[#This Row],[Sales Tier]] &amp; "-" &amp; Orders[[#This Row],[Quantity Tier]]</f>
        <v>High Price-Low Volume</v>
      </c>
      <c r="Y640" t="str">
        <f>TEXT(Orders[[#This Row],[Order Date]], "mmmm")</f>
        <v>May</v>
      </c>
      <c r="Z64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640" t="str">
        <f>Orders[[#This Row],[Coffee Type Name]] &amp; "-" &amp; Orders[[#This Row],[Roast Type Name]]</f>
        <v>Excelsa-Light</v>
      </c>
      <c r="AB64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641" spans="1:28" x14ac:dyDescent="0.25">
      <c r="A641" s="2" t="s">
        <v>5117</v>
      </c>
      <c r="B641" s="4">
        <v>44008</v>
      </c>
      <c r="C641" s="2" t="s">
        <v>5118</v>
      </c>
      <c r="D641" t="s">
        <v>6145</v>
      </c>
      <c r="E641" s="2">
        <v>1</v>
      </c>
      <c r="F641" s="2" t="str">
        <f>_xlfn.XLOOKUP(C641,customers!$A$1:$A$1001,customers!$B$1:$B$1001,,0)</f>
        <v>Caddric Atcheson</v>
      </c>
      <c r="G641" s="2" t="str">
        <f>IF(_xlfn.XLOOKUP(C641,customers!$A$1:$A$1001,customers!$C$1:$C$1001,,0)=0,"",_xlfn.XLOOKUP(C641,customers!$A$1:$A$1001,customers!$C$1:$C$1001,,0))</f>
        <v>catchesonmr@xinhuanet.com</v>
      </c>
      <c r="H641" s="2" t="str">
        <f>_xlfn.XLOOKUP(C641,customers!$A$1:$A$1001,customers!$G$1:$G$1001,,0)</f>
        <v>United States</v>
      </c>
      <c r="I641" t="str">
        <f>INDEX(products!$A$1:$G$49, MATCH(orders!$D821,products!$A$1:$A868,0), MATCH(orders!I$1,products!$A$1:$G$1,0))</f>
        <v>Lib</v>
      </c>
      <c r="J641" t="str">
        <f>INDEX(products!$A$1:$G$49, MATCH(orders!$D821,products!$A$1:$A868,0), MATCH(orders!J$1,products!$A$1:$G$1,0))</f>
        <v>L</v>
      </c>
      <c r="K641" s="5">
        <f>INDEX(products!$A$1:$G$49, MATCH(orders!$D821,products!$A$1:$A868,0), MATCH(orders!K$1,products!$A$1:$G$1,0))</f>
        <v>0.2</v>
      </c>
      <c r="L641" s="6">
        <f>INDEX(products!$A$1:$G$49, MATCH(orders!$D821,products!$A$1:$A868,0), MATCH(orders!L$1,products!$A$1:$G$1,0))</f>
        <v>4.7549999999999999</v>
      </c>
      <c r="M641" s="6">
        <f t="shared" si="27"/>
        <v>4.7549999999999999</v>
      </c>
      <c r="N641" t="str">
        <f t="shared" si="28"/>
        <v>Liberica</v>
      </c>
      <c r="O641" t="str">
        <f t="shared" si="29"/>
        <v>Light</v>
      </c>
      <c r="P641" t="str">
        <f>_xlfn.XLOOKUP(Orders[[#This Row],[Customer ID]],customers!$A$1:$A$1001,customers!$I$1:$I$1001,,0)</f>
        <v>Yes</v>
      </c>
      <c r="Q641">
        <f>COUNTIF(Orders[Order ID],Orders[[#This Row],[Order ID]])</f>
        <v>1</v>
      </c>
      <c r="R641" s="10">
        <f>SUMIF(Orders[Order ID], Orders[[#This Row],[Order ID]],Orders[Sales])/Orders[[#This Row],[Order Frequency]]</f>
        <v>4.7549999999999999</v>
      </c>
      <c r="S641" t="str">
        <f>IF(Orders[[#This Row],[Order Frequency]]&gt;4, "More than 4", IF(AND(Orders[[#This Row],[Order Frequency]]&lt;=4,Orders[[#This Row],[Order Frequency]]&gt;=2), "Between 4 and 2", "Less than 2"))</f>
        <v>Less than 2</v>
      </c>
      <c r="T641" t="str">
        <f>IF(Orders[[#This Row],[Frequency Group]]="less than 2", "Low Value", IF(Orders[[#This Row],[Frequency Group]]="between 4 and 2", "Medium Value", "High Value"))</f>
        <v>Low Value</v>
      </c>
      <c r="U641" t="str">
        <f>IF(Orders[[#This Row],[Sales]]&lt;50, "$0-50", IF(AND(Orders[[#This Row],[Sales]]&gt;=50,Orders[[#This Row],[Sales]]&lt;=100), "$50-100", IF(AND(Orders[[#This Row],[Sales]]&gt;100,Orders[[#This Row],[Sales]]&lt;=150), "$101-150", "$150+")))</f>
        <v>$0-50</v>
      </c>
      <c r="V641" t="str">
        <f>IF(Orders[[#This Row],[Sales]]&gt;MEDIAN(M:M), "High Price", "Low Price")</f>
        <v>Low Price</v>
      </c>
      <c r="W641" t="str">
        <f>IF(Orders[[#This Row],[Quantity]]&gt;MEDIAN(E:E), "High Volume", "Low Volume")</f>
        <v>Low Volume</v>
      </c>
      <c r="X641" t="str">
        <f>Orders[[#This Row],[Sales Tier]] &amp; "-" &amp; Orders[[#This Row],[Quantity Tier]]</f>
        <v>Low Price-Low Volume</v>
      </c>
      <c r="Y641" t="str">
        <f>TEXT(Orders[[#This Row],[Order Date]], "mmmm")</f>
        <v>June</v>
      </c>
      <c r="Z64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641" t="str">
        <f>Orders[[#This Row],[Coffee Type Name]] &amp; "-" &amp; Orders[[#This Row],[Roast Type Name]]</f>
        <v>Liberica-Light</v>
      </c>
      <c r="AB64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642" spans="1:28" x14ac:dyDescent="0.25">
      <c r="A642" s="2" t="s">
        <v>1448</v>
      </c>
      <c r="B642" s="4">
        <v>44476</v>
      </c>
      <c r="C642" s="2" t="s">
        <v>1449</v>
      </c>
      <c r="D642" t="s">
        <v>6148</v>
      </c>
      <c r="E642" s="2">
        <v>2</v>
      </c>
      <c r="F642" s="2" t="str">
        <f>_xlfn.XLOOKUP(C642,customers!$A$1:$A$1001,customers!$B$1:$B$1001,,0)</f>
        <v>Serena Earley</v>
      </c>
      <c r="G642" s="2" t="str">
        <f>IF(_xlfn.XLOOKUP(C642,customers!$A$1:$A$1001,customers!$C$1:$C$1001,,0)=0,"",_xlfn.XLOOKUP(C642,customers!$A$1:$A$1001,customers!$C$1:$C$1001,,0))</f>
        <v>searley4q@youku.com</v>
      </c>
      <c r="H642" s="2" t="str">
        <f>_xlfn.XLOOKUP(C642,customers!$A$1:$A$1001,customers!$G$1:$G$1001,,0)</f>
        <v>United Kingdom</v>
      </c>
      <c r="I642" t="str">
        <f>INDEX(products!$A$1:$G$49, MATCH(orders!$D172,products!$A$1:$A219,0), MATCH(orders!I$1,products!$A$1:$G$1,0))</f>
        <v>Exc</v>
      </c>
      <c r="J642" t="str">
        <f>INDEX(products!$A$1:$G$49, MATCH(orders!$D172,products!$A$1:$A219,0), MATCH(orders!J$1,products!$A$1:$G$1,0))</f>
        <v>L</v>
      </c>
      <c r="K642" s="5">
        <f>INDEX(products!$A$1:$G$49, MATCH(orders!$D172,products!$A$1:$A219,0), MATCH(orders!K$1,products!$A$1:$G$1,0))</f>
        <v>2.5</v>
      </c>
      <c r="L642" s="6">
        <f>INDEX(products!$A$1:$G$49, MATCH(orders!$D172,products!$A$1:$A219,0), MATCH(orders!L$1,products!$A$1:$G$1,0))</f>
        <v>34.154999999999994</v>
      </c>
      <c r="M642" s="6">
        <f t="shared" ref="M642:M705" si="30">L642*E642</f>
        <v>68.309999999999988</v>
      </c>
      <c r="N642" t="str">
        <f t="shared" ref="N642:N705" si="31">IF(I642="Rob", "Robusta", IF(I642="Exc", "Excelsa", IF(I642="Ara","Arabica", IF(I642="Lib", "Liberica",""))))</f>
        <v>Excelsa</v>
      </c>
      <c r="O642" t="str">
        <f t="shared" ref="O642:O705" si="32">IF(J642="M", "Medium", IF(J642="L", "Light", IF(J642="D", "Dark", "")))</f>
        <v>Light</v>
      </c>
      <c r="P642" t="str">
        <f>_xlfn.XLOOKUP(Orders[[#This Row],[Customer ID]],customers!$A$1:$A$1001,customers!$I$1:$I$1001,,0)</f>
        <v>No</v>
      </c>
      <c r="Q642">
        <f>COUNTIF(Orders[Order ID],Orders[[#This Row],[Order ID]])</f>
        <v>1</v>
      </c>
      <c r="R642" s="10">
        <f>SUMIF(Orders[Order ID], Orders[[#This Row],[Order ID]],Orders[Sales])/Orders[[#This Row],[Order Frequency]]</f>
        <v>68.309999999999988</v>
      </c>
      <c r="S642" t="str">
        <f>IF(Orders[[#This Row],[Order Frequency]]&gt;4, "More than 4", IF(AND(Orders[[#This Row],[Order Frequency]]&lt;=4,Orders[[#This Row],[Order Frequency]]&gt;=2), "Between 4 and 2", "Less than 2"))</f>
        <v>Less than 2</v>
      </c>
      <c r="T642" t="str">
        <f>IF(Orders[[#This Row],[Frequency Group]]="less than 2", "Low Value", IF(Orders[[#This Row],[Frequency Group]]="between 4 and 2", "Medium Value", "High Value"))</f>
        <v>Low Value</v>
      </c>
      <c r="U642" t="str">
        <f>IF(Orders[[#This Row],[Sales]]&lt;50, "$0-50", IF(AND(Orders[[#This Row],[Sales]]&gt;=50,Orders[[#This Row],[Sales]]&lt;=100), "$50-100", IF(AND(Orders[[#This Row],[Sales]]&gt;100,Orders[[#This Row],[Sales]]&lt;=150), "$101-150", "$150+")))</f>
        <v>$50-100</v>
      </c>
      <c r="V642" t="str">
        <f>IF(Orders[[#This Row],[Sales]]&gt;MEDIAN(M:M), "High Price", "Low Price")</f>
        <v>High Price</v>
      </c>
      <c r="W642" t="str">
        <f>IF(Orders[[#This Row],[Quantity]]&gt;MEDIAN(E:E), "High Volume", "Low Volume")</f>
        <v>Low Volume</v>
      </c>
      <c r="X642" t="str">
        <f>Orders[[#This Row],[Sales Tier]] &amp; "-" &amp; Orders[[#This Row],[Quantity Tier]]</f>
        <v>High Price-Low Volume</v>
      </c>
      <c r="Y642" t="str">
        <f>TEXT(Orders[[#This Row],[Order Date]], "mmmm")</f>
        <v>October</v>
      </c>
      <c r="Z64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642" t="str">
        <f>Orders[[#This Row],[Coffee Type Name]] &amp; "-" &amp; Orders[[#This Row],[Roast Type Name]]</f>
        <v>Excelsa-Light</v>
      </c>
      <c r="AB64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643" spans="1:28" x14ac:dyDescent="0.25">
      <c r="A643" s="2" t="s">
        <v>2209</v>
      </c>
      <c r="B643" s="4">
        <v>43796</v>
      </c>
      <c r="C643" s="2" t="s">
        <v>2210</v>
      </c>
      <c r="D643" t="s">
        <v>6159</v>
      </c>
      <c r="E643" s="2">
        <v>5</v>
      </c>
      <c r="F643" s="2" t="str">
        <f>_xlfn.XLOOKUP(C643,customers!$A$1:$A$1001,customers!$B$1:$B$1001,,0)</f>
        <v>Benn Checci</v>
      </c>
      <c r="G643" s="2" t="str">
        <f>IF(_xlfn.XLOOKUP(C643,customers!$A$1:$A$1001,customers!$C$1:$C$1001,,0)=0,"",_xlfn.XLOOKUP(C643,customers!$A$1:$A$1001,customers!$C$1:$C$1001,,0))</f>
        <v>bchecci8h@usa.gov</v>
      </c>
      <c r="H643" s="2" t="str">
        <f>_xlfn.XLOOKUP(C643,customers!$A$1:$A$1001,customers!$G$1:$G$1001,,0)</f>
        <v>United Kingdom</v>
      </c>
      <c r="I643" t="str">
        <f>INDEX(products!$A$1:$G$49, MATCH(orders!$D307,products!$A$1:$A354,0), MATCH(orders!I$1,products!$A$1:$G$1,0))</f>
        <v>Lib</v>
      </c>
      <c r="J643" t="str">
        <f>INDEX(products!$A$1:$G$49, MATCH(orders!$D307,products!$A$1:$A354,0), MATCH(orders!J$1,products!$A$1:$G$1,0))</f>
        <v>M</v>
      </c>
      <c r="K643" s="5">
        <f>INDEX(products!$A$1:$G$49, MATCH(orders!$D307,products!$A$1:$A354,0), MATCH(orders!K$1,products!$A$1:$G$1,0))</f>
        <v>0.2</v>
      </c>
      <c r="L643" s="6">
        <f>INDEX(products!$A$1:$G$49, MATCH(orders!$D307,products!$A$1:$A354,0), MATCH(orders!L$1,products!$A$1:$G$1,0))</f>
        <v>4.3650000000000002</v>
      </c>
      <c r="M643" s="6">
        <f t="shared" si="30"/>
        <v>21.825000000000003</v>
      </c>
      <c r="N643" t="str">
        <f t="shared" si="31"/>
        <v>Liberica</v>
      </c>
      <c r="O643" t="str">
        <f t="shared" si="32"/>
        <v>Medium</v>
      </c>
      <c r="P643" t="str">
        <f>_xlfn.XLOOKUP(Orders[[#This Row],[Customer ID]],customers!$A$1:$A$1001,customers!$I$1:$I$1001,,0)</f>
        <v>No</v>
      </c>
      <c r="Q643">
        <f>COUNTIF(Orders[Order ID],Orders[[#This Row],[Order ID]])</f>
        <v>1</v>
      </c>
      <c r="R643" s="10">
        <f>SUMIF(Orders[Order ID], Orders[[#This Row],[Order ID]],Orders[Sales])/Orders[[#This Row],[Order Frequency]]</f>
        <v>21.825000000000003</v>
      </c>
      <c r="S643" t="str">
        <f>IF(Orders[[#This Row],[Order Frequency]]&gt;4, "More than 4", IF(AND(Orders[[#This Row],[Order Frequency]]&lt;=4,Orders[[#This Row],[Order Frequency]]&gt;=2), "Between 4 and 2", "Less than 2"))</f>
        <v>Less than 2</v>
      </c>
      <c r="T643" t="str">
        <f>IF(Orders[[#This Row],[Frequency Group]]="less than 2", "Low Value", IF(Orders[[#This Row],[Frequency Group]]="between 4 and 2", "Medium Value", "High Value"))</f>
        <v>Low Value</v>
      </c>
      <c r="U643" t="str">
        <f>IF(Orders[[#This Row],[Sales]]&lt;50, "$0-50", IF(AND(Orders[[#This Row],[Sales]]&gt;=50,Orders[[#This Row],[Sales]]&lt;=100), "$50-100", IF(AND(Orders[[#This Row],[Sales]]&gt;100,Orders[[#This Row],[Sales]]&lt;=150), "$101-150", "$150+")))</f>
        <v>$0-50</v>
      </c>
      <c r="V643" t="str">
        <f>IF(Orders[[#This Row],[Sales]]&gt;MEDIAN(M:M), "High Price", "Low Price")</f>
        <v>Low Price</v>
      </c>
      <c r="W643" t="str">
        <f>IF(Orders[[#This Row],[Quantity]]&gt;MEDIAN(E:E), "High Volume", "Low Volume")</f>
        <v>High Volume</v>
      </c>
      <c r="X643" t="str">
        <f>Orders[[#This Row],[Sales Tier]] &amp; "-" &amp; Orders[[#This Row],[Quantity Tier]]</f>
        <v>Low Price-High Volume</v>
      </c>
      <c r="Y643" t="str">
        <f>TEXT(Orders[[#This Row],[Order Date]], "mmmm")</f>
        <v>November</v>
      </c>
      <c r="Z64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643" t="str">
        <f>Orders[[#This Row],[Coffee Type Name]] &amp; "-" &amp; Orders[[#This Row],[Roast Type Name]]</f>
        <v>Liberica-Medium</v>
      </c>
      <c r="AB64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644" spans="1:28" x14ac:dyDescent="0.25">
      <c r="A644" s="2" t="s">
        <v>587</v>
      </c>
      <c r="B644" s="4">
        <v>43757</v>
      </c>
      <c r="C644" s="2" t="s">
        <v>588</v>
      </c>
      <c r="D644" t="s">
        <v>6140</v>
      </c>
      <c r="E644" s="2">
        <v>6</v>
      </c>
      <c r="F644" s="2" t="str">
        <f>_xlfn.XLOOKUP(C644,customers!$A$1:$A$1001,customers!$B$1:$B$1001,,0)</f>
        <v>Rhianon Broxup</v>
      </c>
      <c r="G644" s="2" t="str">
        <f>IF(_xlfn.XLOOKUP(C644,customers!$A$1:$A$1001,customers!$C$1:$C$1001,,0)=0,"",_xlfn.XLOOKUP(C644,customers!$A$1:$A$1001,customers!$C$1:$C$1001,,0))</f>
        <v>rbroxuph@jimdo.com</v>
      </c>
      <c r="H644" s="2" t="str">
        <f>_xlfn.XLOOKUP(C644,customers!$A$1:$A$1001,customers!$G$1:$G$1001,,0)</f>
        <v>United States</v>
      </c>
      <c r="I644" t="str">
        <f>INDEX(products!$A$1:$G$49, MATCH(orders!$D19,products!$A$1:$A66,0), MATCH(orders!I$1,products!$A$1:$G$1,0))</f>
        <v>Ara</v>
      </c>
      <c r="J644" t="str">
        <f>INDEX(products!$A$1:$G$49, MATCH(orders!$D19,products!$A$1:$A66,0), MATCH(orders!J$1,products!$A$1:$G$1,0))</f>
        <v>L</v>
      </c>
      <c r="K644" s="5">
        <f>INDEX(products!$A$1:$G$49, MATCH(orders!$D19,products!$A$1:$A66,0), MATCH(orders!K$1,products!$A$1:$G$1,0))</f>
        <v>1</v>
      </c>
      <c r="L644" s="6">
        <f>INDEX(products!$A$1:$G$49, MATCH(orders!$D19,products!$A$1:$A66,0), MATCH(orders!L$1,products!$A$1:$G$1,0))</f>
        <v>12.95</v>
      </c>
      <c r="M644" s="6">
        <f t="shared" si="30"/>
        <v>77.699999999999989</v>
      </c>
      <c r="N644" t="str">
        <f t="shared" si="31"/>
        <v>Arabica</v>
      </c>
      <c r="O644" t="str">
        <f t="shared" si="32"/>
        <v>Light</v>
      </c>
      <c r="P644" t="str">
        <f>_xlfn.XLOOKUP(Orders[[#This Row],[Customer ID]],customers!$A$1:$A$1001,customers!$I$1:$I$1001,,0)</f>
        <v>No</v>
      </c>
      <c r="Q644">
        <f>COUNTIF(Orders[Order ID],Orders[[#This Row],[Order ID]])</f>
        <v>1</v>
      </c>
      <c r="R644" s="10">
        <f>SUMIF(Orders[Order ID], Orders[[#This Row],[Order ID]],Orders[Sales])/Orders[[#This Row],[Order Frequency]]</f>
        <v>77.699999999999989</v>
      </c>
      <c r="S644" t="str">
        <f>IF(Orders[[#This Row],[Order Frequency]]&gt;4, "More than 4", IF(AND(Orders[[#This Row],[Order Frequency]]&lt;=4,Orders[[#This Row],[Order Frequency]]&gt;=2), "Between 4 and 2", "Less than 2"))</f>
        <v>Less than 2</v>
      </c>
      <c r="T644" t="str">
        <f>IF(Orders[[#This Row],[Frequency Group]]="less than 2", "Low Value", IF(Orders[[#This Row],[Frequency Group]]="between 4 and 2", "Medium Value", "High Value"))</f>
        <v>Low Value</v>
      </c>
      <c r="U644" t="str">
        <f>IF(Orders[[#This Row],[Sales]]&lt;50, "$0-50", IF(AND(Orders[[#This Row],[Sales]]&gt;=50,Orders[[#This Row],[Sales]]&lt;=100), "$50-100", IF(AND(Orders[[#This Row],[Sales]]&gt;100,Orders[[#This Row],[Sales]]&lt;=150), "$101-150", "$150+")))</f>
        <v>$50-100</v>
      </c>
      <c r="V644" t="str">
        <f>IF(Orders[[#This Row],[Sales]]&gt;MEDIAN(M:M), "High Price", "Low Price")</f>
        <v>High Price</v>
      </c>
      <c r="W644" t="str">
        <f>IF(Orders[[#This Row],[Quantity]]&gt;MEDIAN(E:E), "High Volume", "Low Volume")</f>
        <v>High Volume</v>
      </c>
      <c r="X644" t="str">
        <f>Orders[[#This Row],[Sales Tier]] &amp; "-" &amp; Orders[[#This Row],[Quantity Tier]]</f>
        <v>High Price-High Volume</v>
      </c>
      <c r="Y644" t="str">
        <f>TEXT(Orders[[#This Row],[Order Date]], "mmmm")</f>
        <v>October</v>
      </c>
      <c r="Z64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644" t="str">
        <f>Orders[[#This Row],[Coffee Type Name]] &amp; "-" &amp; Orders[[#This Row],[Roast Type Name]]</f>
        <v>Arabica-Light</v>
      </c>
      <c r="AB64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645" spans="1:28" x14ac:dyDescent="0.25">
      <c r="A645" s="2" t="s">
        <v>1765</v>
      </c>
      <c r="B645" s="4">
        <v>43887</v>
      </c>
      <c r="C645" s="2" t="s">
        <v>1766</v>
      </c>
      <c r="D645" t="s">
        <v>6175</v>
      </c>
      <c r="E645" s="2">
        <v>5</v>
      </c>
      <c r="F645" s="2" t="str">
        <f>_xlfn.XLOOKUP(C645,customers!$A$1:$A$1001,customers!$B$1:$B$1001,,0)</f>
        <v>Anabelle Hutchens</v>
      </c>
      <c r="G645" s="2" t="str">
        <f>IF(_xlfn.XLOOKUP(C645,customers!$A$1:$A$1001,customers!$C$1:$C$1001,,0)=0,"",_xlfn.XLOOKUP(C645,customers!$A$1:$A$1001,customers!$C$1:$C$1001,,0))</f>
        <v>ahutchens6a@amazonaws.com</v>
      </c>
      <c r="H645" s="2" t="str">
        <f>_xlfn.XLOOKUP(C645,customers!$A$1:$A$1001,customers!$G$1:$G$1001,,0)</f>
        <v>United States</v>
      </c>
      <c r="I645" t="str">
        <f>INDEX(products!$A$1:$G$49, MATCH(orders!$D228,products!$A$1:$A275,0), MATCH(orders!I$1,products!$A$1:$G$1,0))</f>
        <v>Ara</v>
      </c>
      <c r="J645" t="str">
        <f>INDEX(products!$A$1:$G$49, MATCH(orders!$D228,products!$A$1:$A275,0), MATCH(orders!J$1,products!$A$1:$G$1,0))</f>
        <v>M</v>
      </c>
      <c r="K645" s="5">
        <f>INDEX(products!$A$1:$G$49, MATCH(orders!$D228,products!$A$1:$A275,0), MATCH(orders!K$1,products!$A$1:$G$1,0))</f>
        <v>2.5</v>
      </c>
      <c r="L645" s="6">
        <f>INDEX(products!$A$1:$G$49, MATCH(orders!$D228,products!$A$1:$A275,0), MATCH(orders!L$1,products!$A$1:$G$1,0))</f>
        <v>25.874999999999996</v>
      </c>
      <c r="M645" s="6">
        <f t="shared" si="30"/>
        <v>129.37499999999997</v>
      </c>
      <c r="N645" t="str">
        <f t="shared" si="31"/>
        <v>Arabica</v>
      </c>
      <c r="O645" t="str">
        <f t="shared" si="32"/>
        <v>Medium</v>
      </c>
      <c r="P645" t="str">
        <f>_xlfn.XLOOKUP(Orders[[#This Row],[Customer ID]],customers!$A$1:$A$1001,customers!$I$1:$I$1001,,0)</f>
        <v>No</v>
      </c>
      <c r="Q645">
        <f>COUNTIF(Orders[Order ID],Orders[[#This Row],[Order ID]])</f>
        <v>1</v>
      </c>
      <c r="R645" s="10">
        <f>SUMIF(Orders[Order ID], Orders[[#This Row],[Order ID]],Orders[Sales])/Orders[[#This Row],[Order Frequency]]</f>
        <v>129.37499999999997</v>
      </c>
      <c r="S645" t="str">
        <f>IF(Orders[[#This Row],[Order Frequency]]&gt;4, "More than 4", IF(AND(Orders[[#This Row],[Order Frequency]]&lt;=4,Orders[[#This Row],[Order Frequency]]&gt;=2), "Between 4 and 2", "Less than 2"))</f>
        <v>Less than 2</v>
      </c>
      <c r="T645" t="str">
        <f>IF(Orders[[#This Row],[Frequency Group]]="less than 2", "Low Value", IF(Orders[[#This Row],[Frequency Group]]="between 4 and 2", "Medium Value", "High Value"))</f>
        <v>Low Value</v>
      </c>
      <c r="U645" t="str">
        <f>IF(Orders[[#This Row],[Sales]]&lt;50, "$0-50", IF(AND(Orders[[#This Row],[Sales]]&gt;=50,Orders[[#This Row],[Sales]]&lt;=100), "$50-100", IF(AND(Orders[[#This Row],[Sales]]&gt;100,Orders[[#This Row],[Sales]]&lt;=150), "$101-150", "$150+")))</f>
        <v>$101-150</v>
      </c>
      <c r="V645" t="str">
        <f>IF(Orders[[#This Row],[Sales]]&gt;MEDIAN(M:M), "High Price", "Low Price")</f>
        <v>High Price</v>
      </c>
      <c r="W645" t="str">
        <f>IF(Orders[[#This Row],[Quantity]]&gt;MEDIAN(E:E), "High Volume", "Low Volume")</f>
        <v>High Volume</v>
      </c>
      <c r="X645" t="str">
        <f>Orders[[#This Row],[Sales Tier]] &amp; "-" &amp; Orders[[#This Row],[Quantity Tier]]</f>
        <v>High Price-High Volume</v>
      </c>
      <c r="Y645" t="str">
        <f>TEXT(Orders[[#This Row],[Order Date]], "mmmm")</f>
        <v>February</v>
      </c>
      <c r="Z64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645" t="str">
        <f>Orders[[#This Row],[Coffee Type Name]] &amp; "-" &amp; Orders[[#This Row],[Roast Type Name]]</f>
        <v>Arabica-Medium</v>
      </c>
      <c r="AB64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646" spans="1:28" x14ac:dyDescent="0.25">
      <c r="A646" s="2" t="s">
        <v>5822</v>
      </c>
      <c r="B646" s="4">
        <v>44719</v>
      </c>
      <c r="C646" s="2" t="s">
        <v>5823</v>
      </c>
      <c r="D646" t="s">
        <v>6180</v>
      </c>
      <c r="E646" s="2">
        <v>6</v>
      </c>
      <c r="F646" s="2" t="str">
        <f>_xlfn.XLOOKUP(C646,customers!$A$1:$A$1001,customers!$B$1:$B$1001,,0)</f>
        <v>Augustin Waterhouse</v>
      </c>
      <c r="G646" s="2" t="str">
        <f>IF(_xlfn.XLOOKUP(C646,customers!$A$1:$A$1001,customers!$C$1:$C$1001,,0)=0,"",_xlfn.XLOOKUP(C646,customers!$A$1:$A$1001,customers!$C$1:$C$1001,,0))</f>
        <v>awaterhouseq7@istockphoto.com</v>
      </c>
      <c r="H646" s="2" t="str">
        <f>_xlfn.XLOOKUP(C646,customers!$A$1:$A$1001,customers!$G$1:$G$1001,,0)</f>
        <v>United States</v>
      </c>
      <c r="I646" t="str">
        <f>INDEX(products!$A$1:$G$49, MATCH(orders!$D945,products!$A$1:$A992,0), MATCH(orders!I$1,products!$A$1:$G$1,0))</f>
        <v>Ara</v>
      </c>
      <c r="J646" t="str">
        <f>INDEX(products!$A$1:$G$49, MATCH(orders!$D945,products!$A$1:$A992,0), MATCH(orders!J$1,products!$A$1:$G$1,0))</f>
        <v>L</v>
      </c>
      <c r="K646" s="5">
        <f>INDEX(products!$A$1:$G$49, MATCH(orders!$D945,products!$A$1:$A992,0), MATCH(orders!K$1,products!$A$1:$G$1,0))</f>
        <v>0.5</v>
      </c>
      <c r="L646" s="6">
        <f>INDEX(products!$A$1:$G$49, MATCH(orders!$D945,products!$A$1:$A992,0), MATCH(orders!L$1,products!$A$1:$G$1,0))</f>
        <v>7.77</v>
      </c>
      <c r="M646" s="6">
        <f t="shared" si="30"/>
        <v>46.62</v>
      </c>
      <c r="N646" t="str">
        <f t="shared" si="31"/>
        <v>Arabica</v>
      </c>
      <c r="O646" t="str">
        <f t="shared" si="32"/>
        <v>Light</v>
      </c>
      <c r="P646" t="str">
        <f>_xlfn.XLOOKUP(Orders[[#This Row],[Customer ID]],customers!$A$1:$A$1001,customers!$I$1:$I$1001,,0)</f>
        <v>No</v>
      </c>
      <c r="Q646">
        <f>COUNTIF(Orders[Order ID],Orders[[#This Row],[Order ID]])</f>
        <v>1</v>
      </c>
      <c r="R646" s="10">
        <f>SUMIF(Orders[Order ID], Orders[[#This Row],[Order ID]],Orders[Sales])/Orders[[#This Row],[Order Frequency]]</f>
        <v>46.62</v>
      </c>
      <c r="S646" t="str">
        <f>IF(Orders[[#This Row],[Order Frequency]]&gt;4, "More than 4", IF(AND(Orders[[#This Row],[Order Frequency]]&lt;=4,Orders[[#This Row],[Order Frequency]]&gt;=2), "Between 4 and 2", "Less than 2"))</f>
        <v>Less than 2</v>
      </c>
      <c r="T646" t="str">
        <f>IF(Orders[[#This Row],[Frequency Group]]="less than 2", "Low Value", IF(Orders[[#This Row],[Frequency Group]]="between 4 and 2", "Medium Value", "High Value"))</f>
        <v>Low Value</v>
      </c>
      <c r="U646" t="str">
        <f>IF(Orders[[#This Row],[Sales]]&lt;50, "$0-50", IF(AND(Orders[[#This Row],[Sales]]&gt;=50,Orders[[#This Row],[Sales]]&lt;=100), "$50-100", IF(AND(Orders[[#This Row],[Sales]]&gt;100,Orders[[#This Row],[Sales]]&lt;=150), "$101-150", "$150+")))</f>
        <v>$0-50</v>
      </c>
      <c r="V646" t="str">
        <f>IF(Orders[[#This Row],[Sales]]&gt;MEDIAN(M:M), "High Price", "Low Price")</f>
        <v>High Price</v>
      </c>
      <c r="W646" t="str">
        <f>IF(Orders[[#This Row],[Quantity]]&gt;MEDIAN(E:E), "High Volume", "Low Volume")</f>
        <v>High Volume</v>
      </c>
      <c r="X646" t="str">
        <f>Orders[[#This Row],[Sales Tier]] &amp; "-" &amp; Orders[[#This Row],[Quantity Tier]]</f>
        <v>High Price-High Volume</v>
      </c>
      <c r="Y646" t="str">
        <f>TEXT(Orders[[#This Row],[Order Date]], "mmmm")</f>
        <v>June</v>
      </c>
      <c r="Z64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646" t="str">
        <f>Orders[[#This Row],[Coffee Type Name]] &amp; "-" &amp; Orders[[#This Row],[Roast Type Name]]</f>
        <v>Arabica-Light</v>
      </c>
      <c r="AB64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647" spans="1:28" x14ac:dyDescent="0.25">
      <c r="A647" s="2" t="s">
        <v>1152</v>
      </c>
      <c r="B647" s="4">
        <v>43760</v>
      </c>
      <c r="C647" s="2" t="s">
        <v>1153</v>
      </c>
      <c r="D647" t="s">
        <v>6144</v>
      </c>
      <c r="E647" s="2">
        <v>3</v>
      </c>
      <c r="F647" s="2" t="str">
        <f>_xlfn.XLOOKUP(C647,customers!$A$1:$A$1001,customers!$B$1:$B$1001,,0)</f>
        <v>Muffin Yallop</v>
      </c>
      <c r="G647" s="2" t="str">
        <f>IF(_xlfn.XLOOKUP(C647,customers!$A$1:$A$1001,customers!$C$1:$C$1001,,0)=0,"",_xlfn.XLOOKUP(C647,customers!$A$1:$A$1001,customers!$C$1:$C$1001,,0))</f>
        <v>myallop3a@fema.gov</v>
      </c>
      <c r="H647" s="2" t="str">
        <f>_xlfn.XLOOKUP(C647,customers!$A$1:$A$1001,customers!$G$1:$G$1001,,0)</f>
        <v>United States</v>
      </c>
      <c r="I647" t="str">
        <f>INDEX(products!$A$1:$G$49, MATCH(orders!$D120,products!$A$1:$A167,0), MATCH(orders!I$1,products!$A$1:$G$1,0))</f>
        <v>Exc</v>
      </c>
      <c r="J647" t="str">
        <f>INDEX(products!$A$1:$G$49, MATCH(orders!$D120,products!$A$1:$A167,0), MATCH(orders!J$1,products!$A$1:$G$1,0))</f>
        <v>D</v>
      </c>
      <c r="K647" s="5">
        <f>INDEX(products!$A$1:$G$49, MATCH(orders!$D120,products!$A$1:$A167,0), MATCH(orders!K$1,products!$A$1:$G$1,0))</f>
        <v>0.5</v>
      </c>
      <c r="L647" s="6">
        <f>INDEX(products!$A$1:$G$49, MATCH(orders!$D120,products!$A$1:$A167,0), MATCH(orders!L$1,products!$A$1:$G$1,0))</f>
        <v>7.29</v>
      </c>
      <c r="M647" s="6">
        <f t="shared" si="30"/>
        <v>21.87</v>
      </c>
      <c r="N647" t="str">
        <f t="shared" si="31"/>
        <v>Excelsa</v>
      </c>
      <c r="O647" t="str">
        <f t="shared" si="32"/>
        <v>Dark</v>
      </c>
      <c r="P647" t="str">
        <f>_xlfn.XLOOKUP(Orders[[#This Row],[Customer ID]],customers!$A$1:$A$1001,customers!$I$1:$I$1001,,0)</f>
        <v>Yes</v>
      </c>
      <c r="Q647">
        <f>COUNTIF(Orders[Order ID],Orders[[#This Row],[Order ID]])</f>
        <v>1</v>
      </c>
      <c r="R647" s="10">
        <f>SUMIF(Orders[Order ID], Orders[[#This Row],[Order ID]],Orders[Sales])/Orders[[#This Row],[Order Frequency]]</f>
        <v>21.87</v>
      </c>
      <c r="S647" t="str">
        <f>IF(Orders[[#This Row],[Order Frequency]]&gt;4, "More than 4", IF(AND(Orders[[#This Row],[Order Frequency]]&lt;=4,Orders[[#This Row],[Order Frequency]]&gt;=2), "Between 4 and 2", "Less than 2"))</f>
        <v>Less than 2</v>
      </c>
      <c r="T647" t="str">
        <f>IF(Orders[[#This Row],[Frequency Group]]="less than 2", "Low Value", IF(Orders[[#This Row],[Frequency Group]]="between 4 and 2", "Medium Value", "High Value"))</f>
        <v>Low Value</v>
      </c>
      <c r="U647" t="str">
        <f>IF(Orders[[#This Row],[Sales]]&lt;50, "$0-50", IF(AND(Orders[[#This Row],[Sales]]&gt;=50,Orders[[#This Row],[Sales]]&lt;=100), "$50-100", IF(AND(Orders[[#This Row],[Sales]]&gt;100,Orders[[#This Row],[Sales]]&lt;=150), "$101-150", "$150+")))</f>
        <v>$0-50</v>
      </c>
      <c r="V647" t="str">
        <f>IF(Orders[[#This Row],[Sales]]&gt;MEDIAN(M:M), "High Price", "Low Price")</f>
        <v>Low Price</v>
      </c>
      <c r="W647" t="str">
        <f>IF(Orders[[#This Row],[Quantity]]&gt;MEDIAN(E:E), "High Volume", "Low Volume")</f>
        <v>Low Volume</v>
      </c>
      <c r="X647" t="str">
        <f>Orders[[#This Row],[Sales Tier]] &amp; "-" &amp; Orders[[#This Row],[Quantity Tier]]</f>
        <v>Low Price-Low Volume</v>
      </c>
      <c r="Y647" t="str">
        <f>TEXT(Orders[[#This Row],[Order Date]], "mmmm")</f>
        <v>October</v>
      </c>
      <c r="Z64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647" t="str">
        <f>Orders[[#This Row],[Coffee Type Name]] &amp; "-" &amp; Orders[[#This Row],[Roast Type Name]]</f>
        <v>Excelsa-Dark</v>
      </c>
      <c r="AB64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648" spans="1:28" x14ac:dyDescent="0.25">
      <c r="A648" s="2" t="s">
        <v>1822</v>
      </c>
      <c r="B648" s="4">
        <v>43873</v>
      </c>
      <c r="C648" s="2" t="s">
        <v>1823</v>
      </c>
      <c r="D648" t="s">
        <v>6165</v>
      </c>
      <c r="E648" s="2">
        <v>3</v>
      </c>
      <c r="F648" s="2" t="str">
        <f>_xlfn.XLOOKUP(C648,customers!$A$1:$A$1001,customers!$B$1:$B$1001,,0)</f>
        <v>Carlie Harce</v>
      </c>
      <c r="G648" s="2" t="str">
        <f>IF(_xlfn.XLOOKUP(C648,customers!$A$1:$A$1001,customers!$C$1:$C$1001,,0)=0,"",_xlfn.XLOOKUP(C648,customers!$A$1:$A$1001,customers!$C$1:$C$1001,,0))</f>
        <v>charce6k@cafepress.com</v>
      </c>
      <c r="H648" s="2" t="str">
        <f>_xlfn.XLOOKUP(C648,customers!$A$1:$A$1001,customers!$G$1:$G$1001,,0)</f>
        <v>Ireland</v>
      </c>
      <c r="I648" t="str">
        <f>INDEX(products!$A$1:$G$49, MATCH(orders!$D238,products!$A$1:$A285,0), MATCH(orders!I$1,products!$A$1:$G$1,0))</f>
        <v>Lib</v>
      </c>
      <c r="J648" t="str">
        <f>INDEX(products!$A$1:$G$49, MATCH(orders!$D238,products!$A$1:$A285,0), MATCH(orders!J$1,products!$A$1:$G$1,0))</f>
        <v>D</v>
      </c>
      <c r="K648" s="5">
        <f>INDEX(products!$A$1:$G$49, MATCH(orders!$D238,products!$A$1:$A285,0), MATCH(orders!K$1,products!$A$1:$G$1,0))</f>
        <v>2.5</v>
      </c>
      <c r="L648" s="6">
        <f>INDEX(products!$A$1:$G$49, MATCH(orders!$D238,products!$A$1:$A285,0), MATCH(orders!L$1,products!$A$1:$G$1,0))</f>
        <v>29.784999999999997</v>
      </c>
      <c r="M648" s="6">
        <f t="shared" si="30"/>
        <v>89.35499999999999</v>
      </c>
      <c r="N648" t="str">
        <f t="shared" si="31"/>
        <v>Liberica</v>
      </c>
      <c r="O648" t="str">
        <f t="shared" si="32"/>
        <v>Dark</v>
      </c>
      <c r="P648" t="str">
        <f>_xlfn.XLOOKUP(Orders[[#This Row],[Customer ID]],customers!$A$1:$A$1001,customers!$I$1:$I$1001,,0)</f>
        <v>No</v>
      </c>
      <c r="Q648">
        <f>COUNTIF(Orders[Order ID],Orders[[#This Row],[Order ID]])</f>
        <v>1</v>
      </c>
      <c r="R648" s="10">
        <f>SUMIF(Orders[Order ID], Orders[[#This Row],[Order ID]],Orders[Sales])/Orders[[#This Row],[Order Frequency]]</f>
        <v>89.35499999999999</v>
      </c>
      <c r="S648" t="str">
        <f>IF(Orders[[#This Row],[Order Frequency]]&gt;4, "More than 4", IF(AND(Orders[[#This Row],[Order Frequency]]&lt;=4,Orders[[#This Row],[Order Frequency]]&gt;=2), "Between 4 and 2", "Less than 2"))</f>
        <v>Less than 2</v>
      </c>
      <c r="T648" t="str">
        <f>IF(Orders[[#This Row],[Frequency Group]]="less than 2", "Low Value", IF(Orders[[#This Row],[Frequency Group]]="between 4 and 2", "Medium Value", "High Value"))</f>
        <v>Low Value</v>
      </c>
      <c r="U648" t="str">
        <f>IF(Orders[[#This Row],[Sales]]&lt;50, "$0-50", IF(AND(Orders[[#This Row],[Sales]]&gt;=50,Orders[[#This Row],[Sales]]&lt;=100), "$50-100", IF(AND(Orders[[#This Row],[Sales]]&gt;100,Orders[[#This Row],[Sales]]&lt;=150), "$101-150", "$150+")))</f>
        <v>$50-100</v>
      </c>
      <c r="V648" t="str">
        <f>IF(Orders[[#This Row],[Sales]]&gt;MEDIAN(M:M), "High Price", "Low Price")</f>
        <v>High Price</v>
      </c>
      <c r="W648" t="str">
        <f>IF(Orders[[#This Row],[Quantity]]&gt;MEDIAN(E:E), "High Volume", "Low Volume")</f>
        <v>Low Volume</v>
      </c>
      <c r="X648" t="str">
        <f>Orders[[#This Row],[Sales Tier]] &amp; "-" &amp; Orders[[#This Row],[Quantity Tier]]</f>
        <v>High Price-Low Volume</v>
      </c>
      <c r="Y648" t="str">
        <f>TEXT(Orders[[#This Row],[Order Date]], "mmmm")</f>
        <v>February</v>
      </c>
      <c r="Z64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648" t="str">
        <f>Orders[[#This Row],[Coffee Type Name]] &amp; "-" &amp; Orders[[#This Row],[Roast Type Name]]</f>
        <v>Liberica-Dark</v>
      </c>
      <c r="AB64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649" spans="1:28" x14ac:dyDescent="0.25">
      <c r="A649" s="2" t="s">
        <v>4642</v>
      </c>
      <c r="B649" s="4">
        <v>44757</v>
      </c>
      <c r="C649" s="2" t="s">
        <v>4643</v>
      </c>
      <c r="D649" t="s">
        <v>6153</v>
      </c>
      <c r="E649" s="2">
        <v>6</v>
      </c>
      <c r="F649" s="2" t="str">
        <f>_xlfn.XLOOKUP(C649,customers!$A$1:$A$1001,customers!$B$1:$B$1001,,0)</f>
        <v>Babb Pollins</v>
      </c>
      <c r="G649" s="2" t="str">
        <f>IF(_xlfn.XLOOKUP(C649,customers!$A$1:$A$1001,customers!$C$1:$C$1001,,0)=0,"",_xlfn.XLOOKUP(C649,customers!$A$1:$A$1001,customers!$C$1:$C$1001,,0))</f>
        <v>bpollinskf@shinystat.com</v>
      </c>
      <c r="H649" s="2" t="str">
        <f>_xlfn.XLOOKUP(C649,customers!$A$1:$A$1001,customers!$G$1:$G$1001,,0)</f>
        <v>United States</v>
      </c>
      <c r="I649" t="str">
        <f>INDEX(products!$A$1:$G$49, MATCH(orders!$D737,products!$A$1:$A784,0), MATCH(orders!I$1,products!$A$1:$G$1,0))</f>
        <v>Exc</v>
      </c>
      <c r="J649" t="str">
        <f>INDEX(products!$A$1:$G$49, MATCH(orders!$D737,products!$A$1:$A784,0), MATCH(orders!J$1,products!$A$1:$G$1,0))</f>
        <v>D</v>
      </c>
      <c r="K649" s="5">
        <f>INDEX(products!$A$1:$G$49, MATCH(orders!$D737,products!$A$1:$A784,0), MATCH(orders!K$1,products!$A$1:$G$1,0))</f>
        <v>0.2</v>
      </c>
      <c r="L649" s="6">
        <f>INDEX(products!$A$1:$G$49, MATCH(orders!$D737,products!$A$1:$A784,0), MATCH(orders!L$1,products!$A$1:$G$1,0))</f>
        <v>3.645</v>
      </c>
      <c r="M649" s="6">
        <f t="shared" si="30"/>
        <v>21.87</v>
      </c>
      <c r="N649" t="str">
        <f t="shared" si="31"/>
        <v>Excelsa</v>
      </c>
      <c r="O649" t="str">
        <f t="shared" si="32"/>
        <v>Dark</v>
      </c>
      <c r="P649" t="str">
        <f>_xlfn.XLOOKUP(Orders[[#This Row],[Customer ID]],customers!$A$1:$A$1001,customers!$I$1:$I$1001,,0)</f>
        <v>No</v>
      </c>
      <c r="Q649">
        <f>COUNTIF(Orders[Order ID],Orders[[#This Row],[Order ID]])</f>
        <v>1</v>
      </c>
      <c r="R649" s="10">
        <f>SUMIF(Orders[Order ID], Orders[[#This Row],[Order ID]],Orders[Sales])/Orders[[#This Row],[Order Frequency]]</f>
        <v>21.87</v>
      </c>
      <c r="S649" t="str">
        <f>IF(Orders[[#This Row],[Order Frequency]]&gt;4, "More than 4", IF(AND(Orders[[#This Row],[Order Frequency]]&lt;=4,Orders[[#This Row],[Order Frequency]]&gt;=2), "Between 4 and 2", "Less than 2"))</f>
        <v>Less than 2</v>
      </c>
      <c r="T649" t="str">
        <f>IF(Orders[[#This Row],[Frequency Group]]="less than 2", "Low Value", IF(Orders[[#This Row],[Frequency Group]]="between 4 and 2", "Medium Value", "High Value"))</f>
        <v>Low Value</v>
      </c>
      <c r="U649" t="str">
        <f>IF(Orders[[#This Row],[Sales]]&lt;50, "$0-50", IF(AND(Orders[[#This Row],[Sales]]&gt;=50,Orders[[#This Row],[Sales]]&lt;=100), "$50-100", IF(AND(Orders[[#This Row],[Sales]]&gt;100,Orders[[#This Row],[Sales]]&lt;=150), "$101-150", "$150+")))</f>
        <v>$0-50</v>
      </c>
      <c r="V649" t="str">
        <f>IF(Orders[[#This Row],[Sales]]&gt;MEDIAN(M:M), "High Price", "Low Price")</f>
        <v>Low Price</v>
      </c>
      <c r="W649" t="str">
        <f>IF(Orders[[#This Row],[Quantity]]&gt;MEDIAN(E:E), "High Volume", "Low Volume")</f>
        <v>High Volume</v>
      </c>
      <c r="X649" t="str">
        <f>Orders[[#This Row],[Sales Tier]] &amp; "-" &amp; Orders[[#This Row],[Quantity Tier]]</f>
        <v>Low Price-High Volume</v>
      </c>
      <c r="Y649" t="str">
        <f>TEXT(Orders[[#This Row],[Order Date]], "mmmm")</f>
        <v>July</v>
      </c>
      <c r="Z64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649" t="str">
        <f>Orders[[#This Row],[Coffee Type Name]] &amp; "-" &amp; Orders[[#This Row],[Roast Type Name]]</f>
        <v>Excelsa-Dark</v>
      </c>
      <c r="AB64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650" spans="1:28" x14ac:dyDescent="0.25">
      <c r="A650" s="2" t="s">
        <v>2844</v>
      </c>
      <c r="B650" s="4">
        <v>44142</v>
      </c>
      <c r="C650" s="2" t="s">
        <v>2845</v>
      </c>
      <c r="D650" t="s">
        <v>6182</v>
      </c>
      <c r="E650" s="2">
        <v>5</v>
      </c>
      <c r="F650" s="2" t="str">
        <f>_xlfn.XLOOKUP(C650,customers!$A$1:$A$1001,customers!$B$1:$B$1001,,0)</f>
        <v>Broderick McGilvra</v>
      </c>
      <c r="G650" s="2" t="str">
        <f>IF(_xlfn.XLOOKUP(C650,customers!$A$1:$A$1001,customers!$C$1:$C$1001,,0)=0,"",_xlfn.XLOOKUP(C650,customers!$A$1:$A$1001,customers!$C$1:$C$1001,,0))</f>
        <v>bmcgilvrabm@so-net.ne.jp</v>
      </c>
      <c r="H650" s="2" t="str">
        <f>_xlfn.XLOOKUP(C650,customers!$A$1:$A$1001,customers!$G$1:$G$1001,,0)</f>
        <v>United States</v>
      </c>
      <c r="I650" t="str">
        <f>INDEX(products!$A$1:$G$49, MATCH(orders!$D420,products!$A$1:$A467,0), MATCH(orders!I$1,products!$A$1:$G$1,0))</f>
        <v>Ara</v>
      </c>
      <c r="J650" t="str">
        <f>INDEX(products!$A$1:$G$49, MATCH(orders!$D420,products!$A$1:$A467,0), MATCH(orders!J$1,products!$A$1:$G$1,0))</f>
        <v>L</v>
      </c>
      <c r="K650" s="5">
        <f>INDEX(products!$A$1:$G$49, MATCH(orders!$D420,products!$A$1:$A467,0), MATCH(orders!K$1,products!$A$1:$G$1,0))</f>
        <v>2.5</v>
      </c>
      <c r="L650" s="6">
        <f>INDEX(products!$A$1:$G$49, MATCH(orders!$D420,products!$A$1:$A467,0), MATCH(orders!L$1,products!$A$1:$G$1,0))</f>
        <v>29.784999999999997</v>
      </c>
      <c r="M650" s="6">
        <f t="shared" si="30"/>
        <v>148.92499999999998</v>
      </c>
      <c r="N650" t="str">
        <f t="shared" si="31"/>
        <v>Arabica</v>
      </c>
      <c r="O650" t="str">
        <f t="shared" si="32"/>
        <v>Light</v>
      </c>
      <c r="P650" t="str">
        <f>_xlfn.XLOOKUP(Orders[[#This Row],[Customer ID]],customers!$A$1:$A$1001,customers!$I$1:$I$1001,,0)</f>
        <v>Yes</v>
      </c>
      <c r="Q650">
        <f>COUNTIF(Orders[Order ID],Orders[[#This Row],[Order ID]])</f>
        <v>1</v>
      </c>
      <c r="R650" s="10">
        <f>SUMIF(Orders[Order ID], Orders[[#This Row],[Order ID]],Orders[Sales])/Orders[[#This Row],[Order Frequency]]</f>
        <v>148.92499999999998</v>
      </c>
      <c r="S650" t="str">
        <f>IF(Orders[[#This Row],[Order Frequency]]&gt;4, "More than 4", IF(AND(Orders[[#This Row],[Order Frequency]]&lt;=4,Orders[[#This Row],[Order Frequency]]&gt;=2), "Between 4 and 2", "Less than 2"))</f>
        <v>Less than 2</v>
      </c>
      <c r="T650" t="str">
        <f>IF(Orders[[#This Row],[Frequency Group]]="less than 2", "Low Value", IF(Orders[[#This Row],[Frequency Group]]="between 4 and 2", "Medium Value", "High Value"))</f>
        <v>Low Value</v>
      </c>
      <c r="U650" t="str">
        <f>IF(Orders[[#This Row],[Sales]]&lt;50, "$0-50", IF(AND(Orders[[#This Row],[Sales]]&gt;=50,Orders[[#This Row],[Sales]]&lt;=100), "$50-100", IF(AND(Orders[[#This Row],[Sales]]&gt;100,Orders[[#This Row],[Sales]]&lt;=150), "$101-150", "$150+")))</f>
        <v>$101-150</v>
      </c>
      <c r="V650" t="str">
        <f>IF(Orders[[#This Row],[Sales]]&gt;MEDIAN(M:M), "High Price", "Low Price")</f>
        <v>High Price</v>
      </c>
      <c r="W650" t="str">
        <f>IF(Orders[[#This Row],[Quantity]]&gt;MEDIAN(E:E), "High Volume", "Low Volume")</f>
        <v>High Volume</v>
      </c>
      <c r="X650" t="str">
        <f>Orders[[#This Row],[Sales Tier]] &amp; "-" &amp; Orders[[#This Row],[Quantity Tier]]</f>
        <v>High Price-High Volume</v>
      </c>
      <c r="Y650" t="str">
        <f>TEXT(Orders[[#This Row],[Order Date]], "mmmm")</f>
        <v>November</v>
      </c>
      <c r="Z65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650" t="str">
        <f>Orders[[#This Row],[Coffee Type Name]] &amp; "-" &amp; Orders[[#This Row],[Roast Type Name]]</f>
        <v>Arabica-Light</v>
      </c>
      <c r="AB65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651" spans="1:28" x14ac:dyDescent="0.25">
      <c r="A651" s="2" t="s">
        <v>3927</v>
      </c>
      <c r="B651" s="4">
        <v>44147</v>
      </c>
      <c r="C651" s="2" t="s">
        <v>3928</v>
      </c>
      <c r="D651" t="s">
        <v>6159</v>
      </c>
      <c r="E651" s="2">
        <v>6</v>
      </c>
      <c r="F651" s="2" t="str">
        <f>_xlfn.XLOOKUP(C651,customers!$A$1:$A$1001,customers!$B$1:$B$1001,,0)</f>
        <v>Ancell Fendt</v>
      </c>
      <c r="G651" s="2" t="str">
        <f>IF(_xlfn.XLOOKUP(C651,customers!$A$1:$A$1001,customers!$C$1:$C$1001,,0)=0,"",_xlfn.XLOOKUP(C651,customers!$A$1:$A$1001,customers!$C$1:$C$1001,,0))</f>
        <v>afendtgx@forbes.com</v>
      </c>
      <c r="H651" s="2" t="str">
        <f>_xlfn.XLOOKUP(C651,customers!$A$1:$A$1001,customers!$G$1:$G$1001,,0)</f>
        <v>United States</v>
      </c>
      <c r="I651" t="str">
        <f>INDEX(products!$A$1:$G$49, MATCH(orders!$D611,products!$A$1:$A658,0), MATCH(orders!I$1,products!$A$1:$G$1,0))</f>
        <v>Lib</v>
      </c>
      <c r="J651" t="str">
        <f>INDEX(products!$A$1:$G$49, MATCH(orders!$D611,products!$A$1:$A658,0), MATCH(orders!J$1,products!$A$1:$G$1,0))</f>
        <v>M</v>
      </c>
      <c r="K651" s="5">
        <f>INDEX(products!$A$1:$G$49, MATCH(orders!$D611,products!$A$1:$A658,0), MATCH(orders!K$1,products!$A$1:$G$1,0))</f>
        <v>0.2</v>
      </c>
      <c r="L651" s="6">
        <f>INDEX(products!$A$1:$G$49, MATCH(orders!$D611,products!$A$1:$A658,0), MATCH(orders!L$1,products!$A$1:$G$1,0))</f>
        <v>4.3650000000000002</v>
      </c>
      <c r="M651" s="6">
        <f t="shared" si="30"/>
        <v>26.19</v>
      </c>
      <c r="N651" t="str">
        <f t="shared" si="31"/>
        <v>Liberica</v>
      </c>
      <c r="O651" t="str">
        <f t="shared" si="32"/>
        <v>Medium</v>
      </c>
      <c r="P651" t="str">
        <f>_xlfn.XLOOKUP(Orders[[#This Row],[Customer ID]],customers!$A$1:$A$1001,customers!$I$1:$I$1001,,0)</f>
        <v>Yes</v>
      </c>
      <c r="Q651">
        <f>COUNTIF(Orders[Order ID],Orders[[#This Row],[Order ID]])</f>
        <v>1</v>
      </c>
      <c r="R651" s="10">
        <f>SUMIF(Orders[Order ID], Orders[[#This Row],[Order ID]],Orders[Sales])/Orders[[#This Row],[Order Frequency]]</f>
        <v>26.19</v>
      </c>
      <c r="S651" t="str">
        <f>IF(Orders[[#This Row],[Order Frequency]]&gt;4, "More than 4", IF(AND(Orders[[#This Row],[Order Frequency]]&lt;=4,Orders[[#This Row],[Order Frequency]]&gt;=2), "Between 4 and 2", "Less than 2"))</f>
        <v>Less than 2</v>
      </c>
      <c r="T651" t="str">
        <f>IF(Orders[[#This Row],[Frequency Group]]="less than 2", "Low Value", IF(Orders[[#This Row],[Frequency Group]]="between 4 and 2", "Medium Value", "High Value"))</f>
        <v>Low Value</v>
      </c>
      <c r="U651" t="str">
        <f>IF(Orders[[#This Row],[Sales]]&lt;50, "$0-50", IF(AND(Orders[[#This Row],[Sales]]&gt;=50,Orders[[#This Row],[Sales]]&lt;=100), "$50-100", IF(AND(Orders[[#This Row],[Sales]]&gt;100,Orders[[#This Row],[Sales]]&lt;=150), "$101-150", "$150+")))</f>
        <v>$0-50</v>
      </c>
      <c r="V651" t="str">
        <f>IF(Orders[[#This Row],[Sales]]&gt;MEDIAN(M:M), "High Price", "Low Price")</f>
        <v>Low Price</v>
      </c>
      <c r="W651" t="str">
        <f>IF(Orders[[#This Row],[Quantity]]&gt;MEDIAN(E:E), "High Volume", "Low Volume")</f>
        <v>High Volume</v>
      </c>
      <c r="X651" t="str">
        <f>Orders[[#This Row],[Sales Tier]] &amp; "-" &amp; Orders[[#This Row],[Quantity Tier]]</f>
        <v>Low Price-High Volume</v>
      </c>
      <c r="Y651" t="str">
        <f>TEXT(Orders[[#This Row],[Order Date]], "mmmm")</f>
        <v>November</v>
      </c>
      <c r="Z65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651" t="str">
        <f>Orders[[#This Row],[Coffee Type Name]] &amp; "-" &amp; Orders[[#This Row],[Roast Type Name]]</f>
        <v>Liberica-Medium</v>
      </c>
      <c r="AB65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652" spans="1:28" x14ac:dyDescent="0.25">
      <c r="A652" s="2" t="s">
        <v>5315</v>
      </c>
      <c r="B652" s="4">
        <v>44516</v>
      </c>
      <c r="C652" s="2" t="s">
        <v>5316</v>
      </c>
      <c r="D652" t="s">
        <v>6173</v>
      </c>
      <c r="E652" s="2">
        <v>5</v>
      </c>
      <c r="F652" s="2" t="str">
        <f>_xlfn.XLOOKUP(C652,customers!$A$1:$A$1001,customers!$B$1:$B$1001,,0)</f>
        <v>Skipton Morrall</v>
      </c>
      <c r="G652" s="2" t="str">
        <f>IF(_xlfn.XLOOKUP(C652,customers!$A$1:$A$1001,customers!$C$1:$C$1001,,0)=0,"",_xlfn.XLOOKUP(C652,customers!$A$1:$A$1001,customers!$C$1:$C$1001,,0))</f>
        <v>smorrallnq@answers.com</v>
      </c>
      <c r="H652" s="2" t="str">
        <f>_xlfn.XLOOKUP(C652,customers!$A$1:$A$1001,customers!$G$1:$G$1001,,0)</f>
        <v>United States</v>
      </c>
      <c r="I652" t="str">
        <f>INDEX(products!$A$1:$G$49, MATCH(orders!$D856,products!$A$1:$A903,0), MATCH(orders!I$1,products!$A$1:$G$1,0))</f>
        <v>Rob</v>
      </c>
      <c r="J652" t="str">
        <f>INDEX(products!$A$1:$G$49, MATCH(orders!$D856,products!$A$1:$A903,0), MATCH(orders!J$1,products!$A$1:$G$1,0))</f>
        <v>L</v>
      </c>
      <c r="K652" s="5">
        <f>INDEX(products!$A$1:$G$49, MATCH(orders!$D856,products!$A$1:$A903,0), MATCH(orders!K$1,products!$A$1:$G$1,0))</f>
        <v>0.5</v>
      </c>
      <c r="L652" s="6">
        <f>INDEX(products!$A$1:$G$49, MATCH(orders!$D856,products!$A$1:$A903,0), MATCH(orders!L$1,products!$A$1:$G$1,0))</f>
        <v>7.169999999999999</v>
      </c>
      <c r="M652" s="6">
        <f t="shared" si="30"/>
        <v>35.849999999999994</v>
      </c>
      <c r="N652" t="str">
        <f t="shared" si="31"/>
        <v>Robusta</v>
      </c>
      <c r="O652" t="str">
        <f t="shared" si="32"/>
        <v>Light</v>
      </c>
      <c r="P652" t="str">
        <f>_xlfn.XLOOKUP(Orders[[#This Row],[Customer ID]],customers!$A$1:$A$1001,customers!$I$1:$I$1001,,0)</f>
        <v>Yes</v>
      </c>
      <c r="Q652">
        <f>COUNTIF(Orders[Order ID],Orders[[#This Row],[Order ID]])</f>
        <v>1</v>
      </c>
      <c r="R652" s="10">
        <f>SUMIF(Orders[Order ID], Orders[[#This Row],[Order ID]],Orders[Sales])/Orders[[#This Row],[Order Frequency]]</f>
        <v>35.849999999999994</v>
      </c>
      <c r="S652" t="str">
        <f>IF(Orders[[#This Row],[Order Frequency]]&gt;4, "More than 4", IF(AND(Orders[[#This Row],[Order Frequency]]&lt;=4,Orders[[#This Row],[Order Frequency]]&gt;=2), "Between 4 and 2", "Less than 2"))</f>
        <v>Less than 2</v>
      </c>
      <c r="T652" t="str">
        <f>IF(Orders[[#This Row],[Frequency Group]]="less than 2", "Low Value", IF(Orders[[#This Row],[Frequency Group]]="between 4 and 2", "Medium Value", "High Value"))</f>
        <v>Low Value</v>
      </c>
      <c r="U652" t="str">
        <f>IF(Orders[[#This Row],[Sales]]&lt;50, "$0-50", IF(AND(Orders[[#This Row],[Sales]]&gt;=50,Orders[[#This Row],[Sales]]&lt;=100), "$50-100", IF(AND(Orders[[#This Row],[Sales]]&gt;100,Orders[[#This Row],[Sales]]&lt;=150), "$101-150", "$150+")))</f>
        <v>$0-50</v>
      </c>
      <c r="V652" t="str">
        <f>IF(Orders[[#This Row],[Sales]]&gt;MEDIAN(M:M), "High Price", "Low Price")</f>
        <v>High Price</v>
      </c>
      <c r="W652" t="str">
        <f>IF(Orders[[#This Row],[Quantity]]&gt;MEDIAN(E:E), "High Volume", "Low Volume")</f>
        <v>High Volume</v>
      </c>
      <c r="X652" t="str">
        <f>Orders[[#This Row],[Sales Tier]] &amp; "-" &amp; Orders[[#This Row],[Quantity Tier]]</f>
        <v>High Price-High Volume</v>
      </c>
      <c r="Y652" t="str">
        <f>TEXT(Orders[[#This Row],[Order Date]], "mmmm")</f>
        <v>November</v>
      </c>
      <c r="Z65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652" t="str">
        <f>Orders[[#This Row],[Coffee Type Name]] &amp; "-" &amp; Orders[[#This Row],[Roast Type Name]]</f>
        <v>Robusta-Light</v>
      </c>
      <c r="AB65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653" spans="1:28" x14ac:dyDescent="0.25">
      <c r="A653" s="2" t="s">
        <v>4915</v>
      </c>
      <c r="B653" s="4">
        <v>44312</v>
      </c>
      <c r="C653" s="2" t="s">
        <v>4916</v>
      </c>
      <c r="D653" t="s">
        <v>6160</v>
      </c>
      <c r="E653" s="2">
        <v>5</v>
      </c>
      <c r="F653" s="2" t="str">
        <f>_xlfn.XLOOKUP(C653,customers!$A$1:$A$1001,customers!$B$1:$B$1001,,0)</f>
        <v>Chris Croster</v>
      </c>
      <c r="G653" s="2" t="str">
        <f>IF(_xlfn.XLOOKUP(C653,customers!$A$1:$A$1001,customers!$C$1:$C$1001,,0)=0,"",_xlfn.XLOOKUP(C653,customers!$A$1:$A$1001,customers!$C$1:$C$1001,,0))</f>
        <v>ccrosterlr@gov.uk</v>
      </c>
      <c r="H653" s="2" t="str">
        <f>_xlfn.XLOOKUP(C653,customers!$A$1:$A$1001,customers!$G$1:$G$1001,,0)</f>
        <v>United States</v>
      </c>
      <c r="I653" t="str">
        <f>INDEX(products!$A$1:$G$49, MATCH(orders!$D785,products!$A$1:$A832,0), MATCH(orders!I$1,products!$A$1:$G$1,0))</f>
        <v>Lib</v>
      </c>
      <c r="J653" t="str">
        <f>INDEX(products!$A$1:$G$49, MATCH(orders!$D785,products!$A$1:$A832,0), MATCH(orders!J$1,products!$A$1:$G$1,0))</f>
        <v>M</v>
      </c>
      <c r="K653" s="5">
        <f>INDEX(products!$A$1:$G$49, MATCH(orders!$D785,products!$A$1:$A832,0), MATCH(orders!K$1,products!$A$1:$G$1,0))</f>
        <v>0.5</v>
      </c>
      <c r="L653" s="6">
        <f>INDEX(products!$A$1:$G$49, MATCH(orders!$D785,products!$A$1:$A832,0), MATCH(orders!L$1,products!$A$1:$G$1,0))</f>
        <v>8.73</v>
      </c>
      <c r="M653" s="6">
        <f t="shared" si="30"/>
        <v>43.650000000000006</v>
      </c>
      <c r="N653" t="str">
        <f t="shared" si="31"/>
        <v>Liberica</v>
      </c>
      <c r="O653" t="str">
        <f t="shared" si="32"/>
        <v>Medium</v>
      </c>
      <c r="P653" t="str">
        <f>_xlfn.XLOOKUP(Orders[[#This Row],[Customer ID]],customers!$A$1:$A$1001,customers!$I$1:$I$1001,,0)</f>
        <v>Yes</v>
      </c>
      <c r="Q653">
        <f>COUNTIF(Orders[Order ID],Orders[[#This Row],[Order ID]])</f>
        <v>1</v>
      </c>
      <c r="R653" s="10">
        <f>SUMIF(Orders[Order ID], Orders[[#This Row],[Order ID]],Orders[Sales])/Orders[[#This Row],[Order Frequency]]</f>
        <v>43.650000000000006</v>
      </c>
      <c r="S653" t="str">
        <f>IF(Orders[[#This Row],[Order Frequency]]&gt;4, "More than 4", IF(AND(Orders[[#This Row],[Order Frequency]]&lt;=4,Orders[[#This Row],[Order Frequency]]&gt;=2), "Between 4 and 2", "Less than 2"))</f>
        <v>Less than 2</v>
      </c>
      <c r="T653" t="str">
        <f>IF(Orders[[#This Row],[Frequency Group]]="less than 2", "Low Value", IF(Orders[[#This Row],[Frequency Group]]="between 4 and 2", "Medium Value", "High Value"))</f>
        <v>Low Value</v>
      </c>
      <c r="U653" t="str">
        <f>IF(Orders[[#This Row],[Sales]]&lt;50, "$0-50", IF(AND(Orders[[#This Row],[Sales]]&gt;=50,Orders[[#This Row],[Sales]]&lt;=100), "$50-100", IF(AND(Orders[[#This Row],[Sales]]&gt;100,Orders[[#This Row],[Sales]]&lt;=150), "$101-150", "$150+")))</f>
        <v>$0-50</v>
      </c>
      <c r="V653" t="str">
        <f>IF(Orders[[#This Row],[Sales]]&gt;MEDIAN(M:M), "High Price", "Low Price")</f>
        <v>High Price</v>
      </c>
      <c r="W653" t="str">
        <f>IF(Orders[[#This Row],[Quantity]]&gt;MEDIAN(E:E), "High Volume", "Low Volume")</f>
        <v>High Volume</v>
      </c>
      <c r="X653" t="str">
        <f>Orders[[#This Row],[Sales Tier]] &amp; "-" &amp; Orders[[#This Row],[Quantity Tier]]</f>
        <v>High Price-High Volume</v>
      </c>
      <c r="Y653" t="str">
        <f>TEXT(Orders[[#This Row],[Order Date]], "mmmm")</f>
        <v>April</v>
      </c>
      <c r="Z65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653" t="str">
        <f>Orders[[#This Row],[Coffee Type Name]] &amp; "-" &amp; Orders[[#This Row],[Roast Type Name]]</f>
        <v>Liberica-Medium</v>
      </c>
      <c r="AB65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654" spans="1:28" x14ac:dyDescent="0.25">
      <c r="A654" s="2" t="s">
        <v>2279</v>
      </c>
      <c r="B654" s="4">
        <v>43526</v>
      </c>
      <c r="C654" s="2" t="s">
        <v>2280</v>
      </c>
      <c r="D654" t="s">
        <v>6144</v>
      </c>
      <c r="E654" s="2">
        <v>3</v>
      </c>
      <c r="F654" s="2" t="str">
        <f>_xlfn.XLOOKUP(C654,customers!$A$1:$A$1001,customers!$B$1:$B$1001,,0)</f>
        <v>Selma McMillian</v>
      </c>
      <c r="G654" s="2" t="str">
        <f>IF(_xlfn.XLOOKUP(C654,customers!$A$1:$A$1001,customers!$C$1:$C$1001,,0)=0,"",_xlfn.XLOOKUP(C654,customers!$A$1:$A$1001,customers!$C$1:$C$1001,,0))</f>
        <v>smcmillian8t@csmonitor.com</v>
      </c>
      <c r="H654" s="2" t="str">
        <f>_xlfn.XLOOKUP(C654,customers!$A$1:$A$1001,customers!$G$1:$G$1001,,0)</f>
        <v>United States</v>
      </c>
      <c r="I654" t="str">
        <f>INDEX(products!$A$1:$G$49, MATCH(orders!$D319,products!$A$1:$A366,0), MATCH(orders!I$1,products!$A$1:$G$1,0))</f>
        <v>Exc</v>
      </c>
      <c r="J654" t="str">
        <f>INDEX(products!$A$1:$G$49, MATCH(orders!$D319,products!$A$1:$A366,0), MATCH(orders!J$1,products!$A$1:$G$1,0))</f>
        <v>D</v>
      </c>
      <c r="K654" s="5">
        <f>INDEX(products!$A$1:$G$49, MATCH(orders!$D319,products!$A$1:$A366,0), MATCH(orders!K$1,products!$A$1:$G$1,0))</f>
        <v>0.5</v>
      </c>
      <c r="L654" s="6">
        <f>INDEX(products!$A$1:$G$49, MATCH(orders!$D319,products!$A$1:$A366,0), MATCH(orders!L$1,products!$A$1:$G$1,0))</f>
        <v>7.29</v>
      </c>
      <c r="M654" s="6">
        <f t="shared" si="30"/>
        <v>21.87</v>
      </c>
      <c r="N654" t="str">
        <f t="shared" si="31"/>
        <v>Excelsa</v>
      </c>
      <c r="O654" t="str">
        <f t="shared" si="32"/>
        <v>Dark</v>
      </c>
      <c r="P654" t="str">
        <f>_xlfn.XLOOKUP(Orders[[#This Row],[Customer ID]],customers!$A$1:$A$1001,customers!$I$1:$I$1001,,0)</f>
        <v>No</v>
      </c>
      <c r="Q654">
        <f>COUNTIF(Orders[Order ID],Orders[[#This Row],[Order ID]])</f>
        <v>1</v>
      </c>
      <c r="R654" s="10">
        <f>SUMIF(Orders[Order ID], Orders[[#This Row],[Order ID]],Orders[Sales])/Orders[[#This Row],[Order Frequency]]</f>
        <v>21.87</v>
      </c>
      <c r="S654" t="str">
        <f>IF(Orders[[#This Row],[Order Frequency]]&gt;4, "More than 4", IF(AND(Orders[[#This Row],[Order Frequency]]&lt;=4,Orders[[#This Row],[Order Frequency]]&gt;=2), "Between 4 and 2", "Less than 2"))</f>
        <v>Less than 2</v>
      </c>
      <c r="T654" t="str">
        <f>IF(Orders[[#This Row],[Frequency Group]]="less than 2", "Low Value", IF(Orders[[#This Row],[Frequency Group]]="between 4 and 2", "Medium Value", "High Value"))</f>
        <v>Low Value</v>
      </c>
      <c r="U654" t="str">
        <f>IF(Orders[[#This Row],[Sales]]&lt;50, "$0-50", IF(AND(Orders[[#This Row],[Sales]]&gt;=50,Orders[[#This Row],[Sales]]&lt;=100), "$50-100", IF(AND(Orders[[#This Row],[Sales]]&gt;100,Orders[[#This Row],[Sales]]&lt;=150), "$101-150", "$150+")))</f>
        <v>$0-50</v>
      </c>
      <c r="V654" t="str">
        <f>IF(Orders[[#This Row],[Sales]]&gt;MEDIAN(M:M), "High Price", "Low Price")</f>
        <v>Low Price</v>
      </c>
      <c r="W654" t="str">
        <f>IF(Orders[[#This Row],[Quantity]]&gt;MEDIAN(E:E), "High Volume", "Low Volume")</f>
        <v>Low Volume</v>
      </c>
      <c r="X654" t="str">
        <f>Orders[[#This Row],[Sales Tier]] &amp; "-" &amp; Orders[[#This Row],[Quantity Tier]]</f>
        <v>Low Price-Low Volume</v>
      </c>
      <c r="Y654" t="str">
        <f>TEXT(Orders[[#This Row],[Order Date]], "mmmm")</f>
        <v>March</v>
      </c>
      <c r="Z65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654" t="str">
        <f>Orders[[#This Row],[Coffee Type Name]] &amp; "-" &amp; Orders[[#This Row],[Roast Type Name]]</f>
        <v>Excelsa-Dark</v>
      </c>
      <c r="AB65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655" spans="1:28" x14ac:dyDescent="0.25">
      <c r="A655" s="2" t="s">
        <v>2638</v>
      </c>
      <c r="B655" s="4">
        <v>44646</v>
      </c>
      <c r="C655" s="2" t="s">
        <v>2639</v>
      </c>
      <c r="D655" t="s">
        <v>6154</v>
      </c>
      <c r="E655" s="2">
        <v>5</v>
      </c>
      <c r="F655" s="2" t="str">
        <f>_xlfn.XLOOKUP(C655,customers!$A$1:$A$1001,customers!$B$1:$B$1001,,0)</f>
        <v>Pren Bess</v>
      </c>
      <c r="G655" s="2" t="str">
        <f>IF(_xlfn.XLOOKUP(C655,customers!$A$1:$A$1001,customers!$C$1:$C$1001,,0)=0,"",_xlfn.XLOOKUP(C655,customers!$A$1:$A$1001,customers!$C$1:$C$1001,,0))</f>
        <v>pbessal@qq.com</v>
      </c>
      <c r="H655" s="2" t="str">
        <f>_xlfn.XLOOKUP(C655,customers!$A$1:$A$1001,customers!$G$1:$G$1001,,0)</f>
        <v>United States</v>
      </c>
      <c r="I655" t="str">
        <f>INDEX(products!$A$1:$G$49, MATCH(orders!$D383,products!$A$1:$A430,0), MATCH(orders!I$1,products!$A$1:$G$1,0))</f>
        <v>Ara</v>
      </c>
      <c r="J655" t="str">
        <f>INDEX(products!$A$1:$G$49, MATCH(orders!$D383,products!$A$1:$A430,0), MATCH(orders!J$1,products!$A$1:$G$1,0))</f>
        <v>D</v>
      </c>
      <c r="K655" s="5">
        <f>INDEX(products!$A$1:$G$49, MATCH(orders!$D383,products!$A$1:$A430,0), MATCH(orders!K$1,products!$A$1:$G$1,0))</f>
        <v>0.2</v>
      </c>
      <c r="L655" s="6">
        <f>INDEX(products!$A$1:$G$49, MATCH(orders!$D383,products!$A$1:$A430,0), MATCH(orders!L$1,products!$A$1:$G$1,0))</f>
        <v>2.9849999999999999</v>
      </c>
      <c r="M655" s="6">
        <f t="shared" si="30"/>
        <v>14.924999999999999</v>
      </c>
      <c r="N655" t="str">
        <f t="shared" si="31"/>
        <v>Arabica</v>
      </c>
      <c r="O655" t="str">
        <f t="shared" si="32"/>
        <v>Dark</v>
      </c>
      <c r="P655" t="str">
        <f>_xlfn.XLOOKUP(Orders[[#This Row],[Customer ID]],customers!$A$1:$A$1001,customers!$I$1:$I$1001,,0)</f>
        <v>Yes</v>
      </c>
      <c r="Q655">
        <f>COUNTIF(Orders[Order ID],Orders[[#This Row],[Order ID]])</f>
        <v>1</v>
      </c>
      <c r="R655" s="10">
        <f>SUMIF(Orders[Order ID], Orders[[#This Row],[Order ID]],Orders[Sales])/Orders[[#This Row],[Order Frequency]]</f>
        <v>14.924999999999999</v>
      </c>
      <c r="S655" t="str">
        <f>IF(Orders[[#This Row],[Order Frequency]]&gt;4, "More than 4", IF(AND(Orders[[#This Row],[Order Frequency]]&lt;=4,Orders[[#This Row],[Order Frequency]]&gt;=2), "Between 4 and 2", "Less than 2"))</f>
        <v>Less than 2</v>
      </c>
      <c r="T655" t="str">
        <f>IF(Orders[[#This Row],[Frequency Group]]="less than 2", "Low Value", IF(Orders[[#This Row],[Frequency Group]]="between 4 and 2", "Medium Value", "High Value"))</f>
        <v>Low Value</v>
      </c>
      <c r="U655" t="str">
        <f>IF(Orders[[#This Row],[Sales]]&lt;50, "$0-50", IF(AND(Orders[[#This Row],[Sales]]&gt;=50,Orders[[#This Row],[Sales]]&lt;=100), "$50-100", IF(AND(Orders[[#This Row],[Sales]]&gt;100,Orders[[#This Row],[Sales]]&lt;=150), "$101-150", "$150+")))</f>
        <v>$0-50</v>
      </c>
      <c r="V655" t="str">
        <f>IF(Orders[[#This Row],[Sales]]&gt;MEDIAN(M:M), "High Price", "Low Price")</f>
        <v>Low Price</v>
      </c>
      <c r="W655" t="str">
        <f>IF(Orders[[#This Row],[Quantity]]&gt;MEDIAN(E:E), "High Volume", "Low Volume")</f>
        <v>High Volume</v>
      </c>
      <c r="X655" t="str">
        <f>Orders[[#This Row],[Sales Tier]] &amp; "-" &amp; Orders[[#This Row],[Quantity Tier]]</f>
        <v>Low Price-High Volume</v>
      </c>
      <c r="Y655" t="str">
        <f>TEXT(Orders[[#This Row],[Order Date]], "mmmm")</f>
        <v>March</v>
      </c>
      <c r="Z65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655" t="str">
        <f>Orders[[#This Row],[Coffee Type Name]] &amp; "-" &amp; Orders[[#This Row],[Roast Type Name]]</f>
        <v>Arabica-Dark</v>
      </c>
      <c r="AB65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656" spans="1:28" x14ac:dyDescent="0.25">
      <c r="A656" s="2" t="s">
        <v>3385</v>
      </c>
      <c r="B656" s="4">
        <v>43535</v>
      </c>
      <c r="C656" s="2" t="s">
        <v>3386</v>
      </c>
      <c r="D656" t="s">
        <v>6170</v>
      </c>
      <c r="E656" s="2">
        <v>3</v>
      </c>
      <c r="F656" s="2" t="str">
        <f>_xlfn.XLOOKUP(C656,customers!$A$1:$A$1001,customers!$B$1:$B$1001,,0)</f>
        <v>Celia Bakeup</v>
      </c>
      <c r="G656" s="2" t="str">
        <f>IF(_xlfn.XLOOKUP(C656,customers!$A$1:$A$1001,customers!$C$1:$C$1001,,0)=0,"",_xlfn.XLOOKUP(C656,customers!$A$1:$A$1001,customers!$C$1:$C$1001,,0))</f>
        <v>cbakeupe8@globo.com</v>
      </c>
      <c r="H656" s="2" t="str">
        <f>_xlfn.XLOOKUP(C656,customers!$A$1:$A$1001,customers!$G$1:$G$1001,,0)</f>
        <v>United States</v>
      </c>
      <c r="I656" t="str">
        <f>INDEX(products!$A$1:$G$49, MATCH(orders!$D514,products!$A$1:$A561,0), MATCH(orders!I$1,products!$A$1:$G$1,0))</f>
        <v>Lib</v>
      </c>
      <c r="J656" t="str">
        <f>INDEX(products!$A$1:$G$49, MATCH(orders!$D514,products!$A$1:$A561,0), MATCH(orders!J$1,products!$A$1:$G$1,0))</f>
        <v>L</v>
      </c>
      <c r="K656" s="5">
        <f>INDEX(products!$A$1:$G$49, MATCH(orders!$D514,products!$A$1:$A561,0), MATCH(orders!K$1,products!$A$1:$G$1,0))</f>
        <v>1</v>
      </c>
      <c r="L656" s="6">
        <f>INDEX(products!$A$1:$G$49, MATCH(orders!$D514,products!$A$1:$A561,0), MATCH(orders!L$1,products!$A$1:$G$1,0))</f>
        <v>15.85</v>
      </c>
      <c r="M656" s="6">
        <f t="shared" si="30"/>
        <v>47.55</v>
      </c>
      <c r="N656" t="str">
        <f t="shared" si="31"/>
        <v>Liberica</v>
      </c>
      <c r="O656" t="str">
        <f t="shared" si="32"/>
        <v>Light</v>
      </c>
      <c r="P656" t="str">
        <f>_xlfn.XLOOKUP(Orders[[#This Row],[Customer ID]],customers!$A$1:$A$1001,customers!$I$1:$I$1001,,0)</f>
        <v>No</v>
      </c>
      <c r="Q656">
        <f>COUNTIF(Orders[Order ID],Orders[[#This Row],[Order ID]])</f>
        <v>1</v>
      </c>
      <c r="R656" s="10">
        <f>SUMIF(Orders[Order ID], Orders[[#This Row],[Order ID]],Orders[Sales])/Orders[[#This Row],[Order Frequency]]</f>
        <v>47.55</v>
      </c>
      <c r="S656" t="str">
        <f>IF(Orders[[#This Row],[Order Frequency]]&gt;4, "More than 4", IF(AND(Orders[[#This Row],[Order Frequency]]&lt;=4,Orders[[#This Row],[Order Frequency]]&gt;=2), "Between 4 and 2", "Less than 2"))</f>
        <v>Less than 2</v>
      </c>
      <c r="T656" t="str">
        <f>IF(Orders[[#This Row],[Frequency Group]]="less than 2", "Low Value", IF(Orders[[#This Row],[Frequency Group]]="between 4 and 2", "Medium Value", "High Value"))</f>
        <v>Low Value</v>
      </c>
      <c r="U656" t="str">
        <f>IF(Orders[[#This Row],[Sales]]&lt;50, "$0-50", IF(AND(Orders[[#This Row],[Sales]]&gt;=50,Orders[[#This Row],[Sales]]&lt;=100), "$50-100", IF(AND(Orders[[#This Row],[Sales]]&gt;100,Orders[[#This Row],[Sales]]&lt;=150), "$101-150", "$150+")))</f>
        <v>$0-50</v>
      </c>
      <c r="V656" t="str">
        <f>IF(Orders[[#This Row],[Sales]]&gt;MEDIAN(M:M), "High Price", "Low Price")</f>
        <v>High Price</v>
      </c>
      <c r="W656" t="str">
        <f>IF(Orders[[#This Row],[Quantity]]&gt;MEDIAN(E:E), "High Volume", "Low Volume")</f>
        <v>Low Volume</v>
      </c>
      <c r="X656" t="str">
        <f>Orders[[#This Row],[Sales Tier]] &amp; "-" &amp; Orders[[#This Row],[Quantity Tier]]</f>
        <v>High Price-Low Volume</v>
      </c>
      <c r="Y656" t="str">
        <f>TEXT(Orders[[#This Row],[Order Date]], "mmmm")</f>
        <v>March</v>
      </c>
      <c r="Z65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656" t="str">
        <f>Orders[[#This Row],[Coffee Type Name]] &amp; "-" &amp; Orders[[#This Row],[Roast Type Name]]</f>
        <v>Liberica-Light</v>
      </c>
      <c r="AB65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657" spans="1:28" x14ac:dyDescent="0.25">
      <c r="A657" s="2" t="s">
        <v>6111</v>
      </c>
      <c r="B657" s="4">
        <v>43836</v>
      </c>
      <c r="C657" s="2" t="s">
        <v>6112</v>
      </c>
      <c r="D657" t="s">
        <v>6142</v>
      </c>
      <c r="E657" s="2">
        <v>1</v>
      </c>
      <c r="F657" s="2" t="str">
        <f>_xlfn.XLOOKUP(C657,customers!$A$1:$A$1001,customers!$B$1:$B$1001,,0)</f>
        <v>Jennica Tewelson</v>
      </c>
      <c r="G657" s="2" t="str">
        <f>IF(_xlfn.XLOOKUP(C657,customers!$A$1:$A$1001,customers!$C$1:$C$1001,,0)=0,"",_xlfn.XLOOKUP(C657,customers!$A$1:$A$1001,customers!$C$1:$C$1001,,0))</f>
        <v>jtewelsonrn@samsung.com</v>
      </c>
      <c r="H657" s="2" t="str">
        <f>_xlfn.XLOOKUP(C657,customers!$A$1:$A$1001,customers!$G$1:$G$1001,,0)</f>
        <v>United States</v>
      </c>
      <c r="I657" t="str">
        <f>INDEX(products!$A$1:$G$49, MATCH(orders!$D997,products!$A$1:$A1044,0), MATCH(orders!I$1,products!$A$1:$G$1,0))</f>
        <v>Rob</v>
      </c>
      <c r="J657" t="str">
        <f>INDEX(products!$A$1:$G$49, MATCH(orders!$D997,products!$A$1:$A1044,0), MATCH(orders!J$1,products!$A$1:$G$1,0))</f>
        <v>L</v>
      </c>
      <c r="K657" s="5">
        <f>INDEX(products!$A$1:$G$49, MATCH(orders!$D997,products!$A$1:$A1044,0), MATCH(orders!K$1,products!$A$1:$G$1,0))</f>
        <v>2.5</v>
      </c>
      <c r="L657" s="6">
        <f>INDEX(products!$A$1:$G$49, MATCH(orders!$D997,products!$A$1:$A1044,0), MATCH(orders!L$1,products!$A$1:$G$1,0))</f>
        <v>27.484999999999996</v>
      </c>
      <c r="M657" s="6">
        <f t="shared" si="30"/>
        <v>27.484999999999996</v>
      </c>
      <c r="N657" t="str">
        <f t="shared" si="31"/>
        <v>Robusta</v>
      </c>
      <c r="O657" t="str">
        <f t="shared" si="32"/>
        <v>Light</v>
      </c>
      <c r="P657" t="str">
        <f>_xlfn.XLOOKUP(Orders[[#This Row],[Customer ID]],customers!$A$1:$A$1001,customers!$I$1:$I$1001,,0)</f>
        <v>No</v>
      </c>
      <c r="Q657">
        <f>COUNTIF(Orders[Order ID],Orders[[#This Row],[Order ID]])</f>
        <v>1</v>
      </c>
      <c r="R657" s="10">
        <f>SUMIF(Orders[Order ID], Orders[[#This Row],[Order ID]],Orders[Sales])/Orders[[#This Row],[Order Frequency]]</f>
        <v>27.484999999999996</v>
      </c>
      <c r="S657" t="str">
        <f>IF(Orders[[#This Row],[Order Frequency]]&gt;4, "More than 4", IF(AND(Orders[[#This Row],[Order Frequency]]&lt;=4,Orders[[#This Row],[Order Frequency]]&gt;=2), "Between 4 and 2", "Less than 2"))</f>
        <v>Less than 2</v>
      </c>
      <c r="T657" t="str">
        <f>IF(Orders[[#This Row],[Frequency Group]]="less than 2", "Low Value", IF(Orders[[#This Row],[Frequency Group]]="between 4 and 2", "Medium Value", "High Value"))</f>
        <v>Low Value</v>
      </c>
      <c r="U657" t="str">
        <f>IF(Orders[[#This Row],[Sales]]&lt;50, "$0-50", IF(AND(Orders[[#This Row],[Sales]]&gt;=50,Orders[[#This Row],[Sales]]&lt;=100), "$50-100", IF(AND(Orders[[#This Row],[Sales]]&gt;100,Orders[[#This Row],[Sales]]&lt;=150), "$101-150", "$150+")))</f>
        <v>$0-50</v>
      </c>
      <c r="V657" t="str">
        <f>IF(Orders[[#This Row],[Sales]]&gt;MEDIAN(M:M), "High Price", "Low Price")</f>
        <v>Low Price</v>
      </c>
      <c r="W657" t="str">
        <f>IF(Orders[[#This Row],[Quantity]]&gt;MEDIAN(E:E), "High Volume", "Low Volume")</f>
        <v>Low Volume</v>
      </c>
      <c r="X657" t="str">
        <f>Orders[[#This Row],[Sales Tier]] &amp; "-" &amp; Orders[[#This Row],[Quantity Tier]]</f>
        <v>Low Price-Low Volume</v>
      </c>
      <c r="Y657" t="str">
        <f>TEXT(Orders[[#This Row],[Order Date]], "mmmm")</f>
        <v>January</v>
      </c>
      <c r="Z65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657" t="str">
        <f>Orders[[#This Row],[Coffee Type Name]] &amp; "-" &amp; Orders[[#This Row],[Roast Type Name]]</f>
        <v>Robusta-Light</v>
      </c>
      <c r="AB65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658" spans="1:28" x14ac:dyDescent="0.25">
      <c r="A658" s="2" t="s">
        <v>1653</v>
      </c>
      <c r="B658" s="4">
        <v>44207</v>
      </c>
      <c r="C658" s="2" t="s">
        <v>1654</v>
      </c>
      <c r="D658" t="s">
        <v>6157</v>
      </c>
      <c r="E658" s="2">
        <v>6</v>
      </c>
      <c r="F658" s="2" t="str">
        <f>_xlfn.XLOOKUP(C658,customers!$A$1:$A$1001,customers!$B$1:$B$1001,,0)</f>
        <v>Orbadiah Duny</v>
      </c>
      <c r="G658" s="2" t="str">
        <f>IF(_xlfn.XLOOKUP(C658,customers!$A$1:$A$1001,customers!$C$1:$C$1001,,0)=0,"",_xlfn.XLOOKUP(C658,customers!$A$1:$A$1001,customers!$C$1:$C$1001,,0))</f>
        <v>oduny5r@constantcontact.com</v>
      </c>
      <c r="H658" s="2" t="str">
        <f>_xlfn.XLOOKUP(C658,customers!$A$1:$A$1001,customers!$G$1:$G$1001,,0)</f>
        <v>United States</v>
      </c>
      <c r="I658" t="str">
        <f>INDEX(products!$A$1:$G$49, MATCH(orders!$D209,products!$A$1:$A256,0), MATCH(orders!I$1,products!$A$1:$G$1,0))</f>
        <v>Ara</v>
      </c>
      <c r="J658" t="str">
        <f>INDEX(products!$A$1:$G$49, MATCH(orders!$D209,products!$A$1:$A256,0), MATCH(orders!J$1,products!$A$1:$G$1,0))</f>
        <v>M</v>
      </c>
      <c r="K658" s="5">
        <f>INDEX(products!$A$1:$G$49, MATCH(orders!$D209,products!$A$1:$A256,0), MATCH(orders!K$1,products!$A$1:$G$1,0))</f>
        <v>0.5</v>
      </c>
      <c r="L658" s="6">
        <f>INDEX(products!$A$1:$G$49, MATCH(orders!$D209,products!$A$1:$A256,0), MATCH(orders!L$1,products!$A$1:$G$1,0))</f>
        <v>6.75</v>
      </c>
      <c r="M658" s="6">
        <f t="shared" si="30"/>
        <v>40.5</v>
      </c>
      <c r="N658" t="str">
        <f t="shared" si="31"/>
        <v>Arabica</v>
      </c>
      <c r="O658" t="str">
        <f t="shared" si="32"/>
        <v>Medium</v>
      </c>
      <c r="P658" t="str">
        <f>_xlfn.XLOOKUP(Orders[[#This Row],[Customer ID]],customers!$A$1:$A$1001,customers!$I$1:$I$1001,,0)</f>
        <v>Yes</v>
      </c>
      <c r="Q658">
        <f>COUNTIF(Orders[Order ID],Orders[[#This Row],[Order ID]])</f>
        <v>1</v>
      </c>
      <c r="R658" s="10">
        <f>SUMIF(Orders[Order ID], Orders[[#This Row],[Order ID]],Orders[Sales])/Orders[[#This Row],[Order Frequency]]</f>
        <v>40.5</v>
      </c>
      <c r="S658" t="str">
        <f>IF(Orders[[#This Row],[Order Frequency]]&gt;4, "More than 4", IF(AND(Orders[[#This Row],[Order Frequency]]&lt;=4,Orders[[#This Row],[Order Frequency]]&gt;=2), "Between 4 and 2", "Less than 2"))</f>
        <v>Less than 2</v>
      </c>
      <c r="T658" t="str">
        <f>IF(Orders[[#This Row],[Frequency Group]]="less than 2", "Low Value", IF(Orders[[#This Row],[Frequency Group]]="between 4 and 2", "Medium Value", "High Value"))</f>
        <v>Low Value</v>
      </c>
      <c r="U658" t="str">
        <f>IF(Orders[[#This Row],[Sales]]&lt;50, "$0-50", IF(AND(Orders[[#This Row],[Sales]]&gt;=50,Orders[[#This Row],[Sales]]&lt;=100), "$50-100", IF(AND(Orders[[#This Row],[Sales]]&gt;100,Orders[[#This Row],[Sales]]&lt;=150), "$101-150", "$150+")))</f>
        <v>$0-50</v>
      </c>
      <c r="V658" t="str">
        <f>IF(Orders[[#This Row],[Sales]]&gt;MEDIAN(M:M), "High Price", "Low Price")</f>
        <v>High Price</v>
      </c>
      <c r="W658" t="str">
        <f>IF(Orders[[#This Row],[Quantity]]&gt;MEDIAN(E:E), "High Volume", "Low Volume")</f>
        <v>High Volume</v>
      </c>
      <c r="X658" t="str">
        <f>Orders[[#This Row],[Sales Tier]] &amp; "-" &amp; Orders[[#This Row],[Quantity Tier]]</f>
        <v>High Price-High Volume</v>
      </c>
      <c r="Y658" t="str">
        <f>TEXT(Orders[[#This Row],[Order Date]], "mmmm")</f>
        <v>January</v>
      </c>
      <c r="Z65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658" t="str">
        <f>Orders[[#This Row],[Coffee Type Name]] &amp; "-" &amp; Orders[[#This Row],[Roast Type Name]]</f>
        <v>Arabica-Medium</v>
      </c>
      <c r="AB65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659" spans="1:28" x14ac:dyDescent="0.25">
      <c r="A659" s="2" t="s">
        <v>1487</v>
      </c>
      <c r="B659" s="4">
        <v>44120</v>
      </c>
      <c r="C659" s="2" t="s">
        <v>1488</v>
      </c>
      <c r="D659" t="s">
        <v>6142</v>
      </c>
      <c r="E659" s="2">
        <v>4</v>
      </c>
      <c r="F659" s="2" t="str">
        <f>_xlfn.XLOOKUP(C659,customers!$A$1:$A$1001,customers!$B$1:$B$1001,,0)</f>
        <v>Emlynne Heining</v>
      </c>
      <c r="G659" s="2" t="str">
        <f>IF(_xlfn.XLOOKUP(C659,customers!$A$1:$A$1001,customers!$C$1:$C$1001,,0)=0,"",_xlfn.XLOOKUP(C659,customers!$A$1:$A$1001,customers!$C$1:$C$1001,,0))</f>
        <v>eheining4x@flickr.com</v>
      </c>
      <c r="H659" s="2" t="str">
        <f>_xlfn.XLOOKUP(C659,customers!$A$1:$A$1001,customers!$G$1:$G$1001,,0)</f>
        <v>United States</v>
      </c>
      <c r="I659" t="str">
        <f>INDEX(products!$A$1:$G$49, MATCH(orders!$D179,products!$A$1:$A226,0), MATCH(orders!I$1,products!$A$1:$G$1,0))</f>
        <v>Rob</v>
      </c>
      <c r="J659" t="str">
        <f>INDEX(products!$A$1:$G$49, MATCH(orders!$D179,products!$A$1:$A226,0), MATCH(orders!J$1,products!$A$1:$G$1,0))</f>
        <v>L</v>
      </c>
      <c r="K659" s="5">
        <f>INDEX(products!$A$1:$G$49, MATCH(orders!$D179,products!$A$1:$A226,0), MATCH(orders!K$1,products!$A$1:$G$1,0))</f>
        <v>2.5</v>
      </c>
      <c r="L659" s="6">
        <f>INDEX(products!$A$1:$G$49, MATCH(orders!$D179,products!$A$1:$A226,0), MATCH(orders!L$1,products!$A$1:$G$1,0))</f>
        <v>27.484999999999996</v>
      </c>
      <c r="M659" s="6">
        <f t="shared" si="30"/>
        <v>109.93999999999998</v>
      </c>
      <c r="N659" t="str">
        <f t="shared" si="31"/>
        <v>Robusta</v>
      </c>
      <c r="O659" t="str">
        <f t="shared" si="32"/>
        <v>Light</v>
      </c>
      <c r="P659" t="str">
        <f>_xlfn.XLOOKUP(Orders[[#This Row],[Customer ID]],customers!$A$1:$A$1001,customers!$I$1:$I$1001,,0)</f>
        <v>Yes</v>
      </c>
      <c r="Q659">
        <f>COUNTIF(Orders[Order ID],Orders[[#This Row],[Order ID]])</f>
        <v>1</v>
      </c>
      <c r="R659" s="10">
        <f>SUMIF(Orders[Order ID], Orders[[#This Row],[Order ID]],Orders[Sales])/Orders[[#This Row],[Order Frequency]]</f>
        <v>109.93999999999998</v>
      </c>
      <c r="S659" t="str">
        <f>IF(Orders[[#This Row],[Order Frequency]]&gt;4, "More than 4", IF(AND(Orders[[#This Row],[Order Frequency]]&lt;=4,Orders[[#This Row],[Order Frequency]]&gt;=2), "Between 4 and 2", "Less than 2"))</f>
        <v>Less than 2</v>
      </c>
      <c r="T659" t="str">
        <f>IF(Orders[[#This Row],[Frequency Group]]="less than 2", "Low Value", IF(Orders[[#This Row],[Frequency Group]]="between 4 and 2", "Medium Value", "High Value"))</f>
        <v>Low Value</v>
      </c>
      <c r="U659" t="str">
        <f>IF(Orders[[#This Row],[Sales]]&lt;50, "$0-50", IF(AND(Orders[[#This Row],[Sales]]&gt;=50,Orders[[#This Row],[Sales]]&lt;=100), "$50-100", IF(AND(Orders[[#This Row],[Sales]]&gt;100,Orders[[#This Row],[Sales]]&lt;=150), "$101-150", "$150+")))</f>
        <v>$101-150</v>
      </c>
      <c r="V659" t="str">
        <f>IF(Orders[[#This Row],[Sales]]&gt;MEDIAN(M:M), "High Price", "Low Price")</f>
        <v>High Price</v>
      </c>
      <c r="W659" t="str">
        <f>IF(Orders[[#This Row],[Quantity]]&gt;MEDIAN(E:E), "High Volume", "Low Volume")</f>
        <v>Low Volume</v>
      </c>
      <c r="X659" t="str">
        <f>Orders[[#This Row],[Sales Tier]] &amp; "-" &amp; Orders[[#This Row],[Quantity Tier]]</f>
        <v>High Price-Low Volume</v>
      </c>
      <c r="Y659" t="str">
        <f>TEXT(Orders[[#This Row],[Order Date]], "mmmm")</f>
        <v>October</v>
      </c>
      <c r="Z65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659" t="str">
        <f>Orders[[#This Row],[Coffee Type Name]] &amp; "-" &amp; Orders[[#This Row],[Roast Type Name]]</f>
        <v>Robusta-Light</v>
      </c>
      <c r="AB65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660" spans="1:28" x14ac:dyDescent="0.25">
      <c r="A660" s="2" t="s">
        <v>2250</v>
      </c>
      <c r="B660" s="4">
        <v>44317</v>
      </c>
      <c r="C660" s="2" t="s">
        <v>2251</v>
      </c>
      <c r="D660" t="s">
        <v>6146</v>
      </c>
      <c r="E660" s="2">
        <v>1</v>
      </c>
      <c r="F660" s="2" t="str">
        <f>_xlfn.XLOOKUP(C660,customers!$A$1:$A$1001,customers!$B$1:$B$1001,,0)</f>
        <v>Natka Leethem</v>
      </c>
      <c r="G660" s="2" t="str">
        <f>IF(_xlfn.XLOOKUP(C660,customers!$A$1:$A$1001,customers!$C$1:$C$1001,,0)=0,"",_xlfn.XLOOKUP(C660,customers!$A$1:$A$1001,customers!$C$1:$C$1001,,0))</f>
        <v>nleethem8o@mac.com</v>
      </c>
      <c r="H660" s="2" t="str">
        <f>_xlfn.XLOOKUP(C660,customers!$A$1:$A$1001,customers!$G$1:$G$1001,,0)</f>
        <v>United States</v>
      </c>
      <c r="I660" t="str">
        <f>INDEX(products!$A$1:$G$49, MATCH(orders!$D314,products!$A$1:$A361,0), MATCH(orders!I$1,products!$A$1:$G$1,0))</f>
        <v>Rob</v>
      </c>
      <c r="J660" t="str">
        <f>INDEX(products!$A$1:$G$49, MATCH(orders!$D314,products!$A$1:$A361,0), MATCH(orders!J$1,products!$A$1:$G$1,0))</f>
        <v>M</v>
      </c>
      <c r="K660" s="5">
        <f>INDEX(products!$A$1:$G$49, MATCH(orders!$D314,products!$A$1:$A361,0), MATCH(orders!K$1,products!$A$1:$G$1,0))</f>
        <v>0.5</v>
      </c>
      <c r="L660" s="6">
        <f>INDEX(products!$A$1:$G$49, MATCH(orders!$D314,products!$A$1:$A361,0), MATCH(orders!L$1,products!$A$1:$G$1,0))</f>
        <v>5.97</v>
      </c>
      <c r="M660" s="6">
        <f t="shared" si="30"/>
        <v>5.97</v>
      </c>
      <c r="N660" t="str">
        <f t="shared" si="31"/>
        <v>Robusta</v>
      </c>
      <c r="O660" t="str">
        <f t="shared" si="32"/>
        <v>Medium</v>
      </c>
      <c r="P660" t="str">
        <f>_xlfn.XLOOKUP(Orders[[#This Row],[Customer ID]],customers!$A$1:$A$1001,customers!$I$1:$I$1001,,0)</f>
        <v>Yes</v>
      </c>
      <c r="Q660">
        <f>COUNTIF(Orders[Order ID],Orders[[#This Row],[Order ID]])</f>
        <v>1</v>
      </c>
      <c r="R660" s="10">
        <f>SUMIF(Orders[Order ID], Orders[[#This Row],[Order ID]],Orders[Sales])/Orders[[#This Row],[Order Frequency]]</f>
        <v>5.97</v>
      </c>
      <c r="S660" t="str">
        <f>IF(Orders[[#This Row],[Order Frequency]]&gt;4, "More than 4", IF(AND(Orders[[#This Row],[Order Frequency]]&lt;=4,Orders[[#This Row],[Order Frequency]]&gt;=2), "Between 4 and 2", "Less than 2"))</f>
        <v>Less than 2</v>
      </c>
      <c r="T660" t="str">
        <f>IF(Orders[[#This Row],[Frequency Group]]="less than 2", "Low Value", IF(Orders[[#This Row],[Frequency Group]]="between 4 and 2", "Medium Value", "High Value"))</f>
        <v>Low Value</v>
      </c>
      <c r="U660" t="str">
        <f>IF(Orders[[#This Row],[Sales]]&lt;50, "$0-50", IF(AND(Orders[[#This Row],[Sales]]&gt;=50,Orders[[#This Row],[Sales]]&lt;=100), "$50-100", IF(AND(Orders[[#This Row],[Sales]]&gt;100,Orders[[#This Row],[Sales]]&lt;=150), "$101-150", "$150+")))</f>
        <v>$0-50</v>
      </c>
      <c r="V660" t="str">
        <f>IF(Orders[[#This Row],[Sales]]&gt;MEDIAN(M:M), "High Price", "Low Price")</f>
        <v>Low Price</v>
      </c>
      <c r="W660" t="str">
        <f>IF(Orders[[#This Row],[Quantity]]&gt;MEDIAN(E:E), "High Volume", "Low Volume")</f>
        <v>Low Volume</v>
      </c>
      <c r="X660" t="str">
        <f>Orders[[#This Row],[Sales Tier]] &amp; "-" &amp; Orders[[#This Row],[Quantity Tier]]</f>
        <v>Low Price-Low Volume</v>
      </c>
      <c r="Y660" t="str">
        <f>TEXT(Orders[[#This Row],[Order Date]], "mmmm")</f>
        <v>May</v>
      </c>
      <c r="Z66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660" t="str">
        <f>Orders[[#This Row],[Coffee Type Name]] &amp; "-" &amp; Orders[[#This Row],[Roast Type Name]]</f>
        <v>Robusta-Medium</v>
      </c>
      <c r="AB66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661" spans="1:28" x14ac:dyDescent="0.25">
      <c r="A661" s="2" t="s">
        <v>1001</v>
      </c>
      <c r="B661" s="4">
        <v>44137</v>
      </c>
      <c r="C661" s="2" t="s">
        <v>1002</v>
      </c>
      <c r="D661" t="s">
        <v>6175</v>
      </c>
      <c r="E661" s="2">
        <v>4</v>
      </c>
      <c r="F661" s="2" t="str">
        <f>_xlfn.XLOOKUP(C661,customers!$A$1:$A$1001,customers!$B$1:$B$1001,,0)</f>
        <v>Adham Greenhead</v>
      </c>
      <c r="G661" s="2" t="str">
        <f>IF(_xlfn.XLOOKUP(C661,customers!$A$1:$A$1001,customers!$C$1:$C$1001,,0)=0,"",_xlfn.XLOOKUP(C661,customers!$A$1:$A$1001,customers!$C$1:$C$1001,,0))</f>
        <v>agreenhead2j@dailymail.co.uk</v>
      </c>
      <c r="H661" s="2" t="str">
        <f>_xlfn.XLOOKUP(C661,customers!$A$1:$A$1001,customers!$G$1:$G$1001,,0)</f>
        <v>United States</v>
      </c>
      <c r="I661" t="str">
        <f>INDEX(products!$A$1:$G$49, MATCH(orders!$D93,products!$A$1:$A140,0), MATCH(orders!I$1,products!$A$1:$G$1,0))</f>
        <v>Ara</v>
      </c>
      <c r="J661" t="str">
        <f>INDEX(products!$A$1:$G$49, MATCH(orders!$D93,products!$A$1:$A140,0), MATCH(orders!J$1,products!$A$1:$G$1,0))</f>
        <v>M</v>
      </c>
      <c r="K661" s="5">
        <f>INDEX(products!$A$1:$G$49, MATCH(orders!$D93,products!$A$1:$A140,0), MATCH(orders!K$1,products!$A$1:$G$1,0))</f>
        <v>2.5</v>
      </c>
      <c r="L661" s="6">
        <f>INDEX(products!$A$1:$G$49, MATCH(orders!$D93,products!$A$1:$A140,0), MATCH(orders!L$1,products!$A$1:$G$1,0))</f>
        <v>25.874999999999996</v>
      </c>
      <c r="M661" s="6">
        <f t="shared" si="30"/>
        <v>103.49999999999999</v>
      </c>
      <c r="N661" t="str">
        <f t="shared" si="31"/>
        <v>Arabica</v>
      </c>
      <c r="O661" t="str">
        <f t="shared" si="32"/>
        <v>Medium</v>
      </c>
      <c r="P661" t="str">
        <f>_xlfn.XLOOKUP(Orders[[#This Row],[Customer ID]],customers!$A$1:$A$1001,customers!$I$1:$I$1001,,0)</f>
        <v>No</v>
      </c>
      <c r="Q661">
        <f>COUNTIF(Orders[Order ID],Orders[[#This Row],[Order ID]])</f>
        <v>1</v>
      </c>
      <c r="R661" s="10">
        <f>SUMIF(Orders[Order ID], Orders[[#This Row],[Order ID]],Orders[Sales])/Orders[[#This Row],[Order Frequency]]</f>
        <v>103.49999999999999</v>
      </c>
      <c r="S661" t="str">
        <f>IF(Orders[[#This Row],[Order Frequency]]&gt;4, "More than 4", IF(AND(Orders[[#This Row],[Order Frequency]]&lt;=4,Orders[[#This Row],[Order Frequency]]&gt;=2), "Between 4 and 2", "Less than 2"))</f>
        <v>Less than 2</v>
      </c>
      <c r="T661" t="str">
        <f>IF(Orders[[#This Row],[Frequency Group]]="less than 2", "Low Value", IF(Orders[[#This Row],[Frequency Group]]="between 4 and 2", "Medium Value", "High Value"))</f>
        <v>Low Value</v>
      </c>
      <c r="U661" t="str">
        <f>IF(Orders[[#This Row],[Sales]]&lt;50, "$0-50", IF(AND(Orders[[#This Row],[Sales]]&gt;=50,Orders[[#This Row],[Sales]]&lt;=100), "$50-100", IF(AND(Orders[[#This Row],[Sales]]&gt;100,Orders[[#This Row],[Sales]]&lt;=150), "$101-150", "$150+")))</f>
        <v>$101-150</v>
      </c>
      <c r="V661" t="str">
        <f>IF(Orders[[#This Row],[Sales]]&gt;MEDIAN(M:M), "High Price", "Low Price")</f>
        <v>High Price</v>
      </c>
      <c r="W661" t="str">
        <f>IF(Orders[[#This Row],[Quantity]]&gt;MEDIAN(E:E), "High Volume", "Low Volume")</f>
        <v>Low Volume</v>
      </c>
      <c r="X661" t="str">
        <f>Orders[[#This Row],[Sales Tier]] &amp; "-" &amp; Orders[[#This Row],[Quantity Tier]]</f>
        <v>High Price-Low Volume</v>
      </c>
      <c r="Y661" t="str">
        <f>TEXT(Orders[[#This Row],[Order Date]], "mmmm")</f>
        <v>November</v>
      </c>
      <c r="Z66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661" t="str">
        <f>Orders[[#This Row],[Coffee Type Name]] &amp; "-" &amp; Orders[[#This Row],[Roast Type Name]]</f>
        <v>Arabica-Medium</v>
      </c>
      <c r="AB66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662" spans="1:28" x14ac:dyDescent="0.25">
      <c r="A662" s="2" t="s">
        <v>897</v>
      </c>
      <c r="B662" s="4">
        <v>44131</v>
      </c>
      <c r="C662" s="2" t="s">
        <v>898</v>
      </c>
      <c r="D662" t="s">
        <v>6175</v>
      </c>
      <c r="E662" s="2">
        <v>3</v>
      </c>
      <c r="F662" s="2" t="str">
        <f>_xlfn.XLOOKUP(C662,customers!$A$1:$A$1001,customers!$B$1:$B$1001,,0)</f>
        <v>Aurlie McCarl</v>
      </c>
      <c r="G662" s="2" t="str">
        <f>IF(_xlfn.XLOOKUP(C662,customers!$A$1:$A$1001,customers!$C$1:$C$1001,,0)=0,"",_xlfn.XLOOKUP(C662,customers!$A$1:$A$1001,customers!$C$1:$C$1001,,0))</f>
        <v/>
      </c>
      <c r="H662" s="2" t="str">
        <f>_xlfn.XLOOKUP(C662,customers!$A$1:$A$1001,customers!$G$1:$G$1001,,0)</f>
        <v>United States</v>
      </c>
      <c r="I662" t="str">
        <f>INDEX(products!$A$1:$G$49, MATCH(orders!$D74,products!$A$1:$A121,0), MATCH(orders!I$1,products!$A$1:$G$1,0))</f>
        <v>Ara</v>
      </c>
      <c r="J662" t="str">
        <f>INDEX(products!$A$1:$G$49, MATCH(orders!$D74,products!$A$1:$A121,0), MATCH(orders!J$1,products!$A$1:$G$1,0))</f>
        <v>M</v>
      </c>
      <c r="K662" s="5">
        <f>INDEX(products!$A$1:$G$49, MATCH(orders!$D74,products!$A$1:$A121,0), MATCH(orders!K$1,products!$A$1:$G$1,0))</f>
        <v>2.5</v>
      </c>
      <c r="L662" s="6">
        <f>INDEX(products!$A$1:$G$49, MATCH(orders!$D74,products!$A$1:$A121,0), MATCH(orders!L$1,products!$A$1:$G$1,0))</f>
        <v>25.874999999999996</v>
      </c>
      <c r="M662" s="6">
        <f t="shared" si="30"/>
        <v>77.624999999999986</v>
      </c>
      <c r="N662" t="str">
        <f t="shared" si="31"/>
        <v>Arabica</v>
      </c>
      <c r="O662" t="str">
        <f t="shared" si="32"/>
        <v>Medium</v>
      </c>
      <c r="P662" t="str">
        <f>_xlfn.XLOOKUP(Orders[[#This Row],[Customer ID]],customers!$A$1:$A$1001,customers!$I$1:$I$1001,,0)</f>
        <v>No</v>
      </c>
      <c r="Q662">
        <f>COUNTIF(Orders[Order ID],Orders[[#This Row],[Order ID]])</f>
        <v>1</v>
      </c>
      <c r="R662" s="10">
        <f>SUMIF(Orders[Order ID], Orders[[#This Row],[Order ID]],Orders[Sales])/Orders[[#This Row],[Order Frequency]]</f>
        <v>77.624999999999986</v>
      </c>
      <c r="S662" t="str">
        <f>IF(Orders[[#This Row],[Order Frequency]]&gt;4, "More than 4", IF(AND(Orders[[#This Row],[Order Frequency]]&lt;=4,Orders[[#This Row],[Order Frequency]]&gt;=2), "Between 4 and 2", "Less than 2"))</f>
        <v>Less than 2</v>
      </c>
      <c r="T662" t="str">
        <f>IF(Orders[[#This Row],[Frequency Group]]="less than 2", "Low Value", IF(Orders[[#This Row],[Frequency Group]]="between 4 and 2", "Medium Value", "High Value"))</f>
        <v>Low Value</v>
      </c>
      <c r="U662" t="str">
        <f>IF(Orders[[#This Row],[Sales]]&lt;50, "$0-50", IF(AND(Orders[[#This Row],[Sales]]&gt;=50,Orders[[#This Row],[Sales]]&lt;=100), "$50-100", IF(AND(Orders[[#This Row],[Sales]]&gt;100,Orders[[#This Row],[Sales]]&lt;=150), "$101-150", "$150+")))</f>
        <v>$50-100</v>
      </c>
      <c r="V662" t="str">
        <f>IF(Orders[[#This Row],[Sales]]&gt;MEDIAN(M:M), "High Price", "Low Price")</f>
        <v>High Price</v>
      </c>
      <c r="W662" t="str">
        <f>IF(Orders[[#This Row],[Quantity]]&gt;MEDIAN(E:E), "High Volume", "Low Volume")</f>
        <v>Low Volume</v>
      </c>
      <c r="X662" t="str">
        <f>Orders[[#This Row],[Sales Tier]] &amp; "-" &amp; Orders[[#This Row],[Quantity Tier]]</f>
        <v>High Price-Low Volume</v>
      </c>
      <c r="Y662" t="str">
        <f>TEXT(Orders[[#This Row],[Order Date]], "mmmm")</f>
        <v>October</v>
      </c>
      <c r="Z66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662" t="str">
        <f>Orders[[#This Row],[Coffee Type Name]] &amp; "-" &amp; Orders[[#This Row],[Roast Type Name]]</f>
        <v>Arabica-Medium</v>
      </c>
      <c r="AB66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663" spans="1:28" x14ac:dyDescent="0.25">
      <c r="A663" s="2" t="s">
        <v>907</v>
      </c>
      <c r="B663" s="4">
        <v>44396</v>
      </c>
      <c r="C663" s="2" t="s">
        <v>908</v>
      </c>
      <c r="D663" t="s">
        <v>6176</v>
      </c>
      <c r="E663" s="2">
        <v>2</v>
      </c>
      <c r="F663" s="2" t="str">
        <f>_xlfn.XLOOKUP(C663,customers!$A$1:$A$1001,customers!$B$1:$B$1001,,0)</f>
        <v>Jennifer Rangall</v>
      </c>
      <c r="G663" s="2" t="str">
        <f>IF(_xlfn.XLOOKUP(C663,customers!$A$1:$A$1001,customers!$C$1:$C$1001,,0)=0,"",_xlfn.XLOOKUP(C663,customers!$A$1:$A$1001,customers!$C$1:$C$1001,,0))</f>
        <v>jrangall22@newsvine.com</v>
      </c>
      <c r="H663" s="2" t="str">
        <f>_xlfn.XLOOKUP(C663,customers!$A$1:$A$1001,customers!$G$1:$G$1001,,0)</f>
        <v>United States</v>
      </c>
      <c r="I663" t="str">
        <f>INDEX(products!$A$1:$G$49, MATCH(orders!$D76,products!$A$1:$A123,0), MATCH(orders!I$1,products!$A$1:$G$1,0))</f>
        <v>Exc</v>
      </c>
      <c r="J663" t="str">
        <f>INDEX(products!$A$1:$G$49, MATCH(orders!$D76,products!$A$1:$A123,0), MATCH(orders!J$1,products!$A$1:$G$1,0))</f>
        <v>L</v>
      </c>
      <c r="K663" s="5">
        <f>INDEX(products!$A$1:$G$49, MATCH(orders!$D76,products!$A$1:$A123,0), MATCH(orders!K$1,products!$A$1:$G$1,0))</f>
        <v>0.5</v>
      </c>
      <c r="L663" s="6">
        <f>INDEX(products!$A$1:$G$49, MATCH(orders!$D76,products!$A$1:$A123,0), MATCH(orders!L$1,products!$A$1:$G$1,0))</f>
        <v>8.91</v>
      </c>
      <c r="M663" s="6">
        <f t="shared" si="30"/>
        <v>17.82</v>
      </c>
      <c r="N663" t="str">
        <f t="shared" si="31"/>
        <v>Excelsa</v>
      </c>
      <c r="O663" t="str">
        <f t="shared" si="32"/>
        <v>Light</v>
      </c>
      <c r="P663" t="str">
        <f>_xlfn.XLOOKUP(Orders[[#This Row],[Customer ID]],customers!$A$1:$A$1001,customers!$I$1:$I$1001,,0)</f>
        <v>Yes</v>
      </c>
      <c r="Q663">
        <f>COUNTIF(Orders[Order ID],Orders[[#This Row],[Order ID]])</f>
        <v>1</v>
      </c>
      <c r="R663" s="10">
        <f>SUMIF(Orders[Order ID], Orders[[#This Row],[Order ID]],Orders[Sales])/Orders[[#This Row],[Order Frequency]]</f>
        <v>17.82</v>
      </c>
      <c r="S663" t="str">
        <f>IF(Orders[[#This Row],[Order Frequency]]&gt;4, "More than 4", IF(AND(Orders[[#This Row],[Order Frequency]]&lt;=4,Orders[[#This Row],[Order Frequency]]&gt;=2), "Between 4 and 2", "Less than 2"))</f>
        <v>Less than 2</v>
      </c>
      <c r="T663" t="str">
        <f>IF(Orders[[#This Row],[Frequency Group]]="less than 2", "Low Value", IF(Orders[[#This Row],[Frequency Group]]="between 4 and 2", "Medium Value", "High Value"))</f>
        <v>Low Value</v>
      </c>
      <c r="U663" t="str">
        <f>IF(Orders[[#This Row],[Sales]]&lt;50, "$0-50", IF(AND(Orders[[#This Row],[Sales]]&gt;=50,Orders[[#This Row],[Sales]]&lt;=100), "$50-100", IF(AND(Orders[[#This Row],[Sales]]&gt;100,Orders[[#This Row],[Sales]]&lt;=150), "$101-150", "$150+")))</f>
        <v>$0-50</v>
      </c>
      <c r="V663" t="str">
        <f>IF(Orders[[#This Row],[Sales]]&gt;MEDIAN(M:M), "High Price", "Low Price")</f>
        <v>Low Price</v>
      </c>
      <c r="W663" t="str">
        <f>IF(Orders[[#This Row],[Quantity]]&gt;MEDIAN(E:E), "High Volume", "Low Volume")</f>
        <v>Low Volume</v>
      </c>
      <c r="X663" t="str">
        <f>Orders[[#This Row],[Sales Tier]] &amp; "-" &amp; Orders[[#This Row],[Quantity Tier]]</f>
        <v>Low Price-Low Volume</v>
      </c>
      <c r="Y663" t="str">
        <f>TEXT(Orders[[#This Row],[Order Date]], "mmmm")</f>
        <v>July</v>
      </c>
      <c r="Z66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663" t="str">
        <f>Orders[[#This Row],[Coffee Type Name]] &amp; "-" &amp; Orders[[#This Row],[Roast Type Name]]</f>
        <v>Excelsa-Light</v>
      </c>
      <c r="AB66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664" spans="1:28" x14ac:dyDescent="0.25">
      <c r="A664" s="2" t="s">
        <v>2974</v>
      </c>
      <c r="B664" s="4">
        <v>43573</v>
      </c>
      <c r="C664" s="2" t="s">
        <v>2975</v>
      </c>
      <c r="D664" t="s">
        <v>6183</v>
      </c>
      <c r="E664" s="2">
        <v>3</v>
      </c>
      <c r="F664" s="2" t="str">
        <f>_xlfn.XLOOKUP(C664,customers!$A$1:$A$1001,customers!$B$1:$B$1001,,0)</f>
        <v>Livy Lathleiff</v>
      </c>
      <c r="G664" s="2" t="str">
        <f>IF(_xlfn.XLOOKUP(C664,customers!$A$1:$A$1001,customers!$C$1:$C$1001,,0)=0,"",_xlfn.XLOOKUP(C664,customers!$A$1:$A$1001,customers!$C$1:$C$1001,,0))</f>
        <v>llathleiffc9@nationalgeographic.com</v>
      </c>
      <c r="H664" s="2" t="str">
        <f>_xlfn.XLOOKUP(C664,customers!$A$1:$A$1001,customers!$G$1:$G$1001,,0)</f>
        <v>Ireland</v>
      </c>
      <c r="I664" t="str">
        <f>INDEX(products!$A$1:$G$49, MATCH(orders!$D443,products!$A$1:$A490,0), MATCH(orders!I$1,products!$A$1:$G$1,0))</f>
        <v>Exc</v>
      </c>
      <c r="J664" t="str">
        <f>INDEX(products!$A$1:$G$49, MATCH(orders!$D443,products!$A$1:$A490,0), MATCH(orders!J$1,products!$A$1:$G$1,0))</f>
        <v>D</v>
      </c>
      <c r="K664" s="5">
        <f>INDEX(products!$A$1:$G$49, MATCH(orders!$D443,products!$A$1:$A490,0), MATCH(orders!K$1,products!$A$1:$G$1,0))</f>
        <v>1</v>
      </c>
      <c r="L664" s="6">
        <f>INDEX(products!$A$1:$G$49, MATCH(orders!$D443,products!$A$1:$A490,0), MATCH(orders!L$1,products!$A$1:$G$1,0))</f>
        <v>12.15</v>
      </c>
      <c r="M664" s="6">
        <f t="shared" si="30"/>
        <v>36.450000000000003</v>
      </c>
      <c r="N664" t="str">
        <f t="shared" si="31"/>
        <v>Excelsa</v>
      </c>
      <c r="O664" t="str">
        <f t="shared" si="32"/>
        <v>Dark</v>
      </c>
      <c r="P664" t="str">
        <f>_xlfn.XLOOKUP(Orders[[#This Row],[Customer ID]],customers!$A$1:$A$1001,customers!$I$1:$I$1001,,0)</f>
        <v>Yes</v>
      </c>
      <c r="Q664">
        <f>COUNTIF(Orders[Order ID],Orders[[#This Row],[Order ID]])</f>
        <v>1</v>
      </c>
      <c r="R664" s="10">
        <f>SUMIF(Orders[Order ID], Orders[[#This Row],[Order ID]],Orders[Sales])/Orders[[#This Row],[Order Frequency]]</f>
        <v>36.450000000000003</v>
      </c>
      <c r="S664" t="str">
        <f>IF(Orders[[#This Row],[Order Frequency]]&gt;4, "More than 4", IF(AND(Orders[[#This Row],[Order Frequency]]&lt;=4,Orders[[#This Row],[Order Frequency]]&gt;=2), "Between 4 and 2", "Less than 2"))</f>
        <v>Less than 2</v>
      </c>
      <c r="T664" t="str">
        <f>IF(Orders[[#This Row],[Frequency Group]]="less than 2", "Low Value", IF(Orders[[#This Row],[Frequency Group]]="between 4 and 2", "Medium Value", "High Value"))</f>
        <v>Low Value</v>
      </c>
      <c r="U664" t="str">
        <f>IF(Orders[[#This Row],[Sales]]&lt;50, "$0-50", IF(AND(Orders[[#This Row],[Sales]]&gt;=50,Orders[[#This Row],[Sales]]&lt;=100), "$50-100", IF(AND(Orders[[#This Row],[Sales]]&gt;100,Orders[[#This Row],[Sales]]&lt;=150), "$101-150", "$150+")))</f>
        <v>$0-50</v>
      </c>
      <c r="V664" t="str">
        <f>IF(Orders[[#This Row],[Sales]]&gt;MEDIAN(M:M), "High Price", "Low Price")</f>
        <v>High Price</v>
      </c>
      <c r="W664" t="str">
        <f>IF(Orders[[#This Row],[Quantity]]&gt;MEDIAN(E:E), "High Volume", "Low Volume")</f>
        <v>Low Volume</v>
      </c>
      <c r="X664" t="str">
        <f>Orders[[#This Row],[Sales Tier]] &amp; "-" &amp; Orders[[#This Row],[Quantity Tier]]</f>
        <v>High Price-Low Volume</v>
      </c>
      <c r="Y664" t="str">
        <f>TEXT(Orders[[#This Row],[Order Date]], "mmmm")</f>
        <v>April</v>
      </c>
      <c r="Z66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664" t="str">
        <f>Orders[[#This Row],[Coffee Type Name]] &amp; "-" &amp; Orders[[#This Row],[Roast Type Name]]</f>
        <v>Excelsa-Dark</v>
      </c>
      <c r="AB66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665" spans="1:28" x14ac:dyDescent="0.25">
      <c r="A665" s="2" t="s">
        <v>4853</v>
      </c>
      <c r="B665" s="4">
        <v>44468</v>
      </c>
      <c r="C665" s="2" t="s">
        <v>4854</v>
      </c>
      <c r="D665" t="s">
        <v>6141</v>
      </c>
      <c r="E665" s="2">
        <v>6</v>
      </c>
      <c r="F665" s="2" t="str">
        <f>_xlfn.XLOOKUP(C665,customers!$A$1:$A$1001,customers!$B$1:$B$1001,,0)</f>
        <v>Mellisa Mebes</v>
      </c>
      <c r="G665" s="2" t="str">
        <f>IF(_xlfn.XLOOKUP(C665,customers!$A$1:$A$1001,customers!$C$1:$C$1001,,0)=0,"",_xlfn.XLOOKUP(C665,customers!$A$1:$A$1001,customers!$C$1:$C$1001,,0))</f>
        <v/>
      </c>
      <c r="H665" s="2" t="str">
        <f>_xlfn.XLOOKUP(C665,customers!$A$1:$A$1001,customers!$G$1:$G$1001,,0)</f>
        <v>United States</v>
      </c>
      <c r="I665" t="str">
        <f>INDEX(products!$A$1:$G$49, MATCH(orders!$D774,products!$A$1:$A821,0), MATCH(orders!I$1,products!$A$1:$G$1,0))</f>
        <v>Exc</v>
      </c>
      <c r="J665" t="str">
        <f>INDEX(products!$A$1:$G$49, MATCH(orders!$D774,products!$A$1:$A821,0), MATCH(orders!J$1,products!$A$1:$G$1,0))</f>
        <v>M</v>
      </c>
      <c r="K665" s="5">
        <f>INDEX(products!$A$1:$G$49, MATCH(orders!$D774,products!$A$1:$A821,0), MATCH(orders!K$1,products!$A$1:$G$1,0))</f>
        <v>1</v>
      </c>
      <c r="L665" s="6">
        <f>INDEX(products!$A$1:$G$49, MATCH(orders!$D774,products!$A$1:$A821,0), MATCH(orders!L$1,products!$A$1:$G$1,0))</f>
        <v>13.75</v>
      </c>
      <c r="M665" s="6">
        <f t="shared" si="30"/>
        <v>82.5</v>
      </c>
      <c r="N665" t="str">
        <f t="shared" si="31"/>
        <v>Excelsa</v>
      </c>
      <c r="O665" t="str">
        <f t="shared" si="32"/>
        <v>Medium</v>
      </c>
      <c r="P665" t="str">
        <f>_xlfn.XLOOKUP(Orders[[#This Row],[Customer ID]],customers!$A$1:$A$1001,customers!$I$1:$I$1001,,0)</f>
        <v>No</v>
      </c>
      <c r="Q665">
        <f>COUNTIF(Orders[Order ID],Orders[[#This Row],[Order ID]])</f>
        <v>1</v>
      </c>
      <c r="R665" s="10">
        <f>SUMIF(Orders[Order ID], Orders[[#This Row],[Order ID]],Orders[Sales])/Orders[[#This Row],[Order Frequency]]</f>
        <v>82.5</v>
      </c>
      <c r="S665" t="str">
        <f>IF(Orders[[#This Row],[Order Frequency]]&gt;4, "More than 4", IF(AND(Orders[[#This Row],[Order Frequency]]&lt;=4,Orders[[#This Row],[Order Frequency]]&gt;=2), "Between 4 and 2", "Less than 2"))</f>
        <v>Less than 2</v>
      </c>
      <c r="T665" t="str">
        <f>IF(Orders[[#This Row],[Frequency Group]]="less than 2", "Low Value", IF(Orders[[#This Row],[Frequency Group]]="between 4 and 2", "Medium Value", "High Value"))</f>
        <v>Low Value</v>
      </c>
      <c r="U665" t="str">
        <f>IF(Orders[[#This Row],[Sales]]&lt;50, "$0-50", IF(AND(Orders[[#This Row],[Sales]]&gt;=50,Orders[[#This Row],[Sales]]&lt;=100), "$50-100", IF(AND(Orders[[#This Row],[Sales]]&gt;100,Orders[[#This Row],[Sales]]&lt;=150), "$101-150", "$150+")))</f>
        <v>$50-100</v>
      </c>
      <c r="V665" t="str">
        <f>IF(Orders[[#This Row],[Sales]]&gt;MEDIAN(M:M), "High Price", "Low Price")</f>
        <v>High Price</v>
      </c>
      <c r="W665" t="str">
        <f>IF(Orders[[#This Row],[Quantity]]&gt;MEDIAN(E:E), "High Volume", "Low Volume")</f>
        <v>High Volume</v>
      </c>
      <c r="X665" t="str">
        <f>Orders[[#This Row],[Sales Tier]] &amp; "-" &amp; Orders[[#This Row],[Quantity Tier]]</f>
        <v>High Price-High Volume</v>
      </c>
      <c r="Y665" t="str">
        <f>TEXT(Orders[[#This Row],[Order Date]], "mmmm")</f>
        <v>September</v>
      </c>
      <c r="Z66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665" t="str">
        <f>Orders[[#This Row],[Coffee Type Name]] &amp; "-" &amp; Orders[[#This Row],[Roast Type Name]]</f>
        <v>Excelsa-Medium</v>
      </c>
      <c r="AB66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666" spans="1:28" x14ac:dyDescent="0.25">
      <c r="A666" s="2" t="s">
        <v>3147</v>
      </c>
      <c r="B666" s="4">
        <v>44656</v>
      </c>
      <c r="C666" s="2" t="s">
        <v>3148</v>
      </c>
      <c r="D666" t="s">
        <v>6157</v>
      </c>
      <c r="E666" s="2">
        <v>1</v>
      </c>
      <c r="F666" s="2" t="str">
        <f>_xlfn.XLOOKUP(C666,customers!$A$1:$A$1001,customers!$B$1:$B$1001,,0)</f>
        <v>Alberto Hutchinson</v>
      </c>
      <c r="G666" s="2" t="str">
        <f>IF(_xlfn.XLOOKUP(C666,customers!$A$1:$A$1001,customers!$C$1:$C$1001,,0)=0,"",_xlfn.XLOOKUP(C666,customers!$A$1:$A$1001,customers!$C$1:$C$1001,,0))</f>
        <v>ahutchinsond2@imgur.com</v>
      </c>
      <c r="H666" s="2" t="str">
        <f>_xlfn.XLOOKUP(C666,customers!$A$1:$A$1001,customers!$G$1:$G$1001,,0)</f>
        <v>United States</v>
      </c>
      <c r="I666" t="str">
        <f>INDEX(products!$A$1:$G$49, MATCH(orders!$D472,products!$A$1:$A519,0), MATCH(orders!I$1,products!$A$1:$G$1,0))</f>
        <v>Ara</v>
      </c>
      <c r="J666" t="str">
        <f>INDEX(products!$A$1:$G$49, MATCH(orders!$D472,products!$A$1:$A519,0), MATCH(orders!J$1,products!$A$1:$G$1,0))</f>
        <v>M</v>
      </c>
      <c r="K666" s="5">
        <f>INDEX(products!$A$1:$G$49, MATCH(orders!$D472,products!$A$1:$A519,0), MATCH(orders!K$1,products!$A$1:$G$1,0))</f>
        <v>0.5</v>
      </c>
      <c r="L666" s="6">
        <f>INDEX(products!$A$1:$G$49, MATCH(orders!$D472,products!$A$1:$A519,0), MATCH(orders!L$1,products!$A$1:$G$1,0))</f>
        <v>6.75</v>
      </c>
      <c r="M666" s="6">
        <f t="shared" si="30"/>
        <v>6.75</v>
      </c>
      <c r="N666" t="str">
        <f t="shared" si="31"/>
        <v>Arabica</v>
      </c>
      <c r="O666" t="str">
        <f t="shared" si="32"/>
        <v>Medium</v>
      </c>
      <c r="P666" t="str">
        <f>_xlfn.XLOOKUP(Orders[[#This Row],[Customer ID]],customers!$A$1:$A$1001,customers!$I$1:$I$1001,,0)</f>
        <v>Yes</v>
      </c>
      <c r="Q666">
        <f>COUNTIF(Orders[Order ID],Orders[[#This Row],[Order ID]])</f>
        <v>1</v>
      </c>
      <c r="R666" s="10">
        <f>SUMIF(Orders[Order ID], Orders[[#This Row],[Order ID]],Orders[Sales])/Orders[[#This Row],[Order Frequency]]</f>
        <v>6.75</v>
      </c>
      <c r="S666" t="str">
        <f>IF(Orders[[#This Row],[Order Frequency]]&gt;4, "More than 4", IF(AND(Orders[[#This Row],[Order Frequency]]&lt;=4,Orders[[#This Row],[Order Frequency]]&gt;=2), "Between 4 and 2", "Less than 2"))</f>
        <v>Less than 2</v>
      </c>
      <c r="T666" t="str">
        <f>IF(Orders[[#This Row],[Frequency Group]]="less than 2", "Low Value", IF(Orders[[#This Row],[Frequency Group]]="between 4 and 2", "Medium Value", "High Value"))</f>
        <v>Low Value</v>
      </c>
      <c r="U666" t="str">
        <f>IF(Orders[[#This Row],[Sales]]&lt;50, "$0-50", IF(AND(Orders[[#This Row],[Sales]]&gt;=50,Orders[[#This Row],[Sales]]&lt;=100), "$50-100", IF(AND(Orders[[#This Row],[Sales]]&gt;100,Orders[[#This Row],[Sales]]&lt;=150), "$101-150", "$150+")))</f>
        <v>$0-50</v>
      </c>
      <c r="V666" t="str">
        <f>IF(Orders[[#This Row],[Sales]]&gt;MEDIAN(M:M), "High Price", "Low Price")</f>
        <v>Low Price</v>
      </c>
      <c r="W666" t="str">
        <f>IF(Orders[[#This Row],[Quantity]]&gt;MEDIAN(E:E), "High Volume", "Low Volume")</f>
        <v>Low Volume</v>
      </c>
      <c r="X666" t="str">
        <f>Orders[[#This Row],[Sales Tier]] &amp; "-" &amp; Orders[[#This Row],[Quantity Tier]]</f>
        <v>Low Price-Low Volume</v>
      </c>
      <c r="Y666" t="str">
        <f>TEXT(Orders[[#This Row],[Order Date]], "mmmm")</f>
        <v>April</v>
      </c>
      <c r="Z66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666" t="str">
        <f>Orders[[#This Row],[Coffee Type Name]] &amp; "-" &amp; Orders[[#This Row],[Roast Type Name]]</f>
        <v>Arabica-Medium</v>
      </c>
      <c r="AB66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667" spans="1:28" x14ac:dyDescent="0.25">
      <c r="A667" s="2" t="s">
        <v>2945</v>
      </c>
      <c r="B667" s="4">
        <v>44631</v>
      </c>
      <c r="C667" s="2" t="s">
        <v>2946</v>
      </c>
      <c r="D667" t="s">
        <v>6145</v>
      </c>
      <c r="E667" s="2">
        <v>2</v>
      </c>
      <c r="F667" s="2" t="str">
        <f>_xlfn.XLOOKUP(C667,customers!$A$1:$A$1001,customers!$B$1:$B$1001,,0)</f>
        <v>Orly Ryland</v>
      </c>
      <c r="G667" s="2" t="str">
        <f>IF(_xlfn.XLOOKUP(C667,customers!$A$1:$A$1001,customers!$C$1:$C$1001,,0)=0,"",_xlfn.XLOOKUP(C667,customers!$A$1:$A$1001,customers!$C$1:$C$1001,,0))</f>
        <v>orylandc4@deviantart.com</v>
      </c>
      <c r="H667" s="2" t="str">
        <f>_xlfn.XLOOKUP(C667,customers!$A$1:$A$1001,customers!$G$1:$G$1001,,0)</f>
        <v>United States</v>
      </c>
      <c r="I667" t="str">
        <f>INDEX(products!$A$1:$G$49, MATCH(orders!$D438,products!$A$1:$A485,0), MATCH(orders!I$1,products!$A$1:$G$1,0))</f>
        <v>Lib</v>
      </c>
      <c r="J667" t="str">
        <f>INDEX(products!$A$1:$G$49, MATCH(orders!$D438,products!$A$1:$A485,0), MATCH(orders!J$1,products!$A$1:$G$1,0))</f>
        <v>L</v>
      </c>
      <c r="K667" s="5">
        <f>INDEX(products!$A$1:$G$49, MATCH(orders!$D438,products!$A$1:$A485,0), MATCH(orders!K$1,products!$A$1:$G$1,0))</f>
        <v>0.2</v>
      </c>
      <c r="L667" s="6">
        <f>INDEX(products!$A$1:$G$49, MATCH(orders!$D438,products!$A$1:$A485,0), MATCH(orders!L$1,products!$A$1:$G$1,0))</f>
        <v>4.7549999999999999</v>
      </c>
      <c r="M667" s="6">
        <f t="shared" si="30"/>
        <v>9.51</v>
      </c>
      <c r="N667" t="str">
        <f t="shared" si="31"/>
        <v>Liberica</v>
      </c>
      <c r="O667" t="str">
        <f t="shared" si="32"/>
        <v>Light</v>
      </c>
      <c r="P667" t="str">
        <f>_xlfn.XLOOKUP(Orders[[#This Row],[Customer ID]],customers!$A$1:$A$1001,customers!$I$1:$I$1001,,0)</f>
        <v>Yes</v>
      </c>
      <c r="Q667">
        <f>COUNTIF(Orders[Order ID],Orders[[#This Row],[Order ID]])</f>
        <v>1</v>
      </c>
      <c r="R667" s="10">
        <f>SUMIF(Orders[Order ID], Orders[[#This Row],[Order ID]],Orders[Sales])/Orders[[#This Row],[Order Frequency]]</f>
        <v>9.51</v>
      </c>
      <c r="S667" t="str">
        <f>IF(Orders[[#This Row],[Order Frequency]]&gt;4, "More than 4", IF(AND(Orders[[#This Row],[Order Frequency]]&lt;=4,Orders[[#This Row],[Order Frequency]]&gt;=2), "Between 4 and 2", "Less than 2"))</f>
        <v>Less than 2</v>
      </c>
      <c r="T667" t="str">
        <f>IF(Orders[[#This Row],[Frequency Group]]="less than 2", "Low Value", IF(Orders[[#This Row],[Frequency Group]]="between 4 and 2", "Medium Value", "High Value"))</f>
        <v>Low Value</v>
      </c>
      <c r="U667" t="str">
        <f>IF(Orders[[#This Row],[Sales]]&lt;50, "$0-50", IF(AND(Orders[[#This Row],[Sales]]&gt;=50,Orders[[#This Row],[Sales]]&lt;=100), "$50-100", IF(AND(Orders[[#This Row],[Sales]]&gt;100,Orders[[#This Row],[Sales]]&lt;=150), "$101-150", "$150+")))</f>
        <v>$0-50</v>
      </c>
      <c r="V667" t="str">
        <f>IF(Orders[[#This Row],[Sales]]&gt;MEDIAN(M:M), "High Price", "Low Price")</f>
        <v>Low Price</v>
      </c>
      <c r="W667" t="str">
        <f>IF(Orders[[#This Row],[Quantity]]&gt;MEDIAN(E:E), "High Volume", "Low Volume")</f>
        <v>Low Volume</v>
      </c>
      <c r="X667" t="str">
        <f>Orders[[#This Row],[Sales Tier]] &amp; "-" &amp; Orders[[#This Row],[Quantity Tier]]</f>
        <v>Low Price-Low Volume</v>
      </c>
      <c r="Y667" t="str">
        <f>TEXT(Orders[[#This Row],[Order Date]], "mmmm")</f>
        <v>March</v>
      </c>
      <c r="Z66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667" t="str">
        <f>Orders[[#This Row],[Coffee Type Name]] &amp; "-" &amp; Orders[[#This Row],[Roast Type Name]]</f>
        <v>Liberica-Light</v>
      </c>
      <c r="AB66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668" spans="1:28" x14ac:dyDescent="0.25">
      <c r="A668" s="2" t="s">
        <v>5699</v>
      </c>
      <c r="B668" s="4">
        <v>44509</v>
      </c>
      <c r="C668" s="2" t="s">
        <v>5700</v>
      </c>
      <c r="D668" t="s">
        <v>6150</v>
      </c>
      <c r="E668" s="2">
        <v>2</v>
      </c>
      <c r="F668" s="2" t="str">
        <f>_xlfn.XLOOKUP(C668,customers!$A$1:$A$1001,customers!$B$1:$B$1001,,0)</f>
        <v>Mitch Attwool</v>
      </c>
      <c r="G668" s="2" t="str">
        <f>IF(_xlfn.XLOOKUP(C668,customers!$A$1:$A$1001,customers!$C$1:$C$1001,,0)=0,"",_xlfn.XLOOKUP(C668,customers!$A$1:$A$1001,customers!$C$1:$C$1001,,0))</f>
        <v>mattwoolpl@nba.com</v>
      </c>
      <c r="H668" s="2" t="str">
        <f>_xlfn.XLOOKUP(C668,customers!$A$1:$A$1001,customers!$G$1:$G$1001,,0)</f>
        <v>United States</v>
      </c>
      <c r="I668" t="str">
        <f>INDEX(products!$A$1:$G$49, MATCH(orders!$D923,products!$A$1:$A970,0), MATCH(orders!I$1,products!$A$1:$G$1,0))</f>
        <v>Lib</v>
      </c>
      <c r="J668" t="str">
        <f>INDEX(products!$A$1:$G$49, MATCH(orders!$D923,products!$A$1:$A970,0), MATCH(orders!J$1,products!$A$1:$G$1,0))</f>
        <v>D</v>
      </c>
      <c r="K668" s="5">
        <f>INDEX(products!$A$1:$G$49, MATCH(orders!$D923,products!$A$1:$A970,0), MATCH(orders!K$1,products!$A$1:$G$1,0))</f>
        <v>0.2</v>
      </c>
      <c r="L668" s="6">
        <f>INDEX(products!$A$1:$G$49, MATCH(orders!$D923,products!$A$1:$A970,0), MATCH(orders!L$1,products!$A$1:$G$1,0))</f>
        <v>3.8849999999999998</v>
      </c>
      <c r="M668" s="6">
        <f t="shared" si="30"/>
        <v>7.77</v>
      </c>
      <c r="N668" t="str">
        <f t="shared" si="31"/>
        <v>Liberica</v>
      </c>
      <c r="O668" t="str">
        <f t="shared" si="32"/>
        <v>Dark</v>
      </c>
      <c r="P668" t="str">
        <f>_xlfn.XLOOKUP(Orders[[#This Row],[Customer ID]],customers!$A$1:$A$1001,customers!$I$1:$I$1001,,0)</f>
        <v>No</v>
      </c>
      <c r="Q668">
        <f>COUNTIF(Orders[Order ID],Orders[[#This Row],[Order ID]])</f>
        <v>1</v>
      </c>
      <c r="R668" s="10">
        <f>SUMIF(Orders[Order ID], Orders[[#This Row],[Order ID]],Orders[Sales])/Orders[[#This Row],[Order Frequency]]</f>
        <v>7.77</v>
      </c>
      <c r="S668" t="str">
        <f>IF(Orders[[#This Row],[Order Frequency]]&gt;4, "More than 4", IF(AND(Orders[[#This Row],[Order Frequency]]&lt;=4,Orders[[#This Row],[Order Frequency]]&gt;=2), "Between 4 and 2", "Less than 2"))</f>
        <v>Less than 2</v>
      </c>
      <c r="T668" t="str">
        <f>IF(Orders[[#This Row],[Frequency Group]]="less than 2", "Low Value", IF(Orders[[#This Row],[Frequency Group]]="between 4 and 2", "Medium Value", "High Value"))</f>
        <v>Low Value</v>
      </c>
      <c r="U668" t="str">
        <f>IF(Orders[[#This Row],[Sales]]&lt;50, "$0-50", IF(AND(Orders[[#This Row],[Sales]]&gt;=50,Orders[[#This Row],[Sales]]&lt;=100), "$50-100", IF(AND(Orders[[#This Row],[Sales]]&gt;100,Orders[[#This Row],[Sales]]&lt;=150), "$101-150", "$150+")))</f>
        <v>$0-50</v>
      </c>
      <c r="V668" t="str">
        <f>IF(Orders[[#This Row],[Sales]]&gt;MEDIAN(M:M), "High Price", "Low Price")</f>
        <v>Low Price</v>
      </c>
      <c r="W668" t="str">
        <f>IF(Orders[[#This Row],[Quantity]]&gt;MEDIAN(E:E), "High Volume", "Low Volume")</f>
        <v>Low Volume</v>
      </c>
      <c r="X668" t="str">
        <f>Orders[[#This Row],[Sales Tier]] &amp; "-" &amp; Orders[[#This Row],[Quantity Tier]]</f>
        <v>Low Price-Low Volume</v>
      </c>
      <c r="Y668" t="str">
        <f>TEXT(Orders[[#This Row],[Order Date]], "mmmm")</f>
        <v>November</v>
      </c>
      <c r="Z66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668" t="str">
        <f>Orders[[#This Row],[Coffee Type Name]] &amp; "-" &amp; Orders[[#This Row],[Roast Type Name]]</f>
        <v>Liberica-Dark</v>
      </c>
      <c r="AB66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669" spans="1:28" x14ac:dyDescent="0.25">
      <c r="A669" s="2" t="s">
        <v>5305</v>
      </c>
      <c r="B669" s="4">
        <v>44527</v>
      </c>
      <c r="C669" s="2" t="s">
        <v>5306</v>
      </c>
      <c r="D669" t="s">
        <v>6165</v>
      </c>
      <c r="E669" s="2">
        <v>4</v>
      </c>
      <c r="F669" s="2" t="str">
        <f>_xlfn.XLOOKUP(C669,customers!$A$1:$A$1001,customers!$B$1:$B$1001,,0)</f>
        <v>Bear Gaish</v>
      </c>
      <c r="G669" s="2" t="str">
        <f>IF(_xlfn.XLOOKUP(C669,customers!$A$1:$A$1001,customers!$C$1:$C$1001,,0)=0,"",_xlfn.XLOOKUP(C669,customers!$A$1:$A$1001,customers!$C$1:$C$1001,,0))</f>
        <v>bgaishno@altervista.org</v>
      </c>
      <c r="H669" s="2" t="str">
        <f>_xlfn.XLOOKUP(C669,customers!$A$1:$A$1001,customers!$G$1:$G$1001,,0)</f>
        <v>United States</v>
      </c>
      <c r="I669" t="str">
        <f>INDEX(products!$A$1:$G$49, MATCH(orders!$D854,products!$A$1:$A901,0), MATCH(orders!I$1,products!$A$1:$G$1,0))</f>
        <v>Lib</v>
      </c>
      <c r="J669" t="str">
        <f>INDEX(products!$A$1:$G$49, MATCH(orders!$D854,products!$A$1:$A901,0), MATCH(orders!J$1,products!$A$1:$G$1,0))</f>
        <v>D</v>
      </c>
      <c r="K669" s="5">
        <f>INDEX(products!$A$1:$G$49, MATCH(orders!$D854,products!$A$1:$A901,0), MATCH(orders!K$1,products!$A$1:$G$1,0))</f>
        <v>2.5</v>
      </c>
      <c r="L669" s="6">
        <f>INDEX(products!$A$1:$G$49, MATCH(orders!$D854,products!$A$1:$A901,0), MATCH(orders!L$1,products!$A$1:$G$1,0))</f>
        <v>29.784999999999997</v>
      </c>
      <c r="M669" s="6">
        <f t="shared" si="30"/>
        <v>119.13999999999999</v>
      </c>
      <c r="N669" t="str">
        <f t="shared" si="31"/>
        <v>Liberica</v>
      </c>
      <c r="O669" t="str">
        <f t="shared" si="32"/>
        <v>Dark</v>
      </c>
      <c r="P669" t="str">
        <f>_xlfn.XLOOKUP(Orders[[#This Row],[Customer ID]],customers!$A$1:$A$1001,customers!$I$1:$I$1001,,0)</f>
        <v>Yes</v>
      </c>
      <c r="Q669">
        <f>COUNTIF(Orders[Order ID],Orders[[#This Row],[Order ID]])</f>
        <v>1</v>
      </c>
      <c r="R669" s="10">
        <f>SUMIF(Orders[Order ID], Orders[[#This Row],[Order ID]],Orders[Sales])/Orders[[#This Row],[Order Frequency]]</f>
        <v>119.13999999999999</v>
      </c>
      <c r="S669" t="str">
        <f>IF(Orders[[#This Row],[Order Frequency]]&gt;4, "More than 4", IF(AND(Orders[[#This Row],[Order Frequency]]&lt;=4,Orders[[#This Row],[Order Frequency]]&gt;=2), "Between 4 and 2", "Less than 2"))</f>
        <v>Less than 2</v>
      </c>
      <c r="T669" t="str">
        <f>IF(Orders[[#This Row],[Frequency Group]]="less than 2", "Low Value", IF(Orders[[#This Row],[Frequency Group]]="between 4 and 2", "Medium Value", "High Value"))</f>
        <v>Low Value</v>
      </c>
      <c r="U669" t="str">
        <f>IF(Orders[[#This Row],[Sales]]&lt;50, "$0-50", IF(AND(Orders[[#This Row],[Sales]]&gt;=50,Orders[[#This Row],[Sales]]&lt;=100), "$50-100", IF(AND(Orders[[#This Row],[Sales]]&gt;100,Orders[[#This Row],[Sales]]&lt;=150), "$101-150", "$150+")))</f>
        <v>$101-150</v>
      </c>
      <c r="V669" t="str">
        <f>IF(Orders[[#This Row],[Sales]]&gt;MEDIAN(M:M), "High Price", "Low Price")</f>
        <v>High Price</v>
      </c>
      <c r="W669" t="str">
        <f>IF(Orders[[#This Row],[Quantity]]&gt;MEDIAN(E:E), "High Volume", "Low Volume")</f>
        <v>Low Volume</v>
      </c>
      <c r="X669" t="str">
        <f>Orders[[#This Row],[Sales Tier]] &amp; "-" &amp; Orders[[#This Row],[Quantity Tier]]</f>
        <v>High Price-Low Volume</v>
      </c>
      <c r="Y669" t="str">
        <f>TEXT(Orders[[#This Row],[Order Date]], "mmmm")</f>
        <v>November</v>
      </c>
      <c r="Z66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669" t="str">
        <f>Orders[[#This Row],[Coffee Type Name]] &amp; "-" &amp; Orders[[#This Row],[Roast Type Name]]</f>
        <v>Liberica-Dark</v>
      </c>
      <c r="AB66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670" spans="1:28" x14ac:dyDescent="0.25">
      <c r="A670" s="2" t="s">
        <v>3035</v>
      </c>
      <c r="B670" s="4">
        <v>43518</v>
      </c>
      <c r="C670" s="2" t="s">
        <v>3036</v>
      </c>
      <c r="D670" t="s">
        <v>6149</v>
      </c>
      <c r="E670" s="2">
        <v>2</v>
      </c>
      <c r="F670" s="2" t="str">
        <f>_xlfn.XLOOKUP(C670,customers!$A$1:$A$1001,customers!$B$1:$B$1001,,0)</f>
        <v>Mohandis Spurden</v>
      </c>
      <c r="G670" s="2" t="str">
        <f>IF(_xlfn.XLOOKUP(C670,customers!$A$1:$A$1001,customers!$C$1:$C$1001,,0)=0,"",_xlfn.XLOOKUP(C670,customers!$A$1:$A$1001,customers!$C$1:$C$1001,,0))</f>
        <v>mspurdencj@exblog.jp</v>
      </c>
      <c r="H670" s="2" t="str">
        <f>_xlfn.XLOOKUP(C670,customers!$A$1:$A$1001,customers!$G$1:$G$1001,,0)</f>
        <v>United States</v>
      </c>
      <c r="I670" t="str">
        <f>INDEX(products!$A$1:$G$49, MATCH(orders!$D453,products!$A$1:$A500,0), MATCH(orders!I$1,products!$A$1:$G$1,0))</f>
        <v>Rob</v>
      </c>
      <c r="J670" t="str">
        <f>INDEX(products!$A$1:$G$49, MATCH(orders!$D453,products!$A$1:$A500,0), MATCH(orders!J$1,products!$A$1:$G$1,0))</f>
        <v>D</v>
      </c>
      <c r="K670" s="5">
        <f>INDEX(products!$A$1:$G$49, MATCH(orders!$D453,products!$A$1:$A500,0), MATCH(orders!K$1,products!$A$1:$G$1,0))</f>
        <v>2.5</v>
      </c>
      <c r="L670" s="6">
        <f>INDEX(products!$A$1:$G$49, MATCH(orders!$D453,products!$A$1:$A500,0), MATCH(orders!L$1,products!$A$1:$G$1,0))</f>
        <v>20.584999999999997</v>
      </c>
      <c r="M670" s="6">
        <f t="shared" si="30"/>
        <v>41.169999999999995</v>
      </c>
      <c r="N670" t="str">
        <f t="shared" si="31"/>
        <v>Robusta</v>
      </c>
      <c r="O670" t="str">
        <f t="shared" si="32"/>
        <v>Dark</v>
      </c>
      <c r="P670" t="str">
        <f>_xlfn.XLOOKUP(Orders[[#This Row],[Customer ID]],customers!$A$1:$A$1001,customers!$I$1:$I$1001,,0)</f>
        <v>Yes</v>
      </c>
      <c r="Q670">
        <f>COUNTIF(Orders[Order ID],Orders[[#This Row],[Order ID]])</f>
        <v>1</v>
      </c>
      <c r="R670" s="10">
        <f>SUMIF(Orders[Order ID], Orders[[#This Row],[Order ID]],Orders[Sales])/Orders[[#This Row],[Order Frequency]]</f>
        <v>41.169999999999995</v>
      </c>
      <c r="S670" t="str">
        <f>IF(Orders[[#This Row],[Order Frequency]]&gt;4, "More than 4", IF(AND(Orders[[#This Row],[Order Frequency]]&lt;=4,Orders[[#This Row],[Order Frequency]]&gt;=2), "Between 4 and 2", "Less than 2"))</f>
        <v>Less than 2</v>
      </c>
      <c r="T670" t="str">
        <f>IF(Orders[[#This Row],[Frequency Group]]="less than 2", "Low Value", IF(Orders[[#This Row],[Frequency Group]]="between 4 and 2", "Medium Value", "High Value"))</f>
        <v>Low Value</v>
      </c>
      <c r="U670" t="str">
        <f>IF(Orders[[#This Row],[Sales]]&lt;50, "$0-50", IF(AND(Orders[[#This Row],[Sales]]&gt;=50,Orders[[#This Row],[Sales]]&lt;=100), "$50-100", IF(AND(Orders[[#This Row],[Sales]]&gt;100,Orders[[#This Row],[Sales]]&lt;=150), "$101-150", "$150+")))</f>
        <v>$0-50</v>
      </c>
      <c r="V670" t="str">
        <f>IF(Orders[[#This Row],[Sales]]&gt;MEDIAN(M:M), "High Price", "Low Price")</f>
        <v>High Price</v>
      </c>
      <c r="W670" t="str">
        <f>IF(Orders[[#This Row],[Quantity]]&gt;MEDIAN(E:E), "High Volume", "Low Volume")</f>
        <v>Low Volume</v>
      </c>
      <c r="X670" t="str">
        <f>Orders[[#This Row],[Sales Tier]] &amp; "-" &amp; Orders[[#This Row],[Quantity Tier]]</f>
        <v>High Price-Low Volume</v>
      </c>
      <c r="Y670" t="str">
        <f>TEXT(Orders[[#This Row],[Order Date]], "mmmm")</f>
        <v>February</v>
      </c>
      <c r="Z67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670" t="str">
        <f>Orders[[#This Row],[Coffee Type Name]] &amp; "-" &amp; Orders[[#This Row],[Roast Type Name]]</f>
        <v>Robusta-Dark</v>
      </c>
      <c r="AB67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671" spans="1:28" x14ac:dyDescent="0.25">
      <c r="A671" s="2" t="s">
        <v>843</v>
      </c>
      <c r="B671" s="4">
        <v>43868</v>
      </c>
      <c r="C671" s="2" t="s">
        <v>844</v>
      </c>
      <c r="D671" t="s">
        <v>6157</v>
      </c>
      <c r="E671" s="2">
        <v>1</v>
      </c>
      <c r="F671" s="2" t="str">
        <f>_xlfn.XLOOKUP(C671,customers!$A$1:$A$1001,customers!$B$1:$B$1001,,0)</f>
        <v>Annadiane Dykes</v>
      </c>
      <c r="G671" s="2" t="str">
        <f>IF(_xlfn.XLOOKUP(C671,customers!$A$1:$A$1001,customers!$C$1:$C$1001,,0)=0,"",_xlfn.XLOOKUP(C671,customers!$A$1:$A$1001,customers!$C$1:$C$1001,,0))</f>
        <v>adykes1r@eventbrite.com</v>
      </c>
      <c r="H671" s="2" t="str">
        <f>_xlfn.XLOOKUP(C671,customers!$A$1:$A$1001,customers!$G$1:$G$1001,,0)</f>
        <v>United States</v>
      </c>
      <c r="I671" t="str">
        <f>INDEX(products!$A$1:$G$49, MATCH(orders!$D65,products!$A$1:$A112,0), MATCH(orders!I$1,products!$A$1:$G$1,0))</f>
        <v>Ara</v>
      </c>
      <c r="J671" t="str">
        <f>INDEX(products!$A$1:$G$49, MATCH(orders!$D65,products!$A$1:$A112,0), MATCH(orders!J$1,products!$A$1:$G$1,0))</f>
        <v>M</v>
      </c>
      <c r="K671" s="5">
        <f>INDEX(products!$A$1:$G$49, MATCH(orders!$D65,products!$A$1:$A112,0), MATCH(orders!K$1,products!$A$1:$G$1,0))</f>
        <v>0.5</v>
      </c>
      <c r="L671" s="6">
        <f>INDEX(products!$A$1:$G$49, MATCH(orders!$D65,products!$A$1:$A112,0), MATCH(orders!L$1,products!$A$1:$G$1,0))</f>
        <v>6.75</v>
      </c>
      <c r="M671" s="6">
        <f t="shared" si="30"/>
        <v>6.75</v>
      </c>
      <c r="N671" t="str">
        <f t="shared" si="31"/>
        <v>Arabica</v>
      </c>
      <c r="O671" t="str">
        <f t="shared" si="32"/>
        <v>Medium</v>
      </c>
      <c r="P671" t="str">
        <f>_xlfn.XLOOKUP(Orders[[#This Row],[Customer ID]],customers!$A$1:$A$1001,customers!$I$1:$I$1001,,0)</f>
        <v>No</v>
      </c>
      <c r="Q671">
        <f>COUNTIF(Orders[Order ID],Orders[[#This Row],[Order ID]])</f>
        <v>1</v>
      </c>
      <c r="R671" s="10">
        <f>SUMIF(Orders[Order ID], Orders[[#This Row],[Order ID]],Orders[Sales])/Orders[[#This Row],[Order Frequency]]</f>
        <v>6.75</v>
      </c>
      <c r="S671" t="str">
        <f>IF(Orders[[#This Row],[Order Frequency]]&gt;4, "More than 4", IF(AND(Orders[[#This Row],[Order Frequency]]&lt;=4,Orders[[#This Row],[Order Frequency]]&gt;=2), "Between 4 and 2", "Less than 2"))</f>
        <v>Less than 2</v>
      </c>
      <c r="T671" t="str">
        <f>IF(Orders[[#This Row],[Frequency Group]]="less than 2", "Low Value", IF(Orders[[#This Row],[Frequency Group]]="between 4 and 2", "Medium Value", "High Value"))</f>
        <v>Low Value</v>
      </c>
      <c r="U671" t="str">
        <f>IF(Orders[[#This Row],[Sales]]&lt;50, "$0-50", IF(AND(Orders[[#This Row],[Sales]]&gt;=50,Orders[[#This Row],[Sales]]&lt;=100), "$50-100", IF(AND(Orders[[#This Row],[Sales]]&gt;100,Orders[[#This Row],[Sales]]&lt;=150), "$101-150", "$150+")))</f>
        <v>$0-50</v>
      </c>
      <c r="V671" t="str">
        <f>IF(Orders[[#This Row],[Sales]]&gt;MEDIAN(M:M), "High Price", "Low Price")</f>
        <v>Low Price</v>
      </c>
      <c r="W671" t="str">
        <f>IF(Orders[[#This Row],[Quantity]]&gt;MEDIAN(E:E), "High Volume", "Low Volume")</f>
        <v>Low Volume</v>
      </c>
      <c r="X671" t="str">
        <f>Orders[[#This Row],[Sales Tier]] &amp; "-" &amp; Orders[[#This Row],[Quantity Tier]]</f>
        <v>Low Price-Low Volume</v>
      </c>
      <c r="Y671" t="str">
        <f>TEXT(Orders[[#This Row],[Order Date]], "mmmm")</f>
        <v>February</v>
      </c>
      <c r="Z67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671" t="str">
        <f>Orders[[#This Row],[Coffee Type Name]] &amp; "-" &amp; Orders[[#This Row],[Roast Type Name]]</f>
        <v>Arabica-Medium</v>
      </c>
      <c r="AB67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672" spans="1:28" x14ac:dyDescent="0.25">
      <c r="A672" s="2" t="s">
        <v>860</v>
      </c>
      <c r="B672" s="4">
        <v>44666</v>
      </c>
      <c r="C672" s="2" t="s">
        <v>861</v>
      </c>
      <c r="D672" t="s">
        <v>6173</v>
      </c>
      <c r="E672" s="2">
        <v>1</v>
      </c>
      <c r="F672" s="2" t="str">
        <f>_xlfn.XLOOKUP(C672,customers!$A$1:$A$1001,customers!$B$1:$B$1001,,0)</f>
        <v>Belvia Umpleby</v>
      </c>
      <c r="G672" s="2" t="str">
        <f>IF(_xlfn.XLOOKUP(C672,customers!$A$1:$A$1001,customers!$C$1:$C$1001,,0)=0,"",_xlfn.XLOOKUP(C672,customers!$A$1:$A$1001,customers!$C$1:$C$1001,,0))</f>
        <v>bumpleby1u@soundcloud.com</v>
      </c>
      <c r="H672" s="2" t="str">
        <f>_xlfn.XLOOKUP(C672,customers!$A$1:$A$1001,customers!$G$1:$G$1001,,0)</f>
        <v>United States</v>
      </c>
      <c r="I672" t="str">
        <f>INDEX(products!$A$1:$G$49, MATCH(orders!$D68,products!$A$1:$A115,0), MATCH(orders!I$1,products!$A$1:$G$1,0))</f>
        <v>Rob</v>
      </c>
      <c r="J672" t="str">
        <f>INDEX(products!$A$1:$G$49, MATCH(orders!$D68,products!$A$1:$A115,0), MATCH(orders!J$1,products!$A$1:$G$1,0))</f>
        <v>L</v>
      </c>
      <c r="K672" s="5">
        <f>INDEX(products!$A$1:$G$49, MATCH(orders!$D68,products!$A$1:$A115,0), MATCH(orders!K$1,products!$A$1:$G$1,0))</f>
        <v>0.5</v>
      </c>
      <c r="L672" s="6">
        <f>INDEX(products!$A$1:$G$49, MATCH(orders!$D68,products!$A$1:$A115,0), MATCH(orders!L$1,products!$A$1:$G$1,0))</f>
        <v>7.169999999999999</v>
      </c>
      <c r="M672" s="6">
        <f t="shared" si="30"/>
        <v>7.169999999999999</v>
      </c>
      <c r="N672" t="str">
        <f t="shared" si="31"/>
        <v>Robusta</v>
      </c>
      <c r="O672" t="str">
        <f t="shared" si="32"/>
        <v>Light</v>
      </c>
      <c r="P672" t="str">
        <f>_xlfn.XLOOKUP(Orders[[#This Row],[Customer ID]],customers!$A$1:$A$1001,customers!$I$1:$I$1001,,0)</f>
        <v>Yes</v>
      </c>
      <c r="Q672">
        <f>COUNTIF(Orders[Order ID],Orders[[#This Row],[Order ID]])</f>
        <v>1</v>
      </c>
      <c r="R672" s="10">
        <f>SUMIF(Orders[Order ID], Orders[[#This Row],[Order ID]],Orders[Sales])/Orders[[#This Row],[Order Frequency]]</f>
        <v>7.169999999999999</v>
      </c>
      <c r="S672" t="str">
        <f>IF(Orders[[#This Row],[Order Frequency]]&gt;4, "More than 4", IF(AND(Orders[[#This Row],[Order Frequency]]&lt;=4,Orders[[#This Row],[Order Frequency]]&gt;=2), "Between 4 and 2", "Less than 2"))</f>
        <v>Less than 2</v>
      </c>
      <c r="T672" t="str">
        <f>IF(Orders[[#This Row],[Frequency Group]]="less than 2", "Low Value", IF(Orders[[#This Row],[Frequency Group]]="between 4 and 2", "Medium Value", "High Value"))</f>
        <v>Low Value</v>
      </c>
      <c r="U672" t="str">
        <f>IF(Orders[[#This Row],[Sales]]&lt;50, "$0-50", IF(AND(Orders[[#This Row],[Sales]]&gt;=50,Orders[[#This Row],[Sales]]&lt;=100), "$50-100", IF(AND(Orders[[#This Row],[Sales]]&gt;100,Orders[[#This Row],[Sales]]&lt;=150), "$101-150", "$150+")))</f>
        <v>$0-50</v>
      </c>
      <c r="V672" t="str">
        <f>IF(Orders[[#This Row],[Sales]]&gt;MEDIAN(M:M), "High Price", "Low Price")</f>
        <v>Low Price</v>
      </c>
      <c r="W672" t="str">
        <f>IF(Orders[[#This Row],[Quantity]]&gt;MEDIAN(E:E), "High Volume", "Low Volume")</f>
        <v>Low Volume</v>
      </c>
      <c r="X672" t="str">
        <f>Orders[[#This Row],[Sales Tier]] &amp; "-" &amp; Orders[[#This Row],[Quantity Tier]]</f>
        <v>Low Price-Low Volume</v>
      </c>
      <c r="Y672" t="str">
        <f>TEXT(Orders[[#This Row],[Order Date]], "mmmm")</f>
        <v>April</v>
      </c>
      <c r="Z67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672" t="str">
        <f>Orders[[#This Row],[Coffee Type Name]] &amp; "-" &amp; Orders[[#This Row],[Roast Type Name]]</f>
        <v>Robusta-Light</v>
      </c>
      <c r="AB67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673" spans="1:28" x14ac:dyDescent="0.25">
      <c r="A673" s="2" t="s">
        <v>3242</v>
      </c>
      <c r="B673" s="4">
        <v>44093</v>
      </c>
      <c r="C673" s="2" t="s">
        <v>3243</v>
      </c>
      <c r="D673" t="s">
        <v>6183</v>
      </c>
      <c r="E673" s="2">
        <v>6</v>
      </c>
      <c r="F673" s="2" t="str">
        <f>_xlfn.XLOOKUP(C673,customers!$A$1:$A$1001,customers!$B$1:$B$1001,,0)</f>
        <v>Klarika Egglestone</v>
      </c>
      <c r="G673" s="2" t="str">
        <f>IF(_xlfn.XLOOKUP(C673,customers!$A$1:$A$1001,customers!$C$1:$C$1001,,0)=0,"",_xlfn.XLOOKUP(C673,customers!$A$1:$A$1001,customers!$C$1:$C$1001,,0))</f>
        <v>kegglestonedj@sphinn.com</v>
      </c>
      <c r="H673" s="2" t="str">
        <f>_xlfn.XLOOKUP(C673,customers!$A$1:$A$1001,customers!$G$1:$G$1001,,0)</f>
        <v>Ireland</v>
      </c>
      <c r="I673" t="str">
        <f>INDEX(products!$A$1:$G$49, MATCH(orders!$D489,products!$A$1:$A536,0), MATCH(orders!I$1,products!$A$1:$G$1,0))</f>
        <v>Exc</v>
      </c>
      <c r="J673" t="str">
        <f>INDEX(products!$A$1:$G$49, MATCH(orders!$D489,products!$A$1:$A536,0), MATCH(orders!J$1,products!$A$1:$G$1,0))</f>
        <v>D</v>
      </c>
      <c r="K673" s="5">
        <f>INDEX(products!$A$1:$G$49, MATCH(orders!$D489,products!$A$1:$A536,0), MATCH(orders!K$1,products!$A$1:$G$1,0))</f>
        <v>1</v>
      </c>
      <c r="L673" s="6">
        <f>INDEX(products!$A$1:$G$49, MATCH(orders!$D489,products!$A$1:$A536,0), MATCH(orders!L$1,products!$A$1:$G$1,0))</f>
        <v>12.15</v>
      </c>
      <c r="M673" s="6">
        <f t="shared" si="30"/>
        <v>72.900000000000006</v>
      </c>
      <c r="N673" t="str">
        <f t="shared" si="31"/>
        <v>Excelsa</v>
      </c>
      <c r="O673" t="str">
        <f t="shared" si="32"/>
        <v>Dark</v>
      </c>
      <c r="P673" t="str">
        <f>_xlfn.XLOOKUP(Orders[[#This Row],[Customer ID]],customers!$A$1:$A$1001,customers!$I$1:$I$1001,,0)</f>
        <v>No</v>
      </c>
      <c r="Q673">
        <f>COUNTIF(Orders[Order ID],Orders[[#This Row],[Order ID]])</f>
        <v>1</v>
      </c>
      <c r="R673" s="10">
        <f>SUMIF(Orders[Order ID], Orders[[#This Row],[Order ID]],Orders[Sales])/Orders[[#This Row],[Order Frequency]]</f>
        <v>72.900000000000006</v>
      </c>
      <c r="S673" t="str">
        <f>IF(Orders[[#This Row],[Order Frequency]]&gt;4, "More than 4", IF(AND(Orders[[#This Row],[Order Frequency]]&lt;=4,Orders[[#This Row],[Order Frequency]]&gt;=2), "Between 4 and 2", "Less than 2"))</f>
        <v>Less than 2</v>
      </c>
      <c r="T673" t="str">
        <f>IF(Orders[[#This Row],[Frequency Group]]="less than 2", "Low Value", IF(Orders[[#This Row],[Frequency Group]]="between 4 and 2", "Medium Value", "High Value"))</f>
        <v>Low Value</v>
      </c>
      <c r="U673" t="str">
        <f>IF(Orders[[#This Row],[Sales]]&lt;50, "$0-50", IF(AND(Orders[[#This Row],[Sales]]&gt;=50,Orders[[#This Row],[Sales]]&lt;=100), "$50-100", IF(AND(Orders[[#This Row],[Sales]]&gt;100,Orders[[#This Row],[Sales]]&lt;=150), "$101-150", "$150+")))</f>
        <v>$50-100</v>
      </c>
      <c r="V673" t="str">
        <f>IF(Orders[[#This Row],[Sales]]&gt;MEDIAN(M:M), "High Price", "Low Price")</f>
        <v>High Price</v>
      </c>
      <c r="W673" t="str">
        <f>IF(Orders[[#This Row],[Quantity]]&gt;MEDIAN(E:E), "High Volume", "Low Volume")</f>
        <v>High Volume</v>
      </c>
      <c r="X673" t="str">
        <f>Orders[[#This Row],[Sales Tier]] &amp; "-" &amp; Orders[[#This Row],[Quantity Tier]]</f>
        <v>High Price-High Volume</v>
      </c>
      <c r="Y673" t="str">
        <f>TEXT(Orders[[#This Row],[Order Date]], "mmmm")</f>
        <v>September</v>
      </c>
      <c r="Z67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673" t="str">
        <f>Orders[[#This Row],[Coffee Type Name]] &amp; "-" &amp; Orders[[#This Row],[Roast Type Name]]</f>
        <v>Excelsa-Dark</v>
      </c>
      <c r="AB67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674" spans="1:28" x14ac:dyDescent="0.25">
      <c r="A674" s="2" t="s">
        <v>5374</v>
      </c>
      <c r="B674" s="4">
        <v>43759</v>
      </c>
      <c r="C674" s="2" t="s">
        <v>5375</v>
      </c>
      <c r="D674" t="s">
        <v>6178</v>
      </c>
      <c r="E674" s="2">
        <v>6</v>
      </c>
      <c r="F674" s="2" t="str">
        <f>_xlfn.XLOOKUP(C674,customers!$A$1:$A$1001,customers!$B$1:$B$1001,,0)</f>
        <v>Ronda Pyson</v>
      </c>
      <c r="G674" s="2" t="str">
        <f>IF(_xlfn.XLOOKUP(C674,customers!$A$1:$A$1001,customers!$C$1:$C$1001,,0)=0,"",_xlfn.XLOOKUP(C674,customers!$A$1:$A$1001,customers!$C$1:$C$1001,,0))</f>
        <v>rpysono0@constantcontact.com</v>
      </c>
      <c r="H674" s="2" t="str">
        <f>_xlfn.XLOOKUP(C674,customers!$A$1:$A$1001,customers!$G$1:$G$1001,,0)</f>
        <v>Ireland</v>
      </c>
      <c r="I674" t="str">
        <f>INDEX(products!$A$1:$G$49, MATCH(orders!$D866,products!$A$1:$A913,0), MATCH(orders!I$1,products!$A$1:$G$1,0))</f>
        <v>Rob</v>
      </c>
      <c r="J674" t="str">
        <f>INDEX(products!$A$1:$G$49, MATCH(orders!$D866,products!$A$1:$A913,0), MATCH(orders!J$1,products!$A$1:$G$1,0))</f>
        <v>L</v>
      </c>
      <c r="K674" s="5">
        <f>INDEX(products!$A$1:$G$49, MATCH(orders!$D866,products!$A$1:$A913,0), MATCH(orders!K$1,products!$A$1:$G$1,0))</f>
        <v>0.2</v>
      </c>
      <c r="L674" s="6">
        <f>INDEX(products!$A$1:$G$49, MATCH(orders!$D866,products!$A$1:$A913,0), MATCH(orders!L$1,products!$A$1:$G$1,0))</f>
        <v>3.5849999999999995</v>
      </c>
      <c r="M674" s="6">
        <f t="shared" si="30"/>
        <v>21.509999999999998</v>
      </c>
      <c r="N674" t="str">
        <f t="shared" si="31"/>
        <v>Robusta</v>
      </c>
      <c r="O674" t="str">
        <f t="shared" si="32"/>
        <v>Light</v>
      </c>
      <c r="P674" t="str">
        <f>_xlfn.XLOOKUP(Orders[[#This Row],[Customer ID]],customers!$A$1:$A$1001,customers!$I$1:$I$1001,,0)</f>
        <v>No</v>
      </c>
      <c r="Q674">
        <f>COUNTIF(Orders[Order ID],Orders[[#This Row],[Order ID]])</f>
        <v>1</v>
      </c>
      <c r="R674" s="10">
        <f>SUMIF(Orders[Order ID], Orders[[#This Row],[Order ID]],Orders[Sales])/Orders[[#This Row],[Order Frequency]]</f>
        <v>21.509999999999998</v>
      </c>
      <c r="S674" t="str">
        <f>IF(Orders[[#This Row],[Order Frequency]]&gt;4, "More than 4", IF(AND(Orders[[#This Row],[Order Frequency]]&lt;=4,Orders[[#This Row],[Order Frequency]]&gt;=2), "Between 4 and 2", "Less than 2"))</f>
        <v>Less than 2</v>
      </c>
      <c r="T674" t="str">
        <f>IF(Orders[[#This Row],[Frequency Group]]="less than 2", "Low Value", IF(Orders[[#This Row],[Frequency Group]]="between 4 and 2", "Medium Value", "High Value"))</f>
        <v>Low Value</v>
      </c>
      <c r="U674" t="str">
        <f>IF(Orders[[#This Row],[Sales]]&lt;50, "$0-50", IF(AND(Orders[[#This Row],[Sales]]&gt;=50,Orders[[#This Row],[Sales]]&lt;=100), "$50-100", IF(AND(Orders[[#This Row],[Sales]]&gt;100,Orders[[#This Row],[Sales]]&lt;=150), "$101-150", "$150+")))</f>
        <v>$0-50</v>
      </c>
      <c r="V674" t="str">
        <f>IF(Orders[[#This Row],[Sales]]&gt;MEDIAN(M:M), "High Price", "Low Price")</f>
        <v>Low Price</v>
      </c>
      <c r="W674" t="str">
        <f>IF(Orders[[#This Row],[Quantity]]&gt;MEDIAN(E:E), "High Volume", "Low Volume")</f>
        <v>High Volume</v>
      </c>
      <c r="X674" t="str">
        <f>Orders[[#This Row],[Sales Tier]] &amp; "-" &amp; Orders[[#This Row],[Quantity Tier]]</f>
        <v>Low Price-High Volume</v>
      </c>
      <c r="Y674" t="str">
        <f>TEXT(Orders[[#This Row],[Order Date]], "mmmm")</f>
        <v>October</v>
      </c>
      <c r="Z67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674" t="str">
        <f>Orders[[#This Row],[Coffee Type Name]] &amp; "-" &amp; Orders[[#This Row],[Roast Type Name]]</f>
        <v>Robusta-Light</v>
      </c>
      <c r="AB67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675" spans="1:28" x14ac:dyDescent="0.25">
      <c r="A675" s="2" t="s">
        <v>2521</v>
      </c>
      <c r="B675" s="4">
        <v>44058</v>
      </c>
      <c r="C675" s="2" t="s">
        <v>2522</v>
      </c>
      <c r="D675" t="s">
        <v>6146</v>
      </c>
      <c r="E675" s="2">
        <v>1</v>
      </c>
      <c r="F675" s="2" t="str">
        <f>_xlfn.XLOOKUP(C675,customers!$A$1:$A$1001,customers!$B$1:$B$1001,,0)</f>
        <v>Nicko Corps</v>
      </c>
      <c r="G675" s="2" t="str">
        <f>IF(_xlfn.XLOOKUP(C675,customers!$A$1:$A$1001,customers!$C$1:$C$1001,,0)=0,"",_xlfn.XLOOKUP(C675,customers!$A$1:$A$1001,customers!$C$1:$C$1001,,0))</f>
        <v>ncorpsa0@gmpg.org</v>
      </c>
      <c r="H675" s="2" t="str">
        <f>_xlfn.XLOOKUP(C675,customers!$A$1:$A$1001,customers!$G$1:$G$1001,,0)</f>
        <v>United States</v>
      </c>
      <c r="I675" t="str">
        <f>INDEX(products!$A$1:$G$49, MATCH(orders!$D363,products!$A$1:$A410,0), MATCH(orders!I$1,products!$A$1:$G$1,0))</f>
        <v>Rob</v>
      </c>
      <c r="J675" t="str">
        <f>INDEX(products!$A$1:$G$49, MATCH(orders!$D363,products!$A$1:$A410,0), MATCH(orders!J$1,products!$A$1:$G$1,0))</f>
        <v>M</v>
      </c>
      <c r="K675" s="5">
        <f>INDEX(products!$A$1:$G$49, MATCH(orders!$D363,products!$A$1:$A410,0), MATCH(orders!K$1,products!$A$1:$G$1,0))</f>
        <v>0.5</v>
      </c>
      <c r="L675" s="6">
        <f>INDEX(products!$A$1:$G$49, MATCH(orders!$D363,products!$A$1:$A410,0), MATCH(orders!L$1,products!$A$1:$G$1,0))</f>
        <v>5.97</v>
      </c>
      <c r="M675" s="6">
        <f t="shared" si="30"/>
        <v>5.97</v>
      </c>
      <c r="N675" t="str">
        <f t="shared" si="31"/>
        <v>Robusta</v>
      </c>
      <c r="O675" t="str">
        <f t="shared" si="32"/>
        <v>Medium</v>
      </c>
      <c r="P675" t="str">
        <f>_xlfn.XLOOKUP(Orders[[#This Row],[Customer ID]],customers!$A$1:$A$1001,customers!$I$1:$I$1001,,0)</f>
        <v>No</v>
      </c>
      <c r="Q675">
        <f>COUNTIF(Orders[Order ID],Orders[[#This Row],[Order ID]])</f>
        <v>2</v>
      </c>
      <c r="R675" s="10">
        <f>SUMIF(Orders[Order ID], Orders[[#This Row],[Order ID]],Orders[Sales])/Orders[[#This Row],[Order Frequency]]</f>
        <v>23.569999999999997</v>
      </c>
      <c r="S675" t="str">
        <f>IF(Orders[[#This Row],[Order Frequency]]&gt;4, "More than 4", IF(AND(Orders[[#This Row],[Order Frequency]]&lt;=4,Orders[[#This Row],[Order Frequency]]&gt;=2), "Between 4 and 2", "Less than 2"))</f>
        <v>Between 4 and 2</v>
      </c>
      <c r="T675" t="str">
        <f>IF(Orders[[#This Row],[Frequency Group]]="less than 2", "Low Value", IF(Orders[[#This Row],[Frequency Group]]="between 4 and 2", "Medium Value", "High Value"))</f>
        <v>Medium Value</v>
      </c>
      <c r="U675" t="str">
        <f>IF(Orders[[#This Row],[Sales]]&lt;50, "$0-50", IF(AND(Orders[[#This Row],[Sales]]&gt;=50,Orders[[#This Row],[Sales]]&lt;=100), "$50-100", IF(AND(Orders[[#This Row],[Sales]]&gt;100,Orders[[#This Row],[Sales]]&lt;=150), "$101-150", "$150+")))</f>
        <v>$0-50</v>
      </c>
      <c r="V675" t="str">
        <f>IF(Orders[[#This Row],[Sales]]&gt;MEDIAN(M:M), "High Price", "Low Price")</f>
        <v>Low Price</v>
      </c>
      <c r="W675" t="str">
        <f>IF(Orders[[#This Row],[Quantity]]&gt;MEDIAN(E:E), "High Volume", "Low Volume")</f>
        <v>Low Volume</v>
      </c>
      <c r="X675" t="str">
        <f>Orders[[#This Row],[Sales Tier]] &amp; "-" &amp; Orders[[#This Row],[Quantity Tier]]</f>
        <v>Low Price-Low Volume</v>
      </c>
      <c r="Y675" t="str">
        <f>TEXT(Orders[[#This Row],[Order Date]], "mmmm")</f>
        <v>August</v>
      </c>
      <c r="Z67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675" t="str">
        <f>Orders[[#This Row],[Coffee Type Name]] &amp; "-" &amp; Orders[[#This Row],[Roast Type Name]]</f>
        <v>Robusta-Medium</v>
      </c>
      <c r="AB67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676" spans="1:28" x14ac:dyDescent="0.25">
      <c r="A676" s="2" t="s">
        <v>2521</v>
      </c>
      <c r="B676" s="4">
        <v>44058</v>
      </c>
      <c r="C676" s="2" t="s">
        <v>2522</v>
      </c>
      <c r="D676" t="s">
        <v>6149</v>
      </c>
      <c r="E676" s="2">
        <v>2</v>
      </c>
      <c r="F676" s="2" t="str">
        <f>_xlfn.XLOOKUP(C676,customers!$A$1:$A$1001,customers!$B$1:$B$1001,,0)</f>
        <v>Nicko Corps</v>
      </c>
      <c r="G676" s="2" t="str">
        <f>IF(_xlfn.XLOOKUP(C676,customers!$A$1:$A$1001,customers!$C$1:$C$1001,,0)=0,"",_xlfn.XLOOKUP(C676,customers!$A$1:$A$1001,customers!$C$1:$C$1001,,0))</f>
        <v>ncorpsa0@gmpg.org</v>
      </c>
      <c r="H676" s="2" t="str">
        <f>_xlfn.XLOOKUP(C676,customers!$A$1:$A$1001,customers!$G$1:$G$1001,,0)</f>
        <v>United States</v>
      </c>
      <c r="I676" t="str">
        <f>INDEX(products!$A$1:$G$49, MATCH(orders!$D362,products!$A$1:$A409,0), MATCH(orders!I$1,products!$A$1:$G$1,0))</f>
        <v>Rob</v>
      </c>
      <c r="J676" t="str">
        <f>INDEX(products!$A$1:$G$49, MATCH(orders!$D362,products!$A$1:$A409,0), MATCH(orders!J$1,products!$A$1:$G$1,0))</f>
        <v>D</v>
      </c>
      <c r="K676" s="5">
        <f>INDEX(products!$A$1:$G$49, MATCH(orders!$D362,products!$A$1:$A409,0), MATCH(orders!K$1,products!$A$1:$G$1,0))</f>
        <v>2.5</v>
      </c>
      <c r="L676" s="6">
        <f>INDEX(products!$A$1:$G$49, MATCH(orders!$D362,products!$A$1:$A409,0), MATCH(orders!L$1,products!$A$1:$G$1,0))</f>
        <v>20.584999999999997</v>
      </c>
      <c r="M676" s="6">
        <f t="shared" si="30"/>
        <v>41.169999999999995</v>
      </c>
      <c r="N676" t="str">
        <f t="shared" si="31"/>
        <v>Robusta</v>
      </c>
      <c r="O676" t="str">
        <f t="shared" si="32"/>
        <v>Dark</v>
      </c>
      <c r="P676" t="str">
        <f>_xlfn.XLOOKUP(Orders[[#This Row],[Customer ID]],customers!$A$1:$A$1001,customers!$I$1:$I$1001,,0)</f>
        <v>No</v>
      </c>
      <c r="Q676">
        <f>COUNTIF(Orders[Order ID],Orders[[#This Row],[Order ID]])</f>
        <v>2</v>
      </c>
      <c r="R676" s="10">
        <f>SUMIF(Orders[Order ID], Orders[[#This Row],[Order ID]],Orders[Sales])/Orders[[#This Row],[Order Frequency]]</f>
        <v>23.569999999999997</v>
      </c>
      <c r="S676" t="str">
        <f>IF(Orders[[#This Row],[Order Frequency]]&gt;4, "More than 4", IF(AND(Orders[[#This Row],[Order Frequency]]&lt;=4,Orders[[#This Row],[Order Frequency]]&gt;=2), "Between 4 and 2", "Less than 2"))</f>
        <v>Between 4 and 2</v>
      </c>
      <c r="T676" t="str">
        <f>IF(Orders[[#This Row],[Frequency Group]]="less than 2", "Low Value", IF(Orders[[#This Row],[Frequency Group]]="between 4 and 2", "Medium Value", "High Value"))</f>
        <v>Medium Value</v>
      </c>
      <c r="U676" t="str">
        <f>IF(Orders[[#This Row],[Sales]]&lt;50, "$0-50", IF(AND(Orders[[#This Row],[Sales]]&gt;=50,Orders[[#This Row],[Sales]]&lt;=100), "$50-100", IF(AND(Orders[[#This Row],[Sales]]&gt;100,Orders[[#This Row],[Sales]]&lt;=150), "$101-150", "$150+")))</f>
        <v>$0-50</v>
      </c>
      <c r="V676" t="str">
        <f>IF(Orders[[#This Row],[Sales]]&gt;MEDIAN(M:M), "High Price", "Low Price")</f>
        <v>High Price</v>
      </c>
      <c r="W676" t="str">
        <f>IF(Orders[[#This Row],[Quantity]]&gt;MEDIAN(E:E), "High Volume", "Low Volume")</f>
        <v>Low Volume</v>
      </c>
      <c r="X676" t="str">
        <f>Orders[[#This Row],[Sales Tier]] &amp; "-" &amp; Orders[[#This Row],[Quantity Tier]]</f>
        <v>High Price-Low Volume</v>
      </c>
      <c r="Y676" t="str">
        <f>TEXT(Orders[[#This Row],[Order Date]], "mmmm")</f>
        <v>August</v>
      </c>
      <c r="Z67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676" t="str">
        <f>Orders[[#This Row],[Coffee Type Name]] &amp; "-" &amp; Orders[[#This Row],[Roast Type Name]]</f>
        <v>Robusta-Dark</v>
      </c>
      <c r="AB67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677" spans="1:28" x14ac:dyDescent="0.25">
      <c r="A677" s="2" t="s">
        <v>3990</v>
      </c>
      <c r="B677" s="4">
        <v>44217</v>
      </c>
      <c r="C677" s="2" t="s">
        <v>4042</v>
      </c>
      <c r="D677" t="s">
        <v>6152</v>
      </c>
      <c r="E677" s="2">
        <v>6</v>
      </c>
      <c r="F677" s="2" t="str">
        <f>_xlfn.XLOOKUP(C677,customers!$A$1:$A$1001,customers!$B$1:$B$1001,,0)</f>
        <v>Linn Alaway</v>
      </c>
      <c r="G677" s="2" t="str">
        <f>IF(_xlfn.XLOOKUP(C677,customers!$A$1:$A$1001,customers!$C$1:$C$1001,,0)=0,"",_xlfn.XLOOKUP(C677,customers!$A$1:$A$1001,customers!$C$1:$C$1001,,0))</f>
        <v>lalawayhh@weather.com</v>
      </c>
      <c r="H677" s="2" t="str">
        <f>_xlfn.XLOOKUP(C677,customers!$A$1:$A$1001,customers!$G$1:$G$1001,,0)</f>
        <v>United States</v>
      </c>
      <c r="I677" t="str">
        <f>INDEX(products!$A$1:$G$49, MATCH(orders!$D622,products!$A$1:$A669,0), MATCH(orders!I$1,products!$A$1:$G$1,0))</f>
        <v>Ara</v>
      </c>
      <c r="J677" t="str">
        <f>INDEX(products!$A$1:$G$49, MATCH(orders!$D622,products!$A$1:$A669,0), MATCH(orders!J$1,products!$A$1:$G$1,0))</f>
        <v>M</v>
      </c>
      <c r="K677" s="5">
        <f>INDEX(products!$A$1:$G$49, MATCH(orders!$D622,products!$A$1:$A669,0), MATCH(orders!K$1,products!$A$1:$G$1,0))</f>
        <v>0.2</v>
      </c>
      <c r="L677" s="6">
        <f>INDEX(products!$A$1:$G$49, MATCH(orders!$D622,products!$A$1:$A669,0), MATCH(orders!L$1,products!$A$1:$G$1,0))</f>
        <v>3.375</v>
      </c>
      <c r="M677" s="6">
        <f t="shared" si="30"/>
        <v>20.25</v>
      </c>
      <c r="N677" t="str">
        <f t="shared" si="31"/>
        <v>Arabica</v>
      </c>
      <c r="O677" t="str">
        <f t="shared" si="32"/>
        <v>Medium</v>
      </c>
      <c r="P677" t="str">
        <f>_xlfn.XLOOKUP(Orders[[#This Row],[Customer ID]],customers!$A$1:$A$1001,customers!$I$1:$I$1001,,0)</f>
        <v>No</v>
      </c>
      <c r="Q677">
        <f>COUNTIF(Orders[Order ID],Orders[[#This Row],[Order ID]])</f>
        <v>1</v>
      </c>
      <c r="R677" s="10">
        <f>SUMIF(Orders[Order ID], Orders[[#This Row],[Order ID]],Orders[Sales])/Orders[[#This Row],[Order Frequency]]</f>
        <v>20.25</v>
      </c>
      <c r="S677" t="str">
        <f>IF(Orders[[#This Row],[Order Frequency]]&gt;4, "More than 4", IF(AND(Orders[[#This Row],[Order Frequency]]&lt;=4,Orders[[#This Row],[Order Frequency]]&gt;=2), "Between 4 and 2", "Less than 2"))</f>
        <v>Less than 2</v>
      </c>
      <c r="T677" t="str">
        <f>IF(Orders[[#This Row],[Frequency Group]]="less than 2", "Low Value", IF(Orders[[#This Row],[Frequency Group]]="between 4 and 2", "Medium Value", "High Value"))</f>
        <v>Low Value</v>
      </c>
      <c r="U677" t="str">
        <f>IF(Orders[[#This Row],[Sales]]&lt;50, "$0-50", IF(AND(Orders[[#This Row],[Sales]]&gt;=50,Orders[[#This Row],[Sales]]&lt;=100), "$50-100", IF(AND(Orders[[#This Row],[Sales]]&gt;100,Orders[[#This Row],[Sales]]&lt;=150), "$101-150", "$150+")))</f>
        <v>$0-50</v>
      </c>
      <c r="V677" t="str">
        <f>IF(Orders[[#This Row],[Sales]]&gt;MEDIAN(M:M), "High Price", "Low Price")</f>
        <v>Low Price</v>
      </c>
      <c r="W677" t="str">
        <f>IF(Orders[[#This Row],[Quantity]]&gt;MEDIAN(E:E), "High Volume", "Low Volume")</f>
        <v>High Volume</v>
      </c>
      <c r="X677" t="str">
        <f>Orders[[#This Row],[Sales Tier]] &amp; "-" &amp; Orders[[#This Row],[Quantity Tier]]</f>
        <v>Low Price-High Volume</v>
      </c>
      <c r="Y677" t="str">
        <f>TEXT(Orders[[#This Row],[Order Date]], "mmmm")</f>
        <v>January</v>
      </c>
      <c r="Z67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677" t="str">
        <f>Orders[[#This Row],[Coffee Type Name]] &amp; "-" &amp; Orders[[#This Row],[Roast Type Name]]</f>
        <v>Arabica-Medium</v>
      </c>
      <c r="AB67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678" spans="1:28" x14ac:dyDescent="0.25">
      <c r="A678" s="2" t="s">
        <v>655</v>
      </c>
      <c r="B678" s="4">
        <v>43516</v>
      </c>
      <c r="C678" s="2" t="s">
        <v>656</v>
      </c>
      <c r="D678" t="s">
        <v>6147</v>
      </c>
      <c r="E678" s="2">
        <v>4</v>
      </c>
      <c r="F678" s="2" t="str">
        <f>_xlfn.XLOOKUP(C678,customers!$A$1:$A$1001,customers!$B$1:$B$1001,,0)</f>
        <v>Mozelle Calcutt</v>
      </c>
      <c r="G678" s="2" t="str">
        <f>IF(_xlfn.XLOOKUP(C678,customers!$A$1:$A$1001,customers!$C$1:$C$1001,,0)=0,"",_xlfn.XLOOKUP(C678,customers!$A$1:$A$1001,customers!$C$1:$C$1001,,0))</f>
        <v>mcalcuttt@baidu.com</v>
      </c>
      <c r="H678" s="2" t="str">
        <f>_xlfn.XLOOKUP(C678,customers!$A$1:$A$1001,customers!$G$1:$G$1001,,0)</f>
        <v>Ireland</v>
      </c>
      <c r="I678" t="str">
        <f>INDEX(products!$A$1:$G$49, MATCH(orders!$D31,products!$A$1:$A78,0), MATCH(orders!I$1,products!$A$1:$G$1,0))</f>
        <v>Ara</v>
      </c>
      <c r="J678" t="str">
        <f>INDEX(products!$A$1:$G$49, MATCH(orders!$D31,products!$A$1:$A78,0), MATCH(orders!J$1,products!$A$1:$G$1,0))</f>
        <v>D</v>
      </c>
      <c r="K678" s="5">
        <f>INDEX(products!$A$1:$G$49, MATCH(orders!$D31,products!$A$1:$A78,0), MATCH(orders!K$1,products!$A$1:$G$1,0))</f>
        <v>1</v>
      </c>
      <c r="L678" s="6">
        <f>INDEX(products!$A$1:$G$49, MATCH(orders!$D31,products!$A$1:$A78,0), MATCH(orders!L$1,products!$A$1:$G$1,0))</f>
        <v>9.9499999999999993</v>
      </c>
      <c r="M678" s="6">
        <f t="shared" si="30"/>
        <v>39.799999999999997</v>
      </c>
      <c r="N678" t="str">
        <f t="shared" si="31"/>
        <v>Arabica</v>
      </c>
      <c r="O678" t="str">
        <f t="shared" si="32"/>
        <v>Dark</v>
      </c>
      <c r="P678" t="str">
        <f>_xlfn.XLOOKUP(Orders[[#This Row],[Customer ID]],customers!$A$1:$A$1001,customers!$I$1:$I$1001,,0)</f>
        <v>Yes</v>
      </c>
      <c r="Q678">
        <f>COUNTIF(Orders[Order ID],Orders[[#This Row],[Order ID]])</f>
        <v>1</v>
      </c>
      <c r="R678" s="10">
        <f>SUMIF(Orders[Order ID], Orders[[#This Row],[Order ID]],Orders[Sales])/Orders[[#This Row],[Order Frequency]]</f>
        <v>39.799999999999997</v>
      </c>
      <c r="S678" t="str">
        <f>IF(Orders[[#This Row],[Order Frequency]]&gt;4, "More than 4", IF(AND(Orders[[#This Row],[Order Frequency]]&lt;=4,Orders[[#This Row],[Order Frequency]]&gt;=2), "Between 4 and 2", "Less than 2"))</f>
        <v>Less than 2</v>
      </c>
      <c r="T678" t="str">
        <f>IF(Orders[[#This Row],[Frequency Group]]="less than 2", "Low Value", IF(Orders[[#This Row],[Frequency Group]]="between 4 and 2", "Medium Value", "High Value"))</f>
        <v>Low Value</v>
      </c>
      <c r="U678" t="str">
        <f>IF(Orders[[#This Row],[Sales]]&lt;50, "$0-50", IF(AND(Orders[[#This Row],[Sales]]&gt;=50,Orders[[#This Row],[Sales]]&lt;=100), "$50-100", IF(AND(Orders[[#This Row],[Sales]]&gt;100,Orders[[#This Row],[Sales]]&lt;=150), "$101-150", "$150+")))</f>
        <v>$0-50</v>
      </c>
      <c r="V678" t="str">
        <f>IF(Orders[[#This Row],[Sales]]&gt;MEDIAN(M:M), "High Price", "Low Price")</f>
        <v>High Price</v>
      </c>
      <c r="W678" t="str">
        <f>IF(Orders[[#This Row],[Quantity]]&gt;MEDIAN(E:E), "High Volume", "Low Volume")</f>
        <v>Low Volume</v>
      </c>
      <c r="X678" t="str">
        <f>Orders[[#This Row],[Sales Tier]] &amp; "-" &amp; Orders[[#This Row],[Quantity Tier]]</f>
        <v>High Price-Low Volume</v>
      </c>
      <c r="Y678" t="str">
        <f>TEXT(Orders[[#This Row],[Order Date]], "mmmm")</f>
        <v>February</v>
      </c>
      <c r="Z67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678" t="str">
        <f>Orders[[#This Row],[Coffee Type Name]] &amp; "-" &amp; Orders[[#This Row],[Roast Type Name]]</f>
        <v>Arabica-Dark</v>
      </c>
      <c r="AB67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679" spans="1:28" x14ac:dyDescent="0.25">
      <c r="A679" s="2" t="s">
        <v>4411</v>
      </c>
      <c r="B679" s="4">
        <v>43915</v>
      </c>
      <c r="C679" s="2" t="s">
        <v>4412</v>
      </c>
      <c r="D679" t="s">
        <v>6144</v>
      </c>
      <c r="E679" s="2">
        <v>5</v>
      </c>
      <c r="F679" s="2" t="str">
        <f>_xlfn.XLOOKUP(C679,customers!$A$1:$A$1001,customers!$B$1:$B$1001,,0)</f>
        <v>Roxie Deaconson</v>
      </c>
      <c r="G679" s="2" t="str">
        <f>IF(_xlfn.XLOOKUP(C679,customers!$A$1:$A$1001,customers!$C$1:$C$1001,,0)=0,"",_xlfn.XLOOKUP(C679,customers!$A$1:$A$1001,customers!$C$1:$C$1001,,0))</f>
        <v>rdeaconsonja@archive.org</v>
      </c>
      <c r="H679" s="2" t="str">
        <f>_xlfn.XLOOKUP(C679,customers!$A$1:$A$1001,customers!$G$1:$G$1001,,0)</f>
        <v>United States</v>
      </c>
      <c r="I679" t="str">
        <f>INDEX(products!$A$1:$G$49, MATCH(orders!$D696,products!$A$1:$A743,0), MATCH(orders!I$1,products!$A$1:$G$1,0))</f>
        <v>Exc</v>
      </c>
      <c r="J679" t="str">
        <f>INDEX(products!$A$1:$G$49, MATCH(orders!$D696,products!$A$1:$A743,0), MATCH(orders!J$1,products!$A$1:$G$1,0))</f>
        <v>D</v>
      </c>
      <c r="K679" s="5">
        <f>INDEX(products!$A$1:$G$49, MATCH(orders!$D696,products!$A$1:$A743,0), MATCH(orders!K$1,products!$A$1:$G$1,0))</f>
        <v>0.5</v>
      </c>
      <c r="L679" s="6">
        <f>INDEX(products!$A$1:$G$49, MATCH(orders!$D696,products!$A$1:$A743,0), MATCH(orders!L$1,products!$A$1:$G$1,0))</f>
        <v>7.29</v>
      </c>
      <c r="M679" s="6">
        <f t="shared" si="30"/>
        <v>36.450000000000003</v>
      </c>
      <c r="N679" t="str">
        <f t="shared" si="31"/>
        <v>Excelsa</v>
      </c>
      <c r="O679" t="str">
        <f t="shared" si="32"/>
        <v>Dark</v>
      </c>
      <c r="P679" t="str">
        <f>_xlfn.XLOOKUP(Orders[[#This Row],[Customer ID]],customers!$A$1:$A$1001,customers!$I$1:$I$1001,,0)</f>
        <v>No</v>
      </c>
      <c r="Q679">
        <f>COUNTIF(Orders[Order ID],Orders[[#This Row],[Order ID]])</f>
        <v>1</v>
      </c>
      <c r="R679" s="10">
        <f>SUMIF(Orders[Order ID], Orders[[#This Row],[Order ID]],Orders[Sales])/Orders[[#This Row],[Order Frequency]]</f>
        <v>36.450000000000003</v>
      </c>
      <c r="S679" t="str">
        <f>IF(Orders[[#This Row],[Order Frequency]]&gt;4, "More than 4", IF(AND(Orders[[#This Row],[Order Frequency]]&lt;=4,Orders[[#This Row],[Order Frequency]]&gt;=2), "Between 4 and 2", "Less than 2"))</f>
        <v>Less than 2</v>
      </c>
      <c r="T679" t="str">
        <f>IF(Orders[[#This Row],[Frequency Group]]="less than 2", "Low Value", IF(Orders[[#This Row],[Frequency Group]]="between 4 and 2", "Medium Value", "High Value"))</f>
        <v>Low Value</v>
      </c>
      <c r="U679" t="str">
        <f>IF(Orders[[#This Row],[Sales]]&lt;50, "$0-50", IF(AND(Orders[[#This Row],[Sales]]&gt;=50,Orders[[#This Row],[Sales]]&lt;=100), "$50-100", IF(AND(Orders[[#This Row],[Sales]]&gt;100,Orders[[#This Row],[Sales]]&lt;=150), "$101-150", "$150+")))</f>
        <v>$0-50</v>
      </c>
      <c r="V679" t="str">
        <f>IF(Orders[[#This Row],[Sales]]&gt;MEDIAN(M:M), "High Price", "Low Price")</f>
        <v>High Price</v>
      </c>
      <c r="W679" t="str">
        <f>IF(Orders[[#This Row],[Quantity]]&gt;MEDIAN(E:E), "High Volume", "Low Volume")</f>
        <v>High Volume</v>
      </c>
      <c r="X679" t="str">
        <f>Orders[[#This Row],[Sales Tier]] &amp; "-" &amp; Orders[[#This Row],[Quantity Tier]]</f>
        <v>High Price-High Volume</v>
      </c>
      <c r="Y679" t="str">
        <f>TEXT(Orders[[#This Row],[Order Date]], "mmmm")</f>
        <v>March</v>
      </c>
      <c r="Z67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679" t="str">
        <f>Orders[[#This Row],[Coffee Type Name]] &amp; "-" &amp; Orders[[#This Row],[Roast Type Name]]</f>
        <v>Excelsa-Dark</v>
      </c>
      <c r="AB67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680" spans="1:28" x14ac:dyDescent="0.25">
      <c r="A680" s="2" t="s">
        <v>2538</v>
      </c>
      <c r="B680" s="4">
        <v>44282</v>
      </c>
      <c r="C680" s="2" t="s">
        <v>2539</v>
      </c>
      <c r="D680" t="s">
        <v>6162</v>
      </c>
      <c r="E680" s="2">
        <v>6</v>
      </c>
      <c r="F680" s="2" t="str">
        <f>_xlfn.XLOOKUP(C680,customers!$A$1:$A$1001,customers!$B$1:$B$1001,,0)</f>
        <v>Kaja Loxton</v>
      </c>
      <c r="G680" s="2" t="str">
        <f>IF(_xlfn.XLOOKUP(C680,customers!$A$1:$A$1001,customers!$C$1:$C$1001,,0)=0,"",_xlfn.XLOOKUP(C680,customers!$A$1:$A$1001,customers!$C$1:$C$1001,,0))</f>
        <v>kloxtona3@opensource.org</v>
      </c>
      <c r="H680" s="2" t="str">
        <f>_xlfn.XLOOKUP(C680,customers!$A$1:$A$1001,customers!$G$1:$G$1001,,0)</f>
        <v>United States</v>
      </c>
      <c r="I680" t="str">
        <f>INDEX(products!$A$1:$G$49, MATCH(orders!$D365,products!$A$1:$A412,0), MATCH(orders!I$1,products!$A$1:$G$1,0))</f>
        <v>Lib</v>
      </c>
      <c r="J680" t="str">
        <f>INDEX(products!$A$1:$G$49, MATCH(orders!$D365,products!$A$1:$A412,0), MATCH(orders!J$1,products!$A$1:$G$1,0))</f>
        <v>M</v>
      </c>
      <c r="K680" s="5">
        <f>INDEX(products!$A$1:$G$49, MATCH(orders!$D365,products!$A$1:$A412,0), MATCH(orders!K$1,products!$A$1:$G$1,0))</f>
        <v>1</v>
      </c>
      <c r="L680" s="6">
        <f>INDEX(products!$A$1:$G$49, MATCH(orders!$D365,products!$A$1:$A412,0), MATCH(orders!L$1,products!$A$1:$G$1,0))</f>
        <v>14.55</v>
      </c>
      <c r="M680" s="6">
        <f t="shared" si="30"/>
        <v>87.300000000000011</v>
      </c>
      <c r="N680" t="str">
        <f t="shared" si="31"/>
        <v>Liberica</v>
      </c>
      <c r="O680" t="str">
        <f t="shared" si="32"/>
        <v>Medium</v>
      </c>
      <c r="P680" t="str">
        <f>_xlfn.XLOOKUP(Orders[[#This Row],[Customer ID]],customers!$A$1:$A$1001,customers!$I$1:$I$1001,,0)</f>
        <v>No</v>
      </c>
      <c r="Q680">
        <f>COUNTIF(Orders[Order ID],Orders[[#This Row],[Order ID]])</f>
        <v>1</v>
      </c>
      <c r="R680" s="10">
        <f>SUMIF(Orders[Order ID], Orders[[#This Row],[Order ID]],Orders[Sales])/Orders[[#This Row],[Order Frequency]]</f>
        <v>87.300000000000011</v>
      </c>
      <c r="S680" t="str">
        <f>IF(Orders[[#This Row],[Order Frequency]]&gt;4, "More than 4", IF(AND(Orders[[#This Row],[Order Frequency]]&lt;=4,Orders[[#This Row],[Order Frequency]]&gt;=2), "Between 4 and 2", "Less than 2"))</f>
        <v>Less than 2</v>
      </c>
      <c r="T680" t="str">
        <f>IF(Orders[[#This Row],[Frequency Group]]="less than 2", "Low Value", IF(Orders[[#This Row],[Frequency Group]]="between 4 and 2", "Medium Value", "High Value"))</f>
        <v>Low Value</v>
      </c>
      <c r="U680" t="str">
        <f>IF(Orders[[#This Row],[Sales]]&lt;50, "$0-50", IF(AND(Orders[[#This Row],[Sales]]&gt;=50,Orders[[#This Row],[Sales]]&lt;=100), "$50-100", IF(AND(Orders[[#This Row],[Sales]]&gt;100,Orders[[#This Row],[Sales]]&lt;=150), "$101-150", "$150+")))</f>
        <v>$50-100</v>
      </c>
      <c r="V680" t="str">
        <f>IF(Orders[[#This Row],[Sales]]&gt;MEDIAN(M:M), "High Price", "Low Price")</f>
        <v>High Price</v>
      </c>
      <c r="W680" t="str">
        <f>IF(Orders[[#This Row],[Quantity]]&gt;MEDIAN(E:E), "High Volume", "Low Volume")</f>
        <v>High Volume</v>
      </c>
      <c r="X680" t="str">
        <f>Orders[[#This Row],[Sales Tier]] &amp; "-" &amp; Orders[[#This Row],[Quantity Tier]]</f>
        <v>High Price-High Volume</v>
      </c>
      <c r="Y680" t="str">
        <f>TEXT(Orders[[#This Row],[Order Date]], "mmmm")</f>
        <v>March</v>
      </c>
      <c r="Z68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680" t="str">
        <f>Orders[[#This Row],[Coffee Type Name]] &amp; "-" &amp; Orders[[#This Row],[Roast Type Name]]</f>
        <v>Liberica-Medium</v>
      </c>
      <c r="AB68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681" spans="1:28" x14ac:dyDescent="0.25">
      <c r="A681" s="2" t="s">
        <v>4115</v>
      </c>
      <c r="B681" s="4">
        <v>43880</v>
      </c>
      <c r="C681" s="2" t="s">
        <v>4116</v>
      </c>
      <c r="D681" t="s">
        <v>6156</v>
      </c>
      <c r="E681" s="2">
        <v>2</v>
      </c>
      <c r="F681" s="2" t="str">
        <f>_xlfn.XLOOKUP(C681,customers!$A$1:$A$1001,customers!$B$1:$B$1001,,0)</f>
        <v>Maggy Baistow</v>
      </c>
      <c r="G681" s="2" t="str">
        <f>IF(_xlfn.XLOOKUP(C681,customers!$A$1:$A$1001,customers!$C$1:$C$1001,,0)=0,"",_xlfn.XLOOKUP(C681,customers!$A$1:$A$1001,customers!$C$1:$C$1001,,0))</f>
        <v>mbaistowhu@i2i.jp</v>
      </c>
      <c r="H681" s="2" t="str">
        <f>_xlfn.XLOOKUP(C681,customers!$A$1:$A$1001,customers!$G$1:$G$1001,,0)</f>
        <v>United Kingdom</v>
      </c>
      <c r="I681" t="str">
        <f>INDEX(products!$A$1:$G$49, MATCH(orders!$D644,products!$A$1:$A691,0), MATCH(orders!I$1,products!$A$1:$G$1,0))</f>
        <v>Exc</v>
      </c>
      <c r="J681" t="str">
        <f>INDEX(products!$A$1:$G$49, MATCH(orders!$D644,products!$A$1:$A691,0), MATCH(orders!J$1,products!$A$1:$G$1,0))</f>
        <v>M</v>
      </c>
      <c r="K681" s="5">
        <f>INDEX(products!$A$1:$G$49, MATCH(orders!$D644,products!$A$1:$A691,0), MATCH(orders!K$1,products!$A$1:$G$1,0))</f>
        <v>0.2</v>
      </c>
      <c r="L681" s="6">
        <f>INDEX(products!$A$1:$G$49, MATCH(orders!$D644,products!$A$1:$A691,0), MATCH(orders!L$1,products!$A$1:$G$1,0))</f>
        <v>4.125</v>
      </c>
      <c r="M681" s="6">
        <f t="shared" si="30"/>
        <v>8.25</v>
      </c>
      <c r="N681" t="str">
        <f t="shared" si="31"/>
        <v>Excelsa</v>
      </c>
      <c r="O681" t="str">
        <f t="shared" si="32"/>
        <v>Medium</v>
      </c>
      <c r="P681" t="str">
        <f>_xlfn.XLOOKUP(Orders[[#This Row],[Customer ID]],customers!$A$1:$A$1001,customers!$I$1:$I$1001,,0)</f>
        <v>Yes</v>
      </c>
      <c r="Q681">
        <f>COUNTIF(Orders[Order ID],Orders[[#This Row],[Order ID]])</f>
        <v>1</v>
      </c>
      <c r="R681" s="10">
        <f>SUMIF(Orders[Order ID], Orders[[#This Row],[Order ID]],Orders[Sales])/Orders[[#This Row],[Order Frequency]]</f>
        <v>8.25</v>
      </c>
      <c r="S681" t="str">
        <f>IF(Orders[[#This Row],[Order Frequency]]&gt;4, "More than 4", IF(AND(Orders[[#This Row],[Order Frequency]]&lt;=4,Orders[[#This Row],[Order Frequency]]&gt;=2), "Between 4 and 2", "Less than 2"))</f>
        <v>Less than 2</v>
      </c>
      <c r="T681" t="str">
        <f>IF(Orders[[#This Row],[Frequency Group]]="less than 2", "Low Value", IF(Orders[[#This Row],[Frequency Group]]="between 4 and 2", "Medium Value", "High Value"))</f>
        <v>Low Value</v>
      </c>
      <c r="U681" t="str">
        <f>IF(Orders[[#This Row],[Sales]]&lt;50, "$0-50", IF(AND(Orders[[#This Row],[Sales]]&gt;=50,Orders[[#This Row],[Sales]]&lt;=100), "$50-100", IF(AND(Orders[[#This Row],[Sales]]&gt;100,Orders[[#This Row],[Sales]]&lt;=150), "$101-150", "$150+")))</f>
        <v>$0-50</v>
      </c>
      <c r="V681" t="str">
        <f>IF(Orders[[#This Row],[Sales]]&gt;MEDIAN(M:M), "High Price", "Low Price")</f>
        <v>Low Price</v>
      </c>
      <c r="W681" t="str">
        <f>IF(Orders[[#This Row],[Quantity]]&gt;MEDIAN(E:E), "High Volume", "Low Volume")</f>
        <v>Low Volume</v>
      </c>
      <c r="X681" t="str">
        <f>Orders[[#This Row],[Sales Tier]] &amp; "-" &amp; Orders[[#This Row],[Quantity Tier]]</f>
        <v>Low Price-Low Volume</v>
      </c>
      <c r="Y681" t="str">
        <f>TEXT(Orders[[#This Row],[Order Date]], "mmmm")</f>
        <v>February</v>
      </c>
      <c r="Z68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681" t="str">
        <f>Orders[[#This Row],[Coffee Type Name]] &amp; "-" &amp; Orders[[#This Row],[Roast Type Name]]</f>
        <v>Excelsa-Medium</v>
      </c>
      <c r="AB68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682" spans="1:28" x14ac:dyDescent="0.25">
      <c r="A682" s="2" t="s">
        <v>1520</v>
      </c>
      <c r="B682" s="4">
        <v>44512</v>
      </c>
      <c r="C682" s="2" t="s">
        <v>1521</v>
      </c>
      <c r="D682" t="s">
        <v>6156</v>
      </c>
      <c r="E682" s="2">
        <v>2</v>
      </c>
      <c r="F682" s="2" t="str">
        <f>_xlfn.XLOOKUP(C682,customers!$A$1:$A$1001,customers!$B$1:$B$1001,,0)</f>
        <v>Tory Walas</v>
      </c>
      <c r="G682" s="2" t="str">
        <f>IF(_xlfn.XLOOKUP(C682,customers!$A$1:$A$1001,customers!$C$1:$C$1001,,0)=0,"",_xlfn.XLOOKUP(C682,customers!$A$1:$A$1001,customers!$C$1:$C$1001,,0))</f>
        <v>twalas53@google.ca</v>
      </c>
      <c r="H682" s="2" t="str">
        <f>_xlfn.XLOOKUP(C682,customers!$A$1:$A$1001,customers!$G$1:$G$1001,,0)</f>
        <v>United States</v>
      </c>
      <c r="I682" t="str">
        <f>INDEX(products!$A$1:$G$49, MATCH(orders!$D185,products!$A$1:$A232,0), MATCH(orders!I$1,products!$A$1:$G$1,0))</f>
        <v>Exc</v>
      </c>
      <c r="J682" t="str">
        <f>INDEX(products!$A$1:$G$49, MATCH(orders!$D185,products!$A$1:$A232,0), MATCH(orders!J$1,products!$A$1:$G$1,0))</f>
        <v>M</v>
      </c>
      <c r="K682" s="5">
        <f>INDEX(products!$A$1:$G$49, MATCH(orders!$D185,products!$A$1:$A232,0), MATCH(orders!K$1,products!$A$1:$G$1,0))</f>
        <v>0.2</v>
      </c>
      <c r="L682" s="6">
        <f>INDEX(products!$A$1:$G$49, MATCH(orders!$D185,products!$A$1:$A232,0), MATCH(orders!L$1,products!$A$1:$G$1,0))</f>
        <v>4.125</v>
      </c>
      <c r="M682" s="6">
        <f t="shared" si="30"/>
        <v>8.25</v>
      </c>
      <c r="N682" t="str">
        <f t="shared" si="31"/>
        <v>Excelsa</v>
      </c>
      <c r="O682" t="str">
        <f t="shared" si="32"/>
        <v>Medium</v>
      </c>
      <c r="P682" t="str">
        <f>_xlfn.XLOOKUP(Orders[[#This Row],[Customer ID]],customers!$A$1:$A$1001,customers!$I$1:$I$1001,,0)</f>
        <v>No</v>
      </c>
      <c r="Q682">
        <f>COUNTIF(Orders[Order ID],Orders[[#This Row],[Order ID]])</f>
        <v>1</v>
      </c>
      <c r="R682" s="10">
        <f>SUMIF(Orders[Order ID], Orders[[#This Row],[Order ID]],Orders[Sales])/Orders[[#This Row],[Order Frequency]]</f>
        <v>8.25</v>
      </c>
      <c r="S682" t="str">
        <f>IF(Orders[[#This Row],[Order Frequency]]&gt;4, "More than 4", IF(AND(Orders[[#This Row],[Order Frequency]]&lt;=4,Orders[[#This Row],[Order Frequency]]&gt;=2), "Between 4 and 2", "Less than 2"))</f>
        <v>Less than 2</v>
      </c>
      <c r="T682" t="str">
        <f>IF(Orders[[#This Row],[Frequency Group]]="less than 2", "Low Value", IF(Orders[[#This Row],[Frequency Group]]="between 4 and 2", "Medium Value", "High Value"))</f>
        <v>Low Value</v>
      </c>
      <c r="U682" t="str">
        <f>IF(Orders[[#This Row],[Sales]]&lt;50, "$0-50", IF(AND(Orders[[#This Row],[Sales]]&gt;=50,Orders[[#This Row],[Sales]]&lt;=100), "$50-100", IF(AND(Orders[[#This Row],[Sales]]&gt;100,Orders[[#This Row],[Sales]]&lt;=150), "$101-150", "$150+")))</f>
        <v>$0-50</v>
      </c>
      <c r="V682" t="str">
        <f>IF(Orders[[#This Row],[Sales]]&gt;MEDIAN(M:M), "High Price", "Low Price")</f>
        <v>Low Price</v>
      </c>
      <c r="W682" t="str">
        <f>IF(Orders[[#This Row],[Quantity]]&gt;MEDIAN(E:E), "High Volume", "Low Volume")</f>
        <v>Low Volume</v>
      </c>
      <c r="X682" t="str">
        <f>Orders[[#This Row],[Sales Tier]] &amp; "-" &amp; Orders[[#This Row],[Quantity Tier]]</f>
        <v>Low Price-Low Volume</v>
      </c>
      <c r="Y682" t="str">
        <f>TEXT(Orders[[#This Row],[Order Date]], "mmmm")</f>
        <v>November</v>
      </c>
      <c r="Z68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682" t="str">
        <f>Orders[[#This Row],[Coffee Type Name]] &amp; "-" &amp; Orders[[#This Row],[Roast Type Name]]</f>
        <v>Excelsa-Medium</v>
      </c>
      <c r="AB68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683" spans="1:28" x14ac:dyDescent="0.25">
      <c r="A683" s="2" t="s">
        <v>5176</v>
      </c>
      <c r="B683" s="4">
        <v>43890</v>
      </c>
      <c r="C683" s="2" t="s">
        <v>5177</v>
      </c>
      <c r="D683" t="s">
        <v>6154</v>
      </c>
      <c r="E683" s="2">
        <v>1</v>
      </c>
      <c r="F683" s="2" t="str">
        <f>_xlfn.XLOOKUP(C683,customers!$A$1:$A$1001,customers!$B$1:$B$1001,,0)</f>
        <v>Hillel Mairs</v>
      </c>
      <c r="G683" s="2" t="str">
        <f>IF(_xlfn.XLOOKUP(C683,customers!$A$1:$A$1001,customers!$C$1:$C$1001,,0)=0,"",_xlfn.XLOOKUP(C683,customers!$A$1:$A$1001,customers!$C$1:$C$1001,,0))</f>
        <v>hmairsn1@so-net.ne.jp</v>
      </c>
      <c r="H683" s="2" t="str">
        <f>_xlfn.XLOOKUP(C683,customers!$A$1:$A$1001,customers!$G$1:$G$1001,,0)</f>
        <v>United States</v>
      </c>
      <c r="I683" t="str">
        <f>INDEX(products!$A$1:$G$49, MATCH(orders!$D831,products!$A$1:$A878,0), MATCH(orders!I$1,products!$A$1:$G$1,0))</f>
        <v>Ara</v>
      </c>
      <c r="J683" t="str">
        <f>INDEX(products!$A$1:$G$49, MATCH(orders!$D831,products!$A$1:$A878,0), MATCH(orders!J$1,products!$A$1:$G$1,0))</f>
        <v>D</v>
      </c>
      <c r="K683" s="5">
        <f>INDEX(products!$A$1:$G$49, MATCH(orders!$D831,products!$A$1:$A878,0), MATCH(orders!K$1,products!$A$1:$G$1,0))</f>
        <v>0.2</v>
      </c>
      <c r="L683" s="6">
        <f>INDEX(products!$A$1:$G$49, MATCH(orders!$D831,products!$A$1:$A878,0), MATCH(orders!L$1,products!$A$1:$G$1,0))</f>
        <v>2.9849999999999999</v>
      </c>
      <c r="M683" s="6">
        <f t="shared" si="30"/>
        <v>2.9849999999999999</v>
      </c>
      <c r="N683" t="str">
        <f t="shared" si="31"/>
        <v>Arabica</v>
      </c>
      <c r="O683" t="str">
        <f t="shared" si="32"/>
        <v>Dark</v>
      </c>
      <c r="P683" t="str">
        <f>_xlfn.XLOOKUP(Orders[[#This Row],[Customer ID]],customers!$A$1:$A$1001,customers!$I$1:$I$1001,,0)</f>
        <v>No</v>
      </c>
      <c r="Q683">
        <f>COUNTIF(Orders[Order ID],Orders[[#This Row],[Order ID]])</f>
        <v>1</v>
      </c>
      <c r="R683" s="10">
        <f>SUMIF(Orders[Order ID], Orders[[#This Row],[Order ID]],Orders[Sales])/Orders[[#This Row],[Order Frequency]]</f>
        <v>2.9849999999999999</v>
      </c>
      <c r="S683" t="str">
        <f>IF(Orders[[#This Row],[Order Frequency]]&gt;4, "More than 4", IF(AND(Orders[[#This Row],[Order Frequency]]&lt;=4,Orders[[#This Row],[Order Frequency]]&gt;=2), "Between 4 and 2", "Less than 2"))</f>
        <v>Less than 2</v>
      </c>
      <c r="T683" t="str">
        <f>IF(Orders[[#This Row],[Frequency Group]]="less than 2", "Low Value", IF(Orders[[#This Row],[Frequency Group]]="between 4 and 2", "Medium Value", "High Value"))</f>
        <v>Low Value</v>
      </c>
      <c r="U683" t="str">
        <f>IF(Orders[[#This Row],[Sales]]&lt;50, "$0-50", IF(AND(Orders[[#This Row],[Sales]]&gt;=50,Orders[[#This Row],[Sales]]&lt;=100), "$50-100", IF(AND(Orders[[#This Row],[Sales]]&gt;100,Orders[[#This Row],[Sales]]&lt;=150), "$101-150", "$150+")))</f>
        <v>$0-50</v>
      </c>
      <c r="V683" t="str">
        <f>IF(Orders[[#This Row],[Sales]]&gt;MEDIAN(M:M), "High Price", "Low Price")</f>
        <v>Low Price</v>
      </c>
      <c r="W683" t="str">
        <f>IF(Orders[[#This Row],[Quantity]]&gt;MEDIAN(E:E), "High Volume", "Low Volume")</f>
        <v>Low Volume</v>
      </c>
      <c r="X683" t="str">
        <f>Orders[[#This Row],[Sales Tier]] &amp; "-" &amp; Orders[[#This Row],[Quantity Tier]]</f>
        <v>Low Price-Low Volume</v>
      </c>
      <c r="Y683" t="str">
        <f>TEXT(Orders[[#This Row],[Order Date]], "mmmm")</f>
        <v>February</v>
      </c>
      <c r="Z68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683" t="str">
        <f>Orders[[#This Row],[Coffee Type Name]] &amp; "-" &amp; Orders[[#This Row],[Roast Type Name]]</f>
        <v>Arabica-Dark</v>
      </c>
      <c r="AB68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684" spans="1:28" x14ac:dyDescent="0.25">
      <c r="A684" s="2" t="s">
        <v>2044</v>
      </c>
      <c r="B684" s="4">
        <v>44725</v>
      </c>
      <c r="C684" s="2" t="s">
        <v>2045</v>
      </c>
      <c r="D684" t="s">
        <v>6148</v>
      </c>
      <c r="E684" s="2">
        <v>6</v>
      </c>
      <c r="F684" s="2" t="str">
        <f>_xlfn.XLOOKUP(C684,customers!$A$1:$A$1001,customers!$B$1:$B$1001,,0)</f>
        <v>Teddi Crowthe</v>
      </c>
      <c r="G684" s="2" t="str">
        <f>IF(_xlfn.XLOOKUP(C684,customers!$A$1:$A$1001,customers!$C$1:$C$1001,,0)=0,"",_xlfn.XLOOKUP(C684,customers!$A$1:$A$1001,customers!$C$1:$C$1001,,0))</f>
        <v>tcrowthe7n@europa.eu</v>
      </c>
      <c r="H684" s="2" t="str">
        <f>_xlfn.XLOOKUP(C684,customers!$A$1:$A$1001,customers!$G$1:$G$1001,,0)</f>
        <v>United States</v>
      </c>
      <c r="I684" t="str">
        <f>INDEX(products!$A$1:$G$49, MATCH(orders!$D277,products!$A$1:$A324,0), MATCH(orders!I$1,products!$A$1:$G$1,0))</f>
        <v>Exc</v>
      </c>
      <c r="J684" t="str">
        <f>INDEX(products!$A$1:$G$49, MATCH(orders!$D277,products!$A$1:$A324,0), MATCH(orders!J$1,products!$A$1:$G$1,0))</f>
        <v>L</v>
      </c>
      <c r="K684" s="5">
        <f>INDEX(products!$A$1:$G$49, MATCH(orders!$D277,products!$A$1:$A324,0), MATCH(orders!K$1,products!$A$1:$G$1,0))</f>
        <v>2.5</v>
      </c>
      <c r="L684" s="6">
        <f>INDEX(products!$A$1:$G$49, MATCH(orders!$D277,products!$A$1:$A324,0), MATCH(orders!L$1,products!$A$1:$G$1,0))</f>
        <v>34.154999999999994</v>
      </c>
      <c r="M684" s="6">
        <f t="shared" si="30"/>
        <v>204.92999999999995</v>
      </c>
      <c r="N684" t="str">
        <f t="shared" si="31"/>
        <v>Excelsa</v>
      </c>
      <c r="O684" t="str">
        <f t="shared" si="32"/>
        <v>Light</v>
      </c>
      <c r="P684" t="str">
        <f>_xlfn.XLOOKUP(Orders[[#This Row],[Customer ID]],customers!$A$1:$A$1001,customers!$I$1:$I$1001,,0)</f>
        <v>No</v>
      </c>
      <c r="Q684">
        <f>COUNTIF(Orders[Order ID],Orders[[#This Row],[Order ID]])</f>
        <v>1</v>
      </c>
      <c r="R684" s="10">
        <f>SUMIF(Orders[Order ID], Orders[[#This Row],[Order ID]],Orders[Sales])/Orders[[#This Row],[Order Frequency]]</f>
        <v>204.92999999999995</v>
      </c>
      <c r="S684" t="str">
        <f>IF(Orders[[#This Row],[Order Frequency]]&gt;4, "More than 4", IF(AND(Orders[[#This Row],[Order Frequency]]&lt;=4,Orders[[#This Row],[Order Frequency]]&gt;=2), "Between 4 and 2", "Less than 2"))</f>
        <v>Less than 2</v>
      </c>
      <c r="T684" t="str">
        <f>IF(Orders[[#This Row],[Frequency Group]]="less than 2", "Low Value", IF(Orders[[#This Row],[Frequency Group]]="between 4 and 2", "Medium Value", "High Value"))</f>
        <v>Low Value</v>
      </c>
      <c r="U684" t="str">
        <f>IF(Orders[[#This Row],[Sales]]&lt;50, "$0-50", IF(AND(Orders[[#This Row],[Sales]]&gt;=50,Orders[[#This Row],[Sales]]&lt;=100), "$50-100", IF(AND(Orders[[#This Row],[Sales]]&gt;100,Orders[[#This Row],[Sales]]&lt;=150), "$101-150", "$150+")))</f>
        <v>$150+</v>
      </c>
      <c r="V684" t="str">
        <f>IF(Orders[[#This Row],[Sales]]&gt;MEDIAN(M:M), "High Price", "Low Price")</f>
        <v>High Price</v>
      </c>
      <c r="W684" t="str">
        <f>IF(Orders[[#This Row],[Quantity]]&gt;MEDIAN(E:E), "High Volume", "Low Volume")</f>
        <v>High Volume</v>
      </c>
      <c r="X684" t="str">
        <f>Orders[[#This Row],[Sales Tier]] &amp; "-" &amp; Orders[[#This Row],[Quantity Tier]]</f>
        <v>High Price-High Volume</v>
      </c>
      <c r="Y684" t="str">
        <f>TEXT(Orders[[#This Row],[Order Date]], "mmmm")</f>
        <v>June</v>
      </c>
      <c r="Z68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684" t="str">
        <f>Orders[[#This Row],[Coffee Type Name]] &amp; "-" &amp; Orders[[#This Row],[Roast Type Name]]</f>
        <v>Excelsa-Light</v>
      </c>
      <c r="AB68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685" spans="1:28" x14ac:dyDescent="0.25">
      <c r="A685" s="2" t="s">
        <v>3047</v>
      </c>
      <c r="B685" s="4">
        <v>44579</v>
      </c>
      <c r="C685" s="2" t="s">
        <v>3048</v>
      </c>
      <c r="D685" t="s">
        <v>6161</v>
      </c>
      <c r="E685" s="2">
        <v>4</v>
      </c>
      <c r="F685" s="2" t="str">
        <f>_xlfn.XLOOKUP(C685,customers!$A$1:$A$1001,customers!$B$1:$B$1001,,0)</f>
        <v>Nalani Pirrone</v>
      </c>
      <c r="G685" s="2" t="str">
        <f>IF(_xlfn.XLOOKUP(C685,customers!$A$1:$A$1001,customers!$C$1:$C$1001,,0)=0,"",_xlfn.XLOOKUP(C685,customers!$A$1:$A$1001,customers!$C$1:$C$1001,,0))</f>
        <v>npirronecl@weibo.com</v>
      </c>
      <c r="H685" s="2" t="str">
        <f>_xlfn.XLOOKUP(C685,customers!$A$1:$A$1001,customers!$G$1:$G$1001,,0)</f>
        <v>United States</v>
      </c>
      <c r="I685" t="str">
        <f>INDEX(products!$A$1:$G$49, MATCH(orders!$D455,products!$A$1:$A502,0), MATCH(orders!I$1,products!$A$1:$G$1,0))</f>
        <v>Lib</v>
      </c>
      <c r="J685" t="str">
        <f>INDEX(products!$A$1:$G$49, MATCH(orders!$D455,products!$A$1:$A502,0), MATCH(orders!J$1,products!$A$1:$G$1,0))</f>
        <v>L</v>
      </c>
      <c r="K685" s="5">
        <f>INDEX(products!$A$1:$G$49, MATCH(orders!$D455,products!$A$1:$A502,0), MATCH(orders!K$1,products!$A$1:$G$1,0))</f>
        <v>0.5</v>
      </c>
      <c r="L685" s="6">
        <f>INDEX(products!$A$1:$G$49, MATCH(orders!$D455,products!$A$1:$A502,0), MATCH(orders!L$1,products!$A$1:$G$1,0))</f>
        <v>9.51</v>
      </c>
      <c r="M685" s="6">
        <f t="shared" si="30"/>
        <v>38.04</v>
      </c>
      <c r="N685" t="str">
        <f t="shared" si="31"/>
        <v>Liberica</v>
      </c>
      <c r="O685" t="str">
        <f t="shared" si="32"/>
        <v>Light</v>
      </c>
      <c r="P685" t="str">
        <f>_xlfn.XLOOKUP(Orders[[#This Row],[Customer ID]],customers!$A$1:$A$1001,customers!$I$1:$I$1001,,0)</f>
        <v>No</v>
      </c>
      <c r="Q685">
        <f>COUNTIF(Orders[Order ID],Orders[[#This Row],[Order ID]])</f>
        <v>1</v>
      </c>
      <c r="R685" s="10">
        <f>SUMIF(Orders[Order ID], Orders[[#This Row],[Order ID]],Orders[Sales])/Orders[[#This Row],[Order Frequency]]</f>
        <v>38.04</v>
      </c>
      <c r="S685" t="str">
        <f>IF(Orders[[#This Row],[Order Frequency]]&gt;4, "More than 4", IF(AND(Orders[[#This Row],[Order Frequency]]&lt;=4,Orders[[#This Row],[Order Frequency]]&gt;=2), "Between 4 and 2", "Less than 2"))</f>
        <v>Less than 2</v>
      </c>
      <c r="T685" t="str">
        <f>IF(Orders[[#This Row],[Frequency Group]]="less than 2", "Low Value", IF(Orders[[#This Row],[Frequency Group]]="between 4 and 2", "Medium Value", "High Value"))</f>
        <v>Low Value</v>
      </c>
      <c r="U685" t="str">
        <f>IF(Orders[[#This Row],[Sales]]&lt;50, "$0-50", IF(AND(Orders[[#This Row],[Sales]]&gt;=50,Orders[[#This Row],[Sales]]&lt;=100), "$50-100", IF(AND(Orders[[#This Row],[Sales]]&gt;100,Orders[[#This Row],[Sales]]&lt;=150), "$101-150", "$150+")))</f>
        <v>$0-50</v>
      </c>
      <c r="V685" t="str">
        <f>IF(Orders[[#This Row],[Sales]]&gt;MEDIAN(M:M), "High Price", "Low Price")</f>
        <v>High Price</v>
      </c>
      <c r="W685" t="str">
        <f>IF(Orders[[#This Row],[Quantity]]&gt;MEDIAN(E:E), "High Volume", "Low Volume")</f>
        <v>Low Volume</v>
      </c>
      <c r="X685" t="str">
        <f>Orders[[#This Row],[Sales Tier]] &amp; "-" &amp; Orders[[#This Row],[Quantity Tier]]</f>
        <v>High Price-Low Volume</v>
      </c>
      <c r="Y685" t="str">
        <f>TEXT(Orders[[#This Row],[Order Date]], "mmmm")</f>
        <v>January</v>
      </c>
      <c r="Z68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685" t="str">
        <f>Orders[[#This Row],[Coffee Type Name]] &amp; "-" &amp; Orders[[#This Row],[Roast Type Name]]</f>
        <v>Liberica-Light</v>
      </c>
      <c r="AB68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686" spans="1:28" x14ac:dyDescent="0.25">
      <c r="A686" s="2" t="s">
        <v>4979</v>
      </c>
      <c r="B686" s="4">
        <v>43987</v>
      </c>
      <c r="C686" s="2" t="s">
        <v>4980</v>
      </c>
      <c r="D686" t="s">
        <v>6182</v>
      </c>
      <c r="E686" s="2">
        <v>5</v>
      </c>
      <c r="F686" s="2" t="str">
        <f>_xlfn.XLOOKUP(C686,customers!$A$1:$A$1001,customers!$B$1:$B$1001,,0)</f>
        <v>Gregorius Trengrove</v>
      </c>
      <c r="G686" s="2" t="str">
        <f>IF(_xlfn.XLOOKUP(C686,customers!$A$1:$A$1001,customers!$C$1:$C$1001,,0)=0,"",_xlfn.XLOOKUP(C686,customers!$A$1:$A$1001,customers!$C$1:$C$1001,,0))</f>
        <v>gtrengrovem2@elpais.com</v>
      </c>
      <c r="H686" s="2" t="str">
        <f>_xlfn.XLOOKUP(C686,customers!$A$1:$A$1001,customers!$G$1:$G$1001,,0)</f>
        <v>United States</v>
      </c>
      <c r="I686" t="str">
        <f>INDEX(products!$A$1:$G$49, MATCH(orders!$D796,products!$A$1:$A843,0), MATCH(orders!I$1,products!$A$1:$G$1,0))</f>
        <v>Ara</v>
      </c>
      <c r="J686" t="str">
        <f>INDEX(products!$A$1:$G$49, MATCH(orders!$D796,products!$A$1:$A843,0), MATCH(orders!J$1,products!$A$1:$G$1,0))</f>
        <v>L</v>
      </c>
      <c r="K686" s="5">
        <f>INDEX(products!$A$1:$G$49, MATCH(orders!$D796,products!$A$1:$A843,0), MATCH(orders!K$1,products!$A$1:$G$1,0))</f>
        <v>2.5</v>
      </c>
      <c r="L686" s="6">
        <f>INDEX(products!$A$1:$G$49, MATCH(orders!$D796,products!$A$1:$A843,0), MATCH(orders!L$1,products!$A$1:$G$1,0))</f>
        <v>29.784999999999997</v>
      </c>
      <c r="M686" s="6">
        <f t="shared" si="30"/>
        <v>148.92499999999998</v>
      </c>
      <c r="N686" t="str">
        <f t="shared" si="31"/>
        <v>Arabica</v>
      </c>
      <c r="O686" t="str">
        <f t="shared" si="32"/>
        <v>Light</v>
      </c>
      <c r="P686" t="str">
        <f>_xlfn.XLOOKUP(Orders[[#This Row],[Customer ID]],customers!$A$1:$A$1001,customers!$I$1:$I$1001,,0)</f>
        <v>No</v>
      </c>
      <c r="Q686">
        <f>COUNTIF(Orders[Order ID],Orders[[#This Row],[Order ID]])</f>
        <v>1</v>
      </c>
      <c r="R686" s="10">
        <f>SUMIF(Orders[Order ID], Orders[[#This Row],[Order ID]],Orders[Sales])/Orders[[#This Row],[Order Frequency]]</f>
        <v>148.92499999999998</v>
      </c>
      <c r="S686" t="str">
        <f>IF(Orders[[#This Row],[Order Frequency]]&gt;4, "More than 4", IF(AND(Orders[[#This Row],[Order Frequency]]&lt;=4,Orders[[#This Row],[Order Frequency]]&gt;=2), "Between 4 and 2", "Less than 2"))</f>
        <v>Less than 2</v>
      </c>
      <c r="T686" t="str">
        <f>IF(Orders[[#This Row],[Frequency Group]]="less than 2", "Low Value", IF(Orders[[#This Row],[Frequency Group]]="between 4 and 2", "Medium Value", "High Value"))</f>
        <v>Low Value</v>
      </c>
      <c r="U686" t="str">
        <f>IF(Orders[[#This Row],[Sales]]&lt;50, "$0-50", IF(AND(Orders[[#This Row],[Sales]]&gt;=50,Orders[[#This Row],[Sales]]&lt;=100), "$50-100", IF(AND(Orders[[#This Row],[Sales]]&gt;100,Orders[[#This Row],[Sales]]&lt;=150), "$101-150", "$150+")))</f>
        <v>$101-150</v>
      </c>
      <c r="V686" t="str">
        <f>IF(Orders[[#This Row],[Sales]]&gt;MEDIAN(M:M), "High Price", "Low Price")</f>
        <v>High Price</v>
      </c>
      <c r="W686" t="str">
        <f>IF(Orders[[#This Row],[Quantity]]&gt;MEDIAN(E:E), "High Volume", "Low Volume")</f>
        <v>High Volume</v>
      </c>
      <c r="X686" t="str">
        <f>Orders[[#This Row],[Sales Tier]] &amp; "-" &amp; Orders[[#This Row],[Quantity Tier]]</f>
        <v>High Price-High Volume</v>
      </c>
      <c r="Y686" t="str">
        <f>TEXT(Orders[[#This Row],[Order Date]], "mmmm")</f>
        <v>June</v>
      </c>
      <c r="Z68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686" t="str">
        <f>Orders[[#This Row],[Coffee Type Name]] &amp; "-" &amp; Orders[[#This Row],[Roast Type Name]]</f>
        <v>Arabica-Light</v>
      </c>
      <c r="AB68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687" spans="1:28" x14ac:dyDescent="0.25">
      <c r="A687" s="2" t="s">
        <v>676</v>
      </c>
      <c r="B687" s="4">
        <v>44394</v>
      </c>
      <c r="C687" s="2" t="s">
        <v>677</v>
      </c>
      <c r="D687" t="s">
        <v>6145</v>
      </c>
      <c r="E687" s="2">
        <v>5</v>
      </c>
      <c r="F687" s="2" t="str">
        <f>_xlfn.XLOOKUP(C687,customers!$A$1:$A$1001,customers!$B$1:$B$1001,,0)</f>
        <v>Gallard Gatheral</v>
      </c>
      <c r="G687" s="2" t="str">
        <f>IF(_xlfn.XLOOKUP(C687,customers!$A$1:$A$1001,customers!$C$1:$C$1001,,0)=0,"",_xlfn.XLOOKUP(C687,customers!$A$1:$A$1001,customers!$C$1:$C$1001,,0))</f>
        <v>ggatheralx@123-reg.co.uk</v>
      </c>
      <c r="H687" s="2" t="str">
        <f>_xlfn.XLOOKUP(C687,customers!$A$1:$A$1001,customers!$G$1:$G$1001,,0)</f>
        <v>United States</v>
      </c>
      <c r="I687" t="str">
        <f>INDEX(products!$A$1:$G$49, MATCH(orders!$D35,products!$A$1:$A82,0), MATCH(orders!I$1,products!$A$1:$G$1,0))</f>
        <v>Lib</v>
      </c>
      <c r="J687" t="str">
        <f>INDEX(products!$A$1:$G$49, MATCH(orders!$D35,products!$A$1:$A82,0), MATCH(orders!J$1,products!$A$1:$G$1,0))</f>
        <v>L</v>
      </c>
      <c r="K687" s="5">
        <f>INDEX(products!$A$1:$G$49, MATCH(orders!$D35,products!$A$1:$A82,0), MATCH(orders!K$1,products!$A$1:$G$1,0))</f>
        <v>0.2</v>
      </c>
      <c r="L687" s="6">
        <f>INDEX(products!$A$1:$G$49, MATCH(orders!$D35,products!$A$1:$A82,0), MATCH(orders!L$1,products!$A$1:$G$1,0))</f>
        <v>4.7549999999999999</v>
      </c>
      <c r="M687" s="6">
        <f t="shared" si="30"/>
        <v>23.774999999999999</v>
      </c>
      <c r="N687" t="str">
        <f t="shared" si="31"/>
        <v>Liberica</v>
      </c>
      <c r="O687" t="str">
        <f t="shared" si="32"/>
        <v>Light</v>
      </c>
      <c r="P687" t="str">
        <f>_xlfn.XLOOKUP(Orders[[#This Row],[Customer ID]],customers!$A$1:$A$1001,customers!$I$1:$I$1001,,0)</f>
        <v>No</v>
      </c>
      <c r="Q687">
        <f>COUNTIF(Orders[Order ID],Orders[[#This Row],[Order ID]])</f>
        <v>1</v>
      </c>
      <c r="R687" s="10">
        <f>SUMIF(Orders[Order ID], Orders[[#This Row],[Order ID]],Orders[Sales])/Orders[[#This Row],[Order Frequency]]</f>
        <v>23.774999999999999</v>
      </c>
      <c r="S687" t="str">
        <f>IF(Orders[[#This Row],[Order Frequency]]&gt;4, "More than 4", IF(AND(Orders[[#This Row],[Order Frequency]]&lt;=4,Orders[[#This Row],[Order Frequency]]&gt;=2), "Between 4 and 2", "Less than 2"))</f>
        <v>Less than 2</v>
      </c>
      <c r="T687" t="str">
        <f>IF(Orders[[#This Row],[Frequency Group]]="less than 2", "Low Value", IF(Orders[[#This Row],[Frequency Group]]="between 4 and 2", "Medium Value", "High Value"))</f>
        <v>Low Value</v>
      </c>
      <c r="U687" t="str">
        <f>IF(Orders[[#This Row],[Sales]]&lt;50, "$0-50", IF(AND(Orders[[#This Row],[Sales]]&gt;=50,Orders[[#This Row],[Sales]]&lt;=100), "$50-100", IF(AND(Orders[[#This Row],[Sales]]&gt;100,Orders[[#This Row],[Sales]]&lt;=150), "$101-150", "$150+")))</f>
        <v>$0-50</v>
      </c>
      <c r="V687" t="str">
        <f>IF(Orders[[#This Row],[Sales]]&gt;MEDIAN(M:M), "High Price", "Low Price")</f>
        <v>Low Price</v>
      </c>
      <c r="W687" t="str">
        <f>IF(Orders[[#This Row],[Quantity]]&gt;MEDIAN(E:E), "High Volume", "Low Volume")</f>
        <v>High Volume</v>
      </c>
      <c r="X687" t="str">
        <f>Orders[[#This Row],[Sales Tier]] &amp; "-" &amp; Orders[[#This Row],[Quantity Tier]]</f>
        <v>Low Price-High Volume</v>
      </c>
      <c r="Y687" t="str">
        <f>TEXT(Orders[[#This Row],[Order Date]], "mmmm")</f>
        <v>July</v>
      </c>
      <c r="Z68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687" t="str">
        <f>Orders[[#This Row],[Coffee Type Name]] &amp; "-" &amp; Orders[[#This Row],[Roast Type Name]]</f>
        <v>Liberica-Light</v>
      </c>
      <c r="AB68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688" spans="1:28" x14ac:dyDescent="0.25">
      <c r="A688" s="2" t="s">
        <v>2532</v>
      </c>
      <c r="B688" s="4">
        <v>44686</v>
      </c>
      <c r="C688" s="2" t="s">
        <v>2533</v>
      </c>
      <c r="D688" t="s">
        <v>6171</v>
      </c>
      <c r="E688" s="2">
        <v>5</v>
      </c>
      <c r="F688" s="2" t="str">
        <f>_xlfn.XLOOKUP(C688,customers!$A$1:$A$1001,customers!$B$1:$B$1001,,0)</f>
        <v>Feliks Babber</v>
      </c>
      <c r="G688" s="2" t="str">
        <f>IF(_xlfn.XLOOKUP(C688,customers!$A$1:$A$1001,customers!$C$1:$C$1001,,0)=0,"",_xlfn.XLOOKUP(C688,customers!$A$1:$A$1001,customers!$C$1:$C$1001,,0))</f>
        <v>fbabbera2@stanford.edu</v>
      </c>
      <c r="H688" s="2" t="str">
        <f>_xlfn.XLOOKUP(C688,customers!$A$1:$A$1001,customers!$G$1:$G$1001,,0)</f>
        <v>United States</v>
      </c>
      <c r="I688" t="str">
        <f>INDEX(products!$A$1:$G$49, MATCH(orders!$D364,products!$A$1:$A411,0), MATCH(orders!I$1,products!$A$1:$G$1,0))</f>
        <v>Exc</v>
      </c>
      <c r="J688" t="str">
        <f>INDEX(products!$A$1:$G$49, MATCH(orders!$D364,products!$A$1:$A411,0), MATCH(orders!J$1,products!$A$1:$G$1,0))</f>
        <v>L</v>
      </c>
      <c r="K688" s="5">
        <f>INDEX(products!$A$1:$G$49, MATCH(orders!$D364,products!$A$1:$A411,0), MATCH(orders!K$1,products!$A$1:$G$1,0))</f>
        <v>1</v>
      </c>
      <c r="L688" s="6">
        <f>INDEX(products!$A$1:$G$49, MATCH(orders!$D364,products!$A$1:$A411,0), MATCH(orders!L$1,products!$A$1:$G$1,0))</f>
        <v>14.85</v>
      </c>
      <c r="M688" s="6">
        <f t="shared" si="30"/>
        <v>74.25</v>
      </c>
      <c r="N688" t="str">
        <f t="shared" si="31"/>
        <v>Excelsa</v>
      </c>
      <c r="O688" t="str">
        <f t="shared" si="32"/>
        <v>Light</v>
      </c>
      <c r="P688" t="str">
        <f>_xlfn.XLOOKUP(Orders[[#This Row],[Customer ID]],customers!$A$1:$A$1001,customers!$I$1:$I$1001,,0)</f>
        <v>Yes</v>
      </c>
      <c r="Q688">
        <f>COUNTIF(Orders[Order ID],Orders[[#This Row],[Order ID]])</f>
        <v>1</v>
      </c>
      <c r="R688" s="10">
        <f>SUMIF(Orders[Order ID], Orders[[#This Row],[Order ID]],Orders[Sales])/Orders[[#This Row],[Order Frequency]]</f>
        <v>74.25</v>
      </c>
      <c r="S688" t="str">
        <f>IF(Orders[[#This Row],[Order Frequency]]&gt;4, "More than 4", IF(AND(Orders[[#This Row],[Order Frequency]]&lt;=4,Orders[[#This Row],[Order Frequency]]&gt;=2), "Between 4 and 2", "Less than 2"))</f>
        <v>Less than 2</v>
      </c>
      <c r="T688" t="str">
        <f>IF(Orders[[#This Row],[Frequency Group]]="less than 2", "Low Value", IF(Orders[[#This Row],[Frequency Group]]="between 4 and 2", "Medium Value", "High Value"))</f>
        <v>Low Value</v>
      </c>
      <c r="U688" t="str">
        <f>IF(Orders[[#This Row],[Sales]]&lt;50, "$0-50", IF(AND(Orders[[#This Row],[Sales]]&gt;=50,Orders[[#This Row],[Sales]]&lt;=100), "$50-100", IF(AND(Orders[[#This Row],[Sales]]&gt;100,Orders[[#This Row],[Sales]]&lt;=150), "$101-150", "$150+")))</f>
        <v>$50-100</v>
      </c>
      <c r="V688" t="str">
        <f>IF(Orders[[#This Row],[Sales]]&gt;MEDIAN(M:M), "High Price", "Low Price")</f>
        <v>High Price</v>
      </c>
      <c r="W688" t="str">
        <f>IF(Orders[[#This Row],[Quantity]]&gt;MEDIAN(E:E), "High Volume", "Low Volume")</f>
        <v>High Volume</v>
      </c>
      <c r="X688" t="str">
        <f>Orders[[#This Row],[Sales Tier]] &amp; "-" &amp; Orders[[#This Row],[Quantity Tier]]</f>
        <v>High Price-High Volume</v>
      </c>
      <c r="Y688" t="str">
        <f>TEXT(Orders[[#This Row],[Order Date]], "mmmm")</f>
        <v>May</v>
      </c>
      <c r="Z68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688" t="str">
        <f>Orders[[#This Row],[Coffee Type Name]] &amp; "-" &amp; Orders[[#This Row],[Roast Type Name]]</f>
        <v>Excelsa-Light</v>
      </c>
      <c r="AB68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689" spans="1:28" x14ac:dyDescent="0.25">
      <c r="A689" s="2" t="s">
        <v>4393</v>
      </c>
      <c r="B689" s="4">
        <v>44227</v>
      </c>
      <c r="C689" s="2" t="s">
        <v>4434</v>
      </c>
      <c r="D689" t="s">
        <v>6155</v>
      </c>
      <c r="E689" s="2">
        <v>2</v>
      </c>
      <c r="F689" s="2" t="str">
        <f>_xlfn.XLOOKUP(C689,customers!$A$1:$A$1001,customers!$B$1:$B$1001,,0)</f>
        <v>Jimmy Dymoke</v>
      </c>
      <c r="G689" s="2" t="str">
        <f>IF(_xlfn.XLOOKUP(C689,customers!$A$1:$A$1001,customers!$C$1:$C$1001,,0)=0,"",_xlfn.XLOOKUP(C689,customers!$A$1:$A$1001,customers!$C$1:$C$1001,,0))</f>
        <v>jdymokeje@prnewswire.com</v>
      </c>
      <c r="H689" s="2" t="str">
        <f>_xlfn.XLOOKUP(C689,customers!$A$1:$A$1001,customers!$G$1:$G$1001,,0)</f>
        <v>Ireland</v>
      </c>
      <c r="I689" t="str">
        <f>INDEX(products!$A$1:$G$49, MATCH(orders!$D693,products!$A$1:$A740,0), MATCH(orders!I$1,products!$A$1:$G$1,0))</f>
        <v>Ara</v>
      </c>
      <c r="J689" t="str">
        <f>INDEX(products!$A$1:$G$49, MATCH(orders!$D693,products!$A$1:$A740,0), MATCH(orders!J$1,products!$A$1:$G$1,0))</f>
        <v>M</v>
      </c>
      <c r="K689" s="5">
        <f>INDEX(products!$A$1:$G$49, MATCH(orders!$D693,products!$A$1:$A740,0), MATCH(orders!K$1,products!$A$1:$G$1,0))</f>
        <v>1</v>
      </c>
      <c r="L689" s="6">
        <f>INDEX(products!$A$1:$G$49, MATCH(orders!$D693,products!$A$1:$A740,0), MATCH(orders!L$1,products!$A$1:$G$1,0))</f>
        <v>11.25</v>
      </c>
      <c r="M689" s="6">
        <f t="shared" si="30"/>
        <v>22.5</v>
      </c>
      <c r="N689" t="str">
        <f t="shared" si="31"/>
        <v>Arabica</v>
      </c>
      <c r="O689" t="str">
        <f t="shared" si="32"/>
        <v>Medium</v>
      </c>
      <c r="P689" t="str">
        <f>_xlfn.XLOOKUP(Orders[[#This Row],[Customer ID]],customers!$A$1:$A$1001,customers!$I$1:$I$1001,,0)</f>
        <v>No</v>
      </c>
      <c r="Q689">
        <f>COUNTIF(Orders[Order ID],Orders[[#This Row],[Order ID]])</f>
        <v>1</v>
      </c>
      <c r="R689" s="10">
        <f>SUMIF(Orders[Order ID], Orders[[#This Row],[Order ID]],Orders[Sales])/Orders[[#This Row],[Order Frequency]]</f>
        <v>22.5</v>
      </c>
      <c r="S689" t="str">
        <f>IF(Orders[[#This Row],[Order Frequency]]&gt;4, "More than 4", IF(AND(Orders[[#This Row],[Order Frequency]]&lt;=4,Orders[[#This Row],[Order Frequency]]&gt;=2), "Between 4 and 2", "Less than 2"))</f>
        <v>Less than 2</v>
      </c>
      <c r="T689" t="str">
        <f>IF(Orders[[#This Row],[Frequency Group]]="less than 2", "Low Value", IF(Orders[[#This Row],[Frequency Group]]="between 4 and 2", "Medium Value", "High Value"))</f>
        <v>Low Value</v>
      </c>
      <c r="U689" t="str">
        <f>IF(Orders[[#This Row],[Sales]]&lt;50, "$0-50", IF(AND(Orders[[#This Row],[Sales]]&gt;=50,Orders[[#This Row],[Sales]]&lt;=100), "$50-100", IF(AND(Orders[[#This Row],[Sales]]&gt;100,Orders[[#This Row],[Sales]]&lt;=150), "$101-150", "$150+")))</f>
        <v>$0-50</v>
      </c>
      <c r="V689" t="str">
        <f>IF(Orders[[#This Row],[Sales]]&gt;MEDIAN(M:M), "High Price", "Low Price")</f>
        <v>Low Price</v>
      </c>
      <c r="W689" t="str">
        <f>IF(Orders[[#This Row],[Quantity]]&gt;MEDIAN(E:E), "High Volume", "Low Volume")</f>
        <v>Low Volume</v>
      </c>
      <c r="X689" t="str">
        <f>Orders[[#This Row],[Sales Tier]] &amp; "-" &amp; Orders[[#This Row],[Quantity Tier]]</f>
        <v>Low Price-Low Volume</v>
      </c>
      <c r="Y689" t="str">
        <f>TEXT(Orders[[#This Row],[Order Date]], "mmmm")</f>
        <v>January</v>
      </c>
      <c r="Z68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689" t="str">
        <f>Orders[[#This Row],[Coffee Type Name]] &amp; "-" &amp; Orders[[#This Row],[Roast Type Name]]</f>
        <v>Arabica-Medium</v>
      </c>
      <c r="AB68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690" spans="1:28" x14ac:dyDescent="0.25">
      <c r="A690" s="2" t="s">
        <v>4563</v>
      </c>
      <c r="B690" s="4">
        <v>44479</v>
      </c>
      <c r="C690" s="2" t="s">
        <v>4564</v>
      </c>
      <c r="D690" t="s">
        <v>6174</v>
      </c>
      <c r="E690" s="2">
        <v>3</v>
      </c>
      <c r="F690" s="2" t="str">
        <f>_xlfn.XLOOKUP(C690,customers!$A$1:$A$1001,customers!$B$1:$B$1001,,0)</f>
        <v>Niels Leake</v>
      </c>
      <c r="G690" s="2" t="str">
        <f>IF(_xlfn.XLOOKUP(C690,customers!$A$1:$A$1001,customers!$C$1:$C$1001,,0)=0,"",_xlfn.XLOOKUP(C690,customers!$A$1:$A$1001,customers!$C$1:$C$1001,,0))</f>
        <v>nleakek1@cmu.edu</v>
      </c>
      <c r="H690" s="2" t="str">
        <f>_xlfn.XLOOKUP(C690,customers!$A$1:$A$1001,customers!$G$1:$G$1001,,0)</f>
        <v>United States</v>
      </c>
      <c r="I690" t="str">
        <f>INDEX(products!$A$1:$G$49, MATCH(orders!$D723,products!$A$1:$A770,0), MATCH(orders!I$1,products!$A$1:$G$1,0))</f>
        <v>Rob</v>
      </c>
      <c r="J690" t="str">
        <f>INDEX(products!$A$1:$G$49, MATCH(orders!$D723,products!$A$1:$A770,0), MATCH(orders!J$1,products!$A$1:$G$1,0))</f>
        <v>M</v>
      </c>
      <c r="K690" s="5">
        <f>INDEX(products!$A$1:$G$49, MATCH(orders!$D723,products!$A$1:$A770,0), MATCH(orders!K$1,products!$A$1:$G$1,0))</f>
        <v>0.2</v>
      </c>
      <c r="L690" s="6">
        <f>INDEX(products!$A$1:$G$49, MATCH(orders!$D723,products!$A$1:$A770,0), MATCH(orders!L$1,products!$A$1:$G$1,0))</f>
        <v>2.9849999999999999</v>
      </c>
      <c r="M690" s="6">
        <f t="shared" si="30"/>
        <v>8.9550000000000001</v>
      </c>
      <c r="N690" t="str">
        <f t="shared" si="31"/>
        <v>Robusta</v>
      </c>
      <c r="O690" t="str">
        <f t="shared" si="32"/>
        <v>Medium</v>
      </c>
      <c r="P690" t="str">
        <f>_xlfn.XLOOKUP(Orders[[#This Row],[Customer ID]],customers!$A$1:$A$1001,customers!$I$1:$I$1001,,0)</f>
        <v>Yes</v>
      </c>
      <c r="Q690">
        <f>COUNTIF(Orders[Order ID],Orders[[#This Row],[Order ID]])</f>
        <v>1</v>
      </c>
      <c r="R690" s="10">
        <f>SUMIF(Orders[Order ID], Orders[[#This Row],[Order ID]],Orders[Sales])/Orders[[#This Row],[Order Frequency]]</f>
        <v>8.9550000000000001</v>
      </c>
      <c r="S690" t="str">
        <f>IF(Orders[[#This Row],[Order Frequency]]&gt;4, "More than 4", IF(AND(Orders[[#This Row],[Order Frequency]]&lt;=4,Orders[[#This Row],[Order Frequency]]&gt;=2), "Between 4 and 2", "Less than 2"))</f>
        <v>Less than 2</v>
      </c>
      <c r="T690" t="str">
        <f>IF(Orders[[#This Row],[Frequency Group]]="less than 2", "Low Value", IF(Orders[[#This Row],[Frequency Group]]="between 4 and 2", "Medium Value", "High Value"))</f>
        <v>Low Value</v>
      </c>
      <c r="U690" t="str">
        <f>IF(Orders[[#This Row],[Sales]]&lt;50, "$0-50", IF(AND(Orders[[#This Row],[Sales]]&gt;=50,Orders[[#This Row],[Sales]]&lt;=100), "$50-100", IF(AND(Orders[[#This Row],[Sales]]&gt;100,Orders[[#This Row],[Sales]]&lt;=150), "$101-150", "$150+")))</f>
        <v>$0-50</v>
      </c>
      <c r="V690" t="str">
        <f>IF(Orders[[#This Row],[Sales]]&gt;MEDIAN(M:M), "High Price", "Low Price")</f>
        <v>Low Price</v>
      </c>
      <c r="W690" t="str">
        <f>IF(Orders[[#This Row],[Quantity]]&gt;MEDIAN(E:E), "High Volume", "Low Volume")</f>
        <v>Low Volume</v>
      </c>
      <c r="X690" t="str">
        <f>Orders[[#This Row],[Sales Tier]] &amp; "-" &amp; Orders[[#This Row],[Quantity Tier]]</f>
        <v>Low Price-Low Volume</v>
      </c>
      <c r="Y690" t="str">
        <f>TEXT(Orders[[#This Row],[Order Date]], "mmmm")</f>
        <v>October</v>
      </c>
      <c r="Z69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690" t="str">
        <f>Orders[[#This Row],[Coffee Type Name]] &amp; "-" &amp; Orders[[#This Row],[Roast Type Name]]</f>
        <v>Robusta-Medium</v>
      </c>
      <c r="AB69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691" spans="1:28" x14ac:dyDescent="0.25">
      <c r="A691" s="2" t="s">
        <v>1659</v>
      </c>
      <c r="B691" s="4">
        <v>44659</v>
      </c>
      <c r="C691" s="2" t="s">
        <v>1660</v>
      </c>
      <c r="D691" t="s">
        <v>6144</v>
      </c>
      <c r="E691" s="2">
        <v>4</v>
      </c>
      <c r="F691" s="2" t="str">
        <f>_xlfn.XLOOKUP(C691,customers!$A$1:$A$1001,customers!$B$1:$B$1001,,0)</f>
        <v>Constance Halfhide</v>
      </c>
      <c r="G691" s="2" t="str">
        <f>IF(_xlfn.XLOOKUP(C691,customers!$A$1:$A$1001,customers!$C$1:$C$1001,,0)=0,"",_xlfn.XLOOKUP(C691,customers!$A$1:$A$1001,customers!$C$1:$C$1001,,0))</f>
        <v>chalfhide5s@google.ru</v>
      </c>
      <c r="H691" s="2" t="str">
        <f>_xlfn.XLOOKUP(C691,customers!$A$1:$A$1001,customers!$G$1:$G$1001,,0)</f>
        <v>Ireland</v>
      </c>
      <c r="I691" t="str">
        <f>INDEX(products!$A$1:$G$49, MATCH(orders!$D210,products!$A$1:$A257,0), MATCH(orders!I$1,products!$A$1:$G$1,0))</f>
        <v>Exc</v>
      </c>
      <c r="J691" t="str">
        <f>INDEX(products!$A$1:$G$49, MATCH(orders!$D210,products!$A$1:$A257,0), MATCH(orders!J$1,products!$A$1:$G$1,0))</f>
        <v>D</v>
      </c>
      <c r="K691" s="5">
        <f>INDEX(products!$A$1:$G$49, MATCH(orders!$D210,products!$A$1:$A257,0), MATCH(orders!K$1,products!$A$1:$G$1,0))</f>
        <v>0.5</v>
      </c>
      <c r="L691" s="6">
        <f>INDEX(products!$A$1:$G$49, MATCH(orders!$D210,products!$A$1:$A257,0), MATCH(orders!L$1,products!$A$1:$G$1,0))</f>
        <v>7.29</v>
      </c>
      <c r="M691" s="6">
        <f t="shared" si="30"/>
        <v>29.16</v>
      </c>
      <c r="N691" t="str">
        <f t="shared" si="31"/>
        <v>Excelsa</v>
      </c>
      <c r="O691" t="str">
        <f t="shared" si="32"/>
        <v>Dark</v>
      </c>
      <c r="P691" t="str">
        <f>_xlfn.XLOOKUP(Orders[[#This Row],[Customer ID]],customers!$A$1:$A$1001,customers!$I$1:$I$1001,,0)</f>
        <v>Yes</v>
      </c>
      <c r="Q691">
        <f>COUNTIF(Orders[Order ID],Orders[[#This Row],[Order ID]])</f>
        <v>1</v>
      </c>
      <c r="R691" s="10">
        <f>SUMIF(Orders[Order ID], Orders[[#This Row],[Order ID]],Orders[Sales])/Orders[[#This Row],[Order Frequency]]</f>
        <v>29.16</v>
      </c>
      <c r="S691" t="str">
        <f>IF(Orders[[#This Row],[Order Frequency]]&gt;4, "More than 4", IF(AND(Orders[[#This Row],[Order Frequency]]&lt;=4,Orders[[#This Row],[Order Frequency]]&gt;=2), "Between 4 and 2", "Less than 2"))</f>
        <v>Less than 2</v>
      </c>
      <c r="T691" t="str">
        <f>IF(Orders[[#This Row],[Frequency Group]]="less than 2", "Low Value", IF(Orders[[#This Row],[Frequency Group]]="between 4 and 2", "Medium Value", "High Value"))</f>
        <v>Low Value</v>
      </c>
      <c r="U691" t="str">
        <f>IF(Orders[[#This Row],[Sales]]&lt;50, "$0-50", IF(AND(Orders[[#This Row],[Sales]]&gt;=50,Orders[[#This Row],[Sales]]&lt;=100), "$50-100", IF(AND(Orders[[#This Row],[Sales]]&gt;100,Orders[[#This Row],[Sales]]&lt;=150), "$101-150", "$150+")))</f>
        <v>$0-50</v>
      </c>
      <c r="V691" t="str">
        <f>IF(Orders[[#This Row],[Sales]]&gt;MEDIAN(M:M), "High Price", "Low Price")</f>
        <v>Low Price</v>
      </c>
      <c r="W691" t="str">
        <f>IF(Orders[[#This Row],[Quantity]]&gt;MEDIAN(E:E), "High Volume", "Low Volume")</f>
        <v>Low Volume</v>
      </c>
      <c r="X691" t="str">
        <f>Orders[[#This Row],[Sales Tier]] &amp; "-" &amp; Orders[[#This Row],[Quantity Tier]]</f>
        <v>Low Price-Low Volume</v>
      </c>
      <c r="Y691" t="str">
        <f>TEXT(Orders[[#This Row],[Order Date]], "mmmm")</f>
        <v>April</v>
      </c>
      <c r="Z69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691" t="str">
        <f>Orders[[#This Row],[Coffee Type Name]] &amp; "-" &amp; Orders[[#This Row],[Roast Type Name]]</f>
        <v>Excelsa-Dark</v>
      </c>
      <c r="AB69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692" spans="1:28" x14ac:dyDescent="0.25">
      <c r="A692" s="2" t="s">
        <v>5102</v>
      </c>
      <c r="B692" s="4">
        <v>43534</v>
      </c>
      <c r="C692" s="2" t="s">
        <v>5103</v>
      </c>
      <c r="D692" t="s">
        <v>6161</v>
      </c>
      <c r="E692" s="2">
        <v>4</v>
      </c>
      <c r="F692" s="2" t="str">
        <f>_xlfn.XLOOKUP(C692,customers!$A$1:$A$1001,customers!$B$1:$B$1001,,0)</f>
        <v>Marvin Gundry</v>
      </c>
      <c r="G692" s="2" t="str">
        <f>IF(_xlfn.XLOOKUP(C692,customers!$A$1:$A$1001,customers!$C$1:$C$1001,,0)=0,"",_xlfn.XLOOKUP(C692,customers!$A$1:$A$1001,customers!$C$1:$C$1001,,0))</f>
        <v>mgundrymo@omniture.com</v>
      </c>
      <c r="H692" s="2" t="str">
        <f>_xlfn.XLOOKUP(C692,customers!$A$1:$A$1001,customers!$G$1:$G$1001,,0)</f>
        <v>Ireland</v>
      </c>
      <c r="I692" t="str">
        <f>INDEX(products!$A$1:$G$49, MATCH(orders!$D818,products!$A$1:$A865,0), MATCH(orders!I$1,products!$A$1:$G$1,0))</f>
        <v>Lib</v>
      </c>
      <c r="J692" t="str">
        <f>INDEX(products!$A$1:$G$49, MATCH(orders!$D818,products!$A$1:$A865,0), MATCH(orders!J$1,products!$A$1:$G$1,0))</f>
        <v>L</v>
      </c>
      <c r="K692" s="5">
        <f>INDEX(products!$A$1:$G$49, MATCH(orders!$D818,products!$A$1:$A865,0), MATCH(orders!K$1,products!$A$1:$G$1,0))</f>
        <v>0.5</v>
      </c>
      <c r="L692" s="6">
        <f>INDEX(products!$A$1:$G$49, MATCH(orders!$D818,products!$A$1:$A865,0), MATCH(orders!L$1,products!$A$1:$G$1,0))</f>
        <v>9.51</v>
      </c>
      <c r="M692" s="6">
        <f t="shared" si="30"/>
        <v>38.04</v>
      </c>
      <c r="N692" t="str">
        <f t="shared" si="31"/>
        <v>Liberica</v>
      </c>
      <c r="O692" t="str">
        <f t="shared" si="32"/>
        <v>Light</v>
      </c>
      <c r="P692" t="str">
        <f>_xlfn.XLOOKUP(Orders[[#This Row],[Customer ID]],customers!$A$1:$A$1001,customers!$I$1:$I$1001,,0)</f>
        <v>No</v>
      </c>
      <c r="Q692">
        <f>COUNTIF(Orders[Order ID],Orders[[#This Row],[Order ID]])</f>
        <v>1</v>
      </c>
      <c r="R692" s="10">
        <f>SUMIF(Orders[Order ID], Orders[[#This Row],[Order ID]],Orders[Sales])/Orders[[#This Row],[Order Frequency]]</f>
        <v>38.04</v>
      </c>
      <c r="S692" t="str">
        <f>IF(Orders[[#This Row],[Order Frequency]]&gt;4, "More than 4", IF(AND(Orders[[#This Row],[Order Frequency]]&lt;=4,Orders[[#This Row],[Order Frequency]]&gt;=2), "Between 4 and 2", "Less than 2"))</f>
        <v>Less than 2</v>
      </c>
      <c r="T692" t="str">
        <f>IF(Orders[[#This Row],[Frequency Group]]="less than 2", "Low Value", IF(Orders[[#This Row],[Frequency Group]]="between 4 and 2", "Medium Value", "High Value"))</f>
        <v>Low Value</v>
      </c>
      <c r="U692" t="str">
        <f>IF(Orders[[#This Row],[Sales]]&lt;50, "$0-50", IF(AND(Orders[[#This Row],[Sales]]&gt;=50,Orders[[#This Row],[Sales]]&lt;=100), "$50-100", IF(AND(Orders[[#This Row],[Sales]]&gt;100,Orders[[#This Row],[Sales]]&lt;=150), "$101-150", "$150+")))</f>
        <v>$0-50</v>
      </c>
      <c r="V692" t="str">
        <f>IF(Orders[[#This Row],[Sales]]&gt;MEDIAN(M:M), "High Price", "Low Price")</f>
        <v>High Price</v>
      </c>
      <c r="W692" t="str">
        <f>IF(Orders[[#This Row],[Quantity]]&gt;MEDIAN(E:E), "High Volume", "Low Volume")</f>
        <v>Low Volume</v>
      </c>
      <c r="X692" t="str">
        <f>Orders[[#This Row],[Sales Tier]] &amp; "-" &amp; Orders[[#This Row],[Quantity Tier]]</f>
        <v>High Price-Low Volume</v>
      </c>
      <c r="Y692" t="str">
        <f>TEXT(Orders[[#This Row],[Order Date]], "mmmm")</f>
        <v>March</v>
      </c>
      <c r="Z69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692" t="str">
        <f>Orders[[#This Row],[Coffee Type Name]] &amp; "-" &amp; Orders[[#This Row],[Roast Type Name]]</f>
        <v>Liberica-Light</v>
      </c>
      <c r="AB69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693" spans="1:28" x14ac:dyDescent="0.25">
      <c r="A693" s="2" t="s">
        <v>5327</v>
      </c>
      <c r="B693" s="4">
        <v>44031</v>
      </c>
      <c r="C693" s="2" t="s">
        <v>5188</v>
      </c>
      <c r="D693" t="s">
        <v>6159</v>
      </c>
      <c r="E693" s="2">
        <v>2</v>
      </c>
      <c r="F693" s="2" t="str">
        <f>_xlfn.XLOOKUP(C693,customers!$A$1:$A$1001,customers!$B$1:$B$1001,,0)</f>
        <v>Odelia Skerme</v>
      </c>
      <c r="G693" s="2" t="str">
        <f>IF(_xlfn.XLOOKUP(C693,customers!$A$1:$A$1001,customers!$C$1:$C$1001,,0)=0,"",_xlfn.XLOOKUP(C693,customers!$A$1:$A$1001,customers!$C$1:$C$1001,,0))</f>
        <v>oskermen3@hatena.ne.jp</v>
      </c>
      <c r="H693" s="2" t="str">
        <f>_xlfn.XLOOKUP(C693,customers!$A$1:$A$1001,customers!$G$1:$G$1001,,0)</f>
        <v>United States</v>
      </c>
      <c r="I693" t="str">
        <f>INDEX(products!$A$1:$G$49, MATCH(orders!$D858,products!$A$1:$A905,0), MATCH(orders!I$1,products!$A$1:$G$1,0))</f>
        <v>Lib</v>
      </c>
      <c r="J693" t="str">
        <f>INDEX(products!$A$1:$G$49, MATCH(orders!$D858,products!$A$1:$A905,0), MATCH(orders!J$1,products!$A$1:$G$1,0))</f>
        <v>M</v>
      </c>
      <c r="K693" s="5">
        <f>INDEX(products!$A$1:$G$49, MATCH(orders!$D858,products!$A$1:$A905,0), MATCH(orders!K$1,products!$A$1:$G$1,0))</f>
        <v>0.2</v>
      </c>
      <c r="L693" s="6">
        <f>INDEX(products!$A$1:$G$49, MATCH(orders!$D858,products!$A$1:$A905,0), MATCH(orders!L$1,products!$A$1:$G$1,0))</f>
        <v>4.3650000000000002</v>
      </c>
      <c r="M693" s="6">
        <f t="shared" si="30"/>
        <v>8.73</v>
      </c>
      <c r="N693" t="str">
        <f t="shared" si="31"/>
        <v>Liberica</v>
      </c>
      <c r="O693" t="str">
        <f t="shared" si="32"/>
        <v>Medium</v>
      </c>
      <c r="P693" t="str">
        <f>_xlfn.XLOOKUP(Orders[[#This Row],[Customer ID]],customers!$A$1:$A$1001,customers!$I$1:$I$1001,,0)</f>
        <v>Yes</v>
      </c>
      <c r="Q693">
        <f>COUNTIF(Orders[Order ID],Orders[[#This Row],[Order ID]])</f>
        <v>1</v>
      </c>
      <c r="R693" s="10">
        <f>SUMIF(Orders[Order ID], Orders[[#This Row],[Order ID]],Orders[Sales])/Orders[[#This Row],[Order Frequency]]</f>
        <v>8.73</v>
      </c>
      <c r="S693" t="str">
        <f>IF(Orders[[#This Row],[Order Frequency]]&gt;4, "More than 4", IF(AND(Orders[[#This Row],[Order Frequency]]&lt;=4,Orders[[#This Row],[Order Frequency]]&gt;=2), "Between 4 and 2", "Less than 2"))</f>
        <v>Less than 2</v>
      </c>
      <c r="T693" t="str">
        <f>IF(Orders[[#This Row],[Frequency Group]]="less than 2", "Low Value", IF(Orders[[#This Row],[Frequency Group]]="between 4 and 2", "Medium Value", "High Value"))</f>
        <v>Low Value</v>
      </c>
      <c r="U693" t="str">
        <f>IF(Orders[[#This Row],[Sales]]&lt;50, "$0-50", IF(AND(Orders[[#This Row],[Sales]]&gt;=50,Orders[[#This Row],[Sales]]&lt;=100), "$50-100", IF(AND(Orders[[#This Row],[Sales]]&gt;100,Orders[[#This Row],[Sales]]&lt;=150), "$101-150", "$150+")))</f>
        <v>$0-50</v>
      </c>
      <c r="V693" t="str">
        <f>IF(Orders[[#This Row],[Sales]]&gt;MEDIAN(M:M), "High Price", "Low Price")</f>
        <v>Low Price</v>
      </c>
      <c r="W693" t="str">
        <f>IF(Orders[[#This Row],[Quantity]]&gt;MEDIAN(E:E), "High Volume", "Low Volume")</f>
        <v>Low Volume</v>
      </c>
      <c r="X693" t="str">
        <f>Orders[[#This Row],[Sales Tier]] &amp; "-" &amp; Orders[[#This Row],[Quantity Tier]]</f>
        <v>Low Price-Low Volume</v>
      </c>
      <c r="Y693" t="str">
        <f>TEXT(Orders[[#This Row],[Order Date]], "mmmm")</f>
        <v>July</v>
      </c>
      <c r="Z69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693" t="str">
        <f>Orders[[#This Row],[Coffee Type Name]] &amp; "-" &amp; Orders[[#This Row],[Roast Type Name]]</f>
        <v>Liberica-Medium</v>
      </c>
      <c r="AB69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694" spans="1:28" x14ac:dyDescent="0.25">
      <c r="A694" s="2" t="s">
        <v>2038</v>
      </c>
      <c r="B694" s="4">
        <v>43985</v>
      </c>
      <c r="C694" s="2" t="s">
        <v>2039</v>
      </c>
      <c r="D694" t="s">
        <v>6175</v>
      </c>
      <c r="E694" s="2">
        <v>1</v>
      </c>
      <c r="F694" s="2" t="str">
        <f>_xlfn.XLOOKUP(C694,customers!$A$1:$A$1001,customers!$B$1:$B$1001,,0)</f>
        <v>Donnie Hedlestone</v>
      </c>
      <c r="G694" s="2" t="str">
        <f>IF(_xlfn.XLOOKUP(C694,customers!$A$1:$A$1001,customers!$C$1:$C$1001,,0)=0,"",_xlfn.XLOOKUP(C694,customers!$A$1:$A$1001,customers!$C$1:$C$1001,,0))</f>
        <v>dhedlestone7m@craigslist.org</v>
      </c>
      <c r="H694" s="2" t="str">
        <f>_xlfn.XLOOKUP(C694,customers!$A$1:$A$1001,customers!$G$1:$G$1001,,0)</f>
        <v>United States</v>
      </c>
      <c r="I694" t="str">
        <f>INDEX(products!$A$1:$G$49, MATCH(orders!$D276,products!$A$1:$A323,0), MATCH(orders!I$1,products!$A$1:$G$1,0))</f>
        <v>Ara</v>
      </c>
      <c r="J694" t="str">
        <f>INDEX(products!$A$1:$G$49, MATCH(orders!$D276,products!$A$1:$A323,0), MATCH(orders!J$1,products!$A$1:$G$1,0))</f>
        <v>M</v>
      </c>
      <c r="K694" s="5">
        <f>INDEX(products!$A$1:$G$49, MATCH(orders!$D276,products!$A$1:$A323,0), MATCH(orders!K$1,products!$A$1:$G$1,0))</f>
        <v>2.5</v>
      </c>
      <c r="L694" s="6">
        <f>INDEX(products!$A$1:$G$49, MATCH(orders!$D276,products!$A$1:$A323,0), MATCH(orders!L$1,products!$A$1:$G$1,0))</f>
        <v>25.874999999999996</v>
      </c>
      <c r="M694" s="6">
        <f t="shared" si="30"/>
        <v>25.874999999999996</v>
      </c>
      <c r="N694" t="str">
        <f t="shared" si="31"/>
        <v>Arabica</v>
      </c>
      <c r="O694" t="str">
        <f t="shared" si="32"/>
        <v>Medium</v>
      </c>
      <c r="P694" t="str">
        <f>_xlfn.XLOOKUP(Orders[[#This Row],[Customer ID]],customers!$A$1:$A$1001,customers!$I$1:$I$1001,,0)</f>
        <v>No</v>
      </c>
      <c r="Q694">
        <f>COUNTIF(Orders[Order ID],Orders[[#This Row],[Order ID]])</f>
        <v>1</v>
      </c>
      <c r="R694" s="10">
        <f>SUMIF(Orders[Order ID], Orders[[#This Row],[Order ID]],Orders[Sales])/Orders[[#This Row],[Order Frequency]]</f>
        <v>25.874999999999996</v>
      </c>
      <c r="S694" t="str">
        <f>IF(Orders[[#This Row],[Order Frequency]]&gt;4, "More than 4", IF(AND(Orders[[#This Row],[Order Frequency]]&lt;=4,Orders[[#This Row],[Order Frequency]]&gt;=2), "Between 4 and 2", "Less than 2"))</f>
        <v>Less than 2</v>
      </c>
      <c r="T694" t="str">
        <f>IF(Orders[[#This Row],[Frequency Group]]="less than 2", "Low Value", IF(Orders[[#This Row],[Frequency Group]]="between 4 and 2", "Medium Value", "High Value"))</f>
        <v>Low Value</v>
      </c>
      <c r="U694" t="str">
        <f>IF(Orders[[#This Row],[Sales]]&lt;50, "$0-50", IF(AND(Orders[[#This Row],[Sales]]&gt;=50,Orders[[#This Row],[Sales]]&lt;=100), "$50-100", IF(AND(Orders[[#This Row],[Sales]]&gt;100,Orders[[#This Row],[Sales]]&lt;=150), "$101-150", "$150+")))</f>
        <v>$0-50</v>
      </c>
      <c r="V694" t="str">
        <f>IF(Orders[[#This Row],[Sales]]&gt;MEDIAN(M:M), "High Price", "Low Price")</f>
        <v>Low Price</v>
      </c>
      <c r="W694" t="str">
        <f>IF(Orders[[#This Row],[Quantity]]&gt;MEDIAN(E:E), "High Volume", "Low Volume")</f>
        <v>Low Volume</v>
      </c>
      <c r="X694" t="str">
        <f>Orders[[#This Row],[Sales Tier]] &amp; "-" &amp; Orders[[#This Row],[Quantity Tier]]</f>
        <v>Low Price-Low Volume</v>
      </c>
      <c r="Y694" t="str">
        <f>TEXT(Orders[[#This Row],[Order Date]], "mmmm")</f>
        <v>June</v>
      </c>
      <c r="Z69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694" t="str">
        <f>Orders[[#This Row],[Coffee Type Name]] &amp; "-" &amp; Orders[[#This Row],[Roast Type Name]]</f>
        <v>Arabica-Medium</v>
      </c>
      <c r="AB69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695" spans="1:28" x14ac:dyDescent="0.25">
      <c r="A695" s="2" t="s">
        <v>6070</v>
      </c>
      <c r="B695" s="4">
        <v>44247</v>
      </c>
      <c r="C695" s="2" t="s">
        <v>6071</v>
      </c>
      <c r="D695" t="s">
        <v>6158</v>
      </c>
      <c r="E695" s="2">
        <v>5</v>
      </c>
      <c r="F695" s="2" t="str">
        <f>_xlfn.XLOOKUP(C695,customers!$A$1:$A$1001,customers!$B$1:$B$1001,,0)</f>
        <v>Lorianne Kyneton</v>
      </c>
      <c r="G695" s="2" t="str">
        <f>IF(_xlfn.XLOOKUP(C695,customers!$A$1:$A$1001,customers!$C$1:$C$1001,,0)=0,"",_xlfn.XLOOKUP(C695,customers!$A$1:$A$1001,customers!$C$1:$C$1001,,0))</f>
        <v>lkynetonrf@macromedia.com</v>
      </c>
      <c r="H695" s="2" t="str">
        <f>_xlfn.XLOOKUP(C695,customers!$A$1:$A$1001,customers!$G$1:$G$1001,,0)</f>
        <v>United Kingdom</v>
      </c>
      <c r="I695" t="str">
        <f>INDEX(products!$A$1:$G$49, MATCH(orders!$D989,products!$A$1:$A1036,0), MATCH(orders!I$1,products!$A$1:$G$1,0))</f>
        <v>Ara</v>
      </c>
      <c r="J695" t="str">
        <f>INDEX(products!$A$1:$G$49, MATCH(orders!$D989,products!$A$1:$A1036,0), MATCH(orders!J$1,products!$A$1:$G$1,0))</f>
        <v>D</v>
      </c>
      <c r="K695" s="5">
        <f>INDEX(products!$A$1:$G$49, MATCH(orders!$D989,products!$A$1:$A1036,0), MATCH(orders!K$1,products!$A$1:$G$1,0))</f>
        <v>0.5</v>
      </c>
      <c r="L695" s="6">
        <f>INDEX(products!$A$1:$G$49, MATCH(orders!$D989,products!$A$1:$A1036,0), MATCH(orders!L$1,products!$A$1:$G$1,0))</f>
        <v>5.97</v>
      </c>
      <c r="M695" s="6">
        <f t="shared" si="30"/>
        <v>29.849999999999998</v>
      </c>
      <c r="N695" t="str">
        <f t="shared" si="31"/>
        <v>Arabica</v>
      </c>
      <c r="O695" t="str">
        <f t="shared" si="32"/>
        <v>Dark</v>
      </c>
      <c r="P695" t="str">
        <f>_xlfn.XLOOKUP(Orders[[#This Row],[Customer ID]],customers!$A$1:$A$1001,customers!$I$1:$I$1001,,0)</f>
        <v>Yes</v>
      </c>
      <c r="Q695">
        <f>COUNTIF(Orders[Order ID],Orders[[#This Row],[Order ID]])</f>
        <v>1</v>
      </c>
      <c r="R695" s="10">
        <f>SUMIF(Orders[Order ID], Orders[[#This Row],[Order ID]],Orders[Sales])/Orders[[#This Row],[Order Frequency]]</f>
        <v>29.849999999999998</v>
      </c>
      <c r="S695" t="str">
        <f>IF(Orders[[#This Row],[Order Frequency]]&gt;4, "More than 4", IF(AND(Orders[[#This Row],[Order Frequency]]&lt;=4,Orders[[#This Row],[Order Frequency]]&gt;=2), "Between 4 and 2", "Less than 2"))</f>
        <v>Less than 2</v>
      </c>
      <c r="T695" t="str">
        <f>IF(Orders[[#This Row],[Frequency Group]]="less than 2", "Low Value", IF(Orders[[#This Row],[Frequency Group]]="between 4 and 2", "Medium Value", "High Value"))</f>
        <v>Low Value</v>
      </c>
      <c r="U695" t="str">
        <f>IF(Orders[[#This Row],[Sales]]&lt;50, "$0-50", IF(AND(Orders[[#This Row],[Sales]]&gt;=50,Orders[[#This Row],[Sales]]&lt;=100), "$50-100", IF(AND(Orders[[#This Row],[Sales]]&gt;100,Orders[[#This Row],[Sales]]&lt;=150), "$101-150", "$150+")))</f>
        <v>$0-50</v>
      </c>
      <c r="V695" t="str">
        <f>IF(Orders[[#This Row],[Sales]]&gt;MEDIAN(M:M), "High Price", "Low Price")</f>
        <v>High Price</v>
      </c>
      <c r="W695" t="str">
        <f>IF(Orders[[#This Row],[Quantity]]&gt;MEDIAN(E:E), "High Volume", "Low Volume")</f>
        <v>High Volume</v>
      </c>
      <c r="X695" t="str">
        <f>Orders[[#This Row],[Sales Tier]] &amp; "-" &amp; Orders[[#This Row],[Quantity Tier]]</f>
        <v>High Price-High Volume</v>
      </c>
      <c r="Y695" t="str">
        <f>TEXT(Orders[[#This Row],[Order Date]], "mmmm")</f>
        <v>February</v>
      </c>
      <c r="Z69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695" t="str">
        <f>Orders[[#This Row],[Coffee Type Name]] &amp; "-" &amp; Orders[[#This Row],[Roast Type Name]]</f>
        <v>Arabica-Dark</v>
      </c>
      <c r="AB69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696" spans="1:28" x14ac:dyDescent="0.25">
      <c r="A696" s="2" t="s">
        <v>1845</v>
      </c>
      <c r="B696" s="4">
        <v>43993</v>
      </c>
      <c r="C696" s="2" t="s">
        <v>1846</v>
      </c>
      <c r="D696" t="s">
        <v>6175</v>
      </c>
      <c r="E696" s="2">
        <v>6</v>
      </c>
      <c r="F696" s="2" t="str">
        <f>_xlfn.XLOOKUP(C696,customers!$A$1:$A$1001,customers!$B$1:$B$1001,,0)</f>
        <v>Codi Littrell</v>
      </c>
      <c r="G696" s="2" t="str">
        <f>IF(_xlfn.XLOOKUP(C696,customers!$A$1:$A$1001,customers!$C$1:$C$1001,,0)=0,"",_xlfn.XLOOKUP(C696,customers!$A$1:$A$1001,customers!$C$1:$C$1001,,0))</f>
        <v/>
      </c>
      <c r="H696" s="2" t="str">
        <f>_xlfn.XLOOKUP(C696,customers!$A$1:$A$1001,customers!$G$1:$G$1001,,0)</f>
        <v>United States</v>
      </c>
      <c r="I696" t="str">
        <f>INDEX(products!$A$1:$G$49, MATCH(orders!$D242,products!$A$1:$A289,0), MATCH(orders!I$1,products!$A$1:$G$1,0))</f>
        <v>Ara</v>
      </c>
      <c r="J696" t="str">
        <f>INDEX(products!$A$1:$G$49, MATCH(orders!$D242,products!$A$1:$A289,0), MATCH(orders!J$1,products!$A$1:$G$1,0))</f>
        <v>M</v>
      </c>
      <c r="K696" s="5">
        <f>INDEX(products!$A$1:$G$49, MATCH(orders!$D242,products!$A$1:$A289,0), MATCH(orders!K$1,products!$A$1:$G$1,0))</f>
        <v>2.5</v>
      </c>
      <c r="L696" s="6">
        <f>INDEX(products!$A$1:$G$49, MATCH(orders!$D242,products!$A$1:$A289,0), MATCH(orders!L$1,products!$A$1:$G$1,0))</f>
        <v>25.874999999999996</v>
      </c>
      <c r="M696" s="6">
        <f t="shared" si="30"/>
        <v>155.24999999999997</v>
      </c>
      <c r="N696" t="str">
        <f t="shared" si="31"/>
        <v>Arabica</v>
      </c>
      <c r="O696" t="str">
        <f t="shared" si="32"/>
        <v>Medium</v>
      </c>
      <c r="P696" t="str">
        <f>_xlfn.XLOOKUP(Orders[[#This Row],[Customer ID]],customers!$A$1:$A$1001,customers!$I$1:$I$1001,,0)</f>
        <v>Yes</v>
      </c>
      <c r="Q696">
        <f>COUNTIF(Orders[Order ID],Orders[[#This Row],[Order ID]])</f>
        <v>1</v>
      </c>
      <c r="R696" s="10">
        <f>SUMIF(Orders[Order ID], Orders[[#This Row],[Order ID]],Orders[Sales])/Orders[[#This Row],[Order Frequency]]</f>
        <v>155.24999999999997</v>
      </c>
      <c r="S696" t="str">
        <f>IF(Orders[[#This Row],[Order Frequency]]&gt;4, "More than 4", IF(AND(Orders[[#This Row],[Order Frequency]]&lt;=4,Orders[[#This Row],[Order Frequency]]&gt;=2), "Between 4 and 2", "Less than 2"))</f>
        <v>Less than 2</v>
      </c>
      <c r="T696" t="str">
        <f>IF(Orders[[#This Row],[Frequency Group]]="less than 2", "Low Value", IF(Orders[[#This Row],[Frequency Group]]="between 4 and 2", "Medium Value", "High Value"))</f>
        <v>Low Value</v>
      </c>
      <c r="U696" t="str">
        <f>IF(Orders[[#This Row],[Sales]]&lt;50, "$0-50", IF(AND(Orders[[#This Row],[Sales]]&gt;=50,Orders[[#This Row],[Sales]]&lt;=100), "$50-100", IF(AND(Orders[[#This Row],[Sales]]&gt;100,Orders[[#This Row],[Sales]]&lt;=150), "$101-150", "$150+")))</f>
        <v>$150+</v>
      </c>
      <c r="V696" t="str">
        <f>IF(Orders[[#This Row],[Sales]]&gt;MEDIAN(M:M), "High Price", "Low Price")</f>
        <v>High Price</v>
      </c>
      <c r="W696" t="str">
        <f>IF(Orders[[#This Row],[Quantity]]&gt;MEDIAN(E:E), "High Volume", "Low Volume")</f>
        <v>High Volume</v>
      </c>
      <c r="X696" t="str">
        <f>Orders[[#This Row],[Sales Tier]] &amp; "-" &amp; Orders[[#This Row],[Quantity Tier]]</f>
        <v>High Price-High Volume</v>
      </c>
      <c r="Y696" t="str">
        <f>TEXT(Orders[[#This Row],[Order Date]], "mmmm")</f>
        <v>June</v>
      </c>
      <c r="Z69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696" t="str">
        <f>Orders[[#This Row],[Coffee Type Name]] &amp; "-" &amp; Orders[[#This Row],[Roast Type Name]]</f>
        <v>Arabica-Medium</v>
      </c>
      <c r="AB69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697" spans="1:28" x14ac:dyDescent="0.25">
      <c r="A697" s="2" t="s">
        <v>3778</v>
      </c>
      <c r="B697" s="4">
        <v>44382</v>
      </c>
      <c r="C697" s="2" t="s">
        <v>3779</v>
      </c>
      <c r="D697" t="s">
        <v>6183</v>
      </c>
      <c r="E697" s="2">
        <v>5</v>
      </c>
      <c r="F697" s="2" t="str">
        <f>_xlfn.XLOOKUP(C697,customers!$A$1:$A$1001,customers!$B$1:$B$1001,,0)</f>
        <v>Russell Donet</v>
      </c>
      <c r="G697" s="2" t="str">
        <f>IF(_xlfn.XLOOKUP(C697,customers!$A$1:$A$1001,customers!$C$1:$C$1001,,0)=0,"",_xlfn.XLOOKUP(C697,customers!$A$1:$A$1001,customers!$C$1:$C$1001,,0))</f>
        <v>rdonetg6@oakley.com</v>
      </c>
      <c r="H697" s="2" t="str">
        <f>_xlfn.XLOOKUP(C697,customers!$A$1:$A$1001,customers!$G$1:$G$1001,,0)</f>
        <v>United States</v>
      </c>
      <c r="I697" t="str">
        <f>INDEX(products!$A$1:$G$49, MATCH(orders!$D584,products!$A$1:$A631,0), MATCH(orders!I$1,products!$A$1:$G$1,0))</f>
        <v>Exc</v>
      </c>
      <c r="J697" t="str">
        <f>INDEX(products!$A$1:$G$49, MATCH(orders!$D584,products!$A$1:$A631,0), MATCH(orders!J$1,products!$A$1:$G$1,0))</f>
        <v>D</v>
      </c>
      <c r="K697" s="5">
        <f>INDEX(products!$A$1:$G$49, MATCH(orders!$D584,products!$A$1:$A631,0), MATCH(orders!K$1,products!$A$1:$G$1,0))</f>
        <v>1</v>
      </c>
      <c r="L697" s="6">
        <f>INDEX(products!$A$1:$G$49, MATCH(orders!$D584,products!$A$1:$A631,0), MATCH(orders!L$1,products!$A$1:$G$1,0))</f>
        <v>12.15</v>
      </c>
      <c r="M697" s="6">
        <f t="shared" si="30"/>
        <v>60.75</v>
      </c>
      <c r="N697" t="str">
        <f t="shared" si="31"/>
        <v>Excelsa</v>
      </c>
      <c r="O697" t="str">
        <f t="shared" si="32"/>
        <v>Dark</v>
      </c>
      <c r="P697" t="str">
        <f>_xlfn.XLOOKUP(Orders[[#This Row],[Customer ID]],customers!$A$1:$A$1001,customers!$I$1:$I$1001,,0)</f>
        <v>No</v>
      </c>
      <c r="Q697">
        <f>COUNTIF(Orders[Order ID],Orders[[#This Row],[Order ID]])</f>
        <v>1</v>
      </c>
      <c r="R697" s="10">
        <f>SUMIF(Orders[Order ID], Orders[[#This Row],[Order ID]],Orders[Sales])/Orders[[#This Row],[Order Frequency]]</f>
        <v>60.75</v>
      </c>
      <c r="S697" t="str">
        <f>IF(Orders[[#This Row],[Order Frequency]]&gt;4, "More than 4", IF(AND(Orders[[#This Row],[Order Frequency]]&lt;=4,Orders[[#This Row],[Order Frequency]]&gt;=2), "Between 4 and 2", "Less than 2"))</f>
        <v>Less than 2</v>
      </c>
      <c r="T697" t="str">
        <f>IF(Orders[[#This Row],[Frequency Group]]="less than 2", "Low Value", IF(Orders[[#This Row],[Frequency Group]]="between 4 and 2", "Medium Value", "High Value"))</f>
        <v>Low Value</v>
      </c>
      <c r="U697" t="str">
        <f>IF(Orders[[#This Row],[Sales]]&lt;50, "$0-50", IF(AND(Orders[[#This Row],[Sales]]&gt;=50,Orders[[#This Row],[Sales]]&lt;=100), "$50-100", IF(AND(Orders[[#This Row],[Sales]]&gt;100,Orders[[#This Row],[Sales]]&lt;=150), "$101-150", "$150+")))</f>
        <v>$50-100</v>
      </c>
      <c r="V697" t="str">
        <f>IF(Orders[[#This Row],[Sales]]&gt;MEDIAN(M:M), "High Price", "Low Price")</f>
        <v>High Price</v>
      </c>
      <c r="W697" t="str">
        <f>IF(Orders[[#This Row],[Quantity]]&gt;MEDIAN(E:E), "High Volume", "Low Volume")</f>
        <v>High Volume</v>
      </c>
      <c r="X697" t="str">
        <f>Orders[[#This Row],[Sales Tier]] &amp; "-" &amp; Orders[[#This Row],[Quantity Tier]]</f>
        <v>High Price-High Volume</v>
      </c>
      <c r="Y697" t="str">
        <f>TEXT(Orders[[#This Row],[Order Date]], "mmmm")</f>
        <v>July</v>
      </c>
      <c r="Z69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697" t="str">
        <f>Orders[[#This Row],[Coffee Type Name]] &amp; "-" &amp; Orders[[#This Row],[Roast Type Name]]</f>
        <v>Excelsa-Dark</v>
      </c>
      <c r="AB69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698" spans="1:28" x14ac:dyDescent="0.25">
      <c r="A698" s="2" t="s">
        <v>2357</v>
      </c>
      <c r="B698" s="4">
        <v>43989</v>
      </c>
      <c r="C698" s="2" t="s">
        <v>2358</v>
      </c>
      <c r="D698" t="s">
        <v>6151</v>
      </c>
      <c r="E698" s="2">
        <v>1</v>
      </c>
      <c r="F698" s="2" t="str">
        <f>_xlfn.XLOOKUP(C698,customers!$A$1:$A$1001,customers!$B$1:$B$1001,,0)</f>
        <v>Corine Drewett</v>
      </c>
      <c r="G698" s="2" t="str">
        <f>IF(_xlfn.XLOOKUP(C698,customers!$A$1:$A$1001,customers!$C$1:$C$1001,,0)=0,"",_xlfn.XLOOKUP(C698,customers!$A$1:$A$1001,customers!$C$1:$C$1001,,0))</f>
        <v>cdrewett97@wikipedia.org</v>
      </c>
      <c r="H698" s="2" t="str">
        <f>_xlfn.XLOOKUP(C698,customers!$A$1:$A$1001,customers!$G$1:$G$1001,,0)</f>
        <v>United States</v>
      </c>
      <c r="I698" t="str">
        <f>INDEX(products!$A$1:$G$49, MATCH(orders!$D333,products!$A$1:$A380,0), MATCH(orders!I$1,products!$A$1:$G$1,0))</f>
        <v>Rob</v>
      </c>
      <c r="J698" t="str">
        <f>INDEX(products!$A$1:$G$49, MATCH(orders!$D333,products!$A$1:$A380,0), MATCH(orders!J$1,products!$A$1:$G$1,0))</f>
        <v>M</v>
      </c>
      <c r="K698" s="5">
        <f>INDEX(products!$A$1:$G$49, MATCH(orders!$D333,products!$A$1:$A380,0), MATCH(orders!K$1,products!$A$1:$G$1,0))</f>
        <v>2.5</v>
      </c>
      <c r="L698" s="6">
        <f>INDEX(products!$A$1:$G$49, MATCH(orders!$D333,products!$A$1:$A380,0), MATCH(orders!L$1,products!$A$1:$G$1,0))</f>
        <v>22.884999999999998</v>
      </c>
      <c r="M698" s="6">
        <f t="shared" si="30"/>
        <v>22.884999999999998</v>
      </c>
      <c r="N698" t="str">
        <f t="shared" si="31"/>
        <v>Robusta</v>
      </c>
      <c r="O698" t="str">
        <f t="shared" si="32"/>
        <v>Medium</v>
      </c>
      <c r="P698" t="str">
        <f>_xlfn.XLOOKUP(Orders[[#This Row],[Customer ID]],customers!$A$1:$A$1001,customers!$I$1:$I$1001,,0)</f>
        <v>Yes</v>
      </c>
      <c r="Q698">
        <f>COUNTIF(Orders[Order ID],Orders[[#This Row],[Order ID]])</f>
        <v>1</v>
      </c>
      <c r="R698" s="10">
        <f>SUMIF(Orders[Order ID], Orders[[#This Row],[Order ID]],Orders[Sales])/Orders[[#This Row],[Order Frequency]]</f>
        <v>22.884999999999998</v>
      </c>
      <c r="S698" t="str">
        <f>IF(Orders[[#This Row],[Order Frequency]]&gt;4, "More than 4", IF(AND(Orders[[#This Row],[Order Frequency]]&lt;=4,Orders[[#This Row],[Order Frequency]]&gt;=2), "Between 4 and 2", "Less than 2"))</f>
        <v>Less than 2</v>
      </c>
      <c r="T698" t="str">
        <f>IF(Orders[[#This Row],[Frequency Group]]="less than 2", "Low Value", IF(Orders[[#This Row],[Frequency Group]]="between 4 and 2", "Medium Value", "High Value"))</f>
        <v>Low Value</v>
      </c>
      <c r="U698" t="str">
        <f>IF(Orders[[#This Row],[Sales]]&lt;50, "$0-50", IF(AND(Orders[[#This Row],[Sales]]&gt;=50,Orders[[#This Row],[Sales]]&lt;=100), "$50-100", IF(AND(Orders[[#This Row],[Sales]]&gt;100,Orders[[#This Row],[Sales]]&lt;=150), "$101-150", "$150+")))</f>
        <v>$0-50</v>
      </c>
      <c r="V698" t="str">
        <f>IF(Orders[[#This Row],[Sales]]&gt;MEDIAN(M:M), "High Price", "Low Price")</f>
        <v>Low Price</v>
      </c>
      <c r="W698" t="str">
        <f>IF(Orders[[#This Row],[Quantity]]&gt;MEDIAN(E:E), "High Volume", "Low Volume")</f>
        <v>Low Volume</v>
      </c>
      <c r="X698" t="str">
        <f>Orders[[#This Row],[Sales Tier]] &amp; "-" &amp; Orders[[#This Row],[Quantity Tier]]</f>
        <v>Low Price-Low Volume</v>
      </c>
      <c r="Y698" t="str">
        <f>TEXT(Orders[[#This Row],[Order Date]], "mmmm")</f>
        <v>June</v>
      </c>
      <c r="Z69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698" t="str">
        <f>Orders[[#This Row],[Coffee Type Name]] &amp; "-" &amp; Orders[[#This Row],[Roast Type Name]]</f>
        <v>Robusta-Medium</v>
      </c>
      <c r="AB69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699" spans="1:28" x14ac:dyDescent="0.25">
      <c r="A699" s="2" t="s">
        <v>4234</v>
      </c>
      <c r="B699" s="4">
        <v>43554</v>
      </c>
      <c r="C699" s="2" t="s">
        <v>4235</v>
      </c>
      <c r="D699" t="s">
        <v>6155</v>
      </c>
      <c r="E699" s="2">
        <v>6</v>
      </c>
      <c r="F699" s="2" t="str">
        <f>_xlfn.XLOOKUP(C699,customers!$A$1:$A$1001,customers!$B$1:$B$1001,,0)</f>
        <v>Corrie Wass</v>
      </c>
      <c r="G699" s="2" t="str">
        <f>IF(_xlfn.XLOOKUP(C699,customers!$A$1:$A$1001,customers!$C$1:$C$1001,,0)=0,"",_xlfn.XLOOKUP(C699,customers!$A$1:$A$1001,customers!$C$1:$C$1001,,0))</f>
        <v>cwassif@prweb.com</v>
      </c>
      <c r="H699" s="2" t="str">
        <f>_xlfn.XLOOKUP(C699,customers!$A$1:$A$1001,customers!$G$1:$G$1001,,0)</f>
        <v>United States</v>
      </c>
      <c r="I699" t="str">
        <f>INDEX(products!$A$1:$G$49, MATCH(orders!$D665,products!$A$1:$A712,0), MATCH(orders!I$1,products!$A$1:$G$1,0))</f>
        <v>Ara</v>
      </c>
      <c r="J699" t="str">
        <f>INDEX(products!$A$1:$G$49, MATCH(orders!$D665,products!$A$1:$A712,0), MATCH(orders!J$1,products!$A$1:$G$1,0))</f>
        <v>M</v>
      </c>
      <c r="K699" s="5">
        <f>INDEX(products!$A$1:$G$49, MATCH(orders!$D665,products!$A$1:$A712,0), MATCH(orders!K$1,products!$A$1:$G$1,0))</f>
        <v>1</v>
      </c>
      <c r="L699" s="6">
        <f>INDEX(products!$A$1:$G$49, MATCH(orders!$D665,products!$A$1:$A712,0), MATCH(orders!L$1,products!$A$1:$G$1,0))</f>
        <v>11.25</v>
      </c>
      <c r="M699" s="6">
        <f t="shared" si="30"/>
        <v>67.5</v>
      </c>
      <c r="N699" t="str">
        <f t="shared" si="31"/>
        <v>Arabica</v>
      </c>
      <c r="O699" t="str">
        <f t="shared" si="32"/>
        <v>Medium</v>
      </c>
      <c r="P699" t="str">
        <f>_xlfn.XLOOKUP(Orders[[#This Row],[Customer ID]],customers!$A$1:$A$1001,customers!$I$1:$I$1001,,0)</f>
        <v>No</v>
      </c>
      <c r="Q699">
        <f>COUNTIF(Orders[Order ID],Orders[[#This Row],[Order ID]])</f>
        <v>1</v>
      </c>
      <c r="R699" s="10">
        <f>SUMIF(Orders[Order ID], Orders[[#This Row],[Order ID]],Orders[Sales])/Orders[[#This Row],[Order Frequency]]</f>
        <v>67.5</v>
      </c>
      <c r="S699" t="str">
        <f>IF(Orders[[#This Row],[Order Frequency]]&gt;4, "More than 4", IF(AND(Orders[[#This Row],[Order Frequency]]&lt;=4,Orders[[#This Row],[Order Frequency]]&gt;=2), "Between 4 and 2", "Less than 2"))</f>
        <v>Less than 2</v>
      </c>
      <c r="T699" t="str">
        <f>IF(Orders[[#This Row],[Frequency Group]]="less than 2", "Low Value", IF(Orders[[#This Row],[Frequency Group]]="between 4 and 2", "Medium Value", "High Value"))</f>
        <v>Low Value</v>
      </c>
      <c r="U699" t="str">
        <f>IF(Orders[[#This Row],[Sales]]&lt;50, "$0-50", IF(AND(Orders[[#This Row],[Sales]]&gt;=50,Orders[[#This Row],[Sales]]&lt;=100), "$50-100", IF(AND(Orders[[#This Row],[Sales]]&gt;100,Orders[[#This Row],[Sales]]&lt;=150), "$101-150", "$150+")))</f>
        <v>$50-100</v>
      </c>
      <c r="V699" t="str">
        <f>IF(Orders[[#This Row],[Sales]]&gt;MEDIAN(M:M), "High Price", "Low Price")</f>
        <v>High Price</v>
      </c>
      <c r="W699" t="str">
        <f>IF(Orders[[#This Row],[Quantity]]&gt;MEDIAN(E:E), "High Volume", "Low Volume")</f>
        <v>High Volume</v>
      </c>
      <c r="X699" t="str">
        <f>Orders[[#This Row],[Sales Tier]] &amp; "-" &amp; Orders[[#This Row],[Quantity Tier]]</f>
        <v>High Price-High Volume</v>
      </c>
      <c r="Y699" t="str">
        <f>TEXT(Orders[[#This Row],[Order Date]], "mmmm")</f>
        <v>March</v>
      </c>
      <c r="Z69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699" t="str">
        <f>Orders[[#This Row],[Coffee Type Name]] &amp; "-" &amp; Orders[[#This Row],[Roast Type Name]]</f>
        <v>Arabica-Medium</v>
      </c>
      <c r="AB69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700" spans="1:28" x14ac:dyDescent="0.25">
      <c r="A700" s="2" t="s">
        <v>5861</v>
      </c>
      <c r="B700" s="4">
        <v>44703</v>
      </c>
      <c r="C700" s="2" t="s">
        <v>5862</v>
      </c>
      <c r="D700" t="s">
        <v>6178</v>
      </c>
      <c r="E700" s="2">
        <v>4</v>
      </c>
      <c r="F700" s="2" t="str">
        <f>_xlfn.XLOOKUP(C700,customers!$A$1:$A$1001,customers!$B$1:$B$1001,,0)</f>
        <v>Johnath Fairebrother</v>
      </c>
      <c r="G700" s="2" t="str">
        <f>IF(_xlfn.XLOOKUP(C700,customers!$A$1:$A$1001,customers!$C$1:$C$1001,,0)=0,"",_xlfn.XLOOKUP(C700,customers!$A$1:$A$1001,customers!$C$1:$C$1001,,0))</f>
        <v/>
      </c>
      <c r="H700" s="2" t="str">
        <f>_xlfn.XLOOKUP(C700,customers!$A$1:$A$1001,customers!$G$1:$G$1001,,0)</f>
        <v>United States</v>
      </c>
      <c r="I700" t="str">
        <f>INDEX(products!$A$1:$G$49, MATCH(orders!$D952,products!$A$1:$A999,0), MATCH(orders!I$1,products!$A$1:$G$1,0))</f>
        <v>Rob</v>
      </c>
      <c r="J700" t="str">
        <f>INDEX(products!$A$1:$G$49, MATCH(orders!$D952,products!$A$1:$A999,0), MATCH(orders!J$1,products!$A$1:$G$1,0))</f>
        <v>L</v>
      </c>
      <c r="K700" s="5">
        <f>INDEX(products!$A$1:$G$49, MATCH(orders!$D952,products!$A$1:$A999,0), MATCH(orders!K$1,products!$A$1:$G$1,0))</f>
        <v>0.2</v>
      </c>
      <c r="L700" s="6">
        <f>INDEX(products!$A$1:$G$49, MATCH(orders!$D952,products!$A$1:$A999,0), MATCH(orders!L$1,products!$A$1:$G$1,0))</f>
        <v>3.5849999999999995</v>
      </c>
      <c r="M700" s="6">
        <f t="shared" si="30"/>
        <v>14.339999999999998</v>
      </c>
      <c r="N700" t="str">
        <f t="shared" si="31"/>
        <v>Robusta</v>
      </c>
      <c r="O700" t="str">
        <f t="shared" si="32"/>
        <v>Light</v>
      </c>
      <c r="P700" t="str">
        <f>_xlfn.XLOOKUP(Orders[[#This Row],[Customer ID]],customers!$A$1:$A$1001,customers!$I$1:$I$1001,,0)</f>
        <v>Yes</v>
      </c>
      <c r="Q700">
        <f>COUNTIF(Orders[Order ID],Orders[[#This Row],[Order ID]])</f>
        <v>1</v>
      </c>
      <c r="R700" s="10">
        <f>SUMIF(Orders[Order ID], Orders[[#This Row],[Order ID]],Orders[Sales])/Orders[[#This Row],[Order Frequency]]</f>
        <v>14.339999999999998</v>
      </c>
      <c r="S700" t="str">
        <f>IF(Orders[[#This Row],[Order Frequency]]&gt;4, "More than 4", IF(AND(Orders[[#This Row],[Order Frequency]]&lt;=4,Orders[[#This Row],[Order Frequency]]&gt;=2), "Between 4 and 2", "Less than 2"))</f>
        <v>Less than 2</v>
      </c>
      <c r="T700" t="str">
        <f>IF(Orders[[#This Row],[Frequency Group]]="less than 2", "Low Value", IF(Orders[[#This Row],[Frequency Group]]="between 4 and 2", "Medium Value", "High Value"))</f>
        <v>Low Value</v>
      </c>
      <c r="U700" t="str">
        <f>IF(Orders[[#This Row],[Sales]]&lt;50, "$0-50", IF(AND(Orders[[#This Row],[Sales]]&gt;=50,Orders[[#This Row],[Sales]]&lt;=100), "$50-100", IF(AND(Orders[[#This Row],[Sales]]&gt;100,Orders[[#This Row],[Sales]]&lt;=150), "$101-150", "$150+")))</f>
        <v>$0-50</v>
      </c>
      <c r="V700" t="str">
        <f>IF(Orders[[#This Row],[Sales]]&gt;MEDIAN(M:M), "High Price", "Low Price")</f>
        <v>Low Price</v>
      </c>
      <c r="W700" t="str">
        <f>IF(Orders[[#This Row],[Quantity]]&gt;MEDIAN(E:E), "High Volume", "Low Volume")</f>
        <v>Low Volume</v>
      </c>
      <c r="X700" t="str">
        <f>Orders[[#This Row],[Sales Tier]] &amp; "-" &amp; Orders[[#This Row],[Quantity Tier]]</f>
        <v>Low Price-Low Volume</v>
      </c>
      <c r="Y700" t="str">
        <f>TEXT(Orders[[#This Row],[Order Date]], "mmmm")</f>
        <v>May</v>
      </c>
      <c r="Z70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700" t="str">
        <f>Orders[[#This Row],[Coffee Type Name]] &amp; "-" &amp; Orders[[#This Row],[Roast Type Name]]</f>
        <v>Robusta-Light</v>
      </c>
      <c r="AB70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701" spans="1:28" x14ac:dyDescent="0.25">
      <c r="A701" s="2" t="s">
        <v>2157</v>
      </c>
      <c r="B701" s="4">
        <v>43597</v>
      </c>
      <c r="C701" s="2" t="s">
        <v>2158</v>
      </c>
      <c r="D701" t="s">
        <v>6146</v>
      </c>
      <c r="E701" s="2">
        <v>6</v>
      </c>
      <c r="F701" s="2" t="str">
        <f>_xlfn.XLOOKUP(C701,customers!$A$1:$A$1001,customers!$B$1:$B$1001,,0)</f>
        <v>Dorian Vizor</v>
      </c>
      <c r="G701" s="2" t="str">
        <f>IF(_xlfn.XLOOKUP(C701,customers!$A$1:$A$1001,customers!$C$1:$C$1001,,0)=0,"",_xlfn.XLOOKUP(C701,customers!$A$1:$A$1001,customers!$C$1:$C$1001,,0))</f>
        <v>dvizor88@furl.net</v>
      </c>
      <c r="H701" s="2" t="str">
        <f>_xlfn.XLOOKUP(C701,customers!$A$1:$A$1001,customers!$G$1:$G$1001,,0)</f>
        <v>United States</v>
      </c>
      <c r="I701" t="str">
        <f>INDEX(products!$A$1:$G$49, MATCH(orders!$D298,products!$A$1:$A345,0), MATCH(orders!I$1,products!$A$1:$G$1,0))</f>
        <v>Rob</v>
      </c>
      <c r="J701" t="str">
        <f>INDEX(products!$A$1:$G$49, MATCH(orders!$D298,products!$A$1:$A345,0), MATCH(orders!J$1,products!$A$1:$G$1,0))</f>
        <v>M</v>
      </c>
      <c r="K701" s="5">
        <f>INDEX(products!$A$1:$G$49, MATCH(orders!$D298,products!$A$1:$A345,0), MATCH(orders!K$1,products!$A$1:$G$1,0))</f>
        <v>0.5</v>
      </c>
      <c r="L701" s="6">
        <f>INDEX(products!$A$1:$G$49, MATCH(orders!$D298,products!$A$1:$A345,0), MATCH(orders!L$1,products!$A$1:$G$1,0))</f>
        <v>5.97</v>
      </c>
      <c r="M701" s="6">
        <f t="shared" si="30"/>
        <v>35.82</v>
      </c>
      <c r="N701" t="str">
        <f t="shared" si="31"/>
        <v>Robusta</v>
      </c>
      <c r="O701" t="str">
        <f t="shared" si="32"/>
        <v>Medium</v>
      </c>
      <c r="P701" t="str">
        <f>_xlfn.XLOOKUP(Orders[[#This Row],[Customer ID]],customers!$A$1:$A$1001,customers!$I$1:$I$1001,,0)</f>
        <v>Yes</v>
      </c>
      <c r="Q701">
        <f>COUNTIF(Orders[Order ID],Orders[[#This Row],[Order ID]])</f>
        <v>1</v>
      </c>
      <c r="R701" s="10">
        <f>SUMIF(Orders[Order ID], Orders[[#This Row],[Order ID]],Orders[Sales])/Orders[[#This Row],[Order Frequency]]</f>
        <v>35.82</v>
      </c>
      <c r="S701" t="str">
        <f>IF(Orders[[#This Row],[Order Frequency]]&gt;4, "More than 4", IF(AND(Orders[[#This Row],[Order Frequency]]&lt;=4,Orders[[#This Row],[Order Frequency]]&gt;=2), "Between 4 and 2", "Less than 2"))</f>
        <v>Less than 2</v>
      </c>
      <c r="T701" t="str">
        <f>IF(Orders[[#This Row],[Frequency Group]]="less than 2", "Low Value", IF(Orders[[#This Row],[Frequency Group]]="between 4 and 2", "Medium Value", "High Value"))</f>
        <v>Low Value</v>
      </c>
      <c r="U701" t="str">
        <f>IF(Orders[[#This Row],[Sales]]&lt;50, "$0-50", IF(AND(Orders[[#This Row],[Sales]]&gt;=50,Orders[[#This Row],[Sales]]&lt;=100), "$50-100", IF(AND(Orders[[#This Row],[Sales]]&gt;100,Orders[[#This Row],[Sales]]&lt;=150), "$101-150", "$150+")))</f>
        <v>$0-50</v>
      </c>
      <c r="V701" t="str">
        <f>IF(Orders[[#This Row],[Sales]]&gt;MEDIAN(M:M), "High Price", "Low Price")</f>
        <v>High Price</v>
      </c>
      <c r="W701" t="str">
        <f>IF(Orders[[#This Row],[Quantity]]&gt;MEDIAN(E:E), "High Volume", "Low Volume")</f>
        <v>High Volume</v>
      </c>
      <c r="X701" t="str">
        <f>Orders[[#This Row],[Sales Tier]] &amp; "-" &amp; Orders[[#This Row],[Quantity Tier]]</f>
        <v>High Price-High Volume</v>
      </c>
      <c r="Y701" t="str">
        <f>TEXT(Orders[[#This Row],[Order Date]], "mmmm")</f>
        <v>May</v>
      </c>
      <c r="Z70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701" t="str">
        <f>Orders[[#This Row],[Coffee Type Name]] &amp; "-" &amp; Orders[[#This Row],[Roast Type Name]]</f>
        <v>Robusta-Medium</v>
      </c>
      <c r="AB70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702" spans="1:28" x14ac:dyDescent="0.25">
      <c r="A702" s="2" t="s">
        <v>4682</v>
      </c>
      <c r="B702" s="4">
        <v>44133</v>
      </c>
      <c r="C702" s="2" t="s">
        <v>4683</v>
      </c>
      <c r="D702" t="s">
        <v>6162</v>
      </c>
      <c r="E702" s="2">
        <v>4</v>
      </c>
      <c r="F702" s="2" t="str">
        <f>_xlfn.XLOOKUP(C702,customers!$A$1:$A$1001,customers!$B$1:$B$1001,,0)</f>
        <v>Reese Lidgey</v>
      </c>
      <c r="G702" s="2" t="str">
        <f>IF(_xlfn.XLOOKUP(C702,customers!$A$1:$A$1001,customers!$C$1:$C$1001,,0)=0,"",_xlfn.XLOOKUP(C702,customers!$A$1:$A$1001,customers!$C$1:$C$1001,,0))</f>
        <v>rlidgeykm@vimeo.com</v>
      </c>
      <c r="H702" s="2" t="str">
        <f>_xlfn.XLOOKUP(C702,customers!$A$1:$A$1001,customers!$G$1:$G$1001,,0)</f>
        <v>United States</v>
      </c>
      <c r="I702" t="str">
        <f>INDEX(products!$A$1:$G$49, MATCH(orders!$D744,products!$A$1:$A791,0), MATCH(orders!I$1,products!$A$1:$G$1,0))</f>
        <v>Lib</v>
      </c>
      <c r="J702" t="str">
        <f>INDEX(products!$A$1:$G$49, MATCH(orders!$D744,products!$A$1:$A791,0), MATCH(orders!J$1,products!$A$1:$G$1,0))</f>
        <v>M</v>
      </c>
      <c r="K702" s="5">
        <f>INDEX(products!$A$1:$G$49, MATCH(orders!$D744,products!$A$1:$A791,0), MATCH(orders!K$1,products!$A$1:$G$1,0))</f>
        <v>1</v>
      </c>
      <c r="L702" s="6">
        <f>INDEX(products!$A$1:$G$49, MATCH(orders!$D744,products!$A$1:$A791,0), MATCH(orders!L$1,products!$A$1:$G$1,0))</f>
        <v>14.55</v>
      </c>
      <c r="M702" s="6">
        <f t="shared" si="30"/>
        <v>58.2</v>
      </c>
      <c r="N702" t="str">
        <f t="shared" si="31"/>
        <v>Liberica</v>
      </c>
      <c r="O702" t="str">
        <f t="shared" si="32"/>
        <v>Medium</v>
      </c>
      <c r="P702" t="str">
        <f>_xlfn.XLOOKUP(Orders[[#This Row],[Customer ID]],customers!$A$1:$A$1001,customers!$I$1:$I$1001,,0)</f>
        <v>No</v>
      </c>
      <c r="Q702">
        <f>COUNTIF(Orders[Order ID],Orders[[#This Row],[Order ID]])</f>
        <v>1</v>
      </c>
      <c r="R702" s="10">
        <f>SUMIF(Orders[Order ID], Orders[[#This Row],[Order ID]],Orders[Sales])/Orders[[#This Row],[Order Frequency]]</f>
        <v>58.2</v>
      </c>
      <c r="S702" t="str">
        <f>IF(Orders[[#This Row],[Order Frequency]]&gt;4, "More than 4", IF(AND(Orders[[#This Row],[Order Frequency]]&lt;=4,Orders[[#This Row],[Order Frequency]]&gt;=2), "Between 4 and 2", "Less than 2"))</f>
        <v>Less than 2</v>
      </c>
      <c r="T702" t="str">
        <f>IF(Orders[[#This Row],[Frequency Group]]="less than 2", "Low Value", IF(Orders[[#This Row],[Frequency Group]]="between 4 and 2", "Medium Value", "High Value"))</f>
        <v>Low Value</v>
      </c>
      <c r="U702" t="str">
        <f>IF(Orders[[#This Row],[Sales]]&lt;50, "$0-50", IF(AND(Orders[[#This Row],[Sales]]&gt;=50,Orders[[#This Row],[Sales]]&lt;=100), "$50-100", IF(AND(Orders[[#This Row],[Sales]]&gt;100,Orders[[#This Row],[Sales]]&lt;=150), "$101-150", "$150+")))</f>
        <v>$50-100</v>
      </c>
      <c r="V702" t="str">
        <f>IF(Orders[[#This Row],[Sales]]&gt;MEDIAN(M:M), "High Price", "Low Price")</f>
        <v>High Price</v>
      </c>
      <c r="W702" t="str">
        <f>IF(Orders[[#This Row],[Quantity]]&gt;MEDIAN(E:E), "High Volume", "Low Volume")</f>
        <v>Low Volume</v>
      </c>
      <c r="X702" t="str">
        <f>Orders[[#This Row],[Sales Tier]] &amp; "-" &amp; Orders[[#This Row],[Quantity Tier]]</f>
        <v>High Price-Low Volume</v>
      </c>
      <c r="Y702" t="str">
        <f>TEXT(Orders[[#This Row],[Order Date]], "mmmm")</f>
        <v>October</v>
      </c>
      <c r="Z70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702" t="str">
        <f>Orders[[#This Row],[Coffee Type Name]] &amp; "-" &amp; Orders[[#This Row],[Roast Type Name]]</f>
        <v>Liberica-Medium</v>
      </c>
      <c r="AB70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703" spans="1:28" x14ac:dyDescent="0.25">
      <c r="A703" s="2" t="s">
        <v>1934</v>
      </c>
      <c r="B703" s="4">
        <v>43846</v>
      </c>
      <c r="C703" s="2" t="s">
        <v>1935</v>
      </c>
      <c r="D703" t="s">
        <v>6160</v>
      </c>
      <c r="E703" s="2">
        <v>2</v>
      </c>
      <c r="F703" s="2" t="str">
        <f>_xlfn.XLOOKUP(C703,customers!$A$1:$A$1001,customers!$B$1:$B$1001,,0)</f>
        <v>Zacharias Kiffe</v>
      </c>
      <c r="G703" s="2" t="str">
        <f>IF(_xlfn.XLOOKUP(C703,customers!$A$1:$A$1001,customers!$C$1:$C$1001,,0)=0,"",_xlfn.XLOOKUP(C703,customers!$A$1:$A$1001,customers!$C$1:$C$1001,,0))</f>
        <v>zkiffe74@cyberchimps.com</v>
      </c>
      <c r="H703" s="2" t="str">
        <f>_xlfn.XLOOKUP(C703,customers!$A$1:$A$1001,customers!$G$1:$G$1001,,0)</f>
        <v>United States</v>
      </c>
      <c r="I703" t="str">
        <f>INDEX(products!$A$1:$G$49, MATCH(orders!$D258,products!$A$1:$A305,0), MATCH(orders!I$1,products!$A$1:$G$1,0))</f>
        <v>Lib</v>
      </c>
      <c r="J703" t="str">
        <f>INDEX(products!$A$1:$G$49, MATCH(orders!$D258,products!$A$1:$A305,0), MATCH(orders!J$1,products!$A$1:$G$1,0))</f>
        <v>M</v>
      </c>
      <c r="K703" s="5">
        <f>INDEX(products!$A$1:$G$49, MATCH(orders!$D258,products!$A$1:$A305,0), MATCH(orders!K$1,products!$A$1:$G$1,0))</f>
        <v>0.5</v>
      </c>
      <c r="L703" s="6">
        <f>INDEX(products!$A$1:$G$49, MATCH(orders!$D258,products!$A$1:$A305,0), MATCH(orders!L$1,products!$A$1:$G$1,0))</f>
        <v>8.73</v>
      </c>
      <c r="M703" s="6">
        <f t="shared" si="30"/>
        <v>17.46</v>
      </c>
      <c r="N703" t="str">
        <f t="shared" si="31"/>
        <v>Liberica</v>
      </c>
      <c r="O703" t="str">
        <f t="shared" si="32"/>
        <v>Medium</v>
      </c>
      <c r="P703" t="str">
        <f>_xlfn.XLOOKUP(Orders[[#This Row],[Customer ID]],customers!$A$1:$A$1001,customers!$I$1:$I$1001,,0)</f>
        <v>Yes</v>
      </c>
      <c r="Q703">
        <f>COUNTIF(Orders[Order ID],Orders[[#This Row],[Order ID]])</f>
        <v>1</v>
      </c>
      <c r="R703" s="10">
        <f>SUMIF(Orders[Order ID], Orders[[#This Row],[Order ID]],Orders[Sales])/Orders[[#This Row],[Order Frequency]]</f>
        <v>17.46</v>
      </c>
      <c r="S703" t="str">
        <f>IF(Orders[[#This Row],[Order Frequency]]&gt;4, "More than 4", IF(AND(Orders[[#This Row],[Order Frequency]]&lt;=4,Orders[[#This Row],[Order Frequency]]&gt;=2), "Between 4 and 2", "Less than 2"))</f>
        <v>Less than 2</v>
      </c>
      <c r="T703" t="str">
        <f>IF(Orders[[#This Row],[Frequency Group]]="less than 2", "Low Value", IF(Orders[[#This Row],[Frequency Group]]="between 4 and 2", "Medium Value", "High Value"))</f>
        <v>Low Value</v>
      </c>
      <c r="U703" t="str">
        <f>IF(Orders[[#This Row],[Sales]]&lt;50, "$0-50", IF(AND(Orders[[#This Row],[Sales]]&gt;=50,Orders[[#This Row],[Sales]]&lt;=100), "$50-100", IF(AND(Orders[[#This Row],[Sales]]&gt;100,Orders[[#This Row],[Sales]]&lt;=150), "$101-150", "$150+")))</f>
        <v>$0-50</v>
      </c>
      <c r="V703" t="str">
        <f>IF(Orders[[#This Row],[Sales]]&gt;MEDIAN(M:M), "High Price", "Low Price")</f>
        <v>Low Price</v>
      </c>
      <c r="W703" t="str">
        <f>IF(Orders[[#This Row],[Quantity]]&gt;MEDIAN(E:E), "High Volume", "Low Volume")</f>
        <v>Low Volume</v>
      </c>
      <c r="X703" t="str">
        <f>Orders[[#This Row],[Sales Tier]] &amp; "-" &amp; Orders[[#This Row],[Quantity Tier]]</f>
        <v>Low Price-Low Volume</v>
      </c>
      <c r="Y703" t="str">
        <f>TEXT(Orders[[#This Row],[Order Date]], "mmmm")</f>
        <v>January</v>
      </c>
      <c r="Z70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03" t="str">
        <f>Orders[[#This Row],[Coffee Type Name]] &amp; "-" &amp; Orders[[#This Row],[Roast Type Name]]</f>
        <v>Liberica-Medium</v>
      </c>
      <c r="AB70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704" spans="1:28" x14ac:dyDescent="0.25">
      <c r="A704" s="2" t="s">
        <v>3343</v>
      </c>
      <c r="B704" s="4">
        <v>44609</v>
      </c>
      <c r="C704" s="2" t="s">
        <v>3344</v>
      </c>
      <c r="D704" t="s">
        <v>6159</v>
      </c>
      <c r="E704" s="2">
        <v>6</v>
      </c>
      <c r="F704" s="2" t="str">
        <f>_xlfn.XLOOKUP(C704,customers!$A$1:$A$1001,customers!$B$1:$B$1001,,0)</f>
        <v>Wain Stearley</v>
      </c>
      <c r="G704" s="2" t="str">
        <f>IF(_xlfn.XLOOKUP(C704,customers!$A$1:$A$1001,customers!$C$1:$C$1001,,0)=0,"",_xlfn.XLOOKUP(C704,customers!$A$1:$A$1001,customers!$C$1:$C$1001,,0))</f>
        <v>wstearleye1@census.gov</v>
      </c>
      <c r="H704" s="2" t="str">
        <f>_xlfn.XLOOKUP(C704,customers!$A$1:$A$1001,customers!$G$1:$G$1001,,0)</f>
        <v>United States</v>
      </c>
      <c r="I704" t="str">
        <f>INDEX(products!$A$1:$G$49, MATCH(orders!$D507,products!$A$1:$A554,0), MATCH(orders!I$1,products!$A$1:$G$1,0))</f>
        <v>Lib</v>
      </c>
      <c r="J704" t="str">
        <f>INDEX(products!$A$1:$G$49, MATCH(orders!$D507,products!$A$1:$A554,0), MATCH(orders!J$1,products!$A$1:$G$1,0))</f>
        <v>M</v>
      </c>
      <c r="K704" s="5">
        <f>INDEX(products!$A$1:$G$49, MATCH(orders!$D507,products!$A$1:$A554,0), MATCH(orders!K$1,products!$A$1:$G$1,0))</f>
        <v>0.2</v>
      </c>
      <c r="L704" s="6">
        <f>INDEX(products!$A$1:$G$49, MATCH(orders!$D507,products!$A$1:$A554,0), MATCH(orders!L$1,products!$A$1:$G$1,0))</f>
        <v>4.3650000000000002</v>
      </c>
      <c r="M704" s="6">
        <f t="shared" si="30"/>
        <v>26.19</v>
      </c>
      <c r="N704" t="str">
        <f t="shared" si="31"/>
        <v>Liberica</v>
      </c>
      <c r="O704" t="str">
        <f t="shared" si="32"/>
        <v>Medium</v>
      </c>
      <c r="P704" t="str">
        <f>_xlfn.XLOOKUP(Orders[[#This Row],[Customer ID]],customers!$A$1:$A$1001,customers!$I$1:$I$1001,,0)</f>
        <v>No</v>
      </c>
      <c r="Q704">
        <f>COUNTIF(Orders[Order ID],Orders[[#This Row],[Order ID]])</f>
        <v>1</v>
      </c>
      <c r="R704" s="10">
        <f>SUMIF(Orders[Order ID], Orders[[#This Row],[Order ID]],Orders[Sales])/Orders[[#This Row],[Order Frequency]]</f>
        <v>26.19</v>
      </c>
      <c r="S704" t="str">
        <f>IF(Orders[[#This Row],[Order Frequency]]&gt;4, "More than 4", IF(AND(Orders[[#This Row],[Order Frequency]]&lt;=4,Orders[[#This Row],[Order Frequency]]&gt;=2), "Between 4 and 2", "Less than 2"))</f>
        <v>Less than 2</v>
      </c>
      <c r="T704" t="str">
        <f>IF(Orders[[#This Row],[Frequency Group]]="less than 2", "Low Value", IF(Orders[[#This Row],[Frequency Group]]="between 4 and 2", "Medium Value", "High Value"))</f>
        <v>Low Value</v>
      </c>
      <c r="U704" t="str">
        <f>IF(Orders[[#This Row],[Sales]]&lt;50, "$0-50", IF(AND(Orders[[#This Row],[Sales]]&gt;=50,Orders[[#This Row],[Sales]]&lt;=100), "$50-100", IF(AND(Orders[[#This Row],[Sales]]&gt;100,Orders[[#This Row],[Sales]]&lt;=150), "$101-150", "$150+")))</f>
        <v>$0-50</v>
      </c>
      <c r="V704" t="str">
        <f>IF(Orders[[#This Row],[Sales]]&gt;MEDIAN(M:M), "High Price", "Low Price")</f>
        <v>Low Price</v>
      </c>
      <c r="W704" t="str">
        <f>IF(Orders[[#This Row],[Quantity]]&gt;MEDIAN(E:E), "High Volume", "Low Volume")</f>
        <v>High Volume</v>
      </c>
      <c r="X704" t="str">
        <f>Orders[[#This Row],[Sales Tier]] &amp; "-" &amp; Orders[[#This Row],[Quantity Tier]]</f>
        <v>Low Price-High Volume</v>
      </c>
      <c r="Y704" t="str">
        <f>TEXT(Orders[[#This Row],[Order Date]], "mmmm")</f>
        <v>February</v>
      </c>
      <c r="Z70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04" t="str">
        <f>Orders[[#This Row],[Coffee Type Name]] &amp; "-" &amp; Orders[[#This Row],[Roast Type Name]]</f>
        <v>Liberica-Medium</v>
      </c>
      <c r="AB70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705" spans="1:28" x14ac:dyDescent="0.25">
      <c r="A705" s="2" t="s">
        <v>2554</v>
      </c>
      <c r="B705" s="4">
        <v>43874</v>
      </c>
      <c r="C705" s="2" t="s">
        <v>2555</v>
      </c>
      <c r="D705" t="s">
        <v>6144</v>
      </c>
      <c r="E705" s="2">
        <v>6</v>
      </c>
      <c r="F705" s="2" t="str">
        <f>_xlfn.XLOOKUP(C705,customers!$A$1:$A$1001,customers!$B$1:$B$1001,,0)</f>
        <v>Saree Ellesworth</v>
      </c>
      <c r="G705" s="2" t="str">
        <f>IF(_xlfn.XLOOKUP(C705,customers!$A$1:$A$1001,customers!$C$1:$C$1001,,0)=0,"",_xlfn.XLOOKUP(C705,customers!$A$1:$A$1001,customers!$C$1:$C$1001,,0))</f>
        <v/>
      </c>
      <c r="H705" s="2" t="str">
        <f>_xlfn.XLOOKUP(C705,customers!$A$1:$A$1001,customers!$G$1:$G$1001,,0)</f>
        <v>United States</v>
      </c>
      <c r="I705" t="str">
        <f>INDEX(products!$A$1:$G$49, MATCH(orders!$D368,products!$A$1:$A415,0), MATCH(orders!I$1,products!$A$1:$G$1,0))</f>
        <v>Exc</v>
      </c>
      <c r="J705" t="str">
        <f>INDEX(products!$A$1:$G$49, MATCH(orders!$D368,products!$A$1:$A415,0), MATCH(orders!J$1,products!$A$1:$G$1,0))</f>
        <v>D</v>
      </c>
      <c r="K705" s="5">
        <f>INDEX(products!$A$1:$G$49, MATCH(orders!$D368,products!$A$1:$A415,0), MATCH(orders!K$1,products!$A$1:$G$1,0))</f>
        <v>0.5</v>
      </c>
      <c r="L705" s="6">
        <f>INDEX(products!$A$1:$G$49, MATCH(orders!$D368,products!$A$1:$A415,0), MATCH(orders!L$1,products!$A$1:$G$1,0))</f>
        <v>7.29</v>
      </c>
      <c r="M705" s="6">
        <f t="shared" si="30"/>
        <v>43.74</v>
      </c>
      <c r="N705" t="str">
        <f t="shared" si="31"/>
        <v>Excelsa</v>
      </c>
      <c r="O705" t="str">
        <f t="shared" si="32"/>
        <v>Dark</v>
      </c>
      <c r="P705" t="str">
        <f>_xlfn.XLOOKUP(Orders[[#This Row],[Customer ID]],customers!$A$1:$A$1001,customers!$I$1:$I$1001,,0)</f>
        <v>No</v>
      </c>
      <c r="Q705">
        <f>COUNTIF(Orders[Order ID],Orders[[#This Row],[Order ID]])</f>
        <v>1</v>
      </c>
      <c r="R705" s="10">
        <f>SUMIF(Orders[Order ID], Orders[[#This Row],[Order ID]],Orders[Sales])/Orders[[#This Row],[Order Frequency]]</f>
        <v>43.74</v>
      </c>
      <c r="S705" t="str">
        <f>IF(Orders[[#This Row],[Order Frequency]]&gt;4, "More than 4", IF(AND(Orders[[#This Row],[Order Frequency]]&lt;=4,Orders[[#This Row],[Order Frequency]]&gt;=2), "Between 4 and 2", "Less than 2"))</f>
        <v>Less than 2</v>
      </c>
      <c r="T705" t="str">
        <f>IF(Orders[[#This Row],[Frequency Group]]="less than 2", "Low Value", IF(Orders[[#This Row],[Frequency Group]]="between 4 and 2", "Medium Value", "High Value"))</f>
        <v>Low Value</v>
      </c>
      <c r="U705" t="str">
        <f>IF(Orders[[#This Row],[Sales]]&lt;50, "$0-50", IF(AND(Orders[[#This Row],[Sales]]&gt;=50,Orders[[#This Row],[Sales]]&lt;=100), "$50-100", IF(AND(Orders[[#This Row],[Sales]]&gt;100,Orders[[#This Row],[Sales]]&lt;=150), "$101-150", "$150+")))</f>
        <v>$0-50</v>
      </c>
      <c r="V705" t="str">
        <f>IF(Orders[[#This Row],[Sales]]&gt;MEDIAN(M:M), "High Price", "Low Price")</f>
        <v>High Price</v>
      </c>
      <c r="W705" t="str">
        <f>IF(Orders[[#This Row],[Quantity]]&gt;MEDIAN(E:E), "High Volume", "Low Volume")</f>
        <v>High Volume</v>
      </c>
      <c r="X705" t="str">
        <f>Orders[[#This Row],[Sales Tier]] &amp; "-" &amp; Orders[[#This Row],[Quantity Tier]]</f>
        <v>High Price-High Volume</v>
      </c>
      <c r="Y705" t="str">
        <f>TEXT(Orders[[#This Row],[Order Date]], "mmmm")</f>
        <v>February</v>
      </c>
      <c r="Z70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05" t="str">
        <f>Orders[[#This Row],[Coffee Type Name]] &amp; "-" &amp; Orders[[#This Row],[Roast Type Name]]</f>
        <v>Excelsa-Dark</v>
      </c>
      <c r="AB70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706" spans="1:28" x14ac:dyDescent="0.25">
      <c r="A706" s="2" t="s">
        <v>4631</v>
      </c>
      <c r="B706" s="4">
        <v>44565</v>
      </c>
      <c r="C706" s="2" t="s">
        <v>4632</v>
      </c>
      <c r="D706" t="s">
        <v>6181</v>
      </c>
      <c r="E706" s="2">
        <v>3</v>
      </c>
      <c r="F706" s="2" t="str">
        <f>_xlfn.XLOOKUP(C706,customers!$A$1:$A$1001,customers!$B$1:$B$1001,,0)</f>
        <v>Glory Clemon</v>
      </c>
      <c r="G706" s="2" t="str">
        <f>IF(_xlfn.XLOOKUP(C706,customers!$A$1:$A$1001,customers!$C$1:$C$1001,,0)=0,"",_xlfn.XLOOKUP(C706,customers!$A$1:$A$1001,customers!$C$1:$C$1001,,0))</f>
        <v>gclemonkd@networksolutions.com</v>
      </c>
      <c r="H706" s="2" t="str">
        <f>_xlfn.XLOOKUP(C706,customers!$A$1:$A$1001,customers!$G$1:$G$1001,,0)</f>
        <v>United States</v>
      </c>
      <c r="I706" t="str">
        <f>INDEX(products!$A$1:$G$49, MATCH(orders!$D735,products!$A$1:$A782,0), MATCH(orders!I$1,products!$A$1:$G$1,0))</f>
        <v>Lib</v>
      </c>
      <c r="J706" t="str">
        <f>INDEX(products!$A$1:$G$49, MATCH(orders!$D735,products!$A$1:$A782,0), MATCH(orders!J$1,products!$A$1:$G$1,0))</f>
        <v>M</v>
      </c>
      <c r="K706" s="5">
        <f>INDEX(products!$A$1:$G$49, MATCH(orders!$D735,products!$A$1:$A782,0), MATCH(orders!K$1,products!$A$1:$G$1,0))</f>
        <v>2.5</v>
      </c>
      <c r="L706" s="6">
        <f>INDEX(products!$A$1:$G$49, MATCH(orders!$D735,products!$A$1:$A782,0), MATCH(orders!L$1,products!$A$1:$G$1,0))</f>
        <v>33.464999999999996</v>
      </c>
      <c r="M706" s="6">
        <f t="shared" ref="M706:M769" si="33">L706*E706</f>
        <v>100.39499999999998</v>
      </c>
      <c r="N706" t="str">
        <f t="shared" ref="N706:N769" si="34">IF(I706="Rob", "Robusta", IF(I706="Exc", "Excelsa", IF(I706="Ara","Arabica", IF(I706="Lib", "Liberica",""))))</f>
        <v>Liberica</v>
      </c>
      <c r="O706" t="str">
        <f t="shared" ref="O706:O769" si="35">IF(J706="M", "Medium", IF(J706="L", "Light", IF(J706="D", "Dark", "")))</f>
        <v>Medium</v>
      </c>
      <c r="P706" t="str">
        <f>_xlfn.XLOOKUP(Orders[[#This Row],[Customer ID]],customers!$A$1:$A$1001,customers!$I$1:$I$1001,,0)</f>
        <v>Yes</v>
      </c>
      <c r="Q706">
        <f>COUNTIF(Orders[Order ID],Orders[[#This Row],[Order ID]])</f>
        <v>1</v>
      </c>
      <c r="R706" s="10">
        <f>SUMIF(Orders[Order ID], Orders[[#This Row],[Order ID]],Orders[Sales])/Orders[[#This Row],[Order Frequency]]</f>
        <v>100.39499999999998</v>
      </c>
      <c r="S706" t="str">
        <f>IF(Orders[[#This Row],[Order Frequency]]&gt;4, "More than 4", IF(AND(Orders[[#This Row],[Order Frequency]]&lt;=4,Orders[[#This Row],[Order Frequency]]&gt;=2), "Between 4 and 2", "Less than 2"))</f>
        <v>Less than 2</v>
      </c>
      <c r="T706" t="str">
        <f>IF(Orders[[#This Row],[Frequency Group]]="less than 2", "Low Value", IF(Orders[[#This Row],[Frequency Group]]="between 4 and 2", "Medium Value", "High Value"))</f>
        <v>Low Value</v>
      </c>
      <c r="U706" t="str">
        <f>IF(Orders[[#This Row],[Sales]]&lt;50, "$0-50", IF(AND(Orders[[#This Row],[Sales]]&gt;=50,Orders[[#This Row],[Sales]]&lt;=100), "$50-100", IF(AND(Orders[[#This Row],[Sales]]&gt;100,Orders[[#This Row],[Sales]]&lt;=150), "$101-150", "$150+")))</f>
        <v>$101-150</v>
      </c>
      <c r="V706" t="str">
        <f>IF(Orders[[#This Row],[Sales]]&gt;MEDIAN(M:M), "High Price", "Low Price")</f>
        <v>High Price</v>
      </c>
      <c r="W706" t="str">
        <f>IF(Orders[[#This Row],[Quantity]]&gt;MEDIAN(E:E), "High Volume", "Low Volume")</f>
        <v>Low Volume</v>
      </c>
      <c r="X706" t="str">
        <f>Orders[[#This Row],[Sales Tier]] &amp; "-" &amp; Orders[[#This Row],[Quantity Tier]]</f>
        <v>High Price-Low Volume</v>
      </c>
      <c r="Y706" t="str">
        <f>TEXT(Orders[[#This Row],[Order Date]], "mmmm")</f>
        <v>January</v>
      </c>
      <c r="Z70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06" t="str">
        <f>Orders[[#This Row],[Coffee Type Name]] &amp; "-" &amp; Orders[[#This Row],[Roast Type Name]]</f>
        <v>Liberica-Medium</v>
      </c>
      <c r="AB70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707" spans="1:28" x14ac:dyDescent="0.25">
      <c r="A707" s="2" t="s">
        <v>6041</v>
      </c>
      <c r="B707" s="4">
        <v>44785</v>
      </c>
      <c r="C707" s="2" t="s">
        <v>6042</v>
      </c>
      <c r="D707" t="s">
        <v>6179</v>
      </c>
      <c r="E707" s="2">
        <v>2</v>
      </c>
      <c r="F707" s="2" t="str">
        <f>_xlfn.XLOOKUP(C707,customers!$A$1:$A$1001,customers!$B$1:$B$1001,,0)</f>
        <v>Kim Kemery</v>
      </c>
      <c r="G707" s="2" t="str">
        <f>IF(_xlfn.XLOOKUP(C707,customers!$A$1:$A$1001,customers!$C$1:$C$1001,,0)=0,"",_xlfn.XLOOKUP(C707,customers!$A$1:$A$1001,customers!$C$1:$C$1001,,0))</f>
        <v>kkemeryra@t.co</v>
      </c>
      <c r="H707" s="2" t="str">
        <f>_xlfn.XLOOKUP(C707,customers!$A$1:$A$1001,customers!$G$1:$G$1001,,0)</f>
        <v>United States</v>
      </c>
      <c r="I707" t="str">
        <f>INDEX(products!$A$1:$G$49, MATCH(orders!$D984,products!$A$1:$A1031,0), MATCH(orders!I$1,products!$A$1:$G$1,0))</f>
        <v>Rob</v>
      </c>
      <c r="J707" t="str">
        <f>INDEX(products!$A$1:$G$49, MATCH(orders!$D984,products!$A$1:$A1031,0), MATCH(orders!J$1,products!$A$1:$G$1,0))</f>
        <v>L</v>
      </c>
      <c r="K707" s="5">
        <f>INDEX(products!$A$1:$G$49, MATCH(orders!$D984,products!$A$1:$A1031,0), MATCH(orders!K$1,products!$A$1:$G$1,0))</f>
        <v>1</v>
      </c>
      <c r="L707" s="6">
        <f>INDEX(products!$A$1:$G$49, MATCH(orders!$D984,products!$A$1:$A1031,0), MATCH(orders!L$1,products!$A$1:$G$1,0))</f>
        <v>11.95</v>
      </c>
      <c r="M707" s="6">
        <f t="shared" si="33"/>
        <v>23.9</v>
      </c>
      <c r="N707" t="str">
        <f t="shared" si="34"/>
        <v>Robusta</v>
      </c>
      <c r="O707" t="str">
        <f t="shared" si="35"/>
        <v>Light</v>
      </c>
      <c r="P707" t="str">
        <f>_xlfn.XLOOKUP(Orders[[#This Row],[Customer ID]],customers!$A$1:$A$1001,customers!$I$1:$I$1001,,0)</f>
        <v>Yes</v>
      </c>
      <c r="Q707">
        <f>COUNTIF(Orders[Order ID],Orders[[#This Row],[Order ID]])</f>
        <v>1</v>
      </c>
      <c r="R707" s="10">
        <f>SUMIF(Orders[Order ID], Orders[[#This Row],[Order ID]],Orders[Sales])/Orders[[#This Row],[Order Frequency]]</f>
        <v>23.9</v>
      </c>
      <c r="S707" t="str">
        <f>IF(Orders[[#This Row],[Order Frequency]]&gt;4, "More than 4", IF(AND(Orders[[#This Row],[Order Frequency]]&lt;=4,Orders[[#This Row],[Order Frequency]]&gt;=2), "Between 4 and 2", "Less than 2"))</f>
        <v>Less than 2</v>
      </c>
      <c r="T707" t="str">
        <f>IF(Orders[[#This Row],[Frequency Group]]="less than 2", "Low Value", IF(Orders[[#This Row],[Frequency Group]]="between 4 and 2", "Medium Value", "High Value"))</f>
        <v>Low Value</v>
      </c>
      <c r="U707" t="str">
        <f>IF(Orders[[#This Row],[Sales]]&lt;50, "$0-50", IF(AND(Orders[[#This Row],[Sales]]&gt;=50,Orders[[#This Row],[Sales]]&lt;=100), "$50-100", IF(AND(Orders[[#This Row],[Sales]]&gt;100,Orders[[#This Row],[Sales]]&lt;=150), "$101-150", "$150+")))</f>
        <v>$0-50</v>
      </c>
      <c r="V707" t="str">
        <f>IF(Orders[[#This Row],[Sales]]&gt;MEDIAN(M:M), "High Price", "Low Price")</f>
        <v>Low Price</v>
      </c>
      <c r="W707" t="str">
        <f>IF(Orders[[#This Row],[Quantity]]&gt;MEDIAN(E:E), "High Volume", "Low Volume")</f>
        <v>Low Volume</v>
      </c>
      <c r="X707" t="str">
        <f>Orders[[#This Row],[Sales Tier]] &amp; "-" &amp; Orders[[#This Row],[Quantity Tier]]</f>
        <v>Low Price-Low Volume</v>
      </c>
      <c r="Y707" t="str">
        <f>TEXT(Orders[[#This Row],[Order Date]], "mmmm")</f>
        <v>August</v>
      </c>
      <c r="Z70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707" t="str">
        <f>Orders[[#This Row],[Coffee Type Name]] &amp; "-" &amp; Orders[[#This Row],[Roast Type Name]]</f>
        <v>Robusta-Light</v>
      </c>
      <c r="AB70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708" spans="1:28" x14ac:dyDescent="0.25">
      <c r="A708" s="2" t="s">
        <v>530</v>
      </c>
      <c r="B708" s="4">
        <v>44701</v>
      </c>
      <c r="C708" s="2" t="s">
        <v>531</v>
      </c>
      <c r="D708" t="s">
        <v>6145</v>
      </c>
      <c r="E708" s="2">
        <v>1</v>
      </c>
      <c r="F708" s="2" t="str">
        <f>_xlfn.XLOOKUP(C708,customers!$A$1:$A$1001,customers!$B$1:$B$1001,,0)</f>
        <v>Melvin Wharfe</v>
      </c>
      <c r="G708" s="2" t="str">
        <f>IF(_xlfn.XLOOKUP(C708,customers!$A$1:$A$1001,customers!$C$1:$C$1001,,0)=0,"",_xlfn.XLOOKUP(C708,customers!$A$1:$A$1001,customers!$C$1:$C$1001,,0))</f>
        <v/>
      </c>
      <c r="H708" s="2" t="str">
        <f>_xlfn.XLOOKUP(C708,customers!$A$1:$A$1001,customers!$G$1:$G$1001,,0)</f>
        <v>Ireland</v>
      </c>
      <c r="I708" t="str">
        <f>INDEX(products!$A$1:$G$49, MATCH(orders!$D9,products!$A$1:$A56,0), MATCH(orders!I$1,products!$A$1:$G$1,0))</f>
        <v>Lib</v>
      </c>
      <c r="J708" t="str">
        <f>INDEX(products!$A$1:$G$49, MATCH(orders!$D9,products!$A$1:$A56,0), MATCH(orders!J$1,products!$A$1:$G$1,0))</f>
        <v>L</v>
      </c>
      <c r="K708" s="5">
        <f>INDEX(products!$A$1:$G$49, MATCH(orders!$D9,products!$A$1:$A56,0), MATCH(orders!K$1,products!$A$1:$G$1,0))</f>
        <v>0.2</v>
      </c>
      <c r="L708" s="6">
        <f>INDEX(products!$A$1:$G$49, MATCH(orders!$D9,products!$A$1:$A56,0), MATCH(orders!L$1,products!$A$1:$G$1,0))</f>
        <v>4.7549999999999999</v>
      </c>
      <c r="M708" s="6">
        <f t="shared" si="33"/>
        <v>4.7549999999999999</v>
      </c>
      <c r="N708" t="str">
        <f t="shared" si="34"/>
        <v>Liberica</v>
      </c>
      <c r="O708" t="str">
        <f t="shared" si="35"/>
        <v>Light</v>
      </c>
      <c r="P708" t="str">
        <f>_xlfn.XLOOKUP(Orders[[#This Row],[Customer ID]],customers!$A$1:$A$1001,customers!$I$1:$I$1001,,0)</f>
        <v>Yes</v>
      </c>
      <c r="Q708">
        <f>COUNTIF(Orders[Order ID],Orders[[#This Row],[Order ID]])</f>
        <v>1</v>
      </c>
      <c r="R708" s="10">
        <f>SUMIF(Orders[Order ID], Orders[[#This Row],[Order ID]],Orders[Sales])/Orders[[#This Row],[Order Frequency]]</f>
        <v>4.7549999999999999</v>
      </c>
      <c r="S708" t="str">
        <f>IF(Orders[[#This Row],[Order Frequency]]&gt;4, "More than 4", IF(AND(Orders[[#This Row],[Order Frequency]]&lt;=4,Orders[[#This Row],[Order Frequency]]&gt;=2), "Between 4 and 2", "Less than 2"))</f>
        <v>Less than 2</v>
      </c>
      <c r="T708" t="str">
        <f>IF(Orders[[#This Row],[Frequency Group]]="less than 2", "Low Value", IF(Orders[[#This Row],[Frequency Group]]="between 4 and 2", "Medium Value", "High Value"))</f>
        <v>Low Value</v>
      </c>
      <c r="U708" t="str">
        <f>IF(Orders[[#This Row],[Sales]]&lt;50, "$0-50", IF(AND(Orders[[#This Row],[Sales]]&gt;=50,Orders[[#This Row],[Sales]]&lt;=100), "$50-100", IF(AND(Orders[[#This Row],[Sales]]&gt;100,Orders[[#This Row],[Sales]]&lt;=150), "$101-150", "$150+")))</f>
        <v>$0-50</v>
      </c>
      <c r="V708" t="str">
        <f>IF(Orders[[#This Row],[Sales]]&gt;MEDIAN(M:M), "High Price", "Low Price")</f>
        <v>Low Price</v>
      </c>
      <c r="W708" t="str">
        <f>IF(Orders[[#This Row],[Quantity]]&gt;MEDIAN(E:E), "High Volume", "Low Volume")</f>
        <v>Low Volume</v>
      </c>
      <c r="X708" t="str">
        <f>Orders[[#This Row],[Sales Tier]] &amp; "-" &amp; Orders[[#This Row],[Quantity Tier]]</f>
        <v>Low Price-Low Volume</v>
      </c>
      <c r="Y708" t="str">
        <f>TEXT(Orders[[#This Row],[Order Date]], "mmmm")</f>
        <v>May</v>
      </c>
      <c r="Z70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708" t="str">
        <f>Orders[[#This Row],[Coffee Type Name]] &amp; "-" &amp; Orders[[#This Row],[Roast Type Name]]</f>
        <v>Liberica-Light</v>
      </c>
      <c r="AB70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709" spans="1:28" x14ac:dyDescent="0.25">
      <c r="A709" s="2" t="s">
        <v>4499</v>
      </c>
      <c r="B709" s="4">
        <v>44655</v>
      </c>
      <c r="C709" s="2" t="s">
        <v>4500</v>
      </c>
      <c r="D709" t="s">
        <v>6139</v>
      </c>
      <c r="E709" s="2">
        <v>3</v>
      </c>
      <c r="F709" s="2" t="str">
        <f>_xlfn.XLOOKUP(C709,customers!$A$1:$A$1001,customers!$B$1:$B$1001,,0)</f>
        <v>Stearne Count</v>
      </c>
      <c r="G709" s="2" t="str">
        <f>IF(_xlfn.XLOOKUP(C709,customers!$A$1:$A$1001,customers!$C$1:$C$1001,,0)=0,"",_xlfn.XLOOKUP(C709,customers!$A$1:$A$1001,customers!$C$1:$C$1001,,0))</f>
        <v>scountjq@nba.com</v>
      </c>
      <c r="H709" s="2" t="str">
        <f>_xlfn.XLOOKUP(C709,customers!$A$1:$A$1001,customers!$G$1:$G$1001,,0)</f>
        <v>United States</v>
      </c>
      <c r="I709" t="str">
        <f>INDEX(products!$A$1:$G$49, MATCH(orders!$D712,products!$A$1:$A759,0), MATCH(orders!I$1,products!$A$1:$G$1,0))</f>
        <v>Exc</v>
      </c>
      <c r="J709" t="str">
        <f>INDEX(products!$A$1:$G$49, MATCH(orders!$D712,products!$A$1:$A759,0), MATCH(orders!J$1,products!$A$1:$G$1,0))</f>
        <v>M</v>
      </c>
      <c r="K709" s="5">
        <f>INDEX(products!$A$1:$G$49, MATCH(orders!$D712,products!$A$1:$A759,0), MATCH(orders!K$1,products!$A$1:$G$1,0))</f>
        <v>0.5</v>
      </c>
      <c r="L709" s="6">
        <f>INDEX(products!$A$1:$G$49, MATCH(orders!$D712,products!$A$1:$A759,0), MATCH(orders!L$1,products!$A$1:$G$1,0))</f>
        <v>8.25</v>
      </c>
      <c r="M709" s="6">
        <f t="shared" si="33"/>
        <v>24.75</v>
      </c>
      <c r="N709" t="str">
        <f t="shared" si="34"/>
        <v>Excelsa</v>
      </c>
      <c r="O709" t="str">
        <f t="shared" si="35"/>
        <v>Medium</v>
      </c>
      <c r="P709" t="str">
        <f>_xlfn.XLOOKUP(Orders[[#This Row],[Customer ID]],customers!$A$1:$A$1001,customers!$I$1:$I$1001,,0)</f>
        <v>No</v>
      </c>
      <c r="Q709">
        <f>COUNTIF(Orders[Order ID],Orders[[#This Row],[Order ID]])</f>
        <v>1</v>
      </c>
      <c r="R709" s="10">
        <f>SUMIF(Orders[Order ID], Orders[[#This Row],[Order ID]],Orders[Sales])/Orders[[#This Row],[Order Frequency]]</f>
        <v>24.75</v>
      </c>
      <c r="S709" t="str">
        <f>IF(Orders[[#This Row],[Order Frequency]]&gt;4, "More than 4", IF(AND(Orders[[#This Row],[Order Frequency]]&lt;=4,Orders[[#This Row],[Order Frequency]]&gt;=2), "Between 4 and 2", "Less than 2"))</f>
        <v>Less than 2</v>
      </c>
      <c r="T709" t="str">
        <f>IF(Orders[[#This Row],[Frequency Group]]="less than 2", "Low Value", IF(Orders[[#This Row],[Frequency Group]]="between 4 and 2", "Medium Value", "High Value"))</f>
        <v>Low Value</v>
      </c>
      <c r="U709" t="str">
        <f>IF(Orders[[#This Row],[Sales]]&lt;50, "$0-50", IF(AND(Orders[[#This Row],[Sales]]&gt;=50,Orders[[#This Row],[Sales]]&lt;=100), "$50-100", IF(AND(Orders[[#This Row],[Sales]]&gt;100,Orders[[#This Row],[Sales]]&lt;=150), "$101-150", "$150+")))</f>
        <v>$0-50</v>
      </c>
      <c r="V709" t="str">
        <f>IF(Orders[[#This Row],[Sales]]&gt;MEDIAN(M:M), "High Price", "Low Price")</f>
        <v>Low Price</v>
      </c>
      <c r="W709" t="str">
        <f>IF(Orders[[#This Row],[Quantity]]&gt;MEDIAN(E:E), "High Volume", "Low Volume")</f>
        <v>Low Volume</v>
      </c>
      <c r="X709" t="str">
        <f>Orders[[#This Row],[Sales Tier]] &amp; "-" &amp; Orders[[#This Row],[Quantity Tier]]</f>
        <v>Low Price-Low Volume</v>
      </c>
      <c r="Y709" t="str">
        <f>TEXT(Orders[[#This Row],[Order Date]], "mmmm")</f>
        <v>April</v>
      </c>
      <c r="Z70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709" t="str">
        <f>Orders[[#This Row],[Coffee Type Name]] &amp; "-" &amp; Orders[[#This Row],[Roast Type Name]]</f>
        <v>Excelsa-Medium</v>
      </c>
      <c r="AB70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710" spans="1:28" x14ac:dyDescent="0.25">
      <c r="A710" s="2" t="s">
        <v>4545</v>
      </c>
      <c r="B710" s="4">
        <v>44348</v>
      </c>
      <c r="C710" s="2" t="s">
        <v>4546</v>
      </c>
      <c r="D710" t="s">
        <v>6143</v>
      </c>
      <c r="E710" s="2">
        <v>3</v>
      </c>
      <c r="F710" s="2" t="str">
        <f>_xlfn.XLOOKUP(C710,customers!$A$1:$A$1001,customers!$B$1:$B$1001,,0)</f>
        <v>Darice Heaford</v>
      </c>
      <c r="G710" s="2" t="str">
        <f>IF(_xlfn.XLOOKUP(C710,customers!$A$1:$A$1001,customers!$C$1:$C$1001,,0)=0,"",_xlfn.XLOOKUP(C710,customers!$A$1:$A$1001,customers!$C$1:$C$1001,,0))</f>
        <v>dheafordjy@twitpic.com</v>
      </c>
      <c r="H710" s="2" t="str">
        <f>_xlfn.XLOOKUP(C710,customers!$A$1:$A$1001,customers!$G$1:$G$1001,,0)</f>
        <v>United States</v>
      </c>
      <c r="I710" t="str">
        <f>INDEX(products!$A$1:$G$49, MATCH(orders!$D720,products!$A$1:$A767,0), MATCH(orders!I$1,products!$A$1:$G$1,0))</f>
        <v>Lib</v>
      </c>
      <c r="J710" t="str">
        <f>INDEX(products!$A$1:$G$49, MATCH(orders!$D720,products!$A$1:$A767,0), MATCH(orders!J$1,products!$A$1:$G$1,0))</f>
        <v>D</v>
      </c>
      <c r="K710" s="5">
        <f>INDEX(products!$A$1:$G$49, MATCH(orders!$D720,products!$A$1:$A767,0), MATCH(orders!K$1,products!$A$1:$G$1,0))</f>
        <v>1</v>
      </c>
      <c r="L710" s="6">
        <f>INDEX(products!$A$1:$G$49, MATCH(orders!$D720,products!$A$1:$A767,0), MATCH(orders!L$1,products!$A$1:$G$1,0))</f>
        <v>12.95</v>
      </c>
      <c r="M710" s="6">
        <f t="shared" si="33"/>
        <v>38.849999999999994</v>
      </c>
      <c r="N710" t="str">
        <f t="shared" si="34"/>
        <v>Liberica</v>
      </c>
      <c r="O710" t="str">
        <f t="shared" si="35"/>
        <v>Dark</v>
      </c>
      <c r="P710" t="str">
        <f>_xlfn.XLOOKUP(Orders[[#This Row],[Customer ID]],customers!$A$1:$A$1001,customers!$I$1:$I$1001,,0)</f>
        <v>No</v>
      </c>
      <c r="Q710">
        <f>COUNTIF(Orders[Order ID],Orders[[#This Row],[Order ID]])</f>
        <v>1</v>
      </c>
      <c r="R710" s="10">
        <f>SUMIF(Orders[Order ID], Orders[[#This Row],[Order ID]],Orders[Sales])/Orders[[#This Row],[Order Frequency]]</f>
        <v>38.849999999999994</v>
      </c>
      <c r="S710" t="str">
        <f>IF(Orders[[#This Row],[Order Frequency]]&gt;4, "More than 4", IF(AND(Orders[[#This Row],[Order Frequency]]&lt;=4,Orders[[#This Row],[Order Frequency]]&gt;=2), "Between 4 and 2", "Less than 2"))</f>
        <v>Less than 2</v>
      </c>
      <c r="T710" t="str">
        <f>IF(Orders[[#This Row],[Frequency Group]]="less than 2", "Low Value", IF(Orders[[#This Row],[Frequency Group]]="between 4 and 2", "Medium Value", "High Value"))</f>
        <v>Low Value</v>
      </c>
      <c r="U710" t="str">
        <f>IF(Orders[[#This Row],[Sales]]&lt;50, "$0-50", IF(AND(Orders[[#This Row],[Sales]]&gt;=50,Orders[[#This Row],[Sales]]&lt;=100), "$50-100", IF(AND(Orders[[#This Row],[Sales]]&gt;100,Orders[[#This Row],[Sales]]&lt;=150), "$101-150", "$150+")))</f>
        <v>$0-50</v>
      </c>
      <c r="V710" t="str">
        <f>IF(Orders[[#This Row],[Sales]]&gt;MEDIAN(M:M), "High Price", "Low Price")</f>
        <v>High Price</v>
      </c>
      <c r="W710" t="str">
        <f>IF(Orders[[#This Row],[Quantity]]&gt;MEDIAN(E:E), "High Volume", "Low Volume")</f>
        <v>Low Volume</v>
      </c>
      <c r="X710" t="str">
        <f>Orders[[#This Row],[Sales Tier]] &amp; "-" &amp; Orders[[#This Row],[Quantity Tier]]</f>
        <v>High Price-Low Volume</v>
      </c>
      <c r="Y710" t="str">
        <f>TEXT(Orders[[#This Row],[Order Date]], "mmmm")</f>
        <v>June</v>
      </c>
      <c r="Z71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710" t="str">
        <f>Orders[[#This Row],[Coffee Type Name]] &amp; "-" &amp; Orders[[#This Row],[Roast Type Name]]</f>
        <v>Liberica-Dark</v>
      </c>
      <c r="AB71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711" spans="1:28" x14ac:dyDescent="0.25">
      <c r="A711" s="2" t="s">
        <v>3671</v>
      </c>
      <c r="B711" s="4">
        <v>43991</v>
      </c>
      <c r="C711" s="2" t="s">
        <v>3752</v>
      </c>
      <c r="D711" t="s">
        <v>6141</v>
      </c>
      <c r="E711" s="2">
        <v>6</v>
      </c>
      <c r="F711" s="2" t="str">
        <f>_xlfn.XLOOKUP(C711,customers!$A$1:$A$1001,customers!$B$1:$B$1001,,0)</f>
        <v>Don Flintiff</v>
      </c>
      <c r="G711" s="2" t="str">
        <f>IF(_xlfn.XLOOKUP(C711,customers!$A$1:$A$1001,customers!$C$1:$C$1001,,0)=0,"",_xlfn.XLOOKUP(C711,customers!$A$1:$A$1001,customers!$C$1:$C$1001,,0))</f>
        <v>dflintiffg1@e-recht24.de</v>
      </c>
      <c r="H711" s="2" t="str">
        <f>_xlfn.XLOOKUP(C711,customers!$A$1:$A$1001,customers!$G$1:$G$1001,,0)</f>
        <v>United Kingdom</v>
      </c>
      <c r="I711" t="str">
        <f>INDEX(products!$A$1:$G$49, MATCH(orders!$D565,products!$A$1:$A612,0), MATCH(orders!I$1,products!$A$1:$G$1,0))</f>
        <v>Exc</v>
      </c>
      <c r="J711" t="str">
        <f>INDEX(products!$A$1:$G$49, MATCH(orders!$D565,products!$A$1:$A612,0), MATCH(orders!J$1,products!$A$1:$G$1,0))</f>
        <v>M</v>
      </c>
      <c r="K711" s="5">
        <f>INDEX(products!$A$1:$G$49, MATCH(orders!$D565,products!$A$1:$A612,0), MATCH(orders!K$1,products!$A$1:$G$1,0))</f>
        <v>1</v>
      </c>
      <c r="L711" s="6">
        <f>INDEX(products!$A$1:$G$49, MATCH(orders!$D565,products!$A$1:$A612,0), MATCH(orders!L$1,products!$A$1:$G$1,0))</f>
        <v>13.75</v>
      </c>
      <c r="M711" s="6">
        <f t="shared" si="33"/>
        <v>82.5</v>
      </c>
      <c r="N711" t="str">
        <f t="shared" si="34"/>
        <v>Excelsa</v>
      </c>
      <c r="O711" t="str">
        <f t="shared" si="35"/>
        <v>Medium</v>
      </c>
      <c r="P711" t="str">
        <f>_xlfn.XLOOKUP(Orders[[#This Row],[Customer ID]],customers!$A$1:$A$1001,customers!$I$1:$I$1001,,0)</f>
        <v>No</v>
      </c>
      <c r="Q711">
        <f>COUNTIF(Orders[Order ID],Orders[[#This Row],[Order ID]])</f>
        <v>1</v>
      </c>
      <c r="R711" s="10">
        <f>SUMIF(Orders[Order ID], Orders[[#This Row],[Order ID]],Orders[Sales])/Orders[[#This Row],[Order Frequency]]</f>
        <v>82.5</v>
      </c>
      <c r="S711" t="str">
        <f>IF(Orders[[#This Row],[Order Frequency]]&gt;4, "More than 4", IF(AND(Orders[[#This Row],[Order Frequency]]&lt;=4,Orders[[#This Row],[Order Frequency]]&gt;=2), "Between 4 and 2", "Less than 2"))</f>
        <v>Less than 2</v>
      </c>
      <c r="T711" t="str">
        <f>IF(Orders[[#This Row],[Frequency Group]]="less than 2", "Low Value", IF(Orders[[#This Row],[Frequency Group]]="between 4 and 2", "Medium Value", "High Value"))</f>
        <v>Low Value</v>
      </c>
      <c r="U711" t="str">
        <f>IF(Orders[[#This Row],[Sales]]&lt;50, "$0-50", IF(AND(Orders[[#This Row],[Sales]]&gt;=50,Orders[[#This Row],[Sales]]&lt;=100), "$50-100", IF(AND(Orders[[#This Row],[Sales]]&gt;100,Orders[[#This Row],[Sales]]&lt;=150), "$101-150", "$150+")))</f>
        <v>$50-100</v>
      </c>
      <c r="V711" t="str">
        <f>IF(Orders[[#This Row],[Sales]]&gt;MEDIAN(M:M), "High Price", "Low Price")</f>
        <v>High Price</v>
      </c>
      <c r="W711" t="str">
        <f>IF(Orders[[#This Row],[Quantity]]&gt;MEDIAN(E:E), "High Volume", "Low Volume")</f>
        <v>High Volume</v>
      </c>
      <c r="X711" t="str">
        <f>Orders[[#This Row],[Sales Tier]] &amp; "-" &amp; Orders[[#This Row],[Quantity Tier]]</f>
        <v>High Price-High Volume</v>
      </c>
      <c r="Y711" t="str">
        <f>TEXT(Orders[[#This Row],[Order Date]], "mmmm")</f>
        <v>June</v>
      </c>
      <c r="Z71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711" t="str">
        <f>Orders[[#This Row],[Coffee Type Name]] &amp; "-" &amp; Orders[[#This Row],[Roast Type Name]]</f>
        <v>Excelsa-Medium</v>
      </c>
      <c r="AB71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712" spans="1:28" x14ac:dyDescent="0.25">
      <c r="A712" s="2" t="s">
        <v>2934</v>
      </c>
      <c r="B712" s="4">
        <v>43807</v>
      </c>
      <c r="C712" s="2" t="s">
        <v>2935</v>
      </c>
      <c r="D712" t="s">
        <v>6155</v>
      </c>
      <c r="E712" s="2">
        <v>6</v>
      </c>
      <c r="F712" s="2" t="str">
        <f>_xlfn.XLOOKUP(C712,customers!$A$1:$A$1001,customers!$B$1:$B$1001,,0)</f>
        <v>Nevsa Fields</v>
      </c>
      <c r="G712" s="2" t="str">
        <f>IF(_xlfn.XLOOKUP(C712,customers!$A$1:$A$1001,customers!$C$1:$C$1001,,0)=0,"",_xlfn.XLOOKUP(C712,customers!$A$1:$A$1001,customers!$C$1:$C$1001,,0))</f>
        <v/>
      </c>
      <c r="H712" s="2" t="str">
        <f>_xlfn.XLOOKUP(C712,customers!$A$1:$A$1001,customers!$G$1:$G$1001,,0)</f>
        <v>United States</v>
      </c>
      <c r="I712" t="str">
        <f>INDEX(products!$A$1:$G$49, MATCH(orders!$D436,products!$A$1:$A483,0), MATCH(orders!I$1,products!$A$1:$G$1,0))</f>
        <v>Ara</v>
      </c>
      <c r="J712" t="str">
        <f>INDEX(products!$A$1:$G$49, MATCH(orders!$D436,products!$A$1:$A483,0), MATCH(orders!J$1,products!$A$1:$G$1,0))</f>
        <v>M</v>
      </c>
      <c r="K712" s="5">
        <f>INDEX(products!$A$1:$G$49, MATCH(orders!$D436,products!$A$1:$A483,0), MATCH(orders!K$1,products!$A$1:$G$1,0))</f>
        <v>1</v>
      </c>
      <c r="L712" s="6">
        <f>INDEX(products!$A$1:$G$49, MATCH(orders!$D436,products!$A$1:$A483,0), MATCH(orders!L$1,products!$A$1:$G$1,0))</f>
        <v>11.25</v>
      </c>
      <c r="M712" s="6">
        <f t="shared" si="33"/>
        <v>67.5</v>
      </c>
      <c r="N712" t="str">
        <f t="shared" si="34"/>
        <v>Arabica</v>
      </c>
      <c r="O712" t="str">
        <f t="shared" si="35"/>
        <v>Medium</v>
      </c>
      <c r="P712" t="str">
        <f>_xlfn.XLOOKUP(Orders[[#This Row],[Customer ID]],customers!$A$1:$A$1001,customers!$I$1:$I$1001,,0)</f>
        <v>No</v>
      </c>
      <c r="Q712">
        <f>COUNTIF(Orders[Order ID],Orders[[#This Row],[Order ID]])</f>
        <v>1</v>
      </c>
      <c r="R712" s="10">
        <f>SUMIF(Orders[Order ID], Orders[[#This Row],[Order ID]],Orders[Sales])/Orders[[#This Row],[Order Frequency]]</f>
        <v>67.5</v>
      </c>
      <c r="S712" t="str">
        <f>IF(Orders[[#This Row],[Order Frequency]]&gt;4, "More than 4", IF(AND(Orders[[#This Row],[Order Frequency]]&lt;=4,Orders[[#This Row],[Order Frequency]]&gt;=2), "Between 4 and 2", "Less than 2"))</f>
        <v>Less than 2</v>
      </c>
      <c r="T712" t="str">
        <f>IF(Orders[[#This Row],[Frequency Group]]="less than 2", "Low Value", IF(Orders[[#This Row],[Frequency Group]]="between 4 and 2", "Medium Value", "High Value"))</f>
        <v>Low Value</v>
      </c>
      <c r="U712" t="str">
        <f>IF(Orders[[#This Row],[Sales]]&lt;50, "$0-50", IF(AND(Orders[[#This Row],[Sales]]&gt;=50,Orders[[#This Row],[Sales]]&lt;=100), "$50-100", IF(AND(Orders[[#This Row],[Sales]]&gt;100,Orders[[#This Row],[Sales]]&lt;=150), "$101-150", "$150+")))</f>
        <v>$50-100</v>
      </c>
      <c r="V712" t="str">
        <f>IF(Orders[[#This Row],[Sales]]&gt;MEDIAN(M:M), "High Price", "Low Price")</f>
        <v>High Price</v>
      </c>
      <c r="W712" t="str">
        <f>IF(Orders[[#This Row],[Quantity]]&gt;MEDIAN(E:E), "High Volume", "Low Volume")</f>
        <v>High Volume</v>
      </c>
      <c r="X712" t="str">
        <f>Orders[[#This Row],[Sales Tier]] &amp; "-" &amp; Orders[[#This Row],[Quantity Tier]]</f>
        <v>High Price-High Volume</v>
      </c>
      <c r="Y712" t="str">
        <f>TEXT(Orders[[#This Row],[Order Date]], "mmmm")</f>
        <v>December</v>
      </c>
      <c r="Z71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712" t="str">
        <f>Orders[[#This Row],[Coffee Type Name]] &amp; "-" &amp; Orders[[#This Row],[Roast Type Name]]</f>
        <v>Arabica-Medium</v>
      </c>
      <c r="AB71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713" spans="1:28" x14ac:dyDescent="0.25">
      <c r="A713" s="2" t="s">
        <v>5211</v>
      </c>
      <c r="B713" s="4">
        <v>44270</v>
      </c>
      <c r="C713" s="2" t="s">
        <v>5212</v>
      </c>
      <c r="D713" t="s">
        <v>6176</v>
      </c>
      <c r="E713" s="2">
        <v>1</v>
      </c>
      <c r="F713" s="2" t="str">
        <f>_xlfn.XLOOKUP(C713,customers!$A$1:$A$1001,customers!$B$1:$B$1001,,0)</f>
        <v>Konstantine Thoumasson</v>
      </c>
      <c r="G713" s="2" t="str">
        <f>IF(_xlfn.XLOOKUP(C713,customers!$A$1:$A$1001,customers!$C$1:$C$1001,,0)=0,"",_xlfn.XLOOKUP(C713,customers!$A$1:$A$1001,customers!$C$1:$C$1001,,0))</f>
        <v>kthoumassonn7@bloglovin.com</v>
      </c>
      <c r="H713" s="2" t="str">
        <f>_xlfn.XLOOKUP(C713,customers!$A$1:$A$1001,customers!$G$1:$G$1001,,0)</f>
        <v>United States</v>
      </c>
      <c r="I713" t="str">
        <f>INDEX(products!$A$1:$G$49, MATCH(orders!$D837,products!$A$1:$A884,0), MATCH(orders!I$1,products!$A$1:$G$1,0))</f>
        <v>Exc</v>
      </c>
      <c r="J713" t="str">
        <f>INDEX(products!$A$1:$G$49, MATCH(orders!$D837,products!$A$1:$A884,0), MATCH(orders!J$1,products!$A$1:$G$1,0))</f>
        <v>L</v>
      </c>
      <c r="K713" s="5">
        <f>INDEX(products!$A$1:$G$49, MATCH(orders!$D837,products!$A$1:$A884,0), MATCH(orders!K$1,products!$A$1:$G$1,0))</f>
        <v>0.5</v>
      </c>
      <c r="L713" s="6">
        <f>INDEX(products!$A$1:$G$49, MATCH(orders!$D837,products!$A$1:$A884,0), MATCH(orders!L$1,products!$A$1:$G$1,0))</f>
        <v>8.91</v>
      </c>
      <c r="M713" s="6">
        <f t="shared" si="33"/>
        <v>8.91</v>
      </c>
      <c r="N713" t="str">
        <f t="shared" si="34"/>
        <v>Excelsa</v>
      </c>
      <c r="O713" t="str">
        <f t="shared" si="35"/>
        <v>Light</v>
      </c>
      <c r="P713" t="str">
        <f>_xlfn.XLOOKUP(Orders[[#This Row],[Customer ID]],customers!$A$1:$A$1001,customers!$I$1:$I$1001,,0)</f>
        <v>Yes</v>
      </c>
      <c r="Q713">
        <f>COUNTIF(Orders[Order ID],Orders[[#This Row],[Order ID]])</f>
        <v>1</v>
      </c>
      <c r="R713" s="10">
        <f>SUMIF(Orders[Order ID], Orders[[#This Row],[Order ID]],Orders[Sales])/Orders[[#This Row],[Order Frequency]]</f>
        <v>8.91</v>
      </c>
      <c r="S713" t="str">
        <f>IF(Orders[[#This Row],[Order Frequency]]&gt;4, "More than 4", IF(AND(Orders[[#This Row],[Order Frequency]]&lt;=4,Orders[[#This Row],[Order Frequency]]&gt;=2), "Between 4 and 2", "Less than 2"))</f>
        <v>Less than 2</v>
      </c>
      <c r="T713" t="str">
        <f>IF(Orders[[#This Row],[Frequency Group]]="less than 2", "Low Value", IF(Orders[[#This Row],[Frequency Group]]="between 4 and 2", "Medium Value", "High Value"))</f>
        <v>Low Value</v>
      </c>
      <c r="U713" t="str">
        <f>IF(Orders[[#This Row],[Sales]]&lt;50, "$0-50", IF(AND(Orders[[#This Row],[Sales]]&gt;=50,Orders[[#This Row],[Sales]]&lt;=100), "$50-100", IF(AND(Orders[[#This Row],[Sales]]&gt;100,Orders[[#This Row],[Sales]]&lt;=150), "$101-150", "$150+")))</f>
        <v>$0-50</v>
      </c>
      <c r="V713" t="str">
        <f>IF(Orders[[#This Row],[Sales]]&gt;MEDIAN(M:M), "High Price", "Low Price")</f>
        <v>Low Price</v>
      </c>
      <c r="W713" t="str">
        <f>IF(Orders[[#This Row],[Quantity]]&gt;MEDIAN(E:E), "High Volume", "Low Volume")</f>
        <v>Low Volume</v>
      </c>
      <c r="X713" t="str">
        <f>Orders[[#This Row],[Sales Tier]] &amp; "-" &amp; Orders[[#This Row],[Quantity Tier]]</f>
        <v>Low Price-Low Volume</v>
      </c>
      <c r="Y713" t="str">
        <f>TEXT(Orders[[#This Row],[Order Date]], "mmmm")</f>
        <v>March</v>
      </c>
      <c r="Z71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13" t="str">
        <f>Orders[[#This Row],[Coffee Type Name]] &amp; "-" &amp; Orders[[#This Row],[Roast Type Name]]</f>
        <v>Excelsa-Light</v>
      </c>
      <c r="AB71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714" spans="1:28" x14ac:dyDescent="0.25">
      <c r="A714" s="2" t="s">
        <v>6101</v>
      </c>
      <c r="B714" s="4">
        <v>44549</v>
      </c>
      <c r="C714" s="2" t="s">
        <v>6102</v>
      </c>
      <c r="D714" t="s">
        <v>6140</v>
      </c>
      <c r="E714" s="2">
        <v>6</v>
      </c>
      <c r="F714" s="2" t="str">
        <f>_xlfn.XLOOKUP(C714,customers!$A$1:$A$1001,customers!$B$1:$B$1001,,0)</f>
        <v>Margarette Sterland</v>
      </c>
      <c r="G714" s="2" t="str">
        <f>IF(_xlfn.XLOOKUP(C714,customers!$A$1:$A$1001,customers!$C$1:$C$1001,,0)=0,"",_xlfn.XLOOKUP(C714,customers!$A$1:$A$1001,customers!$C$1:$C$1001,,0))</f>
        <v/>
      </c>
      <c r="H714" s="2" t="str">
        <f>_xlfn.XLOOKUP(C714,customers!$A$1:$A$1001,customers!$G$1:$G$1001,,0)</f>
        <v>United States</v>
      </c>
      <c r="I714" t="str">
        <f>INDEX(products!$A$1:$G$49, MATCH(orders!$D995,products!$A$1:$A1042,0), MATCH(orders!I$1,products!$A$1:$G$1,0))</f>
        <v>Ara</v>
      </c>
      <c r="J714" t="str">
        <f>INDEX(products!$A$1:$G$49, MATCH(orders!$D995,products!$A$1:$A1042,0), MATCH(orders!J$1,products!$A$1:$G$1,0))</f>
        <v>L</v>
      </c>
      <c r="K714" s="5">
        <f>INDEX(products!$A$1:$G$49, MATCH(orders!$D995,products!$A$1:$A1042,0), MATCH(orders!K$1,products!$A$1:$G$1,0))</f>
        <v>1</v>
      </c>
      <c r="L714" s="6">
        <f>INDEX(products!$A$1:$G$49, MATCH(orders!$D995,products!$A$1:$A1042,0), MATCH(orders!L$1,products!$A$1:$G$1,0))</f>
        <v>12.95</v>
      </c>
      <c r="M714" s="6">
        <f t="shared" si="33"/>
        <v>77.699999999999989</v>
      </c>
      <c r="N714" t="str">
        <f t="shared" si="34"/>
        <v>Arabica</v>
      </c>
      <c r="O714" t="str">
        <f t="shared" si="35"/>
        <v>Light</v>
      </c>
      <c r="P714" t="str">
        <f>_xlfn.XLOOKUP(Orders[[#This Row],[Customer ID]],customers!$A$1:$A$1001,customers!$I$1:$I$1001,,0)</f>
        <v>No</v>
      </c>
      <c r="Q714">
        <f>COUNTIF(Orders[Order ID],Orders[[#This Row],[Order ID]])</f>
        <v>1</v>
      </c>
      <c r="R714" s="10">
        <f>SUMIF(Orders[Order ID], Orders[[#This Row],[Order ID]],Orders[Sales])/Orders[[#This Row],[Order Frequency]]</f>
        <v>77.699999999999989</v>
      </c>
      <c r="S714" t="str">
        <f>IF(Orders[[#This Row],[Order Frequency]]&gt;4, "More than 4", IF(AND(Orders[[#This Row],[Order Frequency]]&lt;=4,Orders[[#This Row],[Order Frequency]]&gt;=2), "Between 4 and 2", "Less than 2"))</f>
        <v>Less than 2</v>
      </c>
      <c r="T714" t="str">
        <f>IF(Orders[[#This Row],[Frequency Group]]="less than 2", "Low Value", IF(Orders[[#This Row],[Frequency Group]]="between 4 and 2", "Medium Value", "High Value"))</f>
        <v>Low Value</v>
      </c>
      <c r="U714" t="str">
        <f>IF(Orders[[#This Row],[Sales]]&lt;50, "$0-50", IF(AND(Orders[[#This Row],[Sales]]&gt;=50,Orders[[#This Row],[Sales]]&lt;=100), "$50-100", IF(AND(Orders[[#This Row],[Sales]]&gt;100,Orders[[#This Row],[Sales]]&lt;=150), "$101-150", "$150+")))</f>
        <v>$50-100</v>
      </c>
      <c r="V714" t="str">
        <f>IF(Orders[[#This Row],[Sales]]&gt;MEDIAN(M:M), "High Price", "Low Price")</f>
        <v>High Price</v>
      </c>
      <c r="W714" t="str">
        <f>IF(Orders[[#This Row],[Quantity]]&gt;MEDIAN(E:E), "High Volume", "Low Volume")</f>
        <v>High Volume</v>
      </c>
      <c r="X714" t="str">
        <f>Orders[[#This Row],[Sales Tier]] &amp; "-" &amp; Orders[[#This Row],[Quantity Tier]]</f>
        <v>High Price-High Volume</v>
      </c>
      <c r="Y714" t="str">
        <f>TEXT(Orders[[#This Row],[Order Date]], "mmmm")</f>
        <v>December</v>
      </c>
      <c r="Z71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714" t="str">
        <f>Orders[[#This Row],[Coffee Type Name]] &amp; "-" &amp; Orders[[#This Row],[Roast Type Name]]</f>
        <v>Arabica-Light</v>
      </c>
      <c r="AB71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715" spans="1:28" x14ac:dyDescent="0.25">
      <c r="A715" s="2" t="s">
        <v>942</v>
      </c>
      <c r="B715" s="4">
        <v>43572</v>
      </c>
      <c r="C715" s="2" t="s">
        <v>943</v>
      </c>
      <c r="D715" t="s">
        <v>6180</v>
      </c>
      <c r="E715" s="2">
        <v>5</v>
      </c>
      <c r="F715" s="2" t="str">
        <f>_xlfn.XLOOKUP(C715,customers!$A$1:$A$1001,customers!$B$1:$B$1001,,0)</f>
        <v>Ami Arnow</v>
      </c>
      <c r="G715" s="2" t="str">
        <f>IF(_xlfn.XLOOKUP(C715,customers!$A$1:$A$1001,customers!$C$1:$C$1001,,0)=0,"",_xlfn.XLOOKUP(C715,customers!$A$1:$A$1001,customers!$C$1:$C$1001,,0))</f>
        <v>aarnow28@arizona.edu</v>
      </c>
      <c r="H715" s="2" t="str">
        <f>_xlfn.XLOOKUP(C715,customers!$A$1:$A$1001,customers!$G$1:$G$1001,,0)</f>
        <v>United States</v>
      </c>
      <c r="I715" t="str">
        <f>INDEX(products!$A$1:$G$49, MATCH(orders!$D82,products!$A$1:$A129,0), MATCH(orders!I$1,products!$A$1:$G$1,0))</f>
        <v>Ara</v>
      </c>
      <c r="J715" t="str">
        <f>INDEX(products!$A$1:$G$49, MATCH(orders!$D82,products!$A$1:$A129,0), MATCH(orders!J$1,products!$A$1:$G$1,0))</f>
        <v>L</v>
      </c>
      <c r="K715" s="5">
        <f>INDEX(products!$A$1:$G$49, MATCH(orders!$D82,products!$A$1:$A129,0), MATCH(orders!K$1,products!$A$1:$G$1,0))</f>
        <v>0.5</v>
      </c>
      <c r="L715" s="6">
        <f>INDEX(products!$A$1:$G$49, MATCH(orders!$D82,products!$A$1:$A129,0), MATCH(orders!L$1,products!$A$1:$G$1,0))</f>
        <v>7.77</v>
      </c>
      <c r="M715" s="6">
        <f t="shared" si="33"/>
        <v>38.849999999999994</v>
      </c>
      <c r="N715" t="str">
        <f t="shared" si="34"/>
        <v>Arabica</v>
      </c>
      <c r="O715" t="str">
        <f t="shared" si="35"/>
        <v>Light</v>
      </c>
      <c r="P715" t="str">
        <f>_xlfn.XLOOKUP(Orders[[#This Row],[Customer ID]],customers!$A$1:$A$1001,customers!$I$1:$I$1001,,0)</f>
        <v>Yes</v>
      </c>
      <c r="Q715">
        <f>COUNTIF(Orders[Order ID],Orders[[#This Row],[Order ID]])</f>
        <v>1</v>
      </c>
      <c r="R715" s="10">
        <f>SUMIF(Orders[Order ID], Orders[[#This Row],[Order ID]],Orders[Sales])/Orders[[#This Row],[Order Frequency]]</f>
        <v>38.849999999999994</v>
      </c>
      <c r="S715" t="str">
        <f>IF(Orders[[#This Row],[Order Frequency]]&gt;4, "More than 4", IF(AND(Orders[[#This Row],[Order Frequency]]&lt;=4,Orders[[#This Row],[Order Frequency]]&gt;=2), "Between 4 and 2", "Less than 2"))</f>
        <v>Less than 2</v>
      </c>
      <c r="T715" t="str">
        <f>IF(Orders[[#This Row],[Frequency Group]]="less than 2", "Low Value", IF(Orders[[#This Row],[Frequency Group]]="between 4 and 2", "Medium Value", "High Value"))</f>
        <v>Low Value</v>
      </c>
      <c r="U715" t="str">
        <f>IF(Orders[[#This Row],[Sales]]&lt;50, "$0-50", IF(AND(Orders[[#This Row],[Sales]]&gt;=50,Orders[[#This Row],[Sales]]&lt;=100), "$50-100", IF(AND(Orders[[#This Row],[Sales]]&gt;100,Orders[[#This Row],[Sales]]&lt;=150), "$101-150", "$150+")))</f>
        <v>$0-50</v>
      </c>
      <c r="V715" t="str">
        <f>IF(Orders[[#This Row],[Sales]]&gt;MEDIAN(M:M), "High Price", "Low Price")</f>
        <v>High Price</v>
      </c>
      <c r="W715" t="str">
        <f>IF(Orders[[#This Row],[Quantity]]&gt;MEDIAN(E:E), "High Volume", "Low Volume")</f>
        <v>High Volume</v>
      </c>
      <c r="X715" t="str">
        <f>Orders[[#This Row],[Sales Tier]] &amp; "-" &amp; Orders[[#This Row],[Quantity Tier]]</f>
        <v>High Price-High Volume</v>
      </c>
      <c r="Y715" t="str">
        <f>TEXT(Orders[[#This Row],[Order Date]], "mmmm")</f>
        <v>April</v>
      </c>
      <c r="Z71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715" t="str">
        <f>Orders[[#This Row],[Coffee Type Name]] &amp; "-" &amp; Orders[[#This Row],[Roast Type Name]]</f>
        <v>Arabica-Light</v>
      </c>
      <c r="AB71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716" spans="1:28" x14ac:dyDescent="0.25">
      <c r="A716" s="2" t="s">
        <v>4637</v>
      </c>
      <c r="B716" s="4">
        <v>43697</v>
      </c>
      <c r="C716" s="2" t="s">
        <v>4638</v>
      </c>
      <c r="D716" t="s">
        <v>6163</v>
      </c>
      <c r="E716" s="2">
        <v>5</v>
      </c>
      <c r="F716" s="2" t="str">
        <f>_xlfn.XLOOKUP(C716,customers!$A$1:$A$1001,customers!$B$1:$B$1001,,0)</f>
        <v>Alica Kift</v>
      </c>
      <c r="G716" s="2" t="str">
        <f>IF(_xlfn.XLOOKUP(C716,customers!$A$1:$A$1001,customers!$C$1:$C$1001,,0)=0,"",_xlfn.XLOOKUP(C716,customers!$A$1:$A$1001,customers!$C$1:$C$1001,,0))</f>
        <v/>
      </c>
      <c r="H716" s="2" t="str">
        <f>_xlfn.XLOOKUP(C716,customers!$A$1:$A$1001,customers!$G$1:$G$1001,,0)</f>
        <v>United States</v>
      </c>
      <c r="I716" t="str">
        <f>INDEX(products!$A$1:$G$49, MATCH(orders!$D736,products!$A$1:$A783,0), MATCH(orders!I$1,products!$A$1:$G$1,0))</f>
        <v>Rob</v>
      </c>
      <c r="J716" t="str">
        <f>INDEX(products!$A$1:$G$49, MATCH(orders!$D736,products!$A$1:$A783,0), MATCH(orders!J$1,products!$A$1:$G$1,0))</f>
        <v>D</v>
      </c>
      <c r="K716" s="5">
        <f>INDEX(products!$A$1:$G$49, MATCH(orders!$D736,products!$A$1:$A783,0), MATCH(orders!K$1,products!$A$1:$G$1,0))</f>
        <v>0.2</v>
      </c>
      <c r="L716" s="6">
        <f>INDEX(products!$A$1:$G$49, MATCH(orders!$D736,products!$A$1:$A783,0), MATCH(orders!L$1,products!$A$1:$G$1,0))</f>
        <v>2.6849999999999996</v>
      </c>
      <c r="M716" s="6">
        <f t="shared" si="33"/>
        <v>13.424999999999997</v>
      </c>
      <c r="N716" t="str">
        <f t="shared" si="34"/>
        <v>Robusta</v>
      </c>
      <c r="O716" t="str">
        <f t="shared" si="35"/>
        <v>Dark</v>
      </c>
      <c r="P716" t="str">
        <f>_xlfn.XLOOKUP(Orders[[#This Row],[Customer ID]],customers!$A$1:$A$1001,customers!$I$1:$I$1001,,0)</f>
        <v>No</v>
      </c>
      <c r="Q716">
        <f>COUNTIF(Orders[Order ID],Orders[[#This Row],[Order ID]])</f>
        <v>1</v>
      </c>
      <c r="R716" s="10">
        <f>SUMIF(Orders[Order ID], Orders[[#This Row],[Order ID]],Orders[Sales])/Orders[[#This Row],[Order Frequency]]</f>
        <v>13.424999999999997</v>
      </c>
      <c r="S716" t="str">
        <f>IF(Orders[[#This Row],[Order Frequency]]&gt;4, "More than 4", IF(AND(Orders[[#This Row],[Order Frequency]]&lt;=4,Orders[[#This Row],[Order Frequency]]&gt;=2), "Between 4 and 2", "Less than 2"))</f>
        <v>Less than 2</v>
      </c>
      <c r="T716" t="str">
        <f>IF(Orders[[#This Row],[Frequency Group]]="less than 2", "Low Value", IF(Orders[[#This Row],[Frequency Group]]="between 4 and 2", "Medium Value", "High Value"))</f>
        <v>Low Value</v>
      </c>
      <c r="U716" t="str">
        <f>IF(Orders[[#This Row],[Sales]]&lt;50, "$0-50", IF(AND(Orders[[#This Row],[Sales]]&gt;=50,Orders[[#This Row],[Sales]]&lt;=100), "$50-100", IF(AND(Orders[[#This Row],[Sales]]&gt;100,Orders[[#This Row],[Sales]]&lt;=150), "$101-150", "$150+")))</f>
        <v>$0-50</v>
      </c>
      <c r="V716" t="str">
        <f>IF(Orders[[#This Row],[Sales]]&gt;MEDIAN(M:M), "High Price", "Low Price")</f>
        <v>Low Price</v>
      </c>
      <c r="W716" t="str">
        <f>IF(Orders[[#This Row],[Quantity]]&gt;MEDIAN(E:E), "High Volume", "Low Volume")</f>
        <v>High Volume</v>
      </c>
      <c r="X716" t="str">
        <f>Orders[[#This Row],[Sales Tier]] &amp; "-" &amp; Orders[[#This Row],[Quantity Tier]]</f>
        <v>Low Price-High Volume</v>
      </c>
      <c r="Y716" t="str">
        <f>TEXT(Orders[[#This Row],[Order Date]], "mmmm")</f>
        <v>August</v>
      </c>
      <c r="Z71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716" t="str">
        <f>Orders[[#This Row],[Coffee Type Name]] &amp; "-" &amp; Orders[[#This Row],[Roast Type Name]]</f>
        <v>Robusta-Dark</v>
      </c>
      <c r="AB71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717" spans="1:28" x14ac:dyDescent="0.25">
      <c r="A717" s="2" t="s">
        <v>2876</v>
      </c>
      <c r="B717" s="4">
        <v>44431</v>
      </c>
      <c r="C717" s="2" t="s">
        <v>2877</v>
      </c>
      <c r="D717" t="s">
        <v>6176</v>
      </c>
      <c r="E717" s="2">
        <v>3</v>
      </c>
      <c r="F717" s="2" t="str">
        <f>_xlfn.XLOOKUP(C717,customers!$A$1:$A$1001,customers!$B$1:$B$1001,,0)</f>
        <v>Yulma Dombrell</v>
      </c>
      <c r="G717" s="2" t="str">
        <f>IF(_xlfn.XLOOKUP(C717,customers!$A$1:$A$1001,customers!$C$1:$C$1001,,0)=0,"",_xlfn.XLOOKUP(C717,customers!$A$1:$A$1001,customers!$C$1:$C$1001,,0))</f>
        <v>ydombrellbs@dedecms.com</v>
      </c>
      <c r="H717" s="2" t="str">
        <f>_xlfn.XLOOKUP(C717,customers!$A$1:$A$1001,customers!$G$1:$G$1001,,0)</f>
        <v>United States</v>
      </c>
      <c r="I717" t="str">
        <f>INDEX(products!$A$1:$G$49, MATCH(orders!$D426,products!$A$1:$A473,0), MATCH(orders!I$1,products!$A$1:$G$1,0))</f>
        <v>Exc</v>
      </c>
      <c r="J717" t="str">
        <f>INDEX(products!$A$1:$G$49, MATCH(orders!$D426,products!$A$1:$A473,0), MATCH(orders!J$1,products!$A$1:$G$1,0))</f>
        <v>L</v>
      </c>
      <c r="K717" s="5">
        <f>INDEX(products!$A$1:$G$49, MATCH(orders!$D426,products!$A$1:$A473,0), MATCH(orders!K$1,products!$A$1:$G$1,0))</f>
        <v>0.5</v>
      </c>
      <c r="L717" s="6">
        <f>INDEX(products!$A$1:$G$49, MATCH(orders!$D426,products!$A$1:$A473,0), MATCH(orders!L$1,products!$A$1:$G$1,0))</f>
        <v>8.91</v>
      </c>
      <c r="M717" s="6">
        <f t="shared" si="33"/>
        <v>26.73</v>
      </c>
      <c r="N717" t="str">
        <f t="shared" si="34"/>
        <v>Excelsa</v>
      </c>
      <c r="O717" t="str">
        <f t="shared" si="35"/>
        <v>Light</v>
      </c>
      <c r="P717" t="str">
        <f>_xlfn.XLOOKUP(Orders[[#This Row],[Customer ID]],customers!$A$1:$A$1001,customers!$I$1:$I$1001,,0)</f>
        <v>Yes</v>
      </c>
      <c r="Q717">
        <f>COUNTIF(Orders[Order ID],Orders[[#This Row],[Order ID]])</f>
        <v>1</v>
      </c>
      <c r="R717" s="10">
        <f>SUMIF(Orders[Order ID], Orders[[#This Row],[Order ID]],Orders[Sales])/Orders[[#This Row],[Order Frequency]]</f>
        <v>26.73</v>
      </c>
      <c r="S717" t="str">
        <f>IF(Orders[[#This Row],[Order Frequency]]&gt;4, "More than 4", IF(AND(Orders[[#This Row],[Order Frequency]]&lt;=4,Orders[[#This Row],[Order Frequency]]&gt;=2), "Between 4 and 2", "Less than 2"))</f>
        <v>Less than 2</v>
      </c>
      <c r="T717" t="str">
        <f>IF(Orders[[#This Row],[Frequency Group]]="less than 2", "Low Value", IF(Orders[[#This Row],[Frequency Group]]="between 4 and 2", "Medium Value", "High Value"))</f>
        <v>Low Value</v>
      </c>
      <c r="U717" t="str">
        <f>IF(Orders[[#This Row],[Sales]]&lt;50, "$0-50", IF(AND(Orders[[#This Row],[Sales]]&gt;=50,Orders[[#This Row],[Sales]]&lt;=100), "$50-100", IF(AND(Orders[[#This Row],[Sales]]&gt;100,Orders[[#This Row],[Sales]]&lt;=150), "$101-150", "$150+")))</f>
        <v>$0-50</v>
      </c>
      <c r="V717" t="str">
        <f>IF(Orders[[#This Row],[Sales]]&gt;MEDIAN(M:M), "High Price", "Low Price")</f>
        <v>Low Price</v>
      </c>
      <c r="W717" t="str">
        <f>IF(Orders[[#This Row],[Quantity]]&gt;MEDIAN(E:E), "High Volume", "Low Volume")</f>
        <v>Low Volume</v>
      </c>
      <c r="X717" t="str">
        <f>Orders[[#This Row],[Sales Tier]] &amp; "-" &amp; Orders[[#This Row],[Quantity Tier]]</f>
        <v>Low Price-Low Volume</v>
      </c>
      <c r="Y717" t="str">
        <f>TEXT(Orders[[#This Row],[Order Date]], "mmmm")</f>
        <v>August</v>
      </c>
      <c r="Z71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717" t="str">
        <f>Orders[[#This Row],[Coffee Type Name]] &amp; "-" &amp; Orders[[#This Row],[Roast Type Name]]</f>
        <v>Excelsa-Light</v>
      </c>
      <c r="AB71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718" spans="1:28" x14ac:dyDescent="0.25">
      <c r="A718" s="2" t="s">
        <v>3027</v>
      </c>
      <c r="B718" s="4">
        <v>44207</v>
      </c>
      <c r="C718" s="2" t="s">
        <v>3028</v>
      </c>
      <c r="D718" t="s">
        <v>6145</v>
      </c>
      <c r="E718" s="2">
        <v>5</v>
      </c>
      <c r="F718" s="2" t="str">
        <f>_xlfn.XLOOKUP(C718,customers!$A$1:$A$1001,customers!$B$1:$B$1001,,0)</f>
        <v>Sim Pamphilon</v>
      </c>
      <c r="G718" s="2" t="str">
        <f>IF(_xlfn.XLOOKUP(C718,customers!$A$1:$A$1001,customers!$C$1:$C$1001,,0)=0,"",_xlfn.XLOOKUP(C718,customers!$A$1:$A$1001,customers!$C$1:$C$1001,,0))</f>
        <v>spamphilonci@mlb.com</v>
      </c>
      <c r="H718" s="2" t="str">
        <f>_xlfn.XLOOKUP(C718,customers!$A$1:$A$1001,customers!$G$1:$G$1001,,0)</f>
        <v>Ireland</v>
      </c>
      <c r="I718" t="str">
        <f>INDEX(products!$A$1:$G$49, MATCH(orders!$D452,products!$A$1:$A499,0), MATCH(orders!I$1,products!$A$1:$G$1,0))</f>
        <v>Lib</v>
      </c>
      <c r="J718" t="str">
        <f>INDEX(products!$A$1:$G$49, MATCH(orders!$D452,products!$A$1:$A499,0), MATCH(orders!J$1,products!$A$1:$G$1,0))</f>
        <v>L</v>
      </c>
      <c r="K718" s="5">
        <f>INDEX(products!$A$1:$G$49, MATCH(orders!$D452,products!$A$1:$A499,0), MATCH(orders!K$1,products!$A$1:$G$1,0))</f>
        <v>0.2</v>
      </c>
      <c r="L718" s="6">
        <f>INDEX(products!$A$1:$G$49, MATCH(orders!$D452,products!$A$1:$A499,0), MATCH(orders!L$1,products!$A$1:$G$1,0))</f>
        <v>4.7549999999999999</v>
      </c>
      <c r="M718" s="6">
        <f t="shared" si="33"/>
        <v>23.774999999999999</v>
      </c>
      <c r="N718" t="str">
        <f t="shared" si="34"/>
        <v>Liberica</v>
      </c>
      <c r="O718" t="str">
        <f t="shared" si="35"/>
        <v>Light</v>
      </c>
      <c r="P718" t="str">
        <f>_xlfn.XLOOKUP(Orders[[#This Row],[Customer ID]],customers!$A$1:$A$1001,customers!$I$1:$I$1001,,0)</f>
        <v>No</v>
      </c>
      <c r="Q718">
        <f>COUNTIF(Orders[Order ID],Orders[[#This Row],[Order ID]])</f>
        <v>1</v>
      </c>
      <c r="R718" s="10">
        <f>SUMIF(Orders[Order ID], Orders[[#This Row],[Order ID]],Orders[Sales])/Orders[[#This Row],[Order Frequency]]</f>
        <v>23.774999999999999</v>
      </c>
      <c r="S718" t="str">
        <f>IF(Orders[[#This Row],[Order Frequency]]&gt;4, "More than 4", IF(AND(Orders[[#This Row],[Order Frequency]]&lt;=4,Orders[[#This Row],[Order Frequency]]&gt;=2), "Between 4 and 2", "Less than 2"))</f>
        <v>Less than 2</v>
      </c>
      <c r="T718" t="str">
        <f>IF(Orders[[#This Row],[Frequency Group]]="less than 2", "Low Value", IF(Orders[[#This Row],[Frequency Group]]="between 4 and 2", "Medium Value", "High Value"))</f>
        <v>Low Value</v>
      </c>
      <c r="U718" t="str">
        <f>IF(Orders[[#This Row],[Sales]]&lt;50, "$0-50", IF(AND(Orders[[#This Row],[Sales]]&gt;=50,Orders[[#This Row],[Sales]]&lt;=100), "$50-100", IF(AND(Orders[[#This Row],[Sales]]&gt;100,Orders[[#This Row],[Sales]]&lt;=150), "$101-150", "$150+")))</f>
        <v>$0-50</v>
      </c>
      <c r="V718" t="str">
        <f>IF(Orders[[#This Row],[Sales]]&gt;MEDIAN(M:M), "High Price", "Low Price")</f>
        <v>Low Price</v>
      </c>
      <c r="W718" t="str">
        <f>IF(Orders[[#This Row],[Quantity]]&gt;MEDIAN(E:E), "High Volume", "Low Volume")</f>
        <v>High Volume</v>
      </c>
      <c r="X718" t="str">
        <f>Orders[[#This Row],[Sales Tier]] &amp; "-" &amp; Orders[[#This Row],[Quantity Tier]]</f>
        <v>Low Price-High Volume</v>
      </c>
      <c r="Y718" t="str">
        <f>TEXT(Orders[[#This Row],[Order Date]], "mmmm")</f>
        <v>January</v>
      </c>
      <c r="Z71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18" t="str">
        <f>Orders[[#This Row],[Coffee Type Name]] &amp; "-" &amp; Orders[[#This Row],[Roast Type Name]]</f>
        <v>Liberica-Light</v>
      </c>
      <c r="AB71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719" spans="1:28" x14ac:dyDescent="0.25">
      <c r="A719" s="2" t="s">
        <v>4591</v>
      </c>
      <c r="B719" s="4">
        <v>44571</v>
      </c>
      <c r="C719" s="2" t="s">
        <v>4592</v>
      </c>
      <c r="D719" t="s">
        <v>6164</v>
      </c>
      <c r="E719" s="2">
        <v>4</v>
      </c>
      <c r="F719" s="2" t="str">
        <f>_xlfn.XLOOKUP(C719,customers!$A$1:$A$1001,customers!$B$1:$B$1001,,0)</f>
        <v>Derrek Allpress</v>
      </c>
      <c r="G719" s="2" t="str">
        <f>IF(_xlfn.XLOOKUP(C719,customers!$A$1:$A$1001,customers!$C$1:$C$1001,,0)=0,"",_xlfn.XLOOKUP(C719,customers!$A$1:$A$1001,customers!$C$1:$C$1001,,0))</f>
        <v/>
      </c>
      <c r="H719" s="2" t="str">
        <f>_xlfn.XLOOKUP(C719,customers!$A$1:$A$1001,customers!$G$1:$G$1001,,0)</f>
        <v>United States</v>
      </c>
      <c r="I719" t="str">
        <f>INDEX(products!$A$1:$G$49, MATCH(orders!$D728,products!$A$1:$A775,0), MATCH(orders!I$1,products!$A$1:$G$1,0))</f>
        <v>Lib</v>
      </c>
      <c r="J719" t="str">
        <f>INDEX(products!$A$1:$G$49, MATCH(orders!$D728,products!$A$1:$A775,0), MATCH(orders!J$1,products!$A$1:$G$1,0))</f>
        <v>L</v>
      </c>
      <c r="K719" s="5">
        <f>INDEX(products!$A$1:$G$49, MATCH(orders!$D728,products!$A$1:$A775,0), MATCH(orders!K$1,products!$A$1:$G$1,0))</f>
        <v>2.5</v>
      </c>
      <c r="L719" s="6">
        <f>INDEX(products!$A$1:$G$49, MATCH(orders!$D728,products!$A$1:$A775,0), MATCH(orders!L$1,products!$A$1:$G$1,0))</f>
        <v>36.454999999999998</v>
      </c>
      <c r="M719" s="6">
        <f t="shared" si="33"/>
        <v>145.82</v>
      </c>
      <c r="N719" t="str">
        <f t="shared" si="34"/>
        <v>Liberica</v>
      </c>
      <c r="O719" t="str">
        <f t="shared" si="35"/>
        <v>Light</v>
      </c>
      <c r="P719" t="str">
        <f>_xlfn.XLOOKUP(Orders[[#This Row],[Customer ID]],customers!$A$1:$A$1001,customers!$I$1:$I$1001,,0)</f>
        <v>No</v>
      </c>
      <c r="Q719">
        <f>COUNTIF(Orders[Order ID],Orders[[#This Row],[Order ID]])</f>
        <v>1</v>
      </c>
      <c r="R719" s="10">
        <f>SUMIF(Orders[Order ID], Orders[[#This Row],[Order ID]],Orders[Sales])/Orders[[#This Row],[Order Frequency]]</f>
        <v>145.82</v>
      </c>
      <c r="S719" t="str">
        <f>IF(Orders[[#This Row],[Order Frequency]]&gt;4, "More than 4", IF(AND(Orders[[#This Row],[Order Frequency]]&lt;=4,Orders[[#This Row],[Order Frequency]]&gt;=2), "Between 4 and 2", "Less than 2"))</f>
        <v>Less than 2</v>
      </c>
      <c r="T719" t="str">
        <f>IF(Orders[[#This Row],[Frequency Group]]="less than 2", "Low Value", IF(Orders[[#This Row],[Frequency Group]]="between 4 and 2", "Medium Value", "High Value"))</f>
        <v>Low Value</v>
      </c>
      <c r="U719" t="str">
        <f>IF(Orders[[#This Row],[Sales]]&lt;50, "$0-50", IF(AND(Orders[[#This Row],[Sales]]&gt;=50,Orders[[#This Row],[Sales]]&lt;=100), "$50-100", IF(AND(Orders[[#This Row],[Sales]]&gt;100,Orders[[#This Row],[Sales]]&lt;=150), "$101-150", "$150+")))</f>
        <v>$101-150</v>
      </c>
      <c r="V719" t="str">
        <f>IF(Orders[[#This Row],[Sales]]&gt;MEDIAN(M:M), "High Price", "Low Price")</f>
        <v>High Price</v>
      </c>
      <c r="W719" t="str">
        <f>IF(Orders[[#This Row],[Quantity]]&gt;MEDIAN(E:E), "High Volume", "Low Volume")</f>
        <v>Low Volume</v>
      </c>
      <c r="X719" t="str">
        <f>Orders[[#This Row],[Sales Tier]] &amp; "-" &amp; Orders[[#This Row],[Quantity Tier]]</f>
        <v>High Price-Low Volume</v>
      </c>
      <c r="Y719" t="str">
        <f>TEXT(Orders[[#This Row],[Order Date]], "mmmm")</f>
        <v>January</v>
      </c>
      <c r="Z71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19" t="str">
        <f>Orders[[#This Row],[Coffee Type Name]] &amp; "-" &amp; Orders[[#This Row],[Roast Type Name]]</f>
        <v>Liberica-Light</v>
      </c>
      <c r="AB71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720" spans="1:28" x14ac:dyDescent="0.25">
      <c r="A720" s="2" t="s">
        <v>5333</v>
      </c>
      <c r="B720" s="4">
        <v>43889</v>
      </c>
      <c r="C720" s="2" t="s">
        <v>5334</v>
      </c>
      <c r="D720" t="s">
        <v>6142</v>
      </c>
      <c r="E720" s="2">
        <v>5</v>
      </c>
      <c r="F720" s="2" t="str">
        <f>_xlfn.XLOOKUP(C720,customers!$A$1:$A$1001,customers!$B$1:$B$1001,,0)</f>
        <v>Joceline Reddoch</v>
      </c>
      <c r="G720" s="2" t="str">
        <f>IF(_xlfn.XLOOKUP(C720,customers!$A$1:$A$1001,customers!$C$1:$C$1001,,0)=0,"",_xlfn.XLOOKUP(C720,customers!$A$1:$A$1001,customers!$C$1:$C$1001,,0))</f>
        <v>jreddochnt@sun.com</v>
      </c>
      <c r="H720" s="2" t="str">
        <f>_xlfn.XLOOKUP(C720,customers!$A$1:$A$1001,customers!$G$1:$G$1001,,0)</f>
        <v>United States</v>
      </c>
      <c r="I720" t="str">
        <f>INDEX(products!$A$1:$G$49, MATCH(orders!$D859,products!$A$1:$A906,0), MATCH(orders!I$1,products!$A$1:$G$1,0))</f>
        <v>Rob</v>
      </c>
      <c r="J720" t="str">
        <f>INDEX(products!$A$1:$G$49, MATCH(orders!$D859,products!$A$1:$A906,0), MATCH(orders!J$1,products!$A$1:$G$1,0))</f>
        <v>L</v>
      </c>
      <c r="K720" s="5">
        <f>INDEX(products!$A$1:$G$49, MATCH(orders!$D859,products!$A$1:$A906,0), MATCH(orders!K$1,products!$A$1:$G$1,0))</f>
        <v>2.5</v>
      </c>
      <c r="L720" s="6">
        <f>INDEX(products!$A$1:$G$49, MATCH(orders!$D859,products!$A$1:$A906,0), MATCH(orders!L$1,products!$A$1:$G$1,0))</f>
        <v>27.484999999999996</v>
      </c>
      <c r="M720" s="6">
        <f t="shared" si="33"/>
        <v>137.42499999999998</v>
      </c>
      <c r="N720" t="str">
        <f t="shared" si="34"/>
        <v>Robusta</v>
      </c>
      <c r="O720" t="str">
        <f t="shared" si="35"/>
        <v>Light</v>
      </c>
      <c r="P720" t="str">
        <f>_xlfn.XLOOKUP(Orders[[#This Row],[Customer ID]],customers!$A$1:$A$1001,customers!$I$1:$I$1001,,0)</f>
        <v>No</v>
      </c>
      <c r="Q720">
        <f>COUNTIF(Orders[Order ID],Orders[[#This Row],[Order ID]])</f>
        <v>1</v>
      </c>
      <c r="R720" s="10">
        <f>SUMIF(Orders[Order ID], Orders[[#This Row],[Order ID]],Orders[Sales])/Orders[[#This Row],[Order Frequency]]</f>
        <v>137.42499999999998</v>
      </c>
      <c r="S720" t="str">
        <f>IF(Orders[[#This Row],[Order Frequency]]&gt;4, "More than 4", IF(AND(Orders[[#This Row],[Order Frequency]]&lt;=4,Orders[[#This Row],[Order Frequency]]&gt;=2), "Between 4 and 2", "Less than 2"))</f>
        <v>Less than 2</v>
      </c>
      <c r="T720" t="str">
        <f>IF(Orders[[#This Row],[Frequency Group]]="less than 2", "Low Value", IF(Orders[[#This Row],[Frequency Group]]="between 4 and 2", "Medium Value", "High Value"))</f>
        <v>Low Value</v>
      </c>
      <c r="U720" t="str">
        <f>IF(Orders[[#This Row],[Sales]]&lt;50, "$0-50", IF(AND(Orders[[#This Row],[Sales]]&gt;=50,Orders[[#This Row],[Sales]]&lt;=100), "$50-100", IF(AND(Orders[[#This Row],[Sales]]&gt;100,Orders[[#This Row],[Sales]]&lt;=150), "$101-150", "$150+")))</f>
        <v>$101-150</v>
      </c>
      <c r="V720" t="str">
        <f>IF(Orders[[#This Row],[Sales]]&gt;MEDIAN(M:M), "High Price", "Low Price")</f>
        <v>High Price</v>
      </c>
      <c r="W720" t="str">
        <f>IF(Orders[[#This Row],[Quantity]]&gt;MEDIAN(E:E), "High Volume", "Low Volume")</f>
        <v>High Volume</v>
      </c>
      <c r="X720" t="str">
        <f>Orders[[#This Row],[Sales Tier]] &amp; "-" &amp; Orders[[#This Row],[Quantity Tier]]</f>
        <v>High Price-High Volume</v>
      </c>
      <c r="Y720" t="str">
        <f>TEXT(Orders[[#This Row],[Order Date]], "mmmm")</f>
        <v>February</v>
      </c>
      <c r="Z72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20" t="str">
        <f>Orders[[#This Row],[Coffee Type Name]] &amp; "-" &amp; Orders[[#This Row],[Roast Type Name]]</f>
        <v>Robusta-Light</v>
      </c>
      <c r="AB72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721" spans="1:28" x14ac:dyDescent="0.25">
      <c r="A721" s="2" t="s">
        <v>5585</v>
      </c>
      <c r="B721" s="4">
        <v>44223</v>
      </c>
      <c r="C721" s="2" t="s">
        <v>5586</v>
      </c>
      <c r="D721" t="s">
        <v>6178</v>
      </c>
      <c r="E721" s="2">
        <v>1</v>
      </c>
      <c r="F721" s="2" t="str">
        <f>_xlfn.XLOOKUP(C721,customers!$A$1:$A$1001,customers!$B$1:$B$1001,,0)</f>
        <v>Drake Jevon</v>
      </c>
      <c r="G721" s="2" t="str">
        <f>IF(_xlfn.XLOOKUP(C721,customers!$A$1:$A$1001,customers!$C$1:$C$1001,,0)=0,"",_xlfn.XLOOKUP(C721,customers!$A$1:$A$1001,customers!$C$1:$C$1001,,0))</f>
        <v>djevonp1@ibm.com</v>
      </c>
      <c r="H721" s="2" t="str">
        <f>_xlfn.XLOOKUP(C721,customers!$A$1:$A$1001,customers!$G$1:$G$1001,,0)</f>
        <v>United States</v>
      </c>
      <c r="I721" t="str">
        <f>INDEX(products!$A$1:$G$49, MATCH(orders!$D903,products!$A$1:$A950,0), MATCH(orders!I$1,products!$A$1:$G$1,0))</f>
        <v>Rob</v>
      </c>
      <c r="J721" t="str">
        <f>INDEX(products!$A$1:$G$49, MATCH(orders!$D903,products!$A$1:$A950,0), MATCH(orders!J$1,products!$A$1:$G$1,0))</f>
        <v>L</v>
      </c>
      <c r="K721" s="5">
        <f>INDEX(products!$A$1:$G$49, MATCH(orders!$D903,products!$A$1:$A950,0), MATCH(orders!K$1,products!$A$1:$G$1,0))</f>
        <v>0.2</v>
      </c>
      <c r="L721" s="6">
        <f>INDEX(products!$A$1:$G$49, MATCH(orders!$D903,products!$A$1:$A950,0), MATCH(orders!L$1,products!$A$1:$G$1,0))</f>
        <v>3.5849999999999995</v>
      </c>
      <c r="M721" s="6">
        <f t="shared" si="33"/>
        <v>3.5849999999999995</v>
      </c>
      <c r="N721" t="str">
        <f t="shared" si="34"/>
        <v>Robusta</v>
      </c>
      <c r="O721" t="str">
        <f t="shared" si="35"/>
        <v>Light</v>
      </c>
      <c r="P721" t="str">
        <f>_xlfn.XLOOKUP(Orders[[#This Row],[Customer ID]],customers!$A$1:$A$1001,customers!$I$1:$I$1001,,0)</f>
        <v>Yes</v>
      </c>
      <c r="Q721">
        <f>COUNTIF(Orders[Order ID],Orders[[#This Row],[Order ID]])</f>
        <v>1</v>
      </c>
      <c r="R721" s="10">
        <f>SUMIF(Orders[Order ID], Orders[[#This Row],[Order ID]],Orders[Sales])/Orders[[#This Row],[Order Frequency]]</f>
        <v>3.5849999999999995</v>
      </c>
      <c r="S721" t="str">
        <f>IF(Orders[[#This Row],[Order Frequency]]&gt;4, "More than 4", IF(AND(Orders[[#This Row],[Order Frequency]]&lt;=4,Orders[[#This Row],[Order Frequency]]&gt;=2), "Between 4 and 2", "Less than 2"))</f>
        <v>Less than 2</v>
      </c>
      <c r="T721" t="str">
        <f>IF(Orders[[#This Row],[Frequency Group]]="less than 2", "Low Value", IF(Orders[[#This Row],[Frequency Group]]="between 4 and 2", "Medium Value", "High Value"))</f>
        <v>Low Value</v>
      </c>
      <c r="U721" t="str">
        <f>IF(Orders[[#This Row],[Sales]]&lt;50, "$0-50", IF(AND(Orders[[#This Row],[Sales]]&gt;=50,Orders[[#This Row],[Sales]]&lt;=100), "$50-100", IF(AND(Orders[[#This Row],[Sales]]&gt;100,Orders[[#This Row],[Sales]]&lt;=150), "$101-150", "$150+")))</f>
        <v>$0-50</v>
      </c>
      <c r="V721" t="str">
        <f>IF(Orders[[#This Row],[Sales]]&gt;MEDIAN(M:M), "High Price", "Low Price")</f>
        <v>Low Price</v>
      </c>
      <c r="W721" t="str">
        <f>IF(Orders[[#This Row],[Quantity]]&gt;MEDIAN(E:E), "High Volume", "Low Volume")</f>
        <v>Low Volume</v>
      </c>
      <c r="X721" t="str">
        <f>Orders[[#This Row],[Sales Tier]] &amp; "-" &amp; Orders[[#This Row],[Quantity Tier]]</f>
        <v>Low Price-Low Volume</v>
      </c>
      <c r="Y721" t="str">
        <f>TEXT(Orders[[#This Row],[Order Date]], "mmmm")</f>
        <v>January</v>
      </c>
      <c r="Z72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21" t="str">
        <f>Orders[[#This Row],[Coffee Type Name]] &amp; "-" &amp; Orders[[#This Row],[Roast Type Name]]</f>
        <v>Robusta-Light</v>
      </c>
      <c r="AB72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722" spans="1:28" x14ac:dyDescent="0.25">
      <c r="A722" s="2" t="s">
        <v>2262</v>
      </c>
      <c r="B722" s="4">
        <v>44437</v>
      </c>
      <c r="C722" s="2" t="s">
        <v>2263</v>
      </c>
      <c r="D722" t="s">
        <v>6177</v>
      </c>
      <c r="E722" s="2">
        <v>5</v>
      </c>
      <c r="F722" s="2" t="str">
        <f>_xlfn.XLOOKUP(C722,customers!$A$1:$A$1001,customers!$B$1:$B$1001,,0)</f>
        <v>Stacy Pickworth</v>
      </c>
      <c r="G722" s="2" t="str">
        <f>IF(_xlfn.XLOOKUP(C722,customers!$A$1:$A$1001,customers!$C$1:$C$1001,,0)=0,"",_xlfn.XLOOKUP(C722,customers!$A$1:$A$1001,customers!$C$1:$C$1001,,0))</f>
        <v/>
      </c>
      <c r="H722" s="2" t="str">
        <f>_xlfn.XLOOKUP(C722,customers!$A$1:$A$1001,customers!$G$1:$G$1001,,0)</f>
        <v>United States</v>
      </c>
      <c r="I722" t="str">
        <f>INDEX(products!$A$1:$G$49, MATCH(orders!$D316,products!$A$1:$A363,0), MATCH(orders!I$1,products!$A$1:$G$1,0))</f>
        <v>Rob</v>
      </c>
      <c r="J722" t="str">
        <f>INDEX(products!$A$1:$G$49, MATCH(orders!$D316,products!$A$1:$A363,0), MATCH(orders!J$1,products!$A$1:$G$1,0))</f>
        <v>D</v>
      </c>
      <c r="K722" s="5">
        <f>INDEX(products!$A$1:$G$49, MATCH(orders!$D316,products!$A$1:$A363,0), MATCH(orders!K$1,products!$A$1:$G$1,0))</f>
        <v>1</v>
      </c>
      <c r="L722" s="6">
        <f>INDEX(products!$A$1:$G$49, MATCH(orders!$D316,products!$A$1:$A363,0), MATCH(orders!L$1,products!$A$1:$G$1,0))</f>
        <v>8.9499999999999993</v>
      </c>
      <c r="M722" s="6">
        <f t="shared" si="33"/>
        <v>44.75</v>
      </c>
      <c r="N722" t="str">
        <f t="shared" si="34"/>
        <v>Robusta</v>
      </c>
      <c r="O722" t="str">
        <f t="shared" si="35"/>
        <v>Dark</v>
      </c>
      <c r="P722" t="str">
        <f>_xlfn.XLOOKUP(Orders[[#This Row],[Customer ID]],customers!$A$1:$A$1001,customers!$I$1:$I$1001,,0)</f>
        <v>No</v>
      </c>
      <c r="Q722">
        <f>COUNTIF(Orders[Order ID],Orders[[#This Row],[Order ID]])</f>
        <v>1</v>
      </c>
      <c r="R722" s="10">
        <f>SUMIF(Orders[Order ID], Orders[[#This Row],[Order ID]],Orders[Sales])/Orders[[#This Row],[Order Frequency]]</f>
        <v>44.75</v>
      </c>
      <c r="S722" t="str">
        <f>IF(Orders[[#This Row],[Order Frequency]]&gt;4, "More than 4", IF(AND(Orders[[#This Row],[Order Frequency]]&lt;=4,Orders[[#This Row],[Order Frequency]]&gt;=2), "Between 4 and 2", "Less than 2"))</f>
        <v>Less than 2</v>
      </c>
      <c r="T722" t="str">
        <f>IF(Orders[[#This Row],[Frequency Group]]="less than 2", "Low Value", IF(Orders[[#This Row],[Frequency Group]]="between 4 and 2", "Medium Value", "High Value"))</f>
        <v>Low Value</v>
      </c>
      <c r="U722" t="str">
        <f>IF(Orders[[#This Row],[Sales]]&lt;50, "$0-50", IF(AND(Orders[[#This Row],[Sales]]&gt;=50,Orders[[#This Row],[Sales]]&lt;=100), "$50-100", IF(AND(Orders[[#This Row],[Sales]]&gt;100,Orders[[#This Row],[Sales]]&lt;=150), "$101-150", "$150+")))</f>
        <v>$0-50</v>
      </c>
      <c r="V722" t="str">
        <f>IF(Orders[[#This Row],[Sales]]&gt;MEDIAN(M:M), "High Price", "Low Price")</f>
        <v>High Price</v>
      </c>
      <c r="W722" t="str">
        <f>IF(Orders[[#This Row],[Quantity]]&gt;MEDIAN(E:E), "High Volume", "Low Volume")</f>
        <v>High Volume</v>
      </c>
      <c r="X722" t="str">
        <f>Orders[[#This Row],[Sales Tier]] &amp; "-" &amp; Orders[[#This Row],[Quantity Tier]]</f>
        <v>High Price-High Volume</v>
      </c>
      <c r="Y722" t="str">
        <f>TEXT(Orders[[#This Row],[Order Date]], "mmmm")</f>
        <v>August</v>
      </c>
      <c r="Z72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722" t="str">
        <f>Orders[[#This Row],[Coffee Type Name]] &amp; "-" &amp; Orders[[#This Row],[Roast Type Name]]</f>
        <v>Robusta-Dark</v>
      </c>
      <c r="AB72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723" spans="1:28" x14ac:dyDescent="0.25">
      <c r="A723" s="2" t="s">
        <v>2917</v>
      </c>
      <c r="B723" s="4">
        <v>44291</v>
      </c>
      <c r="C723" s="2" t="s">
        <v>2918</v>
      </c>
      <c r="D723" t="s">
        <v>6185</v>
      </c>
      <c r="E723" s="2">
        <v>3</v>
      </c>
      <c r="F723" s="2" t="str">
        <f>_xlfn.XLOOKUP(C723,customers!$A$1:$A$1001,customers!$B$1:$B$1001,,0)</f>
        <v>Witty Ranson</v>
      </c>
      <c r="G723" s="2" t="str">
        <f>IF(_xlfn.XLOOKUP(C723,customers!$A$1:$A$1001,customers!$C$1:$C$1001,,0)=0,"",_xlfn.XLOOKUP(C723,customers!$A$1:$A$1001,customers!$C$1:$C$1001,,0))</f>
        <v>wransonbz@ted.com</v>
      </c>
      <c r="H723" s="2" t="str">
        <f>_xlfn.XLOOKUP(C723,customers!$A$1:$A$1001,customers!$G$1:$G$1001,,0)</f>
        <v>Ireland</v>
      </c>
      <c r="I723" t="str">
        <f>INDEX(products!$A$1:$G$49, MATCH(orders!$D433,products!$A$1:$A480,0), MATCH(orders!I$1,products!$A$1:$G$1,0))</f>
        <v>Exc</v>
      </c>
      <c r="J723" t="str">
        <f>INDEX(products!$A$1:$G$49, MATCH(orders!$D433,products!$A$1:$A480,0), MATCH(orders!J$1,products!$A$1:$G$1,0))</f>
        <v>D</v>
      </c>
      <c r="K723" s="5">
        <f>INDEX(products!$A$1:$G$49, MATCH(orders!$D433,products!$A$1:$A480,0), MATCH(orders!K$1,products!$A$1:$G$1,0))</f>
        <v>2.5</v>
      </c>
      <c r="L723" s="6">
        <f>INDEX(products!$A$1:$G$49, MATCH(orders!$D433,products!$A$1:$A480,0), MATCH(orders!L$1,products!$A$1:$G$1,0))</f>
        <v>27.945</v>
      </c>
      <c r="M723" s="6">
        <f t="shared" si="33"/>
        <v>83.835000000000008</v>
      </c>
      <c r="N723" t="str">
        <f t="shared" si="34"/>
        <v>Excelsa</v>
      </c>
      <c r="O723" t="str">
        <f t="shared" si="35"/>
        <v>Dark</v>
      </c>
      <c r="P723" t="str">
        <f>_xlfn.XLOOKUP(Orders[[#This Row],[Customer ID]],customers!$A$1:$A$1001,customers!$I$1:$I$1001,,0)</f>
        <v>Yes</v>
      </c>
      <c r="Q723">
        <f>COUNTIF(Orders[Order ID],Orders[[#This Row],[Order ID]])</f>
        <v>1</v>
      </c>
      <c r="R723" s="10">
        <f>SUMIF(Orders[Order ID], Orders[[#This Row],[Order ID]],Orders[Sales])/Orders[[#This Row],[Order Frequency]]</f>
        <v>83.835000000000008</v>
      </c>
      <c r="S723" t="str">
        <f>IF(Orders[[#This Row],[Order Frequency]]&gt;4, "More than 4", IF(AND(Orders[[#This Row],[Order Frequency]]&lt;=4,Orders[[#This Row],[Order Frequency]]&gt;=2), "Between 4 and 2", "Less than 2"))</f>
        <v>Less than 2</v>
      </c>
      <c r="T723" t="str">
        <f>IF(Orders[[#This Row],[Frequency Group]]="less than 2", "Low Value", IF(Orders[[#This Row],[Frequency Group]]="between 4 and 2", "Medium Value", "High Value"))</f>
        <v>Low Value</v>
      </c>
      <c r="U723" t="str">
        <f>IF(Orders[[#This Row],[Sales]]&lt;50, "$0-50", IF(AND(Orders[[#This Row],[Sales]]&gt;=50,Orders[[#This Row],[Sales]]&lt;=100), "$50-100", IF(AND(Orders[[#This Row],[Sales]]&gt;100,Orders[[#This Row],[Sales]]&lt;=150), "$101-150", "$150+")))</f>
        <v>$50-100</v>
      </c>
      <c r="V723" t="str">
        <f>IF(Orders[[#This Row],[Sales]]&gt;MEDIAN(M:M), "High Price", "Low Price")</f>
        <v>High Price</v>
      </c>
      <c r="W723" t="str">
        <f>IF(Orders[[#This Row],[Quantity]]&gt;MEDIAN(E:E), "High Volume", "Low Volume")</f>
        <v>Low Volume</v>
      </c>
      <c r="X723" t="str">
        <f>Orders[[#This Row],[Sales Tier]] &amp; "-" &amp; Orders[[#This Row],[Quantity Tier]]</f>
        <v>High Price-Low Volume</v>
      </c>
      <c r="Y723" t="str">
        <f>TEXT(Orders[[#This Row],[Order Date]], "mmmm")</f>
        <v>April</v>
      </c>
      <c r="Z72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723" t="str">
        <f>Orders[[#This Row],[Coffee Type Name]] &amp; "-" &amp; Orders[[#This Row],[Roast Type Name]]</f>
        <v>Excelsa-Dark</v>
      </c>
      <c r="AB72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724" spans="1:28" x14ac:dyDescent="0.25">
      <c r="A724" s="2" t="s">
        <v>559</v>
      </c>
      <c r="B724" s="4">
        <v>44744</v>
      </c>
      <c r="C724" s="2" t="s">
        <v>560</v>
      </c>
      <c r="D724" t="s">
        <v>6138</v>
      </c>
      <c r="E724" s="2">
        <v>5</v>
      </c>
      <c r="F724" s="2" t="str">
        <f>_xlfn.XLOOKUP(C724,customers!$A$1:$A$1001,customers!$B$1:$B$1001,,0)</f>
        <v>Rosaleen Scholar</v>
      </c>
      <c r="G724" s="2" t="str">
        <f>IF(_xlfn.XLOOKUP(C724,customers!$A$1:$A$1001,customers!$C$1:$C$1001,,0)=0,"",_xlfn.XLOOKUP(C724,customers!$A$1:$A$1001,customers!$C$1:$C$1001,,0))</f>
        <v>rscholarc@nyu.edu</v>
      </c>
      <c r="H724" s="2" t="str">
        <f>_xlfn.XLOOKUP(C724,customers!$A$1:$A$1001,customers!$G$1:$G$1001,,0)</f>
        <v>United States</v>
      </c>
      <c r="I724" t="str">
        <f>INDEX(products!$A$1:$G$49, MATCH(orders!$D14,products!$A$1:$A61,0), MATCH(orders!I$1,products!$A$1:$G$1,0))</f>
        <v>Rob</v>
      </c>
      <c r="J724" t="str">
        <f>INDEX(products!$A$1:$G$49, MATCH(orders!$D14,products!$A$1:$A61,0), MATCH(orders!J$1,products!$A$1:$G$1,0))</f>
        <v>M</v>
      </c>
      <c r="K724" s="5">
        <f>INDEX(products!$A$1:$G$49, MATCH(orders!$D14,products!$A$1:$A61,0), MATCH(orders!K$1,products!$A$1:$G$1,0))</f>
        <v>1</v>
      </c>
      <c r="L724" s="6">
        <f>INDEX(products!$A$1:$G$49, MATCH(orders!$D14,products!$A$1:$A61,0), MATCH(orders!L$1,products!$A$1:$G$1,0))</f>
        <v>9.9499999999999993</v>
      </c>
      <c r="M724" s="6">
        <f t="shared" si="33"/>
        <v>49.75</v>
      </c>
      <c r="N724" t="str">
        <f t="shared" si="34"/>
        <v>Robusta</v>
      </c>
      <c r="O724" t="str">
        <f t="shared" si="35"/>
        <v>Medium</v>
      </c>
      <c r="P724" t="str">
        <f>_xlfn.XLOOKUP(Orders[[#This Row],[Customer ID]],customers!$A$1:$A$1001,customers!$I$1:$I$1001,,0)</f>
        <v>No</v>
      </c>
      <c r="Q724">
        <f>COUNTIF(Orders[Order ID],Orders[[#This Row],[Order ID]])</f>
        <v>1</v>
      </c>
      <c r="R724" s="10">
        <f>SUMIF(Orders[Order ID], Orders[[#This Row],[Order ID]],Orders[Sales])/Orders[[#This Row],[Order Frequency]]</f>
        <v>49.75</v>
      </c>
      <c r="S724" t="str">
        <f>IF(Orders[[#This Row],[Order Frequency]]&gt;4, "More than 4", IF(AND(Orders[[#This Row],[Order Frequency]]&lt;=4,Orders[[#This Row],[Order Frequency]]&gt;=2), "Between 4 and 2", "Less than 2"))</f>
        <v>Less than 2</v>
      </c>
      <c r="T724" t="str">
        <f>IF(Orders[[#This Row],[Frequency Group]]="less than 2", "Low Value", IF(Orders[[#This Row],[Frequency Group]]="between 4 and 2", "Medium Value", "High Value"))</f>
        <v>Low Value</v>
      </c>
      <c r="U724" t="str">
        <f>IF(Orders[[#This Row],[Sales]]&lt;50, "$0-50", IF(AND(Orders[[#This Row],[Sales]]&gt;=50,Orders[[#This Row],[Sales]]&lt;=100), "$50-100", IF(AND(Orders[[#This Row],[Sales]]&gt;100,Orders[[#This Row],[Sales]]&lt;=150), "$101-150", "$150+")))</f>
        <v>$0-50</v>
      </c>
      <c r="V724" t="str">
        <f>IF(Orders[[#This Row],[Sales]]&gt;MEDIAN(M:M), "High Price", "Low Price")</f>
        <v>High Price</v>
      </c>
      <c r="W724" t="str">
        <f>IF(Orders[[#This Row],[Quantity]]&gt;MEDIAN(E:E), "High Volume", "Low Volume")</f>
        <v>High Volume</v>
      </c>
      <c r="X724" t="str">
        <f>Orders[[#This Row],[Sales Tier]] &amp; "-" &amp; Orders[[#This Row],[Quantity Tier]]</f>
        <v>High Price-High Volume</v>
      </c>
      <c r="Y724" t="str">
        <f>TEXT(Orders[[#This Row],[Order Date]], "mmmm")</f>
        <v>July</v>
      </c>
      <c r="Z72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724" t="str">
        <f>Orders[[#This Row],[Coffee Type Name]] &amp; "-" &amp; Orders[[#This Row],[Roast Type Name]]</f>
        <v>Robusta-Medium</v>
      </c>
      <c r="AB72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725" spans="1:28" x14ac:dyDescent="0.25">
      <c r="A725" s="2" t="s">
        <v>5513</v>
      </c>
      <c r="B725" s="4">
        <v>44292</v>
      </c>
      <c r="C725" s="2" t="s">
        <v>5514</v>
      </c>
      <c r="D725" t="s">
        <v>6167</v>
      </c>
      <c r="E725" s="2">
        <v>2</v>
      </c>
      <c r="F725" s="2" t="str">
        <f>_xlfn.XLOOKUP(C725,customers!$A$1:$A$1001,customers!$B$1:$B$1001,,0)</f>
        <v>Blake Kelloway</v>
      </c>
      <c r="G725" s="2" t="str">
        <f>IF(_xlfn.XLOOKUP(C725,customers!$A$1:$A$1001,customers!$C$1:$C$1001,,0)=0,"",_xlfn.XLOOKUP(C725,customers!$A$1:$A$1001,customers!$C$1:$C$1001,,0))</f>
        <v>bkellowayoo@omniture.com</v>
      </c>
      <c r="H725" s="2" t="str">
        <f>_xlfn.XLOOKUP(C725,customers!$A$1:$A$1001,customers!$G$1:$G$1001,,0)</f>
        <v>United States</v>
      </c>
      <c r="I725" t="str">
        <f>INDEX(products!$A$1:$G$49, MATCH(orders!$D890,products!$A$1:$A937,0), MATCH(orders!I$1,products!$A$1:$G$1,0))</f>
        <v>Ara</v>
      </c>
      <c r="J725" t="str">
        <f>INDEX(products!$A$1:$G$49, MATCH(orders!$D890,products!$A$1:$A937,0), MATCH(orders!J$1,products!$A$1:$G$1,0))</f>
        <v>L</v>
      </c>
      <c r="K725" s="5">
        <f>INDEX(products!$A$1:$G$49, MATCH(orders!$D890,products!$A$1:$A937,0), MATCH(orders!K$1,products!$A$1:$G$1,0))</f>
        <v>0.2</v>
      </c>
      <c r="L725" s="6">
        <f>INDEX(products!$A$1:$G$49, MATCH(orders!$D890,products!$A$1:$A937,0), MATCH(orders!L$1,products!$A$1:$G$1,0))</f>
        <v>3.8849999999999998</v>
      </c>
      <c r="M725" s="6">
        <f t="shared" si="33"/>
        <v>7.77</v>
      </c>
      <c r="N725" t="str">
        <f t="shared" si="34"/>
        <v>Arabica</v>
      </c>
      <c r="O725" t="str">
        <f t="shared" si="35"/>
        <v>Light</v>
      </c>
      <c r="P725" t="str">
        <f>_xlfn.XLOOKUP(Orders[[#This Row],[Customer ID]],customers!$A$1:$A$1001,customers!$I$1:$I$1001,,0)</f>
        <v>Yes</v>
      </c>
      <c r="Q725">
        <f>COUNTIF(Orders[Order ID],Orders[[#This Row],[Order ID]])</f>
        <v>1</v>
      </c>
      <c r="R725" s="10">
        <f>SUMIF(Orders[Order ID], Orders[[#This Row],[Order ID]],Orders[Sales])/Orders[[#This Row],[Order Frequency]]</f>
        <v>7.77</v>
      </c>
      <c r="S725" t="str">
        <f>IF(Orders[[#This Row],[Order Frequency]]&gt;4, "More than 4", IF(AND(Orders[[#This Row],[Order Frequency]]&lt;=4,Orders[[#This Row],[Order Frequency]]&gt;=2), "Between 4 and 2", "Less than 2"))</f>
        <v>Less than 2</v>
      </c>
      <c r="T725" t="str">
        <f>IF(Orders[[#This Row],[Frequency Group]]="less than 2", "Low Value", IF(Orders[[#This Row],[Frequency Group]]="between 4 and 2", "Medium Value", "High Value"))</f>
        <v>Low Value</v>
      </c>
      <c r="U725" t="str">
        <f>IF(Orders[[#This Row],[Sales]]&lt;50, "$0-50", IF(AND(Orders[[#This Row],[Sales]]&gt;=50,Orders[[#This Row],[Sales]]&lt;=100), "$50-100", IF(AND(Orders[[#This Row],[Sales]]&gt;100,Orders[[#This Row],[Sales]]&lt;=150), "$101-150", "$150+")))</f>
        <v>$0-50</v>
      </c>
      <c r="V725" t="str">
        <f>IF(Orders[[#This Row],[Sales]]&gt;MEDIAN(M:M), "High Price", "Low Price")</f>
        <v>Low Price</v>
      </c>
      <c r="W725" t="str">
        <f>IF(Orders[[#This Row],[Quantity]]&gt;MEDIAN(E:E), "High Volume", "Low Volume")</f>
        <v>Low Volume</v>
      </c>
      <c r="X725" t="str">
        <f>Orders[[#This Row],[Sales Tier]] &amp; "-" &amp; Orders[[#This Row],[Quantity Tier]]</f>
        <v>Low Price-Low Volume</v>
      </c>
      <c r="Y725" t="str">
        <f>TEXT(Orders[[#This Row],[Order Date]], "mmmm")</f>
        <v>April</v>
      </c>
      <c r="Z72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725" t="str">
        <f>Orders[[#This Row],[Coffee Type Name]] &amp; "-" &amp; Orders[[#This Row],[Roast Type Name]]</f>
        <v>Arabica-Light</v>
      </c>
      <c r="AB72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726" spans="1:28" x14ac:dyDescent="0.25">
      <c r="A726" s="2" t="s">
        <v>4456</v>
      </c>
      <c r="B726" s="4">
        <v>43661</v>
      </c>
      <c r="C726" s="2" t="s">
        <v>4457</v>
      </c>
      <c r="D726" t="s">
        <v>6180</v>
      </c>
      <c r="E726" s="2">
        <v>1</v>
      </c>
      <c r="F726" s="2" t="str">
        <f>_xlfn.XLOOKUP(C726,customers!$A$1:$A$1001,customers!$B$1:$B$1001,,0)</f>
        <v>Vivyan Dunning</v>
      </c>
      <c r="G726" s="2" t="str">
        <f>IF(_xlfn.XLOOKUP(C726,customers!$A$1:$A$1001,customers!$C$1:$C$1001,,0)=0,"",_xlfn.XLOOKUP(C726,customers!$A$1:$A$1001,customers!$C$1:$C$1001,,0))</f>
        <v>vdunningji@independent.co.uk</v>
      </c>
      <c r="H726" s="2" t="str">
        <f>_xlfn.XLOOKUP(C726,customers!$A$1:$A$1001,customers!$G$1:$G$1001,,0)</f>
        <v>United States</v>
      </c>
      <c r="I726" t="str">
        <f>INDEX(products!$A$1:$G$49, MATCH(orders!$D704,products!$A$1:$A751,0), MATCH(orders!I$1,products!$A$1:$G$1,0))</f>
        <v>Ara</v>
      </c>
      <c r="J726" t="str">
        <f>INDEX(products!$A$1:$G$49, MATCH(orders!$D704,products!$A$1:$A751,0), MATCH(orders!J$1,products!$A$1:$G$1,0))</f>
        <v>L</v>
      </c>
      <c r="K726" s="5">
        <f>INDEX(products!$A$1:$G$49, MATCH(orders!$D704,products!$A$1:$A751,0), MATCH(orders!K$1,products!$A$1:$G$1,0))</f>
        <v>0.5</v>
      </c>
      <c r="L726" s="6">
        <f>INDEX(products!$A$1:$G$49, MATCH(orders!$D704,products!$A$1:$A751,0), MATCH(orders!L$1,products!$A$1:$G$1,0))</f>
        <v>7.77</v>
      </c>
      <c r="M726" s="6">
        <f t="shared" si="33"/>
        <v>7.77</v>
      </c>
      <c r="N726" t="str">
        <f t="shared" si="34"/>
        <v>Arabica</v>
      </c>
      <c r="O726" t="str">
        <f t="shared" si="35"/>
        <v>Light</v>
      </c>
      <c r="P726" t="str">
        <f>_xlfn.XLOOKUP(Orders[[#This Row],[Customer ID]],customers!$A$1:$A$1001,customers!$I$1:$I$1001,,0)</f>
        <v>Yes</v>
      </c>
      <c r="Q726">
        <f>COUNTIF(Orders[Order ID],Orders[[#This Row],[Order ID]])</f>
        <v>1</v>
      </c>
      <c r="R726" s="10">
        <f>SUMIF(Orders[Order ID], Orders[[#This Row],[Order ID]],Orders[Sales])/Orders[[#This Row],[Order Frequency]]</f>
        <v>7.77</v>
      </c>
      <c r="S726" t="str">
        <f>IF(Orders[[#This Row],[Order Frequency]]&gt;4, "More than 4", IF(AND(Orders[[#This Row],[Order Frequency]]&lt;=4,Orders[[#This Row],[Order Frequency]]&gt;=2), "Between 4 and 2", "Less than 2"))</f>
        <v>Less than 2</v>
      </c>
      <c r="T726" t="str">
        <f>IF(Orders[[#This Row],[Frequency Group]]="less than 2", "Low Value", IF(Orders[[#This Row],[Frequency Group]]="between 4 and 2", "Medium Value", "High Value"))</f>
        <v>Low Value</v>
      </c>
      <c r="U726" t="str">
        <f>IF(Orders[[#This Row],[Sales]]&lt;50, "$0-50", IF(AND(Orders[[#This Row],[Sales]]&gt;=50,Orders[[#This Row],[Sales]]&lt;=100), "$50-100", IF(AND(Orders[[#This Row],[Sales]]&gt;100,Orders[[#This Row],[Sales]]&lt;=150), "$101-150", "$150+")))</f>
        <v>$0-50</v>
      </c>
      <c r="V726" t="str">
        <f>IF(Orders[[#This Row],[Sales]]&gt;MEDIAN(M:M), "High Price", "Low Price")</f>
        <v>Low Price</v>
      </c>
      <c r="W726" t="str">
        <f>IF(Orders[[#This Row],[Quantity]]&gt;MEDIAN(E:E), "High Volume", "Low Volume")</f>
        <v>Low Volume</v>
      </c>
      <c r="X726" t="str">
        <f>Orders[[#This Row],[Sales Tier]] &amp; "-" &amp; Orders[[#This Row],[Quantity Tier]]</f>
        <v>Low Price-Low Volume</v>
      </c>
      <c r="Y726" t="str">
        <f>TEXT(Orders[[#This Row],[Order Date]], "mmmm")</f>
        <v>July</v>
      </c>
      <c r="Z72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726" t="str">
        <f>Orders[[#This Row],[Coffee Type Name]] &amp; "-" &amp; Orders[[#This Row],[Roast Type Name]]</f>
        <v>Arabica-Light</v>
      </c>
      <c r="AB72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727" spans="1:28" x14ac:dyDescent="0.25">
      <c r="A727" s="2" t="s">
        <v>4938</v>
      </c>
      <c r="B727" s="4">
        <v>44305</v>
      </c>
      <c r="C727" s="2" t="s">
        <v>4939</v>
      </c>
      <c r="D727" t="s">
        <v>6141</v>
      </c>
      <c r="E727" s="2">
        <v>6</v>
      </c>
      <c r="F727" s="2" t="str">
        <f>_xlfn.XLOOKUP(C727,customers!$A$1:$A$1001,customers!$B$1:$B$1001,,0)</f>
        <v>Beryl Osborn</v>
      </c>
      <c r="G727" s="2" t="str">
        <f>IF(_xlfn.XLOOKUP(C727,customers!$A$1:$A$1001,customers!$C$1:$C$1001,,0)=0,"",_xlfn.XLOOKUP(C727,customers!$A$1:$A$1001,customers!$C$1:$C$1001,,0))</f>
        <v/>
      </c>
      <c r="H727" s="2" t="str">
        <f>_xlfn.XLOOKUP(C727,customers!$A$1:$A$1001,customers!$G$1:$G$1001,,0)</f>
        <v>United States</v>
      </c>
      <c r="I727" t="str">
        <f>INDEX(products!$A$1:$G$49, MATCH(orders!$D789,products!$A$1:$A836,0), MATCH(orders!I$1,products!$A$1:$G$1,0))</f>
        <v>Exc</v>
      </c>
      <c r="J727" t="str">
        <f>INDEX(products!$A$1:$G$49, MATCH(orders!$D789,products!$A$1:$A836,0), MATCH(orders!J$1,products!$A$1:$G$1,0))</f>
        <v>M</v>
      </c>
      <c r="K727" s="5">
        <f>INDEX(products!$A$1:$G$49, MATCH(orders!$D789,products!$A$1:$A836,0), MATCH(orders!K$1,products!$A$1:$G$1,0))</f>
        <v>1</v>
      </c>
      <c r="L727" s="6">
        <f>INDEX(products!$A$1:$G$49, MATCH(orders!$D789,products!$A$1:$A836,0), MATCH(orders!L$1,products!$A$1:$G$1,0))</f>
        <v>13.75</v>
      </c>
      <c r="M727" s="6">
        <f t="shared" si="33"/>
        <v>82.5</v>
      </c>
      <c r="N727" t="str">
        <f t="shared" si="34"/>
        <v>Excelsa</v>
      </c>
      <c r="O727" t="str">
        <f t="shared" si="35"/>
        <v>Medium</v>
      </c>
      <c r="P727" t="str">
        <f>_xlfn.XLOOKUP(Orders[[#This Row],[Customer ID]],customers!$A$1:$A$1001,customers!$I$1:$I$1001,,0)</f>
        <v>Yes</v>
      </c>
      <c r="Q727">
        <f>COUNTIF(Orders[Order ID],Orders[[#This Row],[Order ID]])</f>
        <v>1</v>
      </c>
      <c r="R727" s="10">
        <f>SUMIF(Orders[Order ID], Orders[[#This Row],[Order ID]],Orders[Sales])/Orders[[#This Row],[Order Frequency]]</f>
        <v>82.5</v>
      </c>
      <c r="S727" t="str">
        <f>IF(Orders[[#This Row],[Order Frequency]]&gt;4, "More than 4", IF(AND(Orders[[#This Row],[Order Frequency]]&lt;=4,Orders[[#This Row],[Order Frequency]]&gt;=2), "Between 4 and 2", "Less than 2"))</f>
        <v>Less than 2</v>
      </c>
      <c r="T727" t="str">
        <f>IF(Orders[[#This Row],[Frequency Group]]="less than 2", "Low Value", IF(Orders[[#This Row],[Frequency Group]]="between 4 and 2", "Medium Value", "High Value"))</f>
        <v>Low Value</v>
      </c>
      <c r="U727" t="str">
        <f>IF(Orders[[#This Row],[Sales]]&lt;50, "$0-50", IF(AND(Orders[[#This Row],[Sales]]&gt;=50,Orders[[#This Row],[Sales]]&lt;=100), "$50-100", IF(AND(Orders[[#This Row],[Sales]]&gt;100,Orders[[#This Row],[Sales]]&lt;=150), "$101-150", "$150+")))</f>
        <v>$50-100</v>
      </c>
      <c r="V727" t="str">
        <f>IF(Orders[[#This Row],[Sales]]&gt;MEDIAN(M:M), "High Price", "Low Price")</f>
        <v>High Price</v>
      </c>
      <c r="W727" t="str">
        <f>IF(Orders[[#This Row],[Quantity]]&gt;MEDIAN(E:E), "High Volume", "Low Volume")</f>
        <v>High Volume</v>
      </c>
      <c r="X727" t="str">
        <f>Orders[[#This Row],[Sales Tier]] &amp; "-" &amp; Orders[[#This Row],[Quantity Tier]]</f>
        <v>High Price-High Volume</v>
      </c>
      <c r="Y727" t="str">
        <f>TEXT(Orders[[#This Row],[Order Date]], "mmmm")</f>
        <v>April</v>
      </c>
      <c r="Z72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727" t="str">
        <f>Orders[[#This Row],[Coffee Type Name]] &amp; "-" &amp; Orders[[#This Row],[Roast Type Name]]</f>
        <v>Excelsa-Medium</v>
      </c>
      <c r="AB72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728" spans="1:28" x14ac:dyDescent="0.25">
      <c r="A728" s="2" t="s">
        <v>4569</v>
      </c>
      <c r="B728" s="4">
        <v>44620</v>
      </c>
      <c r="C728" s="2" t="s">
        <v>4570</v>
      </c>
      <c r="D728" t="s">
        <v>6183</v>
      </c>
      <c r="E728" s="2">
        <v>2</v>
      </c>
      <c r="F728" s="2" t="str">
        <f>_xlfn.XLOOKUP(C728,customers!$A$1:$A$1001,customers!$B$1:$B$1001,,0)</f>
        <v>Hetti Measures</v>
      </c>
      <c r="G728" s="2" t="str">
        <f>IF(_xlfn.XLOOKUP(C728,customers!$A$1:$A$1001,customers!$C$1:$C$1001,,0)=0,"",_xlfn.XLOOKUP(C728,customers!$A$1:$A$1001,customers!$C$1:$C$1001,,0))</f>
        <v/>
      </c>
      <c r="H728" s="2" t="str">
        <f>_xlfn.XLOOKUP(C728,customers!$A$1:$A$1001,customers!$G$1:$G$1001,,0)</f>
        <v>United States</v>
      </c>
      <c r="I728" t="str">
        <f>INDEX(products!$A$1:$G$49, MATCH(orders!$D724,products!$A$1:$A771,0), MATCH(orders!I$1,products!$A$1:$G$1,0))</f>
        <v>Exc</v>
      </c>
      <c r="J728" t="str">
        <f>INDEX(products!$A$1:$G$49, MATCH(orders!$D724,products!$A$1:$A771,0), MATCH(orders!J$1,products!$A$1:$G$1,0))</f>
        <v>D</v>
      </c>
      <c r="K728" s="5">
        <f>INDEX(products!$A$1:$G$49, MATCH(orders!$D724,products!$A$1:$A771,0), MATCH(orders!K$1,products!$A$1:$G$1,0))</f>
        <v>1</v>
      </c>
      <c r="L728" s="6">
        <f>INDEX(products!$A$1:$G$49, MATCH(orders!$D724,products!$A$1:$A771,0), MATCH(orders!L$1,products!$A$1:$G$1,0))</f>
        <v>12.15</v>
      </c>
      <c r="M728" s="6">
        <f t="shared" si="33"/>
        <v>24.3</v>
      </c>
      <c r="N728" t="str">
        <f t="shared" si="34"/>
        <v>Excelsa</v>
      </c>
      <c r="O728" t="str">
        <f t="shared" si="35"/>
        <v>Dark</v>
      </c>
      <c r="P728" t="str">
        <f>_xlfn.XLOOKUP(Orders[[#This Row],[Customer ID]],customers!$A$1:$A$1001,customers!$I$1:$I$1001,,0)</f>
        <v>No</v>
      </c>
      <c r="Q728">
        <f>COUNTIF(Orders[Order ID],Orders[[#This Row],[Order ID]])</f>
        <v>1</v>
      </c>
      <c r="R728" s="10">
        <f>SUMIF(Orders[Order ID], Orders[[#This Row],[Order ID]],Orders[Sales])/Orders[[#This Row],[Order Frequency]]</f>
        <v>24.3</v>
      </c>
      <c r="S728" t="str">
        <f>IF(Orders[[#This Row],[Order Frequency]]&gt;4, "More than 4", IF(AND(Orders[[#This Row],[Order Frequency]]&lt;=4,Orders[[#This Row],[Order Frequency]]&gt;=2), "Between 4 and 2", "Less than 2"))</f>
        <v>Less than 2</v>
      </c>
      <c r="T728" t="str">
        <f>IF(Orders[[#This Row],[Frequency Group]]="less than 2", "Low Value", IF(Orders[[#This Row],[Frequency Group]]="between 4 and 2", "Medium Value", "High Value"))</f>
        <v>Low Value</v>
      </c>
      <c r="U728" t="str">
        <f>IF(Orders[[#This Row],[Sales]]&lt;50, "$0-50", IF(AND(Orders[[#This Row],[Sales]]&gt;=50,Orders[[#This Row],[Sales]]&lt;=100), "$50-100", IF(AND(Orders[[#This Row],[Sales]]&gt;100,Orders[[#This Row],[Sales]]&lt;=150), "$101-150", "$150+")))</f>
        <v>$0-50</v>
      </c>
      <c r="V728" t="str">
        <f>IF(Orders[[#This Row],[Sales]]&gt;MEDIAN(M:M), "High Price", "Low Price")</f>
        <v>Low Price</v>
      </c>
      <c r="W728" t="str">
        <f>IF(Orders[[#This Row],[Quantity]]&gt;MEDIAN(E:E), "High Volume", "Low Volume")</f>
        <v>Low Volume</v>
      </c>
      <c r="X728" t="str">
        <f>Orders[[#This Row],[Sales Tier]] &amp; "-" &amp; Orders[[#This Row],[Quantity Tier]]</f>
        <v>Low Price-Low Volume</v>
      </c>
      <c r="Y728" t="str">
        <f>TEXT(Orders[[#This Row],[Order Date]], "mmmm")</f>
        <v>February</v>
      </c>
      <c r="Z72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28" t="str">
        <f>Orders[[#This Row],[Coffee Type Name]] &amp; "-" &amp; Orders[[#This Row],[Roast Type Name]]</f>
        <v>Excelsa-Dark</v>
      </c>
      <c r="AB72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729" spans="1:28" x14ac:dyDescent="0.25">
      <c r="A729" s="2" t="s">
        <v>3877</v>
      </c>
      <c r="B729" s="4">
        <v>44492</v>
      </c>
      <c r="C729" s="2" t="s">
        <v>3878</v>
      </c>
      <c r="D729" t="s">
        <v>6169</v>
      </c>
      <c r="E729" s="2">
        <v>1</v>
      </c>
      <c r="F729" s="2" t="str">
        <f>_xlfn.XLOOKUP(C729,customers!$A$1:$A$1001,customers!$B$1:$B$1001,,0)</f>
        <v>Peyter Lauritzen</v>
      </c>
      <c r="G729" s="2" t="str">
        <f>IF(_xlfn.XLOOKUP(C729,customers!$A$1:$A$1001,customers!$C$1:$C$1001,,0)=0,"",_xlfn.XLOOKUP(C729,customers!$A$1:$A$1001,customers!$C$1:$C$1001,,0))</f>
        <v>plauritzengo@photobucket.com</v>
      </c>
      <c r="H729" s="2" t="str">
        <f>_xlfn.XLOOKUP(C729,customers!$A$1:$A$1001,customers!$G$1:$G$1001,,0)</f>
        <v>United States</v>
      </c>
      <c r="I729" t="str">
        <f>INDEX(products!$A$1:$G$49, MATCH(orders!$D602,products!$A$1:$A649,0), MATCH(orders!I$1,products!$A$1:$G$1,0))</f>
        <v>Lib</v>
      </c>
      <c r="J729" t="str">
        <f>INDEX(products!$A$1:$G$49, MATCH(orders!$D602,products!$A$1:$A649,0), MATCH(orders!J$1,products!$A$1:$G$1,0))</f>
        <v>D</v>
      </c>
      <c r="K729" s="5">
        <f>INDEX(products!$A$1:$G$49, MATCH(orders!$D602,products!$A$1:$A649,0), MATCH(orders!K$1,products!$A$1:$G$1,0))</f>
        <v>0.5</v>
      </c>
      <c r="L729" s="6">
        <f>INDEX(products!$A$1:$G$49, MATCH(orders!$D602,products!$A$1:$A649,0), MATCH(orders!L$1,products!$A$1:$G$1,0))</f>
        <v>7.77</v>
      </c>
      <c r="M729" s="6">
        <f t="shared" si="33"/>
        <v>7.77</v>
      </c>
      <c r="N729" t="str">
        <f t="shared" si="34"/>
        <v>Liberica</v>
      </c>
      <c r="O729" t="str">
        <f t="shared" si="35"/>
        <v>Dark</v>
      </c>
      <c r="P729" t="str">
        <f>_xlfn.XLOOKUP(Orders[[#This Row],[Customer ID]],customers!$A$1:$A$1001,customers!$I$1:$I$1001,,0)</f>
        <v>No</v>
      </c>
      <c r="Q729">
        <f>COUNTIF(Orders[Order ID],Orders[[#This Row],[Order ID]])</f>
        <v>1</v>
      </c>
      <c r="R729" s="10">
        <f>SUMIF(Orders[Order ID], Orders[[#This Row],[Order ID]],Orders[Sales])/Orders[[#This Row],[Order Frequency]]</f>
        <v>7.77</v>
      </c>
      <c r="S729" t="str">
        <f>IF(Orders[[#This Row],[Order Frequency]]&gt;4, "More than 4", IF(AND(Orders[[#This Row],[Order Frequency]]&lt;=4,Orders[[#This Row],[Order Frequency]]&gt;=2), "Between 4 and 2", "Less than 2"))</f>
        <v>Less than 2</v>
      </c>
      <c r="T729" t="str">
        <f>IF(Orders[[#This Row],[Frequency Group]]="less than 2", "Low Value", IF(Orders[[#This Row],[Frequency Group]]="between 4 and 2", "Medium Value", "High Value"))</f>
        <v>Low Value</v>
      </c>
      <c r="U729" t="str">
        <f>IF(Orders[[#This Row],[Sales]]&lt;50, "$0-50", IF(AND(Orders[[#This Row],[Sales]]&gt;=50,Orders[[#This Row],[Sales]]&lt;=100), "$50-100", IF(AND(Orders[[#This Row],[Sales]]&gt;100,Orders[[#This Row],[Sales]]&lt;=150), "$101-150", "$150+")))</f>
        <v>$0-50</v>
      </c>
      <c r="V729" t="str">
        <f>IF(Orders[[#This Row],[Sales]]&gt;MEDIAN(M:M), "High Price", "Low Price")</f>
        <v>Low Price</v>
      </c>
      <c r="W729" t="str">
        <f>IF(Orders[[#This Row],[Quantity]]&gt;MEDIAN(E:E), "High Volume", "Low Volume")</f>
        <v>Low Volume</v>
      </c>
      <c r="X729" t="str">
        <f>Orders[[#This Row],[Sales Tier]] &amp; "-" &amp; Orders[[#This Row],[Quantity Tier]]</f>
        <v>Low Price-Low Volume</v>
      </c>
      <c r="Y729" t="str">
        <f>TEXT(Orders[[#This Row],[Order Date]], "mmmm")</f>
        <v>October</v>
      </c>
      <c r="Z72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729" t="str">
        <f>Orders[[#This Row],[Coffee Type Name]] &amp; "-" &amp; Orders[[#This Row],[Roast Type Name]]</f>
        <v>Liberica-Dark</v>
      </c>
      <c r="AB72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730" spans="1:28" x14ac:dyDescent="0.25">
      <c r="A730" s="2" t="s">
        <v>3627</v>
      </c>
      <c r="B730" s="4">
        <v>44258</v>
      </c>
      <c r="C730" s="2" t="s">
        <v>3628</v>
      </c>
      <c r="D730" t="s">
        <v>6141</v>
      </c>
      <c r="E730" s="2">
        <v>6</v>
      </c>
      <c r="F730" s="2" t="str">
        <f>_xlfn.XLOOKUP(C730,customers!$A$1:$A$1001,customers!$B$1:$B$1001,,0)</f>
        <v>Sigfrid Busch</v>
      </c>
      <c r="G730" s="2" t="str">
        <f>IF(_xlfn.XLOOKUP(C730,customers!$A$1:$A$1001,customers!$C$1:$C$1001,,0)=0,"",_xlfn.XLOOKUP(C730,customers!$A$1:$A$1001,customers!$C$1:$C$1001,,0))</f>
        <v>sbuschff@so-net.ne.jp</v>
      </c>
      <c r="H730" s="2" t="str">
        <f>_xlfn.XLOOKUP(C730,customers!$A$1:$A$1001,customers!$G$1:$G$1001,,0)</f>
        <v>Ireland</v>
      </c>
      <c r="I730" t="str">
        <f>INDEX(products!$A$1:$G$49, MATCH(orders!$D557,products!$A$1:$A604,0), MATCH(orders!I$1,products!$A$1:$G$1,0))</f>
        <v>Exc</v>
      </c>
      <c r="J730" t="str">
        <f>INDEX(products!$A$1:$G$49, MATCH(orders!$D557,products!$A$1:$A604,0), MATCH(orders!J$1,products!$A$1:$G$1,0))</f>
        <v>M</v>
      </c>
      <c r="K730" s="5">
        <f>INDEX(products!$A$1:$G$49, MATCH(orders!$D557,products!$A$1:$A604,0), MATCH(orders!K$1,products!$A$1:$G$1,0))</f>
        <v>1</v>
      </c>
      <c r="L730" s="6">
        <f>INDEX(products!$A$1:$G$49, MATCH(orders!$D557,products!$A$1:$A604,0), MATCH(orders!L$1,products!$A$1:$G$1,0))</f>
        <v>13.75</v>
      </c>
      <c r="M730" s="6">
        <f t="shared" si="33"/>
        <v>82.5</v>
      </c>
      <c r="N730" t="str">
        <f t="shared" si="34"/>
        <v>Excelsa</v>
      </c>
      <c r="O730" t="str">
        <f t="shared" si="35"/>
        <v>Medium</v>
      </c>
      <c r="P730" t="str">
        <f>_xlfn.XLOOKUP(Orders[[#This Row],[Customer ID]],customers!$A$1:$A$1001,customers!$I$1:$I$1001,,0)</f>
        <v>No</v>
      </c>
      <c r="Q730">
        <f>COUNTIF(Orders[Order ID],Orders[[#This Row],[Order ID]])</f>
        <v>1</v>
      </c>
      <c r="R730" s="10">
        <f>SUMIF(Orders[Order ID], Orders[[#This Row],[Order ID]],Orders[Sales])/Orders[[#This Row],[Order Frequency]]</f>
        <v>82.5</v>
      </c>
      <c r="S730" t="str">
        <f>IF(Orders[[#This Row],[Order Frequency]]&gt;4, "More than 4", IF(AND(Orders[[#This Row],[Order Frequency]]&lt;=4,Orders[[#This Row],[Order Frequency]]&gt;=2), "Between 4 and 2", "Less than 2"))</f>
        <v>Less than 2</v>
      </c>
      <c r="T730" t="str">
        <f>IF(Orders[[#This Row],[Frequency Group]]="less than 2", "Low Value", IF(Orders[[#This Row],[Frequency Group]]="between 4 and 2", "Medium Value", "High Value"))</f>
        <v>Low Value</v>
      </c>
      <c r="U730" t="str">
        <f>IF(Orders[[#This Row],[Sales]]&lt;50, "$0-50", IF(AND(Orders[[#This Row],[Sales]]&gt;=50,Orders[[#This Row],[Sales]]&lt;=100), "$50-100", IF(AND(Orders[[#This Row],[Sales]]&gt;100,Orders[[#This Row],[Sales]]&lt;=150), "$101-150", "$150+")))</f>
        <v>$50-100</v>
      </c>
      <c r="V730" t="str">
        <f>IF(Orders[[#This Row],[Sales]]&gt;MEDIAN(M:M), "High Price", "Low Price")</f>
        <v>High Price</v>
      </c>
      <c r="W730" t="str">
        <f>IF(Orders[[#This Row],[Quantity]]&gt;MEDIAN(E:E), "High Volume", "Low Volume")</f>
        <v>High Volume</v>
      </c>
      <c r="X730" t="str">
        <f>Orders[[#This Row],[Sales Tier]] &amp; "-" &amp; Orders[[#This Row],[Quantity Tier]]</f>
        <v>High Price-High Volume</v>
      </c>
      <c r="Y730" t="str">
        <f>TEXT(Orders[[#This Row],[Order Date]], "mmmm")</f>
        <v>March</v>
      </c>
      <c r="Z73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30" t="str">
        <f>Orders[[#This Row],[Coffee Type Name]] &amp; "-" &amp; Orders[[#This Row],[Roast Type Name]]</f>
        <v>Excelsa-Medium</v>
      </c>
      <c r="AB73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731" spans="1:28" x14ac:dyDescent="0.25">
      <c r="A731" s="2" t="s">
        <v>4665</v>
      </c>
      <c r="B731" s="4">
        <v>44433</v>
      </c>
      <c r="C731" s="2" t="s">
        <v>4434</v>
      </c>
      <c r="D731" t="s">
        <v>6153</v>
      </c>
      <c r="E731" s="2">
        <v>5</v>
      </c>
      <c r="F731" s="2" t="str">
        <f>_xlfn.XLOOKUP(C731,customers!$A$1:$A$1001,customers!$B$1:$B$1001,,0)</f>
        <v>Jimmy Dymoke</v>
      </c>
      <c r="G731" s="2" t="str">
        <f>IF(_xlfn.XLOOKUP(C731,customers!$A$1:$A$1001,customers!$C$1:$C$1001,,0)=0,"",_xlfn.XLOOKUP(C731,customers!$A$1:$A$1001,customers!$C$1:$C$1001,,0))</f>
        <v>jdymokeje@prnewswire.com</v>
      </c>
      <c r="H731" s="2" t="str">
        <f>_xlfn.XLOOKUP(C731,customers!$A$1:$A$1001,customers!$G$1:$G$1001,,0)</f>
        <v>Ireland</v>
      </c>
      <c r="I731" t="str">
        <f>INDEX(products!$A$1:$G$49, MATCH(orders!$D741,products!$A$1:$A788,0), MATCH(orders!I$1,products!$A$1:$G$1,0))</f>
        <v>Exc</v>
      </c>
      <c r="J731" t="str">
        <f>INDEX(products!$A$1:$G$49, MATCH(orders!$D741,products!$A$1:$A788,0), MATCH(orders!J$1,products!$A$1:$G$1,0))</f>
        <v>D</v>
      </c>
      <c r="K731" s="5">
        <f>INDEX(products!$A$1:$G$49, MATCH(orders!$D741,products!$A$1:$A788,0), MATCH(orders!K$1,products!$A$1:$G$1,0))</f>
        <v>0.2</v>
      </c>
      <c r="L731" s="6">
        <f>INDEX(products!$A$1:$G$49, MATCH(orders!$D741,products!$A$1:$A788,0), MATCH(orders!L$1,products!$A$1:$G$1,0))</f>
        <v>3.645</v>
      </c>
      <c r="M731" s="6">
        <f t="shared" si="33"/>
        <v>18.225000000000001</v>
      </c>
      <c r="N731" t="str">
        <f t="shared" si="34"/>
        <v>Excelsa</v>
      </c>
      <c r="O731" t="str">
        <f t="shared" si="35"/>
        <v>Dark</v>
      </c>
      <c r="P731" t="str">
        <f>_xlfn.XLOOKUP(Orders[[#This Row],[Customer ID]],customers!$A$1:$A$1001,customers!$I$1:$I$1001,,0)</f>
        <v>No</v>
      </c>
      <c r="Q731">
        <f>COUNTIF(Orders[Order ID],Orders[[#This Row],[Order ID]])</f>
        <v>1</v>
      </c>
      <c r="R731" s="10">
        <f>SUMIF(Orders[Order ID], Orders[[#This Row],[Order ID]],Orders[Sales])/Orders[[#This Row],[Order Frequency]]</f>
        <v>18.225000000000001</v>
      </c>
      <c r="S731" t="str">
        <f>IF(Orders[[#This Row],[Order Frequency]]&gt;4, "More than 4", IF(AND(Orders[[#This Row],[Order Frequency]]&lt;=4,Orders[[#This Row],[Order Frequency]]&gt;=2), "Between 4 and 2", "Less than 2"))</f>
        <v>Less than 2</v>
      </c>
      <c r="T731" t="str">
        <f>IF(Orders[[#This Row],[Frequency Group]]="less than 2", "Low Value", IF(Orders[[#This Row],[Frequency Group]]="between 4 and 2", "Medium Value", "High Value"))</f>
        <v>Low Value</v>
      </c>
      <c r="U731" t="str">
        <f>IF(Orders[[#This Row],[Sales]]&lt;50, "$0-50", IF(AND(Orders[[#This Row],[Sales]]&gt;=50,Orders[[#This Row],[Sales]]&lt;=100), "$50-100", IF(AND(Orders[[#This Row],[Sales]]&gt;100,Orders[[#This Row],[Sales]]&lt;=150), "$101-150", "$150+")))</f>
        <v>$0-50</v>
      </c>
      <c r="V731" t="str">
        <f>IF(Orders[[#This Row],[Sales]]&gt;MEDIAN(M:M), "High Price", "Low Price")</f>
        <v>Low Price</v>
      </c>
      <c r="W731" t="str">
        <f>IF(Orders[[#This Row],[Quantity]]&gt;MEDIAN(E:E), "High Volume", "Low Volume")</f>
        <v>High Volume</v>
      </c>
      <c r="X731" t="str">
        <f>Orders[[#This Row],[Sales Tier]] &amp; "-" &amp; Orders[[#This Row],[Quantity Tier]]</f>
        <v>Low Price-High Volume</v>
      </c>
      <c r="Y731" t="str">
        <f>TEXT(Orders[[#This Row],[Order Date]], "mmmm")</f>
        <v>August</v>
      </c>
      <c r="Z73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731" t="str">
        <f>Orders[[#This Row],[Coffee Type Name]] &amp; "-" &amp; Orders[[#This Row],[Roast Type Name]]</f>
        <v>Excelsa-Dark</v>
      </c>
      <c r="AB73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732" spans="1:28" x14ac:dyDescent="0.25">
      <c r="A732" s="2" t="s">
        <v>2721</v>
      </c>
      <c r="B732" s="4">
        <v>44140</v>
      </c>
      <c r="C732" s="2" t="s">
        <v>2722</v>
      </c>
      <c r="D732" t="s">
        <v>6180</v>
      </c>
      <c r="E732" s="2">
        <v>5</v>
      </c>
      <c r="F732" s="2" t="str">
        <f>_xlfn.XLOOKUP(C732,customers!$A$1:$A$1001,customers!$B$1:$B$1001,,0)</f>
        <v>Xenos Gibbons</v>
      </c>
      <c r="G732" s="2" t="str">
        <f>IF(_xlfn.XLOOKUP(C732,customers!$A$1:$A$1001,customers!$C$1:$C$1001,,0)=0,"",_xlfn.XLOOKUP(C732,customers!$A$1:$A$1001,customers!$C$1:$C$1001,,0))</f>
        <v>xgibbonsb0@artisteer.com</v>
      </c>
      <c r="H732" s="2" t="str">
        <f>_xlfn.XLOOKUP(C732,customers!$A$1:$A$1001,customers!$G$1:$G$1001,,0)</f>
        <v>United States</v>
      </c>
      <c r="I732" t="str">
        <f>INDEX(products!$A$1:$G$49, MATCH(orders!$D398,products!$A$1:$A445,0), MATCH(orders!I$1,products!$A$1:$G$1,0))</f>
        <v>Ara</v>
      </c>
      <c r="J732" t="str">
        <f>INDEX(products!$A$1:$G$49, MATCH(orders!$D398,products!$A$1:$A445,0), MATCH(orders!J$1,products!$A$1:$G$1,0))</f>
        <v>L</v>
      </c>
      <c r="K732" s="5">
        <f>INDEX(products!$A$1:$G$49, MATCH(orders!$D398,products!$A$1:$A445,0), MATCH(orders!K$1,products!$A$1:$G$1,0))</f>
        <v>0.5</v>
      </c>
      <c r="L732" s="6">
        <f>INDEX(products!$A$1:$G$49, MATCH(orders!$D398,products!$A$1:$A445,0), MATCH(orders!L$1,products!$A$1:$G$1,0))</f>
        <v>7.77</v>
      </c>
      <c r="M732" s="6">
        <f t="shared" si="33"/>
        <v>38.849999999999994</v>
      </c>
      <c r="N732" t="str">
        <f t="shared" si="34"/>
        <v>Arabica</v>
      </c>
      <c r="O732" t="str">
        <f t="shared" si="35"/>
        <v>Light</v>
      </c>
      <c r="P732" t="str">
        <f>_xlfn.XLOOKUP(Orders[[#This Row],[Customer ID]],customers!$A$1:$A$1001,customers!$I$1:$I$1001,,0)</f>
        <v>No</v>
      </c>
      <c r="Q732">
        <f>COUNTIF(Orders[Order ID],Orders[[#This Row],[Order ID]])</f>
        <v>1</v>
      </c>
      <c r="R732" s="10">
        <f>SUMIF(Orders[Order ID], Orders[[#This Row],[Order ID]],Orders[Sales])/Orders[[#This Row],[Order Frequency]]</f>
        <v>38.849999999999994</v>
      </c>
      <c r="S732" t="str">
        <f>IF(Orders[[#This Row],[Order Frequency]]&gt;4, "More than 4", IF(AND(Orders[[#This Row],[Order Frequency]]&lt;=4,Orders[[#This Row],[Order Frequency]]&gt;=2), "Between 4 and 2", "Less than 2"))</f>
        <v>Less than 2</v>
      </c>
      <c r="T732" t="str">
        <f>IF(Orders[[#This Row],[Frequency Group]]="less than 2", "Low Value", IF(Orders[[#This Row],[Frequency Group]]="between 4 and 2", "Medium Value", "High Value"))</f>
        <v>Low Value</v>
      </c>
      <c r="U732" t="str">
        <f>IF(Orders[[#This Row],[Sales]]&lt;50, "$0-50", IF(AND(Orders[[#This Row],[Sales]]&gt;=50,Orders[[#This Row],[Sales]]&lt;=100), "$50-100", IF(AND(Orders[[#This Row],[Sales]]&gt;100,Orders[[#This Row],[Sales]]&lt;=150), "$101-150", "$150+")))</f>
        <v>$0-50</v>
      </c>
      <c r="V732" t="str">
        <f>IF(Orders[[#This Row],[Sales]]&gt;MEDIAN(M:M), "High Price", "Low Price")</f>
        <v>High Price</v>
      </c>
      <c r="W732" t="str">
        <f>IF(Orders[[#This Row],[Quantity]]&gt;MEDIAN(E:E), "High Volume", "Low Volume")</f>
        <v>High Volume</v>
      </c>
      <c r="X732" t="str">
        <f>Orders[[#This Row],[Sales Tier]] &amp; "-" &amp; Orders[[#This Row],[Quantity Tier]]</f>
        <v>High Price-High Volume</v>
      </c>
      <c r="Y732" t="str">
        <f>TEXT(Orders[[#This Row],[Order Date]], "mmmm")</f>
        <v>November</v>
      </c>
      <c r="Z73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732" t="str">
        <f>Orders[[#This Row],[Coffee Type Name]] &amp; "-" &amp; Orders[[#This Row],[Roast Type Name]]</f>
        <v>Arabica-Light</v>
      </c>
      <c r="AB73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733" spans="1:28" x14ac:dyDescent="0.25">
      <c r="A733" s="2" t="s">
        <v>593</v>
      </c>
      <c r="B733" s="4">
        <v>43629</v>
      </c>
      <c r="C733" s="2" t="s">
        <v>594</v>
      </c>
      <c r="D733" t="s">
        <v>6149</v>
      </c>
      <c r="E733" s="2">
        <v>4</v>
      </c>
      <c r="F733" s="2" t="str">
        <f>_xlfn.XLOOKUP(C733,customers!$A$1:$A$1001,customers!$B$1:$B$1001,,0)</f>
        <v>Pall Redford</v>
      </c>
      <c r="G733" s="2" t="str">
        <f>IF(_xlfn.XLOOKUP(C733,customers!$A$1:$A$1001,customers!$C$1:$C$1001,,0)=0,"",_xlfn.XLOOKUP(C733,customers!$A$1:$A$1001,customers!$C$1:$C$1001,,0))</f>
        <v>predfordi@ow.ly</v>
      </c>
      <c r="H733" s="2" t="str">
        <f>_xlfn.XLOOKUP(C733,customers!$A$1:$A$1001,customers!$G$1:$G$1001,,0)</f>
        <v>Ireland</v>
      </c>
      <c r="I733" t="str">
        <f>INDEX(products!$A$1:$G$49, MATCH(orders!$D20,products!$A$1:$A67,0), MATCH(orders!I$1,products!$A$1:$G$1,0))</f>
        <v>Rob</v>
      </c>
      <c r="J733" t="str">
        <f>INDEX(products!$A$1:$G$49, MATCH(orders!$D20,products!$A$1:$A67,0), MATCH(orders!J$1,products!$A$1:$G$1,0))</f>
        <v>D</v>
      </c>
      <c r="K733" s="5">
        <f>INDEX(products!$A$1:$G$49, MATCH(orders!$D20,products!$A$1:$A67,0), MATCH(orders!K$1,products!$A$1:$G$1,0))</f>
        <v>2.5</v>
      </c>
      <c r="L733" s="6">
        <f>INDEX(products!$A$1:$G$49, MATCH(orders!$D20,products!$A$1:$A67,0), MATCH(orders!L$1,products!$A$1:$G$1,0))</f>
        <v>20.584999999999997</v>
      </c>
      <c r="M733" s="6">
        <f t="shared" si="33"/>
        <v>82.339999999999989</v>
      </c>
      <c r="N733" t="str">
        <f t="shared" si="34"/>
        <v>Robusta</v>
      </c>
      <c r="O733" t="str">
        <f t="shared" si="35"/>
        <v>Dark</v>
      </c>
      <c r="P733" t="str">
        <f>_xlfn.XLOOKUP(Orders[[#This Row],[Customer ID]],customers!$A$1:$A$1001,customers!$I$1:$I$1001,,0)</f>
        <v>Yes</v>
      </c>
      <c r="Q733">
        <f>COUNTIF(Orders[Order ID],Orders[[#This Row],[Order ID]])</f>
        <v>1</v>
      </c>
      <c r="R733" s="10">
        <f>SUMIF(Orders[Order ID], Orders[[#This Row],[Order ID]],Orders[Sales])/Orders[[#This Row],[Order Frequency]]</f>
        <v>82.339999999999989</v>
      </c>
      <c r="S733" t="str">
        <f>IF(Orders[[#This Row],[Order Frequency]]&gt;4, "More than 4", IF(AND(Orders[[#This Row],[Order Frequency]]&lt;=4,Orders[[#This Row],[Order Frequency]]&gt;=2), "Between 4 and 2", "Less than 2"))</f>
        <v>Less than 2</v>
      </c>
      <c r="T733" t="str">
        <f>IF(Orders[[#This Row],[Frequency Group]]="less than 2", "Low Value", IF(Orders[[#This Row],[Frequency Group]]="between 4 and 2", "Medium Value", "High Value"))</f>
        <v>Low Value</v>
      </c>
      <c r="U733" t="str">
        <f>IF(Orders[[#This Row],[Sales]]&lt;50, "$0-50", IF(AND(Orders[[#This Row],[Sales]]&gt;=50,Orders[[#This Row],[Sales]]&lt;=100), "$50-100", IF(AND(Orders[[#This Row],[Sales]]&gt;100,Orders[[#This Row],[Sales]]&lt;=150), "$101-150", "$150+")))</f>
        <v>$50-100</v>
      </c>
      <c r="V733" t="str">
        <f>IF(Orders[[#This Row],[Sales]]&gt;MEDIAN(M:M), "High Price", "Low Price")</f>
        <v>High Price</v>
      </c>
      <c r="W733" t="str">
        <f>IF(Orders[[#This Row],[Quantity]]&gt;MEDIAN(E:E), "High Volume", "Low Volume")</f>
        <v>Low Volume</v>
      </c>
      <c r="X733" t="str">
        <f>Orders[[#This Row],[Sales Tier]] &amp; "-" &amp; Orders[[#This Row],[Quantity Tier]]</f>
        <v>High Price-Low Volume</v>
      </c>
      <c r="Y733" t="str">
        <f>TEXT(Orders[[#This Row],[Order Date]], "mmmm")</f>
        <v>June</v>
      </c>
      <c r="Z73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733" t="str">
        <f>Orders[[#This Row],[Coffee Type Name]] &amp; "-" &amp; Orders[[#This Row],[Roast Type Name]]</f>
        <v>Robusta-Dark</v>
      </c>
      <c r="AB73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734" spans="1:28" x14ac:dyDescent="0.25">
      <c r="A734" s="2" t="s">
        <v>5978</v>
      </c>
      <c r="B734" s="4">
        <v>43703</v>
      </c>
      <c r="C734" s="2" t="s">
        <v>5979</v>
      </c>
      <c r="D734" t="s">
        <v>6182</v>
      </c>
      <c r="E734" s="2">
        <v>5</v>
      </c>
      <c r="F734" s="2" t="str">
        <f>_xlfn.XLOOKUP(C734,customers!$A$1:$A$1001,customers!$B$1:$B$1001,,0)</f>
        <v>Noni Furber</v>
      </c>
      <c r="G734" s="2" t="str">
        <f>IF(_xlfn.XLOOKUP(C734,customers!$A$1:$A$1001,customers!$C$1:$C$1001,,0)=0,"",_xlfn.XLOOKUP(C734,customers!$A$1:$A$1001,customers!$C$1:$C$1001,,0))</f>
        <v>nfurberqz@jugem.jp</v>
      </c>
      <c r="H734" s="2" t="str">
        <f>_xlfn.XLOOKUP(C734,customers!$A$1:$A$1001,customers!$G$1:$G$1001,,0)</f>
        <v>United States</v>
      </c>
      <c r="I734" t="str">
        <f>INDEX(products!$A$1:$G$49, MATCH(orders!$D973,products!$A$1:$A1020,0), MATCH(orders!I$1,products!$A$1:$G$1,0))</f>
        <v>Ara</v>
      </c>
      <c r="J734" t="str">
        <f>INDEX(products!$A$1:$G$49, MATCH(orders!$D973,products!$A$1:$A1020,0), MATCH(orders!J$1,products!$A$1:$G$1,0))</f>
        <v>L</v>
      </c>
      <c r="K734" s="5">
        <f>INDEX(products!$A$1:$G$49, MATCH(orders!$D973,products!$A$1:$A1020,0), MATCH(orders!K$1,products!$A$1:$G$1,0))</f>
        <v>2.5</v>
      </c>
      <c r="L734" s="6">
        <f>INDEX(products!$A$1:$G$49, MATCH(orders!$D973,products!$A$1:$A1020,0), MATCH(orders!L$1,products!$A$1:$G$1,0))</f>
        <v>29.784999999999997</v>
      </c>
      <c r="M734" s="6">
        <f t="shared" si="33"/>
        <v>148.92499999999998</v>
      </c>
      <c r="N734" t="str">
        <f t="shared" si="34"/>
        <v>Arabica</v>
      </c>
      <c r="O734" t="str">
        <f t="shared" si="35"/>
        <v>Light</v>
      </c>
      <c r="P734" t="str">
        <f>_xlfn.XLOOKUP(Orders[[#This Row],[Customer ID]],customers!$A$1:$A$1001,customers!$I$1:$I$1001,,0)</f>
        <v>No</v>
      </c>
      <c r="Q734">
        <f>COUNTIF(Orders[Order ID],Orders[[#This Row],[Order ID]])</f>
        <v>1</v>
      </c>
      <c r="R734" s="10">
        <f>SUMIF(Orders[Order ID], Orders[[#This Row],[Order ID]],Orders[Sales])/Orders[[#This Row],[Order Frequency]]</f>
        <v>148.92499999999998</v>
      </c>
      <c r="S734" t="str">
        <f>IF(Orders[[#This Row],[Order Frequency]]&gt;4, "More than 4", IF(AND(Orders[[#This Row],[Order Frequency]]&lt;=4,Orders[[#This Row],[Order Frequency]]&gt;=2), "Between 4 and 2", "Less than 2"))</f>
        <v>Less than 2</v>
      </c>
      <c r="T734" t="str">
        <f>IF(Orders[[#This Row],[Frequency Group]]="less than 2", "Low Value", IF(Orders[[#This Row],[Frequency Group]]="between 4 and 2", "Medium Value", "High Value"))</f>
        <v>Low Value</v>
      </c>
      <c r="U734" t="str">
        <f>IF(Orders[[#This Row],[Sales]]&lt;50, "$0-50", IF(AND(Orders[[#This Row],[Sales]]&gt;=50,Orders[[#This Row],[Sales]]&lt;=100), "$50-100", IF(AND(Orders[[#This Row],[Sales]]&gt;100,Orders[[#This Row],[Sales]]&lt;=150), "$101-150", "$150+")))</f>
        <v>$101-150</v>
      </c>
      <c r="V734" t="str">
        <f>IF(Orders[[#This Row],[Sales]]&gt;MEDIAN(M:M), "High Price", "Low Price")</f>
        <v>High Price</v>
      </c>
      <c r="W734" t="str">
        <f>IF(Orders[[#This Row],[Quantity]]&gt;MEDIAN(E:E), "High Volume", "Low Volume")</f>
        <v>High Volume</v>
      </c>
      <c r="X734" t="str">
        <f>Orders[[#This Row],[Sales Tier]] &amp; "-" &amp; Orders[[#This Row],[Quantity Tier]]</f>
        <v>High Price-High Volume</v>
      </c>
      <c r="Y734" t="str">
        <f>TEXT(Orders[[#This Row],[Order Date]], "mmmm")</f>
        <v>August</v>
      </c>
      <c r="Z73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734" t="str">
        <f>Orders[[#This Row],[Coffee Type Name]] &amp; "-" &amp; Orders[[#This Row],[Roast Type Name]]</f>
        <v>Arabica-Light</v>
      </c>
      <c r="AB73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735" spans="1:28" x14ac:dyDescent="0.25">
      <c r="A735" s="2" t="s">
        <v>4574</v>
      </c>
      <c r="B735" s="4">
        <v>44470</v>
      </c>
      <c r="C735" s="2" t="s">
        <v>4575</v>
      </c>
      <c r="D735" t="s">
        <v>6166</v>
      </c>
      <c r="E735" s="2">
        <v>2</v>
      </c>
      <c r="F735" s="2" t="str">
        <f>_xlfn.XLOOKUP(C735,customers!$A$1:$A$1001,customers!$B$1:$B$1001,,0)</f>
        <v>Gay Eilhersen</v>
      </c>
      <c r="G735" s="2" t="str">
        <f>IF(_xlfn.XLOOKUP(C735,customers!$A$1:$A$1001,customers!$C$1:$C$1001,,0)=0,"",_xlfn.XLOOKUP(C735,customers!$A$1:$A$1001,customers!$C$1:$C$1001,,0))</f>
        <v>geilhersenk3@networksolutions.com</v>
      </c>
      <c r="H735" s="2" t="str">
        <f>_xlfn.XLOOKUP(C735,customers!$A$1:$A$1001,customers!$G$1:$G$1001,,0)</f>
        <v>United States</v>
      </c>
      <c r="I735" t="str">
        <f>INDEX(products!$A$1:$G$49, MATCH(orders!$D725,products!$A$1:$A772,0), MATCH(orders!I$1,products!$A$1:$G$1,0))</f>
        <v>Exc</v>
      </c>
      <c r="J735" t="str">
        <f>INDEX(products!$A$1:$G$49, MATCH(orders!$D725,products!$A$1:$A772,0), MATCH(orders!J$1,products!$A$1:$G$1,0))</f>
        <v>M</v>
      </c>
      <c r="K735" s="5">
        <f>INDEX(products!$A$1:$G$49, MATCH(orders!$D725,products!$A$1:$A772,0), MATCH(orders!K$1,products!$A$1:$G$1,0))</f>
        <v>2.5</v>
      </c>
      <c r="L735" s="6">
        <f>INDEX(products!$A$1:$G$49, MATCH(orders!$D725,products!$A$1:$A772,0), MATCH(orders!L$1,products!$A$1:$G$1,0))</f>
        <v>31.624999999999996</v>
      </c>
      <c r="M735" s="6">
        <f t="shared" si="33"/>
        <v>63.249999999999993</v>
      </c>
      <c r="N735" t="str">
        <f t="shared" si="34"/>
        <v>Excelsa</v>
      </c>
      <c r="O735" t="str">
        <f t="shared" si="35"/>
        <v>Medium</v>
      </c>
      <c r="P735" t="str">
        <f>_xlfn.XLOOKUP(Orders[[#This Row],[Customer ID]],customers!$A$1:$A$1001,customers!$I$1:$I$1001,,0)</f>
        <v>No</v>
      </c>
      <c r="Q735">
        <f>COUNTIF(Orders[Order ID],Orders[[#This Row],[Order ID]])</f>
        <v>1</v>
      </c>
      <c r="R735" s="10">
        <f>SUMIF(Orders[Order ID], Orders[[#This Row],[Order ID]],Orders[Sales])/Orders[[#This Row],[Order Frequency]]</f>
        <v>63.249999999999993</v>
      </c>
      <c r="S735" t="str">
        <f>IF(Orders[[#This Row],[Order Frequency]]&gt;4, "More than 4", IF(AND(Orders[[#This Row],[Order Frequency]]&lt;=4,Orders[[#This Row],[Order Frequency]]&gt;=2), "Between 4 and 2", "Less than 2"))</f>
        <v>Less than 2</v>
      </c>
      <c r="T735" t="str">
        <f>IF(Orders[[#This Row],[Frequency Group]]="less than 2", "Low Value", IF(Orders[[#This Row],[Frequency Group]]="between 4 and 2", "Medium Value", "High Value"))</f>
        <v>Low Value</v>
      </c>
      <c r="U735" t="str">
        <f>IF(Orders[[#This Row],[Sales]]&lt;50, "$0-50", IF(AND(Orders[[#This Row],[Sales]]&gt;=50,Orders[[#This Row],[Sales]]&lt;=100), "$50-100", IF(AND(Orders[[#This Row],[Sales]]&gt;100,Orders[[#This Row],[Sales]]&lt;=150), "$101-150", "$150+")))</f>
        <v>$50-100</v>
      </c>
      <c r="V735" t="str">
        <f>IF(Orders[[#This Row],[Sales]]&gt;MEDIAN(M:M), "High Price", "Low Price")</f>
        <v>High Price</v>
      </c>
      <c r="W735" t="str">
        <f>IF(Orders[[#This Row],[Quantity]]&gt;MEDIAN(E:E), "High Volume", "Low Volume")</f>
        <v>Low Volume</v>
      </c>
      <c r="X735" t="str">
        <f>Orders[[#This Row],[Sales Tier]] &amp; "-" &amp; Orders[[#This Row],[Quantity Tier]]</f>
        <v>High Price-Low Volume</v>
      </c>
      <c r="Y735" t="str">
        <f>TEXT(Orders[[#This Row],[Order Date]], "mmmm")</f>
        <v>October</v>
      </c>
      <c r="Z73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735" t="str">
        <f>Orders[[#This Row],[Coffee Type Name]] &amp; "-" &amp; Orders[[#This Row],[Roast Type Name]]</f>
        <v>Excelsa-Medium</v>
      </c>
      <c r="AB73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736" spans="1:28" x14ac:dyDescent="0.25">
      <c r="A736" s="2" t="s">
        <v>2414</v>
      </c>
      <c r="B736" s="4">
        <v>43751</v>
      </c>
      <c r="C736" s="2" t="s">
        <v>2415</v>
      </c>
      <c r="D736" t="s">
        <v>6176</v>
      </c>
      <c r="E736" s="2">
        <v>2</v>
      </c>
      <c r="F736" s="2" t="str">
        <f>_xlfn.XLOOKUP(C736,customers!$A$1:$A$1001,customers!$B$1:$B$1001,,0)</f>
        <v>Lucienne Scargle</v>
      </c>
      <c r="G736" s="2" t="str">
        <f>IF(_xlfn.XLOOKUP(C736,customers!$A$1:$A$1001,customers!$C$1:$C$1001,,0)=0,"",_xlfn.XLOOKUP(C736,customers!$A$1:$A$1001,customers!$C$1:$C$1001,,0))</f>
        <v>lscargle9h@myspace.com</v>
      </c>
      <c r="H736" s="2" t="str">
        <f>_xlfn.XLOOKUP(C736,customers!$A$1:$A$1001,customers!$G$1:$G$1001,,0)</f>
        <v>United States</v>
      </c>
      <c r="I736" t="str">
        <f>INDEX(products!$A$1:$G$49, MATCH(orders!$D343,products!$A$1:$A390,0), MATCH(orders!I$1,products!$A$1:$G$1,0))</f>
        <v>Exc</v>
      </c>
      <c r="J736" t="str">
        <f>INDEX(products!$A$1:$G$49, MATCH(orders!$D343,products!$A$1:$A390,0), MATCH(orders!J$1,products!$A$1:$G$1,0))</f>
        <v>L</v>
      </c>
      <c r="K736" s="5">
        <f>INDEX(products!$A$1:$G$49, MATCH(orders!$D343,products!$A$1:$A390,0), MATCH(orders!K$1,products!$A$1:$G$1,0))</f>
        <v>0.5</v>
      </c>
      <c r="L736" s="6">
        <f>INDEX(products!$A$1:$G$49, MATCH(orders!$D343,products!$A$1:$A390,0), MATCH(orders!L$1,products!$A$1:$G$1,0))</f>
        <v>8.91</v>
      </c>
      <c r="M736" s="6">
        <f t="shared" si="33"/>
        <v>17.82</v>
      </c>
      <c r="N736" t="str">
        <f t="shared" si="34"/>
        <v>Excelsa</v>
      </c>
      <c r="O736" t="str">
        <f t="shared" si="35"/>
        <v>Light</v>
      </c>
      <c r="P736" t="str">
        <f>_xlfn.XLOOKUP(Orders[[#This Row],[Customer ID]],customers!$A$1:$A$1001,customers!$I$1:$I$1001,,0)</f>
        <v>No</v>
      </c>
      <c r="Q736">
        <f>COUNTIF(Orders[Order ID],Orders[[#This Row],[Order ID]])</f>
        <v>2</v>
      </c>
      <c r="R736" s="10">
        <f>SUMIF(Orders[Order ID], Orders[[#This Row],[Order ID]],Orders[Sales])/Orders[[#This Row],[Order Frequency]]</f>
        <v>28.334999999999997</v>
      </c>
      <c r="S736" t="str">
        <f>IF(Orders[[#This Row],[Order Frequency]]&gt;4, "More than 4", IF(AND(Orders[[#This Row],[Order Frequency]]&lt;=4,Orders[[#This Row],[Order Frequency]]&gt;=2), "Between 4 and 2", "Less than 2"))</f>
        <v>Between 4 and 2</v>
      </c>
      <c r="T736" t="str">
        <f>IF(Orders[[#This Row],[Frequency Group]]="less than 2", "Low Value", IF(Orders[[#This Row],[Frequency Group]]="between 4 and 2", "Medium Value", "High Value"))</f>
        <v>Medium Value</v>
      </c>
      <c r="U736" t="str">
        <f>IF(Orders[[#This Row],[Sales]]&lt;50, "$0-50", IF(AND(Orders[[#This Row],[Sales]]&gt;=50,Orders[[#This Row],[Sales]]&lt;=100), "$50-100", IF(AND(Orders[[#This Row],[Sales]]&gt;100,Orders[[#This Row],[Sales]]&lt;=150), "$101-150", "$150+")))</f>
        <v>$0-50</v>
      </c>
      <c r="V736" t="str">
        <f>IF(Orders[[#This Row],[Sales]]&gt;MEDIAN(M:M), "High Price", "Low Price")</f>
        <v>Low Price</v>
      </c>
      <c r="W736" t="str">
        <f>IF(Orders[[#This Row],[Quantity]]&gt;MEDIAN(E:E), "High Volume", "Low Volume")</f>
        <v>Low Volume</v>
      </c>
      <c r="X736" t="str">
        <f>Orders[[#This Row],[Sales Tier]] &amp; "-" &amp; Orders[[#This Row],[Quantity Tier]]</f>
        <v>Low Price-Low Volume</v>
      </c>
      <c r="Y736" t="str">
        <f>TEXT(Orders[[#This Row],[Order Date]], "mmmm")</f>
        <v>October</v>
      </c>
      <c r="Z73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736" t="str">
        <f>Orders[[#This Row],[Coffee Type Name]] &amp; "-" &amp; Orders[[#This Row],[Roast Type Name]]</f>
        <v>Excelsa-Light</v>
      </c>
      <c r="AB73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737" spans="1:28" x14ac:dyDescent="0.25">
      <c r="A737" s="2" t="s">
        <v>2414</v>
      </c>
      <c r="B737" s="4">
        <v>43751</v>
      </c>
      <c r="C737" s="2" t="s">
        <v>2415</v>
      </c>
      <c r="D737" t="s">
        <v>6169</v>
      </c>
      <c r="E737" s="2">
        <v>5</v>
      </c>
      <c r="F737" s="2" t="str">
        <f>_xlfn.XLOOKUP(C737,customers!$A$1:$A$1001,customers!$B$1:$B$1001,,0)</f>
        <v>Lucienne Scargle</v>
      </c>
      <c r="G737" s="2" t="str">
        <f>IF(_xlfn.XLOOKUP(C737,customers!$A$1:$A$1001,customers!$C$1:$C$1001,,0)=0,"",_xlfn.XLOOKUP(C737,customers!$A$1:$A$1001,customers!$C$1:$C$1001,,0))</f>
        <v>lscargle9h@myspace.com</v>
      </c>
      <c r="H737" s="2" t="str">
        <f>_xlfn.XLOOKUP(C737,customers!$A$1:$A$1001,customers!$G$1:$G$1001,,0)</f>
        <v>United States</v>
      </c>
      <c r="I737" t="str">
        <f>INDEX(products!$A$1:$G$49, MATCH(orders!$D344,products!$A$1:$A391,0), MATCH(orders!I$1,products!$A$1:$G$1,0))</f>
        <v>Lib</v>
      </c>
      <c r="J737" t="str">
        <f>INDEX(products!$A$1:$G$49, MATCH(orders!$D344,products!$A$1:$A391,0), MATCH(orders!J$1,products!$A$1:$G$1,0))</f>
        <v>D</v>
      </c>
      <c r="K737" s="5">
        <f>INDEX(products!$A$1:$G$49, MATCH(orders!$D344,products!$A$1:$A391,0), MATCH(orders!K$1,products!$A$1:$G$1,0))</f>
        <v>0.5</v>
      </c>
      <c r="L737" s="6">
        <f>INDEX(products!$A$1:$G$49, MATCH(orders!$D344,products!$A$1:$A391,0), MATCH(orders!L$1,products!$A$1:$G$1,0))</f>
        <v>7.77</v>
      </c>
      <c r="M737" s="6">
        <f t="shared" si="33"/>
        <v>38.849999999999994</v>
      </c>
      <c r="N737" t="str">
        <f t="shared" si="34"/>
        <v>Liberica</v>
      </c>
      <c r="O737" t="str">
        <f t="shared" si="35"/>
        <v>Dark</v>
      </c>
      <c r="P737" t="str">
        <f>_xlfn.XLOOKUP(Orders[[#This Row],[Customer ID]],customers!$A$1:$A$1001,customers!$I$1:$I$1001,,0)</f>
        <v>No</v>
      </c>
      <c r="Q737">
        <f>COUNTIF(Orders[Order ID],Orders[[#This Row],[Order ID]])</f>
        <v>2</v>
      </c>
      <c r="R737" s="10">
        <f>SUMIF(Orders[Order ID], Orders[[#This Row],[Order ID]],Orders[Sales])/Orders[[#This Row],[Order Frequency]]</f>
        <v>28.334999999999997</v>
      </c>
      <c r="S737" t="str">
        <f>IF(Orders[[#This Row],[Order Frequency]]&gt;4, "More than 4", IF(AND(Orders[[#This Row],[Order Frequency]]&lt;=4,Orders[[#This Row],[Order Frequency]]&gt;=2), "Between 4 and 2", "Less than 2"))</f>
        <v>Between 4 and 2</v>
      </c>
      <c r="T737" t="str">
        <f>IF(Orders[[#This Row],[Frequency Group]]="less than 2", "Low Value", IF(Orders[[#This Row],[Frequency Group]]="between 4 and 2", "Medium Value", "High Value"))</f>
        <v>Medium Value</v>
      </c>
      <c r="U737" t="str">
        <f>IF(Orders[[#This Row],[Sales]]&lt;50, "$0-50", IF(AND(Orders[[#This Row],[Sales]]&gt;=50,Orders[[#This Row],[Sales]]&lt;=100), "$50-100", IF(AND(Orders[[#This Row],[Sales]]&gt;100,Orders[[#This Row],[Sales]]&lt;=150), "$101-150", "$150+")))</f>
        <v>$0-50</v>
      </c>
      <c r="V737" t="str">
        <f>IF(Orders[[#This Row],[Sales]]&gt;MEDIAN(M:M), "High Price", "Low Price")</f>
        <v>High Price</v>
      </c>
      <c r="W737" t="str">
        <f>IF(Orders[[#This Row],[Quantity]]&gt;MEDIAN(E:E), "High Volume", "Low Volume")</f>
        <v>High Volume</v>
      </c>
      <c r="X737" t="str">
        <f>Orders[[#This Row],[Sales Tier]] &amp; "-" &amp; Orders[[#This Row],[Quantity Tier]]</f>
        <v>High Price-High Volume</v>
      </c>
      <c r="Y737" t="str">
        <f>TEXT(Orders[[#This Row],[Order Date]], "mmmm")</f>
        <v>October</v>
      </c>
      <c r="Z73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737" t="str">
        <f>Orders[[#This Row],[Coffee Type Name]] &amp; "-" &amp; Orders[[#This Row],[Roast Type Name]]</f>
        <v>Liberica-Dark</v>
      </c>
      <c r="AB73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738" spans="1:28" x14ac:dyDescent="0.25">
      <c r="A738" s="2" t="s">
        <v>5597</v>
      </c>
      <c r="B738" s="4">
        <v>43905</v>
      </c>
      <c r="C738" s="2" t="s">
        <v>5598</v>
      </c>
      <c r="D738" t="s">
        <v>6160</v>
      </c>
      <c r="E738" s="2">
        <v>2</v>
      </c>
      <c r="F738" s="2" t="str">
        <f>_xlfn.XLOOKUP(C738,customers!$A$1:$A$1001,customers!$B$1:$B$1001,,0)</f>
        <v>Berkly Imrie</v>
      </c>
      <c r="G738" s="2" t="str">
        <f>IF(_xlfn.XLOOKUP(C738,customers!$A$1:$A$1001,customers!$C$1:$C$1001,,0)=0,"",_xlfn.XLOOKUP(C738,customers!$A$1:$A$1001,customers!$C$1:$C$1001,,0))</f>
        <v>bimriep3@addtoany.com</v>
      </c>
      <c r="H738" s="2" t="str">
        <f>_xlfn.XLOOKUP(C738,customers!$A$1:$A$1001,customers!$G$1:$G$1001,,0)</f>
        <v>United States</v>
      </c>
      <c r="I738" t="str">
        <f>INDEX(products!$A$1:$G$49, MATCH(orders!$D905,products!$A$1:$A952,0), MATCH(orders!I$1,products!$A$1:$G$1,0))</f>
        <v>Lib</v>
      </c>
      <c r="J738" t="str">
        <f>INDEX(products!$A$1:$G$49, MATCH(orders!$D905,products!$A$1:$A952,0), MATCH(orders!J$1,products!$A$1:$G$1,0))</f>
        <v>M</v>
      </c>
      <c r="K738" s="5">
        <f>INDEX(products!$A$1:$G$49, MATCH(orders!$D905,products!$A$1:$A952,0), MATCH(orders!K$1,products!$A$1:$G$1,0))</f>
        <v>0.5</v>
      </c>
      <c r="L738" s="6">
        <f>INDEX(products!$A$1:$G$49, MATCH(orders!$D905,products!$A$1:$A952,0), MATCH(orders!L$1,products!$A$1:$G$1,0))</f>
        <v>8.73</v>
      </c>
      <c r="M738" s="6">
        <f t="shared" si="33"/>
        <v>17.46</v>
      </c>
      <c r="N738" t="str">
        <f t="shared" si="34"/>
        <v>Liberica</v>
      </c>
      <c r="O738" t="str">
        <f t="shared" si="35"/>
        <v>Medium</v>
      </c>
      <c r="P738" t="str">
        <f>_xlfn.XLOOKUP(Orders[[#This Row],[Customer ID]],customers!$A$1:$A$1001,customers!$I$1:$I$1001,,0)</f>
        <v>No</v>
      </c>
      <c r="Q738">
        <f>COUNTIF(Orders[Order ID],Orders[[#This Row],[Order ID]])</f>
        <v>1</v>
      </c>
      <c r="R738" s="10">
        <f>SUMIF(Orders[Order ID], Orders[[#This Row],[Order ID]],Orders[Sales])/Orders[[#This Row],[Order Frequency]]</f>
        <v>17.46</v>
      </c>
      <c r="S738" t="str">
        <f>IF(Orders[[#This Row],[Order Frequency]]&gt;4, "More than 4", IF(AND(Orders[[#This Row],[Order Frequency]]&lt;=4,Orders[[#This Row],[Order Frequency]]&gt;=2), "Between 4 and 2", "Less than 2"))</f>
        <v>Less than 2</v>
      </c>
      <c r="T738" t="str">
        <f>IF(Orders[[#This Row],[Frequency Group]]="less than 2", "Low Value", IF(Orders[[#This Row],[Frequency Group]]="between 4 and 2", "Medium Value", "High Value"))</f>
        <v>Low Value</v>
      </c>
      <c r="U738" t="str">
        <f>IF(Orders[[#This Row],[Sales]]&lt;50, "$0-50", IF(AND(Orders[[#This Row],[Sales]]&gt;=50,Orders[[#This Row],[Sales]]&lt;=100), "$50-100", IF(AND(Orders[[#This Row],[Sales]]&gt;100,Orders[[#This Row],[Sales]]&lt;=150), "$101-150", "$150+")))</f>
        <v>$0-50</v>
      </c>
      <c r="V738" t="str">
        <f>IF(Orders[[#This Row],[Sales]]&gt;MEDIAN(M:M), "High Price", "Low Price")</f>
        <v>Low Price</v>
      </c>
      <c r="W738" t="str">
        <f>IF(Orders[[#This Row],[Quantity]]&gt;MEDIAN(E:E), "High Volume", "Low Volume")</f>
        <v>Low Volume</v>
      </c>
      <c r="X738" t="str">
        <f>Orders[[#This Row],[Sales Tier]] &amp; "-" &amp; Orders[[#This Row],[Quantity Tier]]</f>
        <v>Low Price-Low Volume</v>
      </c>
      <c r="Y738" t="str">
        <f>TEXT(Orders[[#This Row],[Order Date]], "mmmm")</f>
        <v>March</v>
      </c>
      <c r="Z73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38" t="str">
        <f>Orders[[#This Row],[Coffee Type Name]] &amp; "-" &amp; Orders[[#This Row],[Roast Type Name]]</f>
        <v>Liberica-Medium</v>
      </c>
      <c r="AB73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739" spans="1:28" x14ac:dyDescent="0.25">
      <c r="A739" s="2" t="s">
        <v>1367</v>
      </c>
      <c r="B739" s="4">
        <v>43764</v>
      </c>
      <c r="C739" s="2" t="s">
        <v>1368</v>
      </c>
      <c r="D739" t="s">
        <v>6175</v>
      </c>
      <c r="E739" s="2">
        <v>3</v>
      </c>
      <c r="F739" s="2" t="str">
        <f>_xlfn.XLOOKUP(C739,customers!$A$1:$A$1001,customers!$B$1:$B$1001,,0)</f>
        <v>Fielding Keinrat</v>
      </c>
      <c r="G739" s="2" t="str">
        <f>IF(_xlfn.XLOOKUP(C739,customers!$A$1:$A$1001,customers!$C$1:$C$1001,,0)=0,"",_xlfn.XLOOKUP(C739,customers!$A$1:$A$1001,customers!$C$1:$C$1001,,0))</f>
        <v>fkeinrat4c@dailymail.co.uk</v>
      </c>
      <c r="H739" s="2" t="str">
        <f>_xlfn.XLOOKUP(C739,customers!$A$1:$A$1001,customers!$G$1:$G$1001,,0)</f>
        <v>United States</v>
      </c>
      <c r="I739" t="str">
        <f>INDEX(products!$A$1:$G$49, MATCH(orders!$D158,products!$A$1:$A205,0), MATCH(orders!I$1,products!$A$1:$G$1,0))</f>
        <v>Ara</v>
      </c>
      <c r="J739" t="str">
        <f>INDEX(products!$A$1:$G$49, MATCH(orders!$D158,products!$A$1:$A205,0), MATCH(orders!J$1,products!$A$1:$G$1,0))</f>
        <v>M</v>
      </c>
      <c r="K739" s="5">
        <f>INDEX(products!$A$1:$G$49, MATCH(orders!$D158,products!$A$1:$A205,0), MATCH(orders!K$1,products!$A$1:$G$1,0))</f>
        <v>2.5</v>
      </c>
      <c r="L739" s="6">
        <f>INDEX(products!$A$1:$G$49, MATCH(orders!$D158,products!$A$1:$A205,0), MATCH(orders!L$1,products!$A$1:$G$1,0))</f>
        <v>25.874999999999996</v>
      </c>
      <c r="M739" s="6">
        <f t="shared" si="33"/>
        <v>77.624999999999986</v>
      </c>
      <c r="N739" t="str">
        <f t="shared" si="34"/>
        <v>Arabica</v>
      </c>
      <c r="O739" t="str">
        <f t="shared" si="35"/>
        <v>Medium</v>
      </c>
      <c r="P739" t="str">
        <f>_xlfn.XLOOKUP(Orders[[#This Row],[Customer ID]],customers!$A$1:$A$1001,customers!$I$1:$I$1001,,0)</f>
        <v>Yes</v>
      </c>
      <c r="Q739">
        <f>COUNTIF(Orders[Order ID],Orders[[#This Row],[Order ID]])</f>
        <v>1</v>
      </c>
      <c r="R739" s="10">
        <f>SUMIF(Orders[Order ID], Orders[[#This Row],[Order ID]],Orders[Sales])/Orders[[#This Row],[Order Frequency]]</f>
        <v>77.624999999999986</v>
      </c>
      <c r="S739" t="str">
        <f>IF(Orders[[#This Row],[Order Frequency]]&gt;4, "More than 4", IF(AND(Orders[[#This Row],[Order Frequency]]&lt;=4,Orders[[#This Row],[Order Frequency]]&gt;=2), "Between 4 and 2", "Less than 2"))</f>
        <v>Less than 2</v>
      </c>
      <c r="T739" t="str">
        <f>IF(Orders[[#This Row],[Frequency Group]]="less than 2", "Low Value", IF(Orders[[#This Row],[Frequency Group]]="between 4 and 2", "Medium Value", "High Value"))</f>
        <v>Low Value</v>
      </c>
      <c r="U739" t="str">
        <f>IF(Orders[[#This Row],[Sales]]&lt;50, "$0-50", IF(AND(Orders[[#This Row],[Sales]]&gt;=50,Orders[[#This Row],[Sales]]&lt;=100), "$50-100", IF(AND(Orders[[#This Row],[Sales]]&gt;100,Orders[[#This Row],[Sales]]&lt;=150), "$101-150", "$150+")))</f>
        <v>$50-100</v>
      </c>
      <c r="V739" t="str">
        <f>IF(Orders[[#This Row],[Sales]]&gt;MEDIAN(M:M), "High Price", "Low Price")</f>
        <v>High Price</v>
      </c>
      <c r="W739" t="str">
        <f>IF(Orders[[#This Row],[Quantity]]&gt;MEDIAN(E:E), "High Volume", "Low Volume")</f>
        <v>Low Volume</v>
      </c>
      <c r="X739" t="str">
        <f>Orders[[#This Row],[Sales Tier]] &amp; "-" &amp; Orders[[#This Row],[Quantity Tier]]</f>
        <v>High Price-Low Volume</v>
      </c>
      <c r="Y739" t="str">
        <f>TEXT(Orders[[#This Row],[Order Date]], "mmmm")</f>
        <v>October</v>
      </c>
      <c r="Z73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739" t="str">
        <f>Orders[[#This Row],[Coffee Type Name]] &amp; "-" &amp; Orders[[#This Row],[Roast Type Name]]</f>
        <v>Arabica-Medium</v>
      </c>
      <c r="AB73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740" spans="1:28" x14ac:dyDescent="0.25">
      <c r="A740" s="2" t="s">
        <v>4433</v>
      </c>
      <c r="B740" s="4">
        <v>43830</v>
      </c>
      <c r="C740" s="2" t="s">
        <v>4434</v>
      </c>
      <c r="D740" t="s">
        <v>6143</v>
      </c>
      <c r="E740" s="2">
        <v>2</v>
      </c>
      <c r="F740" s="2" t="str">
        <f>_xlfn.XLOOKUP(C740,customers!$A$1:$A$1001,customers!$B$1:$B$1001,,0)</f>
        <v>Jimmy Dymoke</v>
      </c>
      <c r="G740" s="2" t="str">
        <f>IF(_xlfn.XLOOKUP(C740,customers!$A$1:$A$1001,customers!$C$1:$C$1001,,0)=0,"",_xlfn.XLOOKUP(C740,customers!$A$1:$A$1001,customers!$C$1:$C$1001,,0))</f>
        <v>jdymokeje@prnewswire.com</v>
      </c>
      <c r="H740" s="2" t="str">
        <f>_xlfn.XLOOKUP(C740,customers!$A$1:$A$1001,customers!$G$1:$G$1001,,0)</f>
        <v>Ireland</v>
      </c>
      <c r="I740" t="str">
        <f>INDEX(products!$A$1:$G$49, MATCH(orders!$D700,products!$A$1:$A747,0), MATCH(orders!I$1,products!$A$1:$G$1,0))</f>
        <v>Lib</v>
      </c>
      <c r="J740" t="str">
        <f>INDEX(products!$A$1:$G$49, MATCH(orders!$D700,products!$A$1:$A747,0), MATCH(orders!J$1,products!$A$1:$G$1,0))</f>
        <v>D</v>
      </c>
      <c r="K740" s="5">
        <f>INDEX(products!$A$1:$G$49, MATCH(orders!$D700,products!$A$1:$A747,0), MATCH(orders!K$1,products!$A$1:$G$1,0))</f>
        <v>1</v>
      </c>
      <c r="L740" s="6">
        <f>INDEX(products!$A$1:$G$49, MATCH(orders!$D700,products!$A$1:$A747,0), MATCH(orders!L$1,products!$A$1:$G$1,0))</f>
        <v>12.95</v>
      </c>
      <c r="M740" s="6">
        <f t="shared" si="33"/>
        <v>25.9</v>
      </c>
      <c r="N740" t="str">
        <f t="shared" si="34"/>
        <v>Liberica</v>
      </c>
      <c r="O740" t="str">
        <f t="shared" si="35"/>
        <v>Dark</v>
      </c>
      <c r="P740" t="str">
        <f>_xlfn.XLOOKUP(Orders[[#This Row],[Customer ID]],customers!$A$1:$A$1001,customers!$I$1:$I$1001,,0)</f>
        <v>No</v>
      </c>
      <c r="Q740">
        <f>COUNTIF(Orders[Order ID],Orders[[#This Row],[Order ID]])</f>
        <v>1</v>
      </c>
      <c r="R740" s="10">
        <f>SUMIF(Orders[Order ID], Orders[[#This Row],[Order ID]],Orders[Sales])/Orders[[#This Row],[Order Frequency]]</f>
        <v>25.9</v>
      </c>
      <c r="S740" t="str">
        <f>IF(Orders[[#This Row],[Order Frequency]]&gt;4, "More than 4", IF(AND(Orders[[#This Row],[Order Frequency]]&lt;=4,Orders[[#This Row],[Order Frequency]]&gt;=2), "Between 4 and 2", "Less than 2"))</f>
        <v>Less than 2</v>
      </c>
      <c r="T740" t="str">
        <f>IF(Orders[[#This Row],[Frequency Group]]="less than 2", "Low Value", IF(Orders[[#This Row],[Frequency Group]]="between 4 and 2", "Medium Value", "High Value"))</f>
        <v>Low Value</v>
      </c>
      <c r="U740" t="str">
        <f>IF(Orders[[#This Row],[Sales]]&lt;50, "$0-50", IF(AND(Orders[[#This Row],[Sales]]&gt;=50,Orders[[#This Row],[Sales]]&lt;=100), "$50-100", IF(AND(Orders[[#This Row],[Sales]]&gt;100,Orders[[#This Row],[Sales]]&lt;=150), "$101-150", "$150+")))</f>
        <v>$0-50</v>
      </c>
      <c r="V740" t="str">
        <f>IF(Orders[[#This Row],[Sales]]&gt;MEDIAN(M:M), "High Price", "Low Price")</f>
        <v>Low Price</v>
      </c>
      <c r="W740" t="str">
        <f>IF(Orders[[#This Row],[Quantity]]&gt;MEDIAN(E:E), "High Volume", "Low Volume")</f>
        <v>Low Volume</v>
      </c>
      <c r="X740" t="str">
        <f>Orders[[#This Row],[Sales Tier]] &amp; "-" &amp; Orders[[#This Row],[Quantity Tier]]</f>
        <v>Low Price-Low Volume</v>
      </c>
      <c r="Y740" t="str">
        <f>TEXT(Orders[[#This Row],[Order Date]], "mmmm")</f>
        <v>December</v>
      </c>
      <c r="Z74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740" t="str">
        <f>Orders[[#This Row],[Coffee Type Name]] &amp; "-" &amp; Orders[[#This Row],[Roast Type Name]]</f>
        <v>Liberica-Dark</v>
      </c>
      <c r="AB74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741" spans="1:28" x14ac:dyDescent="0.25">
      <c r="A741" s="2" t="s">
        <v>4847</v>
      </c>
      <c r="B741" s="4">
        <v>43468</v>
      </c>
      <c r="C741" s="2" t="s">
        <v>4848</v>
      </c>
      <c r="D741" t="s">
        <v>6173</v>
      </c>
      <c r="E741" s="2">
        <v>3</v>
      </c>
      <c r="F741" s="2" t="str">
        <f>_xlfn.XLOOKUP(C741,customers!$A$1:$A$1001,customers!$B$1:$B$1001,,0)</f>
        <v>Suzanna Bollam</v>
      </c>
      <c r="G741" s="2" t="str">
        <f>IF(_xlfn.XLOOKUP(C741,customers!$A$1:$A$1001,customers!$C$1:$C$1001,,0)=0,"",_xlfn.XLOOKUP(C741,customers!$A$1:$A$1001,customers!$C$1:$C$1001,,0))</f>
        <v>sbollamlf@list-manage.com</v>
      </c>
      <c r="H741" s="2" t="str">
        <f>_xlfn.XLOOKUP(C741,customers!$A$1:$A$1001,customers!$G$1:$G$1001,,0)</f>
        <v>United States</v>
      </c>
      <c r="I741" t="str">
        <f>INDEX(products!$A$1:$G$49, MATCH(orders!$D773,products!$A$1:$A820,0), MATCH(orders!I$1,products!$A$1:$G$1,0))</f>
        <v>Rob</v>
      </c>
      <c r="J741" t="str">
        <f>INDEX(products!$A$1:$G$49, MATCH(orders!$D773,products!$A$1:$A820,0), MATCH(orders!J$1,products!$A$1:$G$1,0))</f>
        <v>L</v>
      </c>
      <c r="K741" s="5">
        <f>INDEX(products!$A$1:$G$49, MATCH(orders!$D773,products!$A$1:$A820,0), MATCH(orders!K$1,products!$A$1:$G$1,0))</f>
        <v>0.5</v>
      </c>
      <c r="L741" s="6">
        <f>INDEX(products!$A$1:$G$49, MATCH(orders!$D773,products!$A$1:$A820,0), MATCH(orders!L$1,products!$A$1:$G$1,0))</f>
        <v>7.169999999999999</v>
      </c>
      <c r="M741" s="6">
        <f t="shared" si="33"/>
        <v>21.509999999999998</v>
      </c>
      <c r="N741" t="str">
        <f t="shared" si="34"/>
        <v>Robusta</v>
      </c>
      <c r="O741" t="str">
        <f t="shared" si="35"/>
        <v>Light</v>
      </c>
      <c r="P741" t="str">
        <f>_xlfn.XLOOKUP(Orders[[#This Row],[Customer ID]],customers!$A$1:$A$1001,customers!$I$1:$I$1001,,0)</f>
        <v>No</v>
      </c>
      <c r="Q741">
        <f>COUNTIF(Orders[Order ID],Orders[[#This Row],[Order ID]])</f>
        <v>1</v>
      </c>
      <c r="R741" s="10">
        <f>SUMIF(Orders[Order ID], Orders[[#This Row],[Order ID]],Orders[Sales])/Orders[[#This Row],[Order Frequency]]</f>
        <v>21.509999999999998</v>
      </c>
      <c r="S741" t="str">
        <f>IF(Orders[[#This Row],[Order Frequency]]&gt;4, "More than 4", IF(AND(Orders[[#This Row],[Order Frequency]]&lt;=4,Orders[[#This Row],[Order Frequency]]&gt;=2), "Between 4 and 2", "Less than 2"))</f>
        <v>Less than 2</v>
      </c>
      <c r="T741" t="str">
        <f>IF(Orders[[#This Row],[Frequency Group]]="less than 2", "Low Value", IF(Orders[[#This Row],[Frequency Group]]="between 4 and 2", "Medium Value", "High Value"))</f>
        <v>Low Value</v>
      </c>
      <c r="U741" t="str">
        <f>IF(Orders[[#This Row],[Sales]]&lt;50, "$0-50", IF(AND(Orders[[#This Row],[Sales]]&gt;=50,Orders[[#This Row],[Sales]]&lt;=100), "$50-100", IF(AND(Orders[[#This Row],[Sales]]&gt;100,Orders[[#This Row],[Sales]]&lt;=150), "$101-150", "$150+")))</f>
        <v>$0-50</v>
      </c>
      <c r="V741" t="str">
        <f>IF(Orders[[#This Row],[Sales]]&gt;MEDIAN(M:M), "High Price", "Low Price")</f>
        <v>Low Price</v>
      </c>
      <c r="W741" t="str">
        <f>IF(Orders[[#This Row],[Quantity]]&gt;MEDIAN(E:E), "High Volume", "Low Volume")</f>
        <v>Low Volume</v>
      </c>
      <c r="X741" t="str">
        <f>Orders[[#This Row],[Sales Tier]] &amp; "-" &amp; Orders[[#This Row],[Quantity Tier]]</f>
        <v>Low Price-Low Volume</v>
      </c>
      <c r="Y741" t="str">
        <f>TEXT(Orders[[#This Row],[Order Date]], "mmmm")</f>
        <v>January</v>
      </c>
      <c r="Z74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41" t="str">
        <f>Orders[[#This Row],[Coffee Type Name]] &amp; "-" &amp; Orders[[#This Row],[Roast Type Name]]</f>
        <v>Robusta-Light</v>
      </c>
      <c r="AB74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742" spans="1:28" x14ac:dyDescent="0.25">
      <c r="A742" s="2" t="s">
        <v>854</v>
      </c>
      <c r="B742" s="4">
        <v>44626</v>
      </c>
      <c r="C742" s="2" t="s">
        <v>855</v>
      </c>
      <c r="D742" t="s">
        <v>6149</v>
      </c>
      <c r="E742" s="2">
        <v>4</v>
      </c>
      <c r="F742" s="2" t="str">
        <f>_xlfn.XLOOKUP(C742,customers!$A$1:$A$1001,customers!$B$1:$B$1001,,0)</f>
        <v>Angelia Cockrem</v>
      </c>
      <c r="G742" s="2" t="str">
        <f>IF(_xlfn.XLOOKUP(C742,customers!$A$1:$A$1001,customers!$C$1:$C$1001,,0)=0,"",_xlfn.XLOOKUP(C742,customers!$A$1:$A$1001,customers!$C$1:$C$1001,,0))</f>
        <v>acockrem1t@engadget.com</v>
      </c>
      <c r="H742" s="2" t="str">
        <f>_xlfn.XLOOKUP(C742,customers!$A$1:$A$1001,customers!$G$1:$G$1001,,0)</f>
        <v>United States</v>
      </c>
      <c r="I742" t="str">
        <f>INDEX(products!$A$1:$G$49, MATCH(orders!$D67,products!$A$1:$A114,0), MATCH(orders!I$1,products!$A$1:$G$1,0))</f>
        <v>Rob</v>
      </c>
      <c r="J742" t="str">
        <f>INDEX(products!$A$1:$G$49, MATCH(orders!$D67,products!$A$1:$A114,0), MATCH(orders!J$1,products!$A$1:$G$1,0))</f>
        <v>D</v>
      </c>
      <c r="K742" s="5">
        <f>INDEX(products!$A$1:$G$49, MATCH(orders!$D67,products!$A$1:$A114,0), MATCH(orders!K$1,products!$A$1:$G$1,0))</f>
        <v>2.5</v>
      </c>
      <c r="L742" s="6">
        <f>INDEX(products!$A$1:$G$49, MATCH(orders!$D67,products!$A$1:$A114,0), MATCH(orders!L$1,products!$A$1:$G$1,0))</f>
        <v>20.584999999999997</v>
      </c>
      <c r="M742" s="6">
        <f t="shared" si="33"/>
        <v>82.339999999999989</v>
      </c>
      <c r="N742" t="str">
        <f t="shared" si="34"/>
        <v>Robusta</v>
      </c>
      <c r="O742" t="str">
        <f t="shared" si="35"/>
        <v>Dark</v>
      </c>
      <c r="P742" t="str">
        <f>_xlfn.XLOOKUP(Orders[[#This Row],[Customer ID]],customers!$A$1:$A$1001,customers!$I$1:$I$1001,,0)</f>
        <v>Yes</v>
      </c>
      <c r="Q742">
        <f>COUNTIF(Orders[Order ID],Orders[[#This Row],[Order ID]])</f>
        <v>1</v>
      </c>
      <c r="R742" s="10">
        <f>SUMIF(Orders[Order ID], Orders[[#This Row],[Order ID]],Orders[Sales])/Orders[[#This Row],[Order Frequency]]</f>
        <v>82.339999999999989</v>
      </c>
      <c r="S742" t="str">
        <f>IF(Orders[[#This Row],[Order Frequency]]&gt;4, "More than 4", IF(AND(Orders[[#This Row],[Order Frequency]]&lt;=4,Orders[[#This Row],[Order Frequency]]&gt;=2), "Between 4 and 2", "Less than 2"))</f>
        <v>Less than 2</v>
      </c>
      <c r="T742" t="str">
        <f>IF(Orders[[#This Row],[Frequency Group]]="less than 2", "Low Value", IF(Orders[[#This Row],[Frequency Group]]="between 4 and 2", "Medium Value", "High Value"))</f>
        <v>Low Value</v>
      </c>
      <c r="U742" t="str">
        <f>IF(Orders[[#This Row],[Sales]]&lt;50, "$0-50", IF(AND(Orders[[#This Row],[Sales]]&gt;=50,Orders[[#This Row],[Sales]]&lt;=100), "$50-100", IF(AND(Orders[[#This Row],[Sales]]&gt;100,Orders[[#This Row],[Sales]]&lt;=150), "$101-150", "$150+")))</f>
        <v>$50-100</v>
      </c>
      <c r="V742" t="str">
        <f>IF(Orders[[#This Row],[Sales]]&gt;MEDIAN(M:M), "High Price", "Low Price")</f>
        <v>High Price</v>
      </c>
      <c r="W742" t="str">
        <f>IF(Orders[[#This Row],[Quantity]]&gt;MEDIAN(E:E), "High Volume", "Low Volume")</f>
        <v>Low Volume</v>
      </c>
      <c r="X742" t="str">
        <f>Orders[[#This Row],[Sales Tier]] &amp; "-" &amp; Orders[[#This Row],[Quantity Tier]]</f>
        <v>High Price-Low Volume</v>
      </c>
      <c r="Y742" t="str">
        <f>TEXT(Orders[[#This Row],[Order Date]], "mmmm")</f>
        <v>March</v>
      </c>
      <c r="Z74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42" t="str">
        <f>Orders[[#This Row],[Coffee Type Name]] &amp; "-" &amp; Orders[[#This Row],[Roast Type Name]]</f>
        <v>Robusta-Dark</v>
      </c>
      <c r="AB74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743" spans="1:28" x14ac:dyDescent="0.25">
      <c r="A743" s="2" t="s">
        <v>3106</v>
      </c>
      <c r="B743" s="4">
        <v>43730</v>
      </c>
      <c r="C743" s="2" t="s">
        <v>3107</v>
      </c>
      <c r="D743" t="s">
        <v>6141</v>
      </c>
      <c r="E743" s="2">
        <v>2</v>
      </c>
      <c r="F743" s="2" t="str">
        <f>_xlfn.XLOOKUP(C743,customers!$A$1:$A$1001,customers!$B$1:$B$1001,,0)</f>
        <v>Adolphe Treherne</v>
      </c>
      <c r="G743" s="2" t="str">
        <f>IF(_xlfn.XLOOKUP(C743,customers!$A$1:$A$1001,customers!$C$1:$C$1001,,0)=0,"",_xlfn.XLOOKUP(C743,customers!$A$1:$A$1001,customers!$C$1:$C$1001,,0))</f>
        <v>atrehernecv@state.tx.us</v>
      </c>
      <c r="H743" s="2" t="str">
        <f>_xlfn.XLOOKUP(C743,customers!$A$1:$A$1001,customers!$G$1:$G$1001,,0)</f>
        <v>Ireland</v>
      </c>
      <c r="I743" t="str">
        <f>INDEX(products!$A$1:$G$49, MATCH(orders!$D465,products!$A$1:$A512,0), MATCH(orders!I$1,products!$A$1:$G$1,0))</f>
        <v>Exc</v>
      </c>
      <c r="J743" t="str">
        <f>INDEX(products!$A$1:$G$49, MATCH(orders!$D465,products!$A$1:$A512,0), MATCH(orders!J$1,products!$A$1:$G$1,0))</f>
        <v>M</v>
      </c>
      <c r="K743" s="5">
        <f>INDEX(products!$A$1:$G$49, MATCH(orders!$D465,products!$A$1:$A512,0), MATCH(orders!K$1,products!$A$1:$G$1,0))</f>
        <v>1</v>
      </c>
      <c r="L743" s="6">
        <f>INDEX(products!$A$1:$G$49, MATCH(orders!$D465,products!$A$1:$A512,0), MATCH(orders!L$1,products!$A$1:$G$1,0))</f>
        <v>13.75</v>
      </c>
      <c r="M743" s="6">
        <f t="shared" si="33"/>
        <v>27.5</v>
      </c>
      <c r="N743" t="str">
        <f t="shared" si="34"/>
        <v>Excelsa</v>
      </c>
      <c r="O743" t="str">
        <f t="shared" si="35"/>
        <v>Medium</v>
      </c>
      <c r="P743" t="str">
        <f>_xlfn.XLOOKUP(Orders[[#This Row],[Customer ID]],customers!$A$1:$A$1001,customers!$I$1:$I$1001,,0)</f>
        <v>No</v>
      </c>
      <c r="Q743">
        <f>COUNTIF(Orders[Order ID],Orders[[#This Row],[Order ID]])</f>
        <v>1</v>
      </c>
      <c r="R743" s="10">
        <f>SUMIF(Orders[Order ID], Orders[[#This Row],[Order ID]],Orders[Sales])/Orders[[#This Row],[Order Frequency]]</f>
        <v>27.5</v>
      </c>
      <c r="S743" t="str">
        <f>IF(Orders[[#This Row],[Order Frequency]]&gt;4, "More than 4", IF(AND(Orders[[#This Row],[Order Frequency]]&lt;=4,Orders[[#This Row],[Order Frequency]]&gt;=2), "Between 4 and 2", "Less than 2"))</f>
        <v>Less than 2</v>
      </c>
      <c r="T743" t="str">
        <f>IF(Orders[[#This Row],[Frequency Group]]="less than 2", "Low Value", IF(Orders[[#This Row],[Frequency Group]]="between 4 and 2", "Medium Value", "High Value"))</f>
        <v>Low Value</v>
      </c>
      <c r="U743" t="str">
        <f>IF(Orders[[#This Row],[Sales]]&lt;50, "$0-50", IF(AND(Orders[[#This Row],[Sales]]&gt;=50,Orders[[#This Row],[Sales]]&lt;=100), "$50-100", IF(AND(Orders[[#This Row],[Sales]]&gt;100,Orders[[#This Row],[Sales]]&lt;=150), "$101-150", "$150+")))</f>
        <v>$0-50</v>
      </c>
      <c r="V743" t="str">
        <f>IF(Orders[[#This Row],[Sales]]&gt;MEDIAN(M:M), "High Price", "Low Price")</f>
        <v>Low Price</v>
      </c>
      <c r="W743" t="str">
        <f>IF(Orders[[#This Row],[Quantity]]&gt;MEDIAN(E:E), "High Volume", "Low Volume")</f>
        <v>Low Volume</v>
      </c>
      <c r="X743" t="str">
        <f>Orders[[#This Row],[Sales Tier]] &amp; "-" &amp; Orders[[#This Row],[Quantity Tier]]</f>
        <v>Low Price-Low Volume</v>
      </c>
      <c r="Y743" t="str">
        <f>TEXT(Orders[[#This Row],[Order Date]], "mmmm")</f>
        <v>September</v>
      </c>
      <c r="Z74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743" t="str">
        <f>Orders[[#This Row],[Coffee Type Name]] &amp; "-" &amp; Orders[[#This Row],[Roast Type Name]]</f>
        <v>Excelsa-Medium</v>
      </c>
      <c r="AB74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744" spans="1:28" x14ac:dyDescent="0.25">
      <c r="A744" s="2" t="s">
        <v>1643</v>
      </c>
      <c r="B744" s="4">
        <v>43883</v>
      </c>
      <c r="C744" s="2" t="s">
        <v>1644</v>
      </c>
      <c r="D744" t="s">
        <v>6163</v>
      </c>
      <c r="E744" s="2">
        <v>3</v>
      </c>
      <c r="F744" s="2" t="str">
        <f>_xlfn.XLOOKUP(C744,customers!$A$1:$A$1001,customers!$B$1:$B$1001,,0)</f>
        <v>Kendra Glison</v>
      </c>
      <c r="G744" s="2" t="str">
        <f>IF(_xlfn.XLOOKUP(C744,customers!$A$1:$A$1001,customers!$C$1:$C$1001,,0)=0,"",_xlfn.XLOOKUP(C744,customers!$A$1:$A$1001,customers!$C$1:$C$1001,,0))</f>
        <v/>
      </c>
      <c r="H744" s="2" t="str">
        <f>_xlfn.XLOOKUP(C744,customers!$A$1:$A$1001,customers!$G$1:$G$1001,,0)</f>
        <v>United States</v>
      </c>
      <c r="I744" t="str">
        <f>INDEX(products!$A$1:$G$49, MATCH(orders!$D207,products!$A$1:$A254,0), MATCH(orders!I$1,products!$A$1:$G$1,0))</f>
        <v>Rob</v>
      </c>
      <c r="J744" t="str">
        <f>INDEX(products!$A$1:$G$49, MATCH(orders!$D207,products!$A$1:$A254,0), MATCH(orders!J$1,products!$A$1:$G$1,0))</f>
        <v>D</v>
      </c>
      <c r="K744" s="5">
        <f>INDEX(products!$A$1:$G$49, MATCH(orders!$D207,products!$A$1:$A254,0), MATCH(orders!K$1,products!$A$1:$G$1,0))</f>
        <v>0.2</v>
      </c>
      <c r="L744" s="6">
        <f>INDEX(products!$A$1:$G$49, MATCH(orders!$D207,products!$A$1:$A254,0), MATCH(orders!L$1,products!$A$1:$G$1,0))</f>
        <v>2.6849999999999996</v>
      </c>
      <c r="M744" s="6">
        <f t="shared" si="33"/>
        <v>8.0549999999999997</v>
      </c>
      <c r="N744" t="str">
        <f t="shared" si="34"/>
        <v>Robusta</v>
      </c>
      <c r="O744" t="str">
        <f t="shared" si="35"/>
        <v>Dark</v>
      </c>
      <c r="P744" t="str">
        <f>_xlfn.XLOOKUP(Orders[[#This Row],[Customer ID]],customers!$A$1:$A$1001,customers!$I$1:$I$1001,,0)</f>
        <v>Yes</v>
      </c>
      <c r="Q744">
        <f>COUNTIF(Orders[Order ID],Orders[[#This Row],[Order ID]])</f>
        <v>1</v>
      </c>
      <c r="R744" s="10">
        <f>SUMIF(Orders[Order ID], Orders[[#This Row],[Order ID]],Orders[Sales])/Orders[[#This Row],[Order Frequency]]</f>
        <v>8.0549999999999997</v>
      </c>
      <c r="S744" t="str">
        <f>IF(Orders[[#This Row],[Order Frequency]]&gt;4, "More than 4", IF(AND(Orders[[#This Row],[Order Frequency]]&lt;=4,Orders[[#This Row],[Order Frequency]]&gt;=2), "Between 4 and 2", "Less than 2"))</f>
        <v>Less than 2</v>
      </c>
      <c r="T744" t="str">
        <f>IF(Orders[[#This Row],[Frequency Group]]="less than 2", "Low Value", IF(Orders[[#This Row],[Frequency Group]]="between 4 and 2", "Medium Value", "High Value"))</f>
        <v>Low Value</v>
      </c>
      <c r="U744" t="str">
        <f>IF(Orders[[#This Row],[Sales]]&lt;50, "$0-50", IF(AND(Orders[[#This Row],[Sales]]&gt;=50,Orders[[#This Row],[Sales]]&lt;=100), "$50-100", IF(AND(Orders[[#This Row],[Sales]]&gt;100,Orders[[#This Row],[Sales]]&lt;=150), "$101-150", "$150+")))</f>
        <v>$0-50</v>
      </c>
      <c r="V744" t="str">
        <f>IF(Orders[[#This Row],[Sales]]&gt;MEDIAN(M:M), "High Price", "Low Price")</f>
        <v>Low Price</v>
      </c>
      <c r="W744" t="str">
        <f>IF(Orders[[#This Row],[Quantity]]&gt;MEDIAN(E:E), "High Volume", "Low Volume")</f>
        <v>Low Volume</v>
      </c>
      <c r="X744" t="str">
        <f>Orders[[#This Row],[Sales Tier]] &amp; "-" &amp; Orders[[#This Row],[Quantity Tier]]</f>
        <v>Low Price-Low Volume</v>
      </c>
      <c r="Y744" t="str">
        <f>TEXT(Orders[[#This Row],[Order Date]], "mmmm")</f>
        <v>February</v>
      </c>
      <c r="Z74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44" t="str">
        <f>Orders[[#This Row],[Coffee Type Name]] &amp; "-" &amp; Orders[[#This Row],[Roast Type Name]]</f>
        <v>Robusta-Dark</v>
      </c>
      <c r="AB74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745" spans="1:28" x14ac:dyDescent="0.25">
      <c r="A745" s="2" t="s">
        <v>4688</v>
      </c>
      <c r="B745" s="4">
        <v>44042</v>
      </c>
      <c r="C745" s="2" t="s">
        <v>4689</v>
      </c>
      <c r="D745" t="s">
        <v>6158</v>
      </c>
      <c r="E745" s="2">
        <v>3</v>
      </c>
      <c r="F745" s="2" t="str">
        <f>_xlfn.XLOOKUP(C745,customers!$A$1:$A$1001,customers!$B$1:$B$1001,,0)</f>
        <v>Tersina Castagne</v>
      </c>
      <c r="G745" s="2" t="str">
        <f>IF(_xlfn.XLOOKUP(C745,customers!$A$1:$A$1001,customers!$C$1:$C$1001,,0)=0,"",_xlfn.XLOOKUP(C745,customers!$A$1:$A$1001,customers!$C$1:$C$1001,,0))</f>
        <v>tcastagnekn@wikia.com</v>
      </c>
      <c r="H745" s="2" t="str">
        <f>_xlfn.XLOOKUP(C745,customers!$A$1:$A$1001,customers!$G$1:$G$1001,,0)</f>
        <v>United States</v>
      </c>
      <c r="I745" t="str">
        <f>INDEX(products!$A$1:$G$49, MATCH(orders!$D745,products!$A$1:$A792,0), MATCH(orders!I$1,products!$A$1:$G$1,0))</f>
        <v>Ara</v>
      </c>
      <c r="J745" t="str">
        <f>INDEX(products!$A$1:$G$49, MATCH(orders!$D745,products!$A$1:$A792,0), MATCH(orders!J$1,products!$A$1:$G$1,0))</f>
        <v>D</v>
      </c>
      <c r="K745" s="5">
        <f>INDEX(products!$A$1:$G$49, MATCH(orders!$D745,products!$A$1:$A792,0), MATCH(orders!K$1,products!$A$1:$G$1,0))</f>
        <v>0.5</v>
      </c>
      <c r="L745" s="6">
        <f>INDEX(products!$A$1:$G$49, MATCH(orders!$D745,products!$A$1:$A792,0), MATCH(orders!L$1,products!$A$1:$G$1,0))</f>
        <v>5.97</v>
      </c>
      <c r="M745" s="6">
        <f t="shared" si="33"/>
        <v>17.91</v>
      </c>
      <c r="N745" t="str">
        <f t="shared" si="34"/>
        <v>Arabica</v>
      </c>
      <c r="O745" t="str">
        <f t="shared" si="35"/>
        <v>Dark</v>
      </c>
      <c r="P745" t="str">
        <f>_xlfn.XLOOKUP(Orders[[#This Row],[Customer ID]],customers!$A$1:$A$1001,customers!$I$1:$I$1001,,0)</f>
        <v>No</v>
      </c>
      <c r="Q745">
        <f>COUNTIF(Orders[Order ID],Orders[[#This Row],[Order ID]])</f>
        <v>1</v>
      </c>
      <c r="R745" s="10">
        <f>SUMIF(Orders[Order ID], Orders[[#This Row],[Order ID]],Orders[Sales])/Orders[[#This Row],[Order Frequency]]</f>
        <v>17.91</v>
      </c>
      <c r="S745" t="str">
        <f>IF(Orders[[#This Row],[Order Frequency]]&gt;4, "More than 4", IF(AND(Orders[[#This Row],[Order Frequency]]&lt;=4,Orders[[#This Row],[Order Frequency]]&gt;=2), "Between 4 and 2", "Less than 2"))</f>
        <v>Less than 2</v>
      </c>
      <c r="T745" t="str">
        <f>IF(Orders[[#This Row],[Frequency Group]]="less than 2", "Low Value", IF(Orders[[#This Row],[Frequency Group]]="between 4 and 2", "Medium Value", "High Value"))</f>
        <v>Low Value</v>
      </c>
      <c r="U745" t="str">
        <f>IF(Orders[[#This Row],[Sales]]&lt;50, "$0-50", IF(AND(Orders[[#This Row],[Sales]]&gt;=50,Orders[[#This Row],[Sales]]&lt;=100), "$50-100", IF(AND(Orders[[#This Row],[Sales]]&gt;100,Orders[[#This Row],[Sales]]&lt;=150), "$101-150", "$150+")))</f>
        <v>$0-50</v>
      </c>
      <c r="V745" t="str">
        <f>IF(Orders[[#This Row],[Sales]]&gt;MEDIAN(M:M), "High Price", "Low Price")</f>
        <v>Low Price</v>
      </c>
      <c r="W745" t="str">
        <f>IF(Orders[[#This Row],[Quantity]]&gt;MEDIAN(E:E), "High Volume", "Low Volume")</f>
        <v>Low Volume</v>
      </c>
      <c r="X745" t="str">
        <f>Orders[[#This Row],[Sales Tier]] &amp; "-" &amp; Orders[[#This Row],[Quantity Tier]]</f>
        <v>Low Price-Low Volume</v>
      </c>
      <c r="Y745" t="str">
        <f>TEXT(Orders[[#This Row],[Order Date]], "mmmm")</f>
        <v>July</v>
      </c>
      <c r="Z74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745" t="str">
        <f>Orders[[#This Row],[Coffee Type Name]] &amp; "-" &amp; Orders[[#This Row],[Roast Type Name]]</f>
        <v>Arabica-Dark</v>
      </c>
      <c r="AB74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746" spans="1:28" x14ac:dyDescent="0.25">
      <c r="A746" s="2" t="s">
        <v>1158</v>
      </c>
      <c r="B746" s="4">
        <v>44471</v>
      </c>
      <c r="C746" s="2" t="s">
        <v>1159</v>
      </c>
      <c r="D746" t="s">
        <v>6167</v>
      </c>
      <c r="E746" s="2">
        <v>1</v>
      </c>
      <c r="F746" s="2" t="str">
        <f>_xlfn.XLOOKUP(C746,customers!$A$1:$A$1001,customers!$B$1:$B$1001,,0)</f>
        <v>Cordi Switsur</v>
      </c>
      <c r="G746" s="2" t="str">
        <f>IF(_xlfn.XLOOKUP(C746,customers!$A$1:$A$1001,customers!$C$1:$C$1001,,0)=0,"",_xlfn.XLOOKUP(C746,customers!$A$1:$A$1001,customers!$C$1:$C$1001,,0))</f>
        <v>cswitsur3b@chronoengine.com</v>
      </c>
      <c r="H746" s="2" t="str">
        <f>_xlfn.XLOOKUP(C746,customers!$A$1:$A$1001,customers!$G$1:$G$1001,,0)</f>
        <v>United States</v>
      </c>
      <c r="I746" t="str">
        <f>INDEX(products!$A$1:$G$49, MATCH(orders!$D122,products!$A$1:$A169,0), MATCH(orders!I$1,products!$A$1:$G$1,0))</f>
        <v>Ara</v>
      </c>
      <c r="J746" t="str">
        <f>INDEX(products!$A$1:$G$49, MATCH(orders!$D122,products!$A$1:$A169,0), MATCH(orders!J$1,products!$A$1:$G$1,0))</f>
        <v>L</v>
      </c>
      <c r="K746" s="5">
        <f>INDEX(products!$A$1:$G$49, MATCH(orders!$D122,products!$A$1:$A169,0), MATCH(orders!K$1,products!$A$1:$G$1,0))</f>
        <v>0.2</v>
      </c>
      <c r="L746" s="6">
        <f>INDEX(products!$A$1:$G$49, MATCH(orders!$D122,products!$A$1:$A169,0), MATCH(orders!L$1,products!$A$1:$G$1,0))</f>
        <v>3.8849999999999998</v>
      </c>
      <c r="M746" s="6">
        <f t="shared" si="33"/>
        <v>3.8849999999999998</v>
      </c>
      <c r="N746" t="str">
        <f t="shared" si="34"/>
        <v>Arabica</v>
      </c>
      <c r="O746" t="str">
        <f t="shared" si="35"/>
        <v>Light</v>
      </c>
      <c r="P746" t="str">
        <f>_xlfn.XLOOKUP(Orders[[#This Row],[Customer ID]],customers!$A$1:$A$1001,customers!$I$1:$I$1001,,0)</f>
        <v>No</v>
      </c>
      <c r="Q746">
        <f>COUNTIF(Orders[Order ID],Orders[[#This Row],[Order ID]])</f>
        <v>3</v>
      </c>
      <c r="R746" s="10">
        <f>SUMIF(Orders[Order ID], Orders[[#This Row],[Order ID]],Orders[Sales])/Orders[[#This Row],[Order Frequency]]</f>
        <v>25.58666666666667</v>
      </c>
      <c r="S746" t="str">
        <f>IF(Orders[[#This Row],[Order Frequency]]&gt;4, "More than 4", IF(AND(Orders[[#This Row],[Order Frequency]]&lt;=4,Orders[[#This Row],[Order Frequency]]&gt;=2), "Between 4 and 2", "Less than 2"))</f>
        <v>Between 4 and 2</v>
      </c>
      <c r="T746" t="str">
        <f>IF(Orders[[#This Row],[Frequency Group]]="less than 2", "Low Value", IF(Orders[[#This Row],[Frequency Group]]="between 4 and 2", "Medium Value", "High Value"))</f>
        <v>Medium Value</v>
      </c>
      <c r="U746" t="str">
        <f>IF(Orders[[#This Row],[Sales]]&lt;50, "$0-50", IF(AND(Orders[[#This Row],[Sales]]&gt;=50,Orders[[#This Row],[Sales]]&lt;=100), "$50-100", IF(AND(Orders[[#This Row],[Sales]]&gt;100,Orders[[#This Row],[Sales]]&lt;=150), "$101-150", "$150+")))</f>
        <v>$0-50</v>
      </c>
      <c r="V746" t="str">
        <f>IF(Orders[[#This Row],[Sales]]&gt;MEDIAN(M:M), "High Price", "Low Price")</f>
        <v>Low Price</v>
      </c>
      <c r="W746" t="str">
        <f>IF(Orders[[#This Row],[Quantity]]&gt;MEDIAN(E:E), "High Volume", "Low Volume")</f>
        <v>Low Volume</v>
      </c>
      <c r="X746" t="str">
        <f>Orders[[#This Row],[Sales Tier]] &amp; "-" &amp; Orders[[#This Row],[Quantity Tier]]</f>
        <v>Low Price-Low Volume</v>
      </c>
      <c r="Y746" t="str">
        <f>TEXT(Orders[[#This Row],[Order Date]], "mmmm")</f>
        <v>October</v>
      </c>
      <c r="Z74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746" t="str">
        <f>Orders[[#This Row],[Coffee Type Name]] &amp; "-" &amp; Orders[[#This Row],[Roast Type Name]]</f>
        <v>Arabica-Light</v>
      </c>
      <c r="AB74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747" spans="1:28" x14ac:dyDescent="0.25">
      <c r="A747" s="2" t="s">
        <v>1158</v>
      </c>
      <c r="B747" s="4">
        <v>44471</v>
      </c>
      <c r="C747" s="2" t="s">
        <v>1159</v>
      </c>
      <c r="D747" t="s">
        <v>6156</v>
      </c>
      <c r="E747" s="2">
        <v>1</v>
      </c>
      <c r="F747" s="2" t="str">
        <f>_xlfn.XLOOKUP(C747,customers!$A$1:$A$1001,customers!$B$1:$B$1001,,0)</f>
        <v>Cordi Switsur</v>
      </c>
      <c r="G747" s="2" t="str">
        <f>IF(_xlfn.XLOOKUP(C747,customers!$A$1:$A$1001,customers!$C$1:$C$1001,,0)=0,"",_xlfn.XLOOKUP(C747,customers!$A$1:$A$1001,customers!$C$1:$C$1001,,0))</f>
        <v>cswitsur3b@chronoengine.com</v>
      </c>
      <c r="H747" s="2" t="str">
        <f>_xlfn.XLOOKUP(C747,customers!$A$1:$A$1001,customers!$G$1:$G$1001,,0)</f>
        <v>United States</v>
      </c>
      <c r="I747" t="str">
        <f>INDEX(products!$A$1:$G$49, MATCH(orders!$D121,products!$A$1:$A168,0), MATCH(orders!I$1,products!$A$1:$G$1,0))</f>
        <v>Exc</v>
      </c>
      <c r="J747" t="str">
        <f>INDEX(products!$A$1:$G$49, MATCH(orders!$D121,products!$A$1:$A168,0), MATCH(orders!J$1,products!$A$1:$G$1,0))</f>
        <v>M</v>
      </c>
      <c r="K747" s="5">
        <f>INDEX(products!$A$1:$G$49, MATCH(orders!$D121,products!$A$1:$A168,0), MATCH(orders!K$1,products!$A$1:$G$1,0))</f>
        <v>0.2</v>
      </c>
      <c r="L747" s="6">
        <f>INDEX(products!$A$1:$G$49, MATCH(orders!$D121,products!$A$1:$A168,0), MATCH(orders!L$1,products!$A$1:$G$1,0))</f>
        <v>4.125</v>
      </c>
      <c r="M747" s="6">
        <f t="shared" si="33"/>
        <v>4.125</v>
      </c>
      <c r="N747" t="str">
        <f t="shared" si="34"/>
        <v>Excelsa</v>
      </c>
      <c r="O747" t="str">
        <f t="shared" si="35"/>
        <v>Medium</v>
      </c>
      <c r="P747" t="str">
        <f>_xlfn.XLOOKUP(Orders[[#This Row],[Customer ID]],customers!$A$1:$A$1001,customers!$I$1:$I$1001,,0)</f>
        <v>No</v>
      </c>
      <c r="Q747">
        <f>COUNTIF(Orders[Order ID],Orders[[#This Row],[Order ID]])</f>
        <v>3</v>
      </c>
      <c r="R747" s="10">
        <f>SUMIF(Orders[Order ID], Orders[[#This Row],[Order ID]],Orders[Sales])/Orders[[#This Row],[Order Frequency]]</f>
        <v>25.58666666666667</v>
      </c>
      <c r="S747" t="str">
        <f>IF(Orders[[#This Row],[Order Frequency]]&gt;4, "More than 4", IF(AND(Orders[[#This Row],[Order Frequency]]&lt;=4,Orders[[#This Row],[Order Frequency]]&gt;=2), "Between 4 and 2", "Less than 2"))</f>
        <v>Between 4 and 2</v>
      </c>
      <c r="T747" t="str">
        <f>IF(Orders[[#This Row],[Frequency Group]]="less than 2", "Low Value", IF(Orders[[#This Row],[Frequency Group]]="between 4 and 2", "Medium Value", "High Value"))</f>
        <v>Medium Value</v>
      </c>
      <c r="U747" t="str">
        <f>IF(Orders[[#This Row],[Sales]]&lt;50, "$0-50", IF(AND(Orders[[#This Row],[Sales]]&gt;=50,Orders[[#This Row],[Sales]]&lt;=100), "$50-100", IF(AND(Orders[[#This Row],[Sales]]&gt;100,Orders[[#This Row],[Sales]]&lt;=150), "$101-150", "$150+")))</f>
        <v>$0-50</v>
      </c>
      <c r="V747" t="str">
        <f>IF(Orders[[#This Row],[Sales]]&gt;MEDIAN(M:M), "High Price", "Low Price")</f>
        <v>Low Price</v>
      </c>
      <c r="W747" t="str">
        <f>IF(Orders[[#This Row],[Quantity]]&gt;MEDIAN(E:E), "High Volume", "Low Volume")</f>
        <v>Low Volume</v>
      </c>
      <c r="X747" t="str">
        <f>Orders[[#This Row],[Sales Tier]] &amp; "-" &amp; Orders[[#This Row],[Quantity Tier]]</f>
        <v>Low Price-Low Volume</v>
      </c>
      <c r="Y747" t="str">
        <f>TEXT(Orders[[#This Row],[Order Date]], "mmmm")</f>
        <v>October</v>
      </c>
      <c r="Z74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747" t="str">
        <f>Orders[[#This Row],[Coffee Type Name]] &amp; "-" &amp; Orders[[#This Row],[Roast Type Name]]</f>
        <v>Excelsa-Medium</v>
      </c>
      <c r="AB74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748" spans="1:28" x14ac:dyDescent="0.25">
      <c r="A748" s="2" t="s">
        <v>1158</v>
      </c>
      <c r="B748" s="4">
        <v>44471</v>
      </c>
      <c r="C748" s="2" t="s">
        <v>1159</v>
      </c>
      <c r="D748" t="s">
        <v>6141</v>
      </c>
      <c r="E748" s="2">
        <v>5</v>
      </c>
      <c r="F748" s="2" t="str">
        <f>_xlfn.XLOOKUP(C748,customers!$A$1:$A$1001,customers!$B$1:$B$1001,,0)</f>
        <v>Cordi Switsur</v>
      </c>
      <c r="G748" s="2" t="str">
        <f>IF(_xlfn.XLOOKUP(C748,customers!$A$1:$A$1001,customers!$C$1:$C$1001,,0)=0,"",_xlfn.XLOOKUP(C748,customers!$A$1:$A$1001,customers!$C$1:$C$1001,,0))</f>
        <v>cswitsur3b@chronoengine.com</v>
      </c>
      <c r="H748" s="2" t="str">
        <f>_xlfn.XLOOKUP(C748,customers!$A$1:$A$1001,customers!$G$1:$G$1001,,0)</f>
        <v>United States</v>
      </c>
      <c r="I748" t="str">
        <f>INDEX(products!$A$1:$G$49, MATCH(orders!$D123,products!$A$1:$A170,0), MATCH(orders!I$1,products!$A$1:$G$1,0))</f>
        <v>Exc</v>
      </c>
      <c r="J748" t="str">
        <f>INDEX(products!$A$1:$G$49, MATCH(orders!$D123,products!$A$1:$A170,0), MATCH(orders!J$1,products!$A$1:$G$1,0))</f>
        <v>M</v>
      </c>
      <c r="K748" s="5">
        <f>INDEX(products!$A$1:$G$49, MATCH(orders!$D123,products!$A$1:$A170,0), MATCH(orders!K$1,products!$A$1:$G$1,0))</f>
        <v>1</v>
      </c>
      <c r="L748" s="6">
        <f>INDEX(products!$A$1:$G$49, MATCH(orders!$D123,products!$A$1:$A170,0), MATCH(orders!L$1,products!$A$1:$G$1,0))</f>
        <v>13.75</v>
      </c>
      <c r="M748" s="6">
        <f t="shared" si="33"/>
        <v>68.75</v>
      </c>
      <c r="N748" t="str">
        <f t="shared" si="34"/>
        <v>Excelsa</v>
      </c>
      <c r="O748" t="str">
        <f t="shared" si="35"/>
        <v>Medium</v>
      </c>
      <c r="P748" t="str">
        <f>_xlfn.XLOOKUP(Orders[[#This Row],[Customer ID]],customers!$A$1:$A$1001,customers!$I$1:$I$1001,,0)</f>
        <v>No</v>
      </c>
      <c r="Q748">
        <f>COUNTIF(Orders[Order ID],Orders[[#This Row],[Order ID]])</f>
        <v>3</v>
      </c>
      <c r="R748" s="10">
        <f>SUMIF(Orders[Order ID], Orders[[#This Row],[Order ID]],Orders[Sales])/Orders[[#This Row],[Order Frequency]]</f>
        <v>25.58666666666667</v>
      </c>
      <c r="S748" t="str">
        <f>IF(Orders[[#This Row],[Order Frequency]]&gt;4, "More than 4", IF(AND(Orders[[#This Row],[Order Frequency]]&lt;=4,Orders[[#This Row],[Order Frequency]]&gt;=2), "Between 4 and 2", "Less than 2"))</f>
        <v>Between 4 and 2</v>
      </c>
      <c r="T748" t="str">
        <f>IF(Orders[[#This Row],[Frequency Group]]="less than 2", "Low Value", IF(Orders[[#This Row],[Frequency Group]]="between 4 and 2", "Medium Value", "High Value"))</f>
        <v>Medium Value</v>
      </c>
      <c r="U748" t="str">
        <f>IF(Orders[[#This Row],[Sales]]&lt;50, "$0-50", IF(AND(Orders[[#This Row],[Sales]]&gt;=50,Orders[[#This Row],[Sales]]&lt;=100), "$50-100", IF(AND(Orders[[#This Row],[Sales]]&gt;100,Orders[[#This Row],[Sales]]&lt;=150), "$101-150", "$150+")))</f>
        <v>$50-100</v>
      </c>
      <c r="V748" t="str">
        <f>IF(Orders[[#This Row],[Sales]]&gt;MEDIAN(M:M), "High Price", "Low Price")</f>
        <v>High Price</v>
      </c>
      <c r="W748" t="str">
        <f>IF(Orders[[#This Row],[Quantity]]&gt;MEDIAN(E:E), "High Volume", "Low Volume")</f>
        <v>High Volume</v>
      </c>
      <c r="X748" t="str">
        <f>Orders[[#This Row],[Sales Tier]] &amp; "-" &amp; Orders[[#This Row],[Quantity Tier]]</f>
        <v>High Price-High Volume</v>
      </c>
      <c r="Y748" t="str">
        <f>TEXT(Orders[[#This Row],[Order Date]], "mmmm")</f>
        <v>October</v>
      </c>
      <c r="Z74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748" t="str">
        <f>Orders[[#This Row],[Coffee Type Name]] &amp; "-" &amp; Orders[[#This Row],[Roast Type Name]]</f>
        <v>Excelsa-Medium</v>
      </c>
      <c r="AB74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749" spans="1:28" x14ac:dyDescent="0.25">
      <c r="A749" s="2" t="s">
        <v>1441</v>
      </c>
      <c r="B749" s="4">
        <v>44643</v>
      </c>
      <c r="C749" s="2" t="s">
        <v>1442</v>
      </c>
      <c r="D749" t="s">
        <v>6177</v>
      </c>
      <c r="E749" s="2">
        <v>2</v>
      </c>
      <c r="F749" s="2" t="str">
        <f>_xlfn.XLOOKUP(C749,customers!$A$1:$A$1001,customers!$B$1:$B$1001,,0)</f>
        <v>Felita Dauney</v>
      </c>
      <c r="G749" s="2" t="str">
        <f>IF(_xlfn.XLOOKUP(C749,customers!$A$1:$A$1001,customers!$C$1:$C$1001,,0)=0,"",_xlfn.XLOOKUP(C749,customers!$A$1:$A$1001,customers!$C$1:$C$1001,,0))</f>
        <v>fdauney4p@sphinn.com</v>
      </c>
      <c r="H749" s="2" t="str">
        <f>_xlfn.XLOOKUP(C749,customers!$A$1:$A$1001,customers!$G$1:$G$1001,,0)</f>
        <v>Ireland</v>
      </c>
      <c r="I749" t="str">
        <f>INDEX(products!$A$1:$G$49, MATCH(orders!$D171,products!$A$1:$A218,0), MATCH(orders!I$1,products!$A$1:$G$1,0))</f>
        <v>Rob</v>
      </c>
      <c r="J749" t="str">
        <f>INDEX(products!$A$1:$G$49, MATCH(orders!$D171,products!$A$1:$A218,0), MATCH(orders!J$1,products!$A$1:$G$1,0))</f>
        <v>D</v>
      </c>
      <c r="K749" s="5">
        <f>INDEX(products!$A$1:$G$49, MATCH(orders!$D171,products!$A$1:$A218,0), MATCH(orders!K$1,products!$A$1:$G$1,0))</f>
        <v>1</v>
      </c>
      <c r="L749" s="6">
        <f>INDEX(products!$A$1:$G$49, MATCH(orders!$D171,products!$A$1:$A218,0), MATCH(orders!L$1,products!$A$1:$G$1,0))</f>
        <v>8.9499999999999993</v>
      </c>
      <c r="M749" s="6">
        <f t="shared" si="33"/>
        <v>17.899999999999999</v>
      </c>
      <c r="N749" t="str">
        <f t="shared" si="34"/>
        <v>Robusta</v>
      </c>
      <c r="O749" t="str">
        <f t="shared" si="35"/>
        <v>Dark</v>
      </c>
      <c r="P749" t="str">
        <f>_xlfn.XLOOKUP(Orders[[#This Row],[Customer ID]],customers!$A$1:$A$1001,customers!$I$1:$I$1001,,0)</f>
        <v>No</v>
      </c>
      <c r="Q749">
        <f>COUNTIF(Orders[Order ID],Orders[[#This Row],[Order ID]])</f>
        <v>1</v>
      </c>
      <c r="R749" s="10">
        <f>SUMIF(Orders[Order ID], Orders[[#This Row],[Order ID]],Orders[Sales])/Orders[[#This Row],[Order Frequency]]</f>
        <v>17.899999999999999</v>
      </c>
      <c r="S749" t="str">
        <f>IF(Orders[[#This Row],[Order Frequency]]&gt;4, "More than 4", IF(AND(Orders[[#This Row],[Order Frequency]]&lt;=4,Orders[[#This Row],[Order Frequency]]&gt;=2), "Between 4 and 2", "Less than 2"))</f>
        <v>Less than 2</v>
      </c>
      <c r="T749" t="str">
        <f>IF(Orders[[#This Row],[Frequency Group]]="less than 2", "Low Value", IF(Orders[[#This Row],[Frequency Group]]="between 4 and 2", "Medium Value", "High Value"))</f>
        <v>Low Value</v>
      </c>
      <c r="U749" t="str">
        <f>IF(Orders[[#This Row],[Sales]]&lt;50, "$0-50", IF(AND(Orders[[#This Row],[Sales]]&gt;=50,Orders[[#This Row],[Sales]]&lt;=100), "$50-100", IF(AND(Orders[[#This Row],[Sales]]&gt;100,Orders[[#This Row],[Sales]]&lt;=150), "$101-150", "$150+")))</f>
        <v>$0-50</v>
      </c>
      <c r="V749" t="str">
        <f>IF(Orders[[#This Row],[Sales]]&gt;MEDIAN(M:M), "High Price", "Low Price")</f>
        <v>Low Price</v>
      </c>
      <c r="W749" t="str">
        <f>IF(Orders[[#This Row],[Quantity]]&gt;MEDIAN(E:E), "High Volume", "Low Volume")</f>
        <v>Low Volume</v>
      </c>
      <c r="X749" t="str">
        <f>Orders[[#This Row],[Sales Tier]] &amp; "-" &amp; Orders[[#This Row],[Quantity Tier]]</f>
        <v>Low Price-Low Volume</v>
      </c>
      <c r="Y749" t="str">
        <f>TEXT(Orders[[#This Row],[Order Date]], "mmmm")</f>
        <v>March</v>
      </c>
      <c r="Z74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49" t="str">
        <f>Orders[[#This Row],[Coffee Type Name]] &amp; "-" &amp; Orders[[#This Row],[Roast Type Name]]</f>
        <v>Robusta-Dark</v>
      </c>
      <c r="AB74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750" spans="1:28" x14ac:dyDescent="0.25">
      <c r="A750" s="2" t="s">
        <v>626</v>
      </c>
      <c r="B750" s="4">
        <v>44454</v>
      </c>
      <c r="C750" s="2" t="s">
        <v>627</v>
      </c>
      <c r="D750" t="s">
        <v>6155</v>
      </c>
      <c r="E750" s="2">
        <v>1</v>
      </c>
      <c r="F750" s="2" t="str">
        <f>_xlfn.XLOOKUP(C750,customers!$A$1:$A$1001,customers!$B$1:$B$1001,,0)</f>
        <v>Chrisy Blofeld</v>
      </c>
      <c r="G750" s="2" t="str">
        <f>IF(_xlfn.XLOOKUP(C750,customers!$A$1:$A$1001,customers!$C$1:$C$1001,,0)=0,"",_xlfn.XLOOKUP(C750,customers!$A$1:$A$1001,customers!$C$1:$C$1001,,0))</f>
        <v>cblofeldo@amazon.co.uk</v>
      </c>
      <c r="H750" s="2" t="str">
        <f>_xlfn.XLOOKUP(C750,customers!$A$1:$A$1001,customers!$G$1:$G$1001,,0)</f>
        <v>United States</v>
      </c>
      <c r="I750" t="str">
        <f>INDEX(products!$A$1:$G$49, MATCH(orders!$D26,products!$A$1:$A73,0), MATCH(orders!I$1,products!$A$1:$G$1,0))</f>
        <v>Ara</v>
      </c>
      <c r="J750" t="str">
        <f>INDEX(products!$A$1:$G$49, MATCH(orders!$D26,products!$A$1:$A73,0), MATCH(orders!J$1,products!$A$1:$G$1,0))</f>
        <v>M</v>
      </c>
      <c r="K750" s="5">
        <f>INDEX(products!$A$1:$G$49, MATCH(orders!$D26,products!$A$1:$A73,0), MATCH(orders!K$1,products!$A$1:$G$1,0))</f>
        <v>1</v>
      </c>
      <c r="L750" s="6">
        <f>INDEX(products!$A$1:$G$49, MATCH(orders!$D26,products!$A$1:$A73,0), MATCH(orders!L$1,products!$A$1:$G$1,0))</f>
        <v>11.25</v>
      </c>
      <c r="M750" s="6">
        <f t="shared" si="33"/>
        <v>11.25</v>
      </c>
      <c r="N750" t="str">
        <f t="shared" si="34"/>
        <v>Arabica</v>
      </c>
      <c r="O750" t="str">
        <f t="shared" si="35"/>
        <v>Medium</v>
      </c>
      <c r="P750" t="str">
        <f>_xlfn.XLOOKUP(Orders[[#This Row],[Customer ID]],customers!$A$1:$A$1001,customers!$I$1:$I$1001,,0)</f>
        <v>No</v>
      </c>
      <c r="Q750">
        <f>COUNTIF(Orders[Order ID],Orders[[#This Row],[Order ID]])</f>
        <v>1</v>
      </c>
      <c r="R750" s="10">
        <f>SUMIF(Orders[Order ID], Orders[[#This Row],[Order ID]],Orders[Sales])/Orders[[#This Row],[Order Frequency]]</f>
        <v>11.25</v>
      </c>
      <c r="S750" t="str">
        <f>IF(Orders[[#This Row],[Order Frequency]]&gt;4, "More than 4", IF(AND(Orders[[#This Row],[Order Frequency]]&lt;=4,Orders[[#This Row],[Order Frequency]]&gt;=2), "Between 4 and 2", "Less than 2"))</f>
        <v>Less than 2</v>
      </c>
      <c r="T750" t="str">
        <f>IF(Orders[[#This Row],[Frequency Group]]="less than 2", "Low Value", IF(Orders[[#This Row],[Frequency Group]]="between 4 and 2", "Medium Value", "High Value"))</f>
        <v>Low Value</v>
      </c>
      <c r="U750" t="str">
        <f>IF(Orders[[#This Row],[Sales]]&lt;50, "$0-50", IF(AND(Orders[[#This Row],[Sales]]&gt;=50,Orders[[#This Row],[Sales]]&lt;=100), "$50-100", IF(AND(Orders[[#This Row],[Sales]]&gt;100,Orders[[#This Row],[Sales]]&lt;=150), "$101-150", "$150+")))</f>
        <v>$0-50</v>
      </c>
      <c r="V750" t="str">
        <f>IF(Orders[[#This Row],[Sales]]&gt;MEDIAN(M:M), "High Price", "Low Price")</f>
        <v>Low Price</v>
      </c>
      <c r="W750" t="str">
        <f>IF(Orders[[#This Row],[Quantity]]&gt;MEDIAN(E:E), "High Volume", "Low Volume")</f>
        <v>Low Volume</v>
      </c>
      <c r="X750" t="str">
        <f>Orders[[#This Row],[Sales Tier]] &amp; "-" &amp; Orders[[#This Row],[Quantity Tier]]</f>
        <v>Low Price-Low Volume</v>
      </c>
      <c r="Y750" t="str">
        <f>TEXT(Orders[[#This Row],[Order Date]], "mmmm")</f>
        <v>September</v>
      </c>
      <c r="Z75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750" t="str">
        <f>Orders[[#This Row],[Coffee Type Name]] &amp; "-" &amp; Orders[[#This Row],[Roast Type Name]]</f>
        <v>Arabica-Medium</v>
      </c>
      <c r="AB75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751" spans="1:28" x14ac:dyDescent="0.25">
      <c r="A751" s="2" t="s">
        <v>1384</v>
      </c>
      <c r="B751" s="4">
        <v>44316</v>
      </c>
      <c r="C751" s="2" t="s">
        <v>1385</v>
      </c>
      <c r="D751" t="s">
        <v>6164</v>
      </c>
      <c r="E751" s="2">
        <v>6</v>
      </c>
      <c r="F751" s="2" t="str">
        <f>_xlfn.XLOOKUP(C751,customers!$A$1:$A$1001,customers!$B$1:$B$1001,,0)</f>
        <v>Alexa Sizey</v>
      </c>
      <c r="G751" s="2" t="str">
        <f>IF(_xlfn.XLOOKUP(C751,customers!$A$1:$A$1001,customers!$C$1:$C$1001,,0)=0,"",_xlfn.XLOOKUP(C751,customers!$A$1:$A$1001,customers!$C$1:$C$1001,,0))</f>
        <v/>
      </c>
      <c r="H751" s="2" t="str">
        <f>_xlfn.XLOOKUP(C751,customers!$A$1:$A$1001,customers!$G$1:$G$1001,,0)</f>
        <v>United States</v>
      </c>
      <c r="I751" t="str">
        <f>INDEX(products!$A$1:$G$49, MATCH(orders!$D161,products!$A$1:$A208,0), MATCH(orders!I$1,products!$A$1:$G$1,0))</f>
        <v>Lib</v>
      </c>
      <c r="J751" t="str">
        <f>INDEX(products!$A$1:$G$49, MATCH(orders!$D161,products!$A$1:$A208,0), MATCH(orders!J$1,products!$A$1:$G$1,0))</f>
        <v>L</v>
      </c>
      <c r="K751" s="5">
        <f>INDEX(products!$A$1:$G$49, MATCH(orders!$D161,products!$A$1:$A208,0), MATCH(orders!K$1,products!$A$1:$G$1,0))</f>
        <v>2.5</v>
      </c>
      <c r="L751" s="6">
        <f>INDEX(products!$A$1:$G$49, MATCH(orders!$D161,products!$A$1:$A208,0), MATCH(orders!L$1,products!$A$1:$G$1,0))</f>
        <v>36.454999999999998</v>
      </c>
      <c r="M751" s="6">
        <f t="shared" si="33"/>
        <v>218.73</v>
      </c>
      <c r="N751" t="str">
        <f t="shared" si="34"/>
        <v>Liberica</v>
      </c>
      <c r="O751" t="str">
        <f t="shared" si="35"/>
        <v>Light</v>
      </c>
      <c r="P751" t="str">
        <f>_xlfn.XLOOKUP(Orders[[#This Row],[Customer ID]],customers!$A$1:$A$1001,customers!$I$1:$I$1001,,0)</f>
        <v>No</v>
      </c>
      <c r="Q751">
        <f>COUNTIF(Orders[Order ID],Orders[[#This Row],[Order ID]])</f>
        <v>1</v>
      </c>
      <c r="R751" s="10">
        <f>SUMIF(Orders[Order ID], Orders[[#This Row],[Order ID]],Orders[Sales])/Orders[[#This Row],[Order Frequency]]</f>
        <v>218.73</v>
      </c>
      <c r="S751" t="str">
        <f>IF(Orders[[#This Row],[Order Frequency]]&gt;4, "More than 4", IF(AND(Orders[[#This Row],[Order Frequency]]&lt;=4,Orders[[#This Row],[Order Frequency]]&gt;=2), "Between 4 and 2", "Less than 2"))</f>
        <v>Less than 2</v>
      </c>
      <c r="T751" t="str">
        <f>IF(Orders[[#This Row],[Frequency Group]]="less than 2", "Low Value", IF(Orders[[#This Row],[Frequency Group]]="between 4 and 2", "Medium Value", "High Value"))</f>
        <v>Low Value</v>
      </c>
      <c r="U751" t="str">
        <f>IF(Orders[[#This Row],[Sales]]&lt;50, "$0-50", IF(AND(Orders[[#This Row],[Sales]]&gt;=50,Orders[[#This Row],[Sales]]&lt;=100), "$50-100", IF(AND(Orders[[#This Row],[Sales]]&gt;100,Orders[[#This Row],[Sales]]&lt;=150), "$101-150", "$150+")))</f>
        <v>$150+</v>
      </c>
      <c r="V751" t="str">
        <f>IF(Orders[[#This Row],[Sales]]&gt;MEDIAN(M:M), "High Price", "Low Price")</f>
        <v>High Price</v>
      </c>
      <c r="W751" t="str">
        <f>IF(Orders[[#This Row],[Quantity]]&gt;MEDIAN(E:E), "High Volume", "Low Volume")</f>
        <v>High Volume</v>
      </c>
      <c r="X751" t="str">
        <f>Orders[[#This Row],[Sales Tier]] &amp; "-" &amp; Orders[[#This Row],[Quantity Tier]]</f>
        <v>High Price-High Volume</v>
      </c>
      <c r="Y751" t="str">
        <f>TEXT(Orders[[#This Row],[Order Date]], "mmmm")</f>
        <v>April</v>
      </c>
      <c r="Z75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751" t="str">
        <f>Orders[[#This Row],[Coffee Type Name]] &amp; "-" &amp; Orders[[#This Row],[Roast Type Name]]</f>
        <v>Liberica-Light</v>
      </c>
      <c r="AB75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752" spans="1:28" x14ac:dyDescent="0.25">
      <c r="A752" s="2" t="s">
        <v>1638</v>
      </c>
      <c r="B752" s="4">
        <v>44027</v>
      </c>
      <c r="C752" s="2" t="s">
        <v>1639</v>
      </c>
      <c r="D752" t="s">
        <v>6141</v>
      </c>
      <c r="E752" s="2">
        <v>6</v>
      </c>
      <c r="F752" s="2" t="str">
        <f>_xlfn.XLOOKUP(C752,customers!$A$1:$A$1001,customers!$B$1:$B$1001,,0)</f>
        <v>Sarette Ducarel</v>
      </c>
      <c r="G752" s="2" t="str">
        <f>IF(_xlfn.XLOOKUP(C752,customers!$A$1:$A$1001,customers!$C$1:$C$1001,,0)=0,"",_xlfn.XLOOKUP(C752,customers!$A$1:$A$1001,customers!$C$1:$C$1001,,0))</f>
        <v/>
      </c>
      <c r="H752" s="2" t="str">
        <f>_xlfn.XLOOKUP(C752,customers!$A$1:$A$1001,customers!$G$1:$G$1001,,0)</f>
        <v>United States</v>
      </c>
      <c r="I752" t="str">
        <f>INDEX(products!$A$1:$G$49, MATCH(orders!$D206,products!$A$1:$A253,0), MATCH(orders!I$1,products!$A$1:$G$1,0))</f>
        <v>Exc</v>
      </c>
      <c r="J752" t="str">
        <f>INDEX(products!$A$1:$G$49, MATCH(orders!$D206,products!$A$1:$A253,0), MATCH(orders!J$1,products!$A$1:$G$1,0))</f>
        <v>M</v>
      </c>
      <c r="K752" s="5">
        <f>INDEX(products!$A$1:$G$49, MATCH(orders!$D206,products!$A$1:$A253,0), MATCH(orders!K$1,products!$A$1:$G$1,0))</f>
        <v>1</v>
      </c>
      <c r="L752" s="6">
        <f>INDEX(products!$A$1:$G$49, MATCH(orders!$D206,products!$A$1:$A253,0), MATCH(orders!L$1,products!$A$1:$G$1,0))</f>
        <v>13.75</v>
      </c>
      <c r="M752" s="6">
        <f t="shared" si="33"/>
        <v>82.5</v>
      </c>
      <c r="N752" t="str">
        <f t="shared" si="34"/>
        <v>Excelsa</v>
      </c>
      <c r="O752" t="str">
        <f t="shared" si="35"/>
        <v>Medium</v>
      </c>
      <c r="P752" t="str">
        <f>_xlfn.XLOOKUP(Orders[[#This Row],[Customer ID]],customers!$A$1:$A$1001,customers!$I$1:$I$1001,,0)</f>
        <v>No</v>
      </c>
      <c r="Q752">
        <f>COUNTIF(Orders[Order ID],Orders[[#This Row],[Order ID]])</f>
        <v>1</v>
      </c>
      <c r="R752" s="10">
        <f>SUMIF(Orders[Order ID], Orders[[#This Row],[Order ID]],Orders[Sales])/Orders[[#This Row],[Order Frequency]]</f>
        <v>82.5</v>
      </c>
      <c r="S752" t="str">
        <f>IF(Orders[[#This Row],[Order Frequency]]&gt;4, "More than 4", IF(AND(Orders[[#This Row],[Order Frequency]]&lt;=4,Orders[[#This Row],[Order Frequency]]&gt;=2), "Between 4 and 2", "Less than 2"))</f>
        <v>Less than 2</v>
      </c>
      <c r="T752" t="str">
        <f>IF(Orders[[#This Row],[Frequency Group]]="less than 2", "Low Value", IF(Orders[[#This Row],[Frequency Group]]="between 4 and 2", "Medium Value", "High Value"))</f>
        <v>Low Value</v>
      </c>
      <c r="U752" t="str">
        <f>IF(Orders[[#This Row],[Sales]]&lt;50, "$0-50", IF(AND(Orders[[#This Row],[Sales]]&gt;=50,Orders[[#This Row],[Sales]]&lt;=100), "$50-100", IF(AND(Orders[[#This Row],[Sales]]&gt;100,Orders[[#This Row],[Sales]]&lt;=150), "$101-150", "$150+")))</f>
        <v>$50-100</v>
      </c>
      <c r="V752" t="str">
        <f>IF(Orders[[#This Row],[Sales]]&gt;MEDIAN(M:M), "High Price", "Low Price")</f>
        <v>High Price</v>
      </c>
      <c r="W752" t="str">
        <f>IF(Orders[[#This Row],[Quantity]]&gt;MEDIAN(E:E), "High Volume", "Low Volume")</f>
        <v>High Volume</v>
      </c>
      <c r="X752" t="str">
        <f>Orders[[#This Row],[Sales Tier]] &amp; "-" &amp; Orders[[#This Row],[Quantity Tier]]</f>
        <v>High Price-High Volume</v>
      </c>
      <c r="Y752" t="str">
        <f>TEXT(Orders[[#This Row],[Order Date]], "mmmm")</f>
        <v>July</v>
      </c>
      <c r="Z75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752" t="str">
        <f>Orders[[#This Row],[Coffee Type Name]] &amp; "-" &amp; Orders[[#This Row],[Roast Type Name]]</f>
        <v>Excelsa-Medium</v>
      </c>
      <c r="AB75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753" spans="1:28" x14ac:dyDescent="0.25">
      <c r="A753" s="2" t="s">
        <v>1748</v>
      </c>
      <c r="B753" s="4">
        <v>44109</v>
      </c>
      <c r="C753" s="2" t="s">
        <v>1749</v>
      </c>
      <c r="D753" t="s">
        <v>6171</v>
      </c>
      <c r="E753" s="2">
        <v>4</v>
      </c>
      <c r="F753" s="2" t="str">
        <f>_xlfn.XLOOKUP(C753,customers!$A$1:$A$1001,customers!$B$1:$B$1001,,0)</f>
        <v>Bobbe Piggott</v>
      </c>
      <c r="G753" s="2" t="str">
        <f>IF(_xlfn.XLOOKUP(C753,customers!$A$1:$A$1001,customers!$C$1:$C$1001,,0)=0,"",_xlfn.XLOOKUP(C753,customers!$A$1:$A$1001,customers!$C$1:$C$1001,,0))</f>
        <v/>
      </c>
      <c r="H753" s="2" t="str">
        <f>_xlfn.XLOOKUP(C753,customers!$A$1:$A$1001,customers!$G$1:$G$1001,,0)</f>
        <v>United States</v>
      </c>
      <c r="I753" t="str">
        <f>INDEX(products!$A$1:$G$49, MATCH(orders!$D225,products!$A$1:$A272,0), MATCH(orders!I$1,products!$A$1:$G$1,0))</f>
        <v>Exc</v>
      </c>
      <c r="J753" t="str">
        <f>INDEX(products!$A$1:$G$49, MATCH(orders!$D225,products!$A$1:$A272,0), MATCH(orders!J$1,products!$A$1:$G$1,0))</f>
        <v>L</v>
      </c>
      <c r="K753" s="5">
        <f>INDEX(products!$A$1:$G$49, MATCH(orders!$D225,products!$A$1:$A272,0), MATCH(orders!K$1,products!$A$1:$G$1,0))</f>
        <v>1</v>
      </c>
      <c r="L753" s="6">
        <f>INDEX(products!$A$1:$G$49, MATCH(orders!$D225,products!$A$1:$A272,0), MATCH(orders!L$1,products!$A$1:$G$1,0))</f>
        <v>14.85</v>
      </c>
      <c r="M753" s="6">
        <f t="shared" si="33"/>
        <v>59.4</v>
      </c>
      <c r="N753" t="str">
        <f t="shared" si="34"/>
        <v>Excelsa</v>
      </c>
      <c r="O753" t="str">
        <f t="shared" si="35"/>
        <v>Light</v>
      </c>
      <c r="P753" t="str">
        <f>_xlfn.XLOOKUP(Orders[[#This Row],[Customer ID]],customers!$A$1:$A$1001,customers!$I$1:$I$1001,,0)</f>
        <v>Yes</v>
      </c>
      <c r="Q753">
        <f>COUNTIF(Orders[Order ID],Orders[[#This Row],[Order ID]])</f>
        <v>1</v>
      </c>
      <c r="R753" s="10">
        <f>SUMIF(Orders[Order ID], Orders[[#This Row],[Order ID]],Orders[Sales])/Orders[[#This Row],[Order Frequency]]</f>
        <v>59.4</v>
      </c>
      <c r="S753" t="str">
        <f>IF(Orders[[#This Row],[Order Frequency]]&gt;4, "More than 4", IF(AND(Orders[[#This Row],[Order Frequency]]&lt;=4,Orders[[#This Row],[Order Frequency]]&gt;=2), "Between 4 and 2", "Less than 2"))</f>
        <v>Less than 2</v>
      </c>
      <c r="T753" t="str">
        <f>IF(Orders[[#This Row],[Frequency Group]]="less than 2", "Low Value", IF(Orders[[#This Row],[Frequency Group]]="between 4 and 2", "Medium Value", "High Value"))</f>
        <v>Low Value</v>
      </c>
      <c r="U753" t="str">
        <f>IF(Orders[[#This Row],[Sales]]&lt;50, "$0-50", IF(AND(Orders[[#This Row],[Sales]]&gt;=50,Orders[[#This Row],[Sales]]&lt;=100), "$50-100", IF(AND(Orders[[#This Row],[Sales]]&gt;100,Orders[[#This Row],[Sales]]&lt;=150), "$101-150", "$150+")))</f>
        <v>$50-100</v>
      </c>
      <c r="V753" t="str">
        <f>IF(Orders[[#This Row],[Sales]]&gt;MEDIAN(M:M), "High Price", "Low Price")</f>
        <v>High Price</v>
      </c>
      <c r="W753" t="str">
        <f>IF(Orders[[#This Row],[Quantity]]&gt;MEDIAN(E:E), "High Volume", "Low Volume")</f>
        <v>Low Volume</v>
      </c>
      <c r="X753" t="str">
        <f>Orders[[#This Row],[Sales Tier]] &amp; "-" &amp; Orders[[#This Row],[Quantity Tier]]</f>
        <v>High Price-Low Volume</v>
      </c>
      <c r="Y753" t="str">
        <f>TEXT(Orders[[#This Row],[Order Date]], "mmmm")</f>
        <v>October</v>
      </c>
      <c r="Z75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753" t="str">
        <f>Orders[[#This Row],[Coffee Type Name]] &amp; "-" &amp; Orders[[#This Row],[Roast Type Name]]</f>
        <v>Excelsa-Light</v>
      </c>
      <c r="AB75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754" spans="1:28" x14ac:dyDescent="0.25">
      <c r="A754" s="2" t="s">
        <v>5731</v>
      </c>
      <c r="B754" s="4">
        <v>43474</v>
      </c>
      <c r="C754" s="2" t="s">
        <v>5732</v>
      </c>
      <c r="D754" t="s">
        <v>6185</v>
      </c>
      <c r="E754" s="2">
        <v>4</v>
      </c>
      <c r="F754" s="2" t="str">
        <f>_xlfn.XLOOKUP(C754,customers!$A$1:$A$1001,customers!$B$1:$B$1001,,0)</f>
        <v>Dolores Duffie</v>
      </c>
      <c r="G754" s="2" t="str">
        <f>IF(_xlfn.XLOOKUP(C754,customers!$A$1:$A$1001,customers!$C$1:$C$1001,,0)=0,"",_xlfn.XLOOKUP(C754,customers!$A$1:$A$1001,customers!$C$1:$C$1001,,0))</f>
        <v>dduffiepr@time.com</v>
      </c>
      <c r="H754" s="2" t="str">
        <f>_xlfn.XLOOKUP(C754,customers!$A$1:$A$1001,customers!$G$1:$G$1001,,0)</f>
        <v>United States</v>
      </c>
      <c r="I754" t="str">
        <f>INDEX(products!$A$1:$G$49, MATCH(orders!$D929,products!$A$1:$A976,0), MATCH(orders!I$1,products!$A$1:$G$1,0))</f>
        <v>Exc</v>
      </c>
      <c r="J754" t="str">
        <f>INDEX(products!$A$1:$G$49, MATCH(orders!$D929,products!$A$1:$A976,0), MATCH(orders!J$1,products!$A$1:$G$1,0))</f>
        <v>D</v>
      </c>
      <c r="K754" s="5">
        <f>INDEX(products!$A$1:$G$49, MATCH(orders!$D929,products!$A$1:$A976,0), MATCH(orders!K$1,products!$A$1:$G$1,0))</f>
        <v>2.5</v>
      </c>
      <c r="L754" s="6">
        <f>INDEX(products!$A$1:$G$49, MATCH(orders!$D929,products!$A$1:$A976,0), MATCH(orders!L$1,products!$A$1:$G$1,0))</f>
        <v>27.945</v>
      </c>
      <c r="M754" s="6">
        <f t="shared" si="33"/>
        <v>111.78</v>
      </c>
      <c r="N754" t="str">
        <f t="shared" si="34"/>
        <v>Excelsa</v>
      </c>
      <c r="O754" t="str">
        <f t="shared" si="35"/>
        <v>Dark</v>
      </c>
      <c r="P754" t="str">
        <f>_xlfn.XLOOKUP(Orders[[#This Row],[Customer ID]],customers!$A$1:$A$1001,customers!$I$1:$I$1001,,0)</f>
        <v>No</v>
      </c>
      <c r="Q754">
        <f>COUNTIF(Orders[Order ID],Orders[[#This Row],[Order ID]])</f>
        <v>1</v>
      </c>
      <c r="R754" s="10">
        <f>SUMIF(Orders[Order ID], Orders[[#This Row],[Order ID]],Orders[Sales])/Orders[[#This Row],[Order Frequency]]</f>
        <v>111.78</v>
      </c>
      <c r="S754" t="str">
        <f>IF(Orders[[#This Row],[Order Frequency]]&gt;4, "More than 4", IF(AND(Orders[[#This Row],[Order Frequency]]&lt;=4,Orders[[#This Row],[Order Frequency]]&gt;=2), "Between 4 and 2", "Less than 2"))</f>
        <v>Less than 2</v>
      </c>
      <c r="T754" t="str">
        <f>IF(Orders[[#This Row],[Frequency Group]]="less than 2", "Low Value", IF(Orders[[#This Row],[Frequency Group]]="between 4 and 2", "Medium Value", "High Value"))</f>
        <v>Low Value</v>
      </c>
      <c r="U754" t="str">
        <f>IF(Orders[[#This Row],[Sales]]&lt;50, "$0-50", IF(AND(Orders[[#This Row],[Sales]]&gt;=50,Orders[[#This Row],[Sales]]&lt;=100), "$50-100", IF(AND(Orders[[#This Row],[Sales]]&gt;100,Orders[[#This Row],[Sales]]&lt;=150), "$101-150", "$150+")))</f>
        <v>$101-150</v>
      </c>
      <c r="V754" t="str">
        <f>IF(Orders[[#This Row],[Sales]]&gt;MEDIAN(M:M), "High Price", "Low Price")</f>
        <v>High Price</v>
      </c>
      <c r="W754" t="str">
        <f>IF(Orders[[#This Row],[Quantity]]&gt;MEDIAN(E:E), "High Volume", "Low Volume")</f>
        <v>Low Volume</v>
      </c>
      <c r="X754" t="str">
        <f>Orders[[#This Row],[Sales Tier]] &amp; "-" &amp; Orders[[#This Row],[Quantity Tier]]</f>
        <v>High Price-Low Volume</v>
      </c>
      <c r="Y754" t="str">
        <f>TEXT(Orders[[#This Row],[Order Date]], "mmmm")</f>
        <v>January</v>
      </c>
      <c r="Z75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54" t="str">
        <f>Orders[[#This Row],[Coffee Type Name]] &amp; "-" &amp; Orders[[#This Row],[Roast Type Name]]</f>
        <v>Excelsa-Dark</v>
      </c>
      <c r="AB75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755" spans="1:28" x14ac:dyDescent="0.25">
      <c r="A755" s="2" t="s">
        <v>3307</v>
      </c>
      <c r="B755" s="4">
        <v>44159</v>
      </c>
      <c r="C755" s="2" t="s">
        <v>3368</v>
      </c>
      <c r="D755" t="s">
        <v>6138</v>
      </c>
      <c r="E755" s="2">
        <v>5</v>
      </c>
      <c r="F755" s="2" t="str">
        <f>_xlfn.XLOOKUP(C755,customers!$A$1:$A$1001,customers!$B$1:$B$1001,,0)</f>
        <v>Marja Urion</v>
      </c>
      <c r="G755" s="2" t="str">
        <f>IF(_xlfn.XLOOKUP(C755,customers!$A$1:$A$1001,customers!$C$1:$C$1001,,0)=0,"",_xlfn.XLOOKUP(C755,customers!$A$1:$A$1001,customers!$C$1:$C$1001,,0))</f>
        <v>murione5@alexa.com</v>
      </c>
      <c r="H755" s="2" t="str">
        <f>_xlfn.XLOOKUP(C755,customers!$A$1:$A$1001,customers!$G$1:$G$1001,,0)</f>
        <v>Ireland</v>
      </c>
      <c r="I755" t="str">
        <f>INDEX(products!$A$1:$G$49, MATCH(orders!$D500,products!$A$1:$A547,0), MATCH(orders!I$1,products!$A$1:$G$1,0))</f>
        <v>Rob</v>
      </c>
      <c r="J755" t="str">
        <f>INDEX(products!$A$1:$G$49, MATCH(orders!$D500,products!$A$1:$A547,0), MATCH(orders!J$1,products!$A$1:$G$1,0))</f>
        <v>M</v>
      </c>
      <c r="K755" s="5">
        <f>INDEX(products!$A$1:$G$49, MATCH(orders!$D500,products!$A$1:$A547,0), MATCH(orders!K$1,products!$A$1:$G$1,0))</f>
        <v>1</v>
      </c>
      <c r="L755" s="6">
        <f>INDEX(products!$A$1:$G$49, MATCH(orders!$D500,products!$A$1:$A547,0), MATCH(orders!L$1,products!$A$1:$G$1,0))</f>
        <v>9.9499999999999993</v>
      </c>
      <c r="M755" s="6">
        <f t="shared" si="33"/>
        <v>49.75</v>
      </c>
      <c r="N755" t="str">
        <f t="shared" si="34"/>
        <v>Robusta</v>
      </c>
      <c r="O755" t="str">
        <f t="shared" si="35"/>
        <v>Medium</v>
      </c>
      <c r="P755" t="str">
        <f>_xlfn.XLOOKUP(Orders[[#This Row],[Customer ID]],customers!$A$1:$A$1001,customers!$I$1:$I$1001,,0)</f>
        <v>Yes</v>
      </c>
      <c r="Q755">
        <f>COUNTIF(Orders[Order ID],Orders[[#This Row],[Order ID]])</f>
        <v>1</v>
      </c>
      <c r="R755" s="10">
        <f>SUMIF(Orders[Order ID], Orders[[#This Row],[Order ID]],Orders[Sales])/Orders[[#This Row],[Order Frequency]]</f>
        <v>49.75</v>
      </c>
      <c r="S755" t="str">
        <f>IF(Orders[[#This Row],[Order Frequency]]&gt;4, "More than 4", IF(AND(Orders[[#This Row],[Order Frequency]]&lt;=4,Orders[[#This Row],[Order Frequency]]&gt;=2), "Between 4 and 2", "Less than 2"))</f>
        <v>Less than 2</v>
      </c>
      <c r="T755" t="str">
        <f>IF(Orders[[#This Row],[Frequency Group]]="less than 2", "Low Value", IF(Orders[[#This Row],[Frequency Group]]="between 4 and 2", "Medium Value", "High Value"))</f>
        <v>Low Value</v>
      </c>
      <c r="U755" t="str">
        <f>IF(Orders[[#This Row],[Sales]]&lt;50, "$0-50", IF(AND(Orders[[#This Row],[Sales]]&gt;=50,Orders[[#This Row],[Sales]]&lt;=100), "$50-100", IF(AND(Orders[[#This Row],[Sales]]&gt;100,Orders[[#This Row],[Sales]]&lt;=150), "$101-150", "$150+")))</f>
        <v>$0-50</v>
      </c>
      <c r="V755" t="str">
        <f>IF(Orders[[#This Row],[Sales]]&gt;MEDIAN(M:M), "High Price", "Low Price")</f>
        <v>High Price</v>
      </c>
      <c r="W755" t="str">
        <f>IF(Orders[[#This Row],[Quantity]]&gt;MEDIAN(E:E), "High Volume", "Low Volume")</f>
        <v>High Volume</v>
      </c>
      <c r="X755" t="str">
        <f>Orders[[#This Row],[Sales Tier]] &amp; "-" &amp; Orders[[#This Row],[Quantity Tier]]</f>
        <v>High Price-High Volume</v>
      </c>
      <c r="Y755" t="str">
        <f>TEXT(Orders[[#This Row],[Order Date]], "mmmm")</f>
        <v>November</v>
      </c>
      <c r="Z75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755" t="str">
        <f>Orders[[#This Row],[Coffee Type Name]] &amp; "-" &amp; Orders[[#This Row],[Roast Type Name]]</f>
        <v>Robusta-Medium</v>
      </c>
      <c r="AB75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756" spans="1:28" x14ac:dyDescent="0.25">
      <c r="A756" s="2" t="s">
        <v>2808</v>
      </c>
      <c r="B756" s="4">
        <v>44504</v>
      </c>
      <c r="C756" s="2" t="s">
        <v>2809</v>
      </c>
      <c r="D756" t="s">
        <v>6162</v>
      </c>
      <c r="E756" s="2">
        <v>6</v>
      </c>
      <c r="F756" s="2" t="str">
        <f>_xlfn.XLOOKUP(C756,customers!$A$1:$A$1001,customers!$B$1:$B$1001,,0)</f>
        <v>Harwilll Bishell</v>
      </c>
      <c r="G756" s="2" t="str">
        <f>IF(_xlfn.XLOOKUP(C756,customers!$A$1:$A$1001,customers!$C$1:$C$1001,,0)=0,"",_xlfn.XLOOKUP(C756,customers!$A$1:$A$1001,customers!$C$1:$C$1001,,0))</f>
        <v/>
      </c>
      <c r="H756" s="2" t="str">
        <f>_xlfn.XLOOKUP(C756,customers!$A$1:$A$1001,customers!$G$1:$G$1001,,0)</f>
        <v>United States</v>
      </c>
      <c r="I756" t="str">
        <f>INDEX(products!$A$1:$G$49, MATCH(orders!$D413,products!$A$1:$A460,0), MATCH(orders!I$1,products!$A$1:$G$1,0))</f>
        <v>Lib</v>
      </c>
      <c r="J756" t="str">
        <f>INDEX(products!$A$1:$G$49, MATCH(orders!$D413,products!$A$1:$A460,0), MATCH(orders!J$1,products!$A$1:$G$1,0))</f>
        <v>M</v>
      </c>
      <c r="K756" s="5">
        <f>INDEX(products!$A$1:$G$49, MATCH(orders!$D413,products!$A$1:$A460,0), MATCH(orders!K$1,products!$A$1:$G$1,0))</f>
        <v>1</v>
      </c>
      <c r="L756" s="6">
        <f>INDEX(products!$A$1:$G$49, MATCH(orders!$D413,products!$A$1:$A460,0), MATCH(orders!L$1,products!$A$1:$G$1,0))</f>
        <v>14.55</v>
      </c>
      <c r="M756" s="6">
        <f t="shared" si="33"/>
        <v>87.300000000000011</v>
      </c>
      <c r="N756" t="str">
        <f t="shared" si="34"/>
        <v>Liberica</v>
      </c>
      <c r="O756" t="str">
        <f t="shared" si="35"/>
        <v>Medium</v>
      </c>
      <c r="P756" t="str">
        <f>_xlfn.XLOOKUP(Orders[[#This Row],[Customer ID]],customers!$A$1:$A$1001,customers!$I$1:$I$1001,,0)</f>
        <v>Yes</v>
      </c>
      <c r="Q756">
        <f>COUNTIF(Orders[Order ID],Orders[[#This Row],[Order ID]])</f>
        <v>1</v>
      </c>
      <c r="R756" s="10">
        <f>SUMIF(Orders[Order ID], Orders[[#This Row],[Order ID]],Orders[Sales])/Orders[[#This Row],[Order Frequency]]</f>
        <v>87.300000000000011</v>
      </c>
      <c r="S756" t="str">
        <f>IF(Orders[[#This Row],[Order Frequency]]&gt;4, "More than 4", IF(AND(Orders[[#This Row],[Order Frequency]]&lt;=4,Orders[[#This Row],[Order Frequency]]&gt;=2), "Between 4 and 2", "Less than 2"))</f>
        <v>Less than 2</v>
      </c>
      <c r="T756" t="str">
        <f>IF(Orders[[#This Row],[Frequency Group]]="less than 2", "Low Value", IF(Orders[[#This Row],[Frequency Group]]="between 4 and 2", "Medium Value", "High Value"))</f>
        <v>Low Value</v>
      </c>
      <c r="U756" t="str">
        <f>IF(Orders[[#This Row],[Sales]]&lt;50, "$0-50", IF(AND(Orders[[#This Row],[Sales]]&gt;=50,Orders[[#This Row],[Sales]]&lt;=100), "$50-100", IF(AND(Orders[[#This Row],[Sales]]&gt;100,Orders[[#This Row],[Sales]]&lt;=150), "$101-150", "$150+")))</f>
        <v>$50-100</v>
      </c>
      <c r="V756" t="str">
        <f>IF(Orders[[#This Row],[Sales]]&gt;MEDIAN(M:M), "High Price", "Low Price")</f>
        <v>High Price</v>
      </c>
      <c r="W756" t="str">
        <f>IF(Orders[[#This Row],[Quantity]]&gt;MEDIAN(E:E), "High Volume", "Low Volume")</f>
        <v>High Volume</v>
      </c>
      <c r="X756" t="str">
        <f>Orders[[#This Row],[Sales Tier]] &amp; "-" &amp; Orders[[#This Row],[Quantity Tier]]</f>
        <v>High Price-High Volume</v>
      </c>
      <c r="Y756" t="str">
        <f>TEXT(Orders[[#This Row],[Order Date]], "mmmm")</f>
        <v>November</v>
      </c>
      <c r="Z75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756" t="str">
        <f>Orders[[#This Row],[Coffee Type Name]] &amp; "-" &amp; Orders[[#This Row],[Roast Type Name]]</f>
        <v>Liberica-Medium</v>
      </c>
      <c r="AB75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757" spans="1:28" x14ac:dyDescent="0.25">
      <c r="A757" s="2" t="s">
        <v>2689</v>
      </c>
      <c r="B757" s="4">
        <v>44245</v>
      </c>
      <c r="C757" s="2" t="s">
        <v>2690</v>
      </c>
      <c r="D757" t="s">
        <v>6144</v>
      </c>
      <c r="E757" s="2">
        <v>2</v>
      </c>
      <c r="F757" s="2" t="str">
        <f>_xlfn.XLOOKUP(C757,customers!$A$1:$A$1001,customers!$B$1:$B$1001,,0)</f>
        <v>Sloan Diviny</v>
      </c>
      <c r="G757" s="2" t="str">
        <f>IF(_xlfn.XLOOKUP(C757,customers!$A$1:$A$1001,customers!$C$1:$C$1001,,0)=0,"",_xlfn.XLOOKUP(C757,customers!$A$1:$A$1001,customers!$C$1:$C$1001,,0))</f>
        <v>sdivinyau@ask.com</v>
      </c>
      <c r="H757" s="2" t="str">
        <f>_xlfn.XLOOKUP(C757,customers!$A$1:$A$1001,customers!$G$1:$G$1001,,0)</f>
        <v>United States</v>
      </c>
      <c r="I757" t="str">
        <f>INDEX(products!$A$1:$G$49, MATCH(orders!$D392,products!$A$1:$A439,0), MATCH(orders!I$1,products!$A$1:$G$1,0))</f>
        <v>Exc</v>
      </c>
      <c r="J757" t="str">
        <f>INDEX(products!$A$1:$G$49, MATCH(orders!$D392,products!$A$1:$A439,0), MATCH(orders!J$1,products!$A$1:$G$1,0))</f>
        <v>D</v>
      </c>
      <c r="K757" s="5">
        <f>INDEX(products!$A$1:$G$49, MATCH(orders!$D392,products!$A$1:$A439,0), MATCH(orders!K$1,products!$A$1:$G$1,0))</f>
        <v>0.5</v>
      </c>
      <c r="L757" s="6">
        <f>INDEX(products!$A$1:$G$49, MATCH(orders!$D392,products!$A$1:$A439,0), MATCH(orders!L$1,products!$A$1:$G$1,0))</f>
        <v>7.29</v>
      </c>
      <c r="M757" s="6">
        <f t="shared" si="33"/>
        <v>14.58</v>
      </c>
      <c r="N757" t="str">
        <f t="shared" si="34"/>
        <v>Excelsa</v>
      </c>
      <c r="O757" t="str">
        <f t="shared" si="35"/>
        <v>Dark</v>
      </c>
      <c r="P757" t="str">
        <f>_xlfn.XLOOKUP(Orders[[#This Row],[Customer ID]],customers!$A$1:$A$1001,customers!$I$1:$I$1001,,0)</f>
        <v>Yes</v>
      </c>
      <c r="Q757">
        <f>COUNTIF(Orders[Order ID],Orders[[#This Row],[Order ID]])</f>
        <v>1</v>
      </c>
      <c r="R757" s="10">
        <f>SUMIF(Orders[Order ID], Orders[[#This Row],[Order ID]],Orders[Sales])/Orders[[#This Row],[Order Frequency]]</f>
        <v>14.58</v>
      </c>
      <c r="S757" t="str">
        <f>IF(Orders[[#This Row],[Order Frequency]]&gt;4, "More than 4", IF(AND(Orders[[#This Row],[Order Frequency]]&lt;=4,Orders[[#This Row],[Order Frequency]]&gt;=2), "Between 4 and 2", "Less than 2"))</f>
        <v>Less than 2</v>
      </c>
      <c r="T757" t="str">
        <f>IF(Orders[[#This Row],[Frequency Group]]="less than 2", "Low Value", IF(Orders[[#This Row],[Frequency Group]]="between 4 and 2", "Medium Value", "High Value"))</f>
        <v>Low Value</v>
      </c>
      <c r="U757" t="str">
        <f>IF(Orders[[#This Row],[Sales]]&lt;50, "$0-50", IF(AND(Orders[[#This Row],[Sales]]&gt;=50,Orders[[#This Row],[Sales]]&lt;=100), "$50-100", IF(AND(Orders[[#This Row],[Sales]]&gt;100,Orders[[#This Row],[Sales]]&lt;=150), "$101-150", "$150+")))</f>
        <v>$0-50</v>
      </c>
      <c r="V757" t="str">
        <f>IF(Orders[[#This Row],[Sales]]&gt;MEDIAN(M:M), "High Price", "Low Price")</f>
        <v>Low Price</v>
      </c>
      <c r="W757" t="str">
        <f>IF(Orders[[#This Row],[Quantity]]&gt;MEDIAN(E:E), "High Volume", "Low Volume")</f>
        <v>Low Volume</v>
      </c>
      <c r="X757" t="str">
        <f>Orders[[#This Row],[Sales Tier]] &amp; "-" &amp; Orders[[#This Row],[Quantity Tier]]</f>
        <v>Low Price-Low Volume</v>
      </c>
      <c r="Y757" t="str">
        <f>TEXT(Orders[[#This Row],[Order Date]], "mmmm")</f>
        <v>February</v>
      </c>
      <c r="Z75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57" t="str">
        <f>Orders[[#This Row],[Coffee Type Name]] &amp; "-" &amp; Orders[[#This Row],[Roast Type Name]]</f>
        <v>Excelsa-Dark</v>
      </c>
      <c r="AB75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758" spans="1:28" x14ac:dyDescent="0.25">
      <c r="A758" s="2" t="s">
        <v>3883</v>
      </c>
      <c r="B758" s="4">
        <v>43815</v>
      </c>
      <c r="C758" s="2" t="s">
        <v>3884</v>
      </c>
      <c r="D758" t="s">
        <v>6142</v>
      </c>
      <c r="E758" s="2">
        <v>4</v>
      </c>
      <c r="F758" s="2" t="str">
        <f>_xlfn.XLOOKUP(C758,customers!$A$1:$A$1001,customers!$B$1:$B$1001,,0)</f>
        <v>Aurelia Burgwin</v>
      </c>
      <c r="G758" s="2" t="str">
        <f>IF(_xlfn.XLOOKUP(C758,customers!$A$1:$A$1001,customers!$C$1:$C$1001,,0)=0,"",_xlfn.XLOOKUP(C758,customers!$A$1:$A$1001,customers!$C$1:$C$1001,,0))</f>
        <v>aburgwingp@redcross.org</v>
      </c>
      <c r="H758" s="2" t="str">
        <f>_xlfn.XLOOKUP(C758,customers!$A$1:$A$1001,customers!$G$1:$G$1001,,0)</f>
        <v>United States</v>
      </c>
      <c r="I758" t="str">
        <f>INDEX(products!$A$1:$G$49, MATCH(orders!$D603,products!$A$1:$A650,0), MATCH(orders!I$1,products!$A$1:$G$1,0))</f>
        <v>Rob</v>
      </c>
      <c r="J758" t="str">
        <f>INDEX(products!$A$1:$G$49, MATCH(orders!$D603,products!$A$1:$A650,0), MATCH(orders!J$1,products!$A$1:$G$1,0))</f>
        <v>L</v>
      </c>
      <c r="K758" s="5">
        <f>INDEX(products!$A$1:$G$49, MATCH(orders!$D603,products!$A$1:$A650,0), MATCH(orders!K$1,products!$A$1:$G$1,0))</f>
        <v>2.5</v>
      </c>
      <c r="L758" s="6">
        <f>INDEX(products!$A$1:$G$49, MATCH(orders!$D603,products!$A$1:$A650,0), MATCH(orders!L$1,products!$A$1:$G$1,0))</f>
        <v>27.484999999999996</v>
      </c>
      <c r="M758" s="6">
        <f t="shared" si="33"/>
        <v>109.93999999999998</v>
      </c>
      <c r="N758" t="str">
        <f t="shared" si="34"/>
        <v>Robusta</v>
      </c>
      <c r="O758" t="str">
        <f t="shared" si="35"/>
        <v>Light</v>
      </c>
      <c r="P758" t="str">
        <f>_xlfn.XLOOKUP(Orders[[#This Row],[Customer ID]],customers!$A$1:$A$1001,customers!$I$1:$I$1001,,0)</f>
        <v>Yes</v>
      </c>
      <c r="Q758">
        <f>COUNTIF(Orders[Order ID],Orders[[#This Row],[Order ID]])</f>
        <v>1</v>
      </c>
      <c r="R758" s="10">
        <f>SUMIF(Orders[Order ID], Orders[[#This Row],[Order ID]],Orders[Sales])/Orders[[#This Row],[Order Frequency]]</f>
        <v>109.93999999999998</v>
      </c>
      <c r="S758" t="str">
        <f>IF(Orders[[#This Row],[Order Frequency]]&gt;4, "More than 4", IF(AND(Orders[[#This Row],[Order Frequency]]&lt;=4,Orders[[#This Row],[Order Frequency]]&gt;=2), "Between 4 and 2", "Less than 2"))</f>
        <v>Less than 2</v>
      </c>
      <c r="T758" t="str">
        <f>IF(Orders[[#This Row],[Frequency Group]]="less than 2", "Low Value", IF(Orders[[#This Row],[Frequency Group]]="between 4 and 2", "Medium Value", "High Value"))</f>
        <v>Low Value</v>
      </c>
      <c r="U758" t="str">
        <f>IF(Orders[[#This Row],[Sales]]&lt;50, "$0-50", IF(AND(Orders[[#This Row],[Sales]]&gt;=50,Orders[[#This Row],[Sales]]&lt;=100), "$50-100", IF(AND(Orders[[#This Row],[Sales]]&gt;100,Orders[[#This Row],[Sales]]&lt;=150), "$101-150", "$150+")))</f>
        <v>$101-150</v>
      </c>
      <c r="V758" t="str">
        <f>IF(Orders[[#This Row],[Sales]]&gt;MEDIAN(M:M), "High Price", "Low Price")</f>
        <v>High Price</v>
      </c>
      <c r="W758" t="str">
        <f>IF(Orders[[#This Row],[Quantity]]&gt;MEDIAN(E:E), "High Volume", "Low Volume")</f>
        <v>Low Volume</v>
      </c>
      <c r="X758" t="str">
        <f>Orders[[#This Row],[Sales Tier]] &amp; "-" &amp; Orders[[#This Row],[Quantity Tier]]</f>
        <v>High Price-Low Volume</v>
      </c>
      <c r="Y758" t="str">
        <f>TEXT(Orders[[#This Row],[Order Date]], "mmmm")</f>
        <v>December</v>
      </c>
      <c r="Z75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758" t="str">
        <f>Orders[[#This Row],[Coffee Type Name]] &amp; "-" &amp; Orders[[#This Row],[Roast Type Name]]</f>
        <v>Robusta-Light</v>
      </c>
      <c r="AB75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759" spans="1:28" x14ac:dyDescent="0.25">
      <c r="A759" s="2" t="s">
        <v>4711</v>
      </c>
      <c r="B759" s="4">
        <v>43501</v>
      </c>
      <c r="C759" s="2" t="s">
        <v>4712</v>
      </c>
      <c r="D759" t="s">
        <v>6160</v>
      </c>
      <c r="E759" s="2">
        <v>4</v>
      </c>
      <c r="F759" s="2" t="str">
        <f>_xlfn.XLOOKUP(C759,customers!$A$1:$A$1001,customers!$B$1:$B$1001,,0)</f>
        <v>Teddi Quadri</v>
      </c>
      <c r="G759" s="2" t="str">
        <f>IF(_xlfn.XLOOKUP(C759,customers!$A$1:$A$1001,customers!$C$1:$C$1001,,0)=0,"",_xlfn.XLOOKUP(C759,customers!$A$1:$A$1001,customers!$C$1:$C$1001,,0))</f>
        <v>tquadrikr@opensource.org</v>
      </c>
      <c r="H759" s="2" t="str">
        <f>_xlfn.XLOOKUP(C759,customers!$A$1:$A$1001,customers!$G$1:$G$1001,,0)</f>
        <v>Ireland</v>
      </c>
      <c r="I759" t="str">
        <f>INDEX(products!$A$1:$G$49, MATCH(orders!$D749,products!$A$1:$A796,0), MATCH(orders!I$1,products!$A$1:$G$1,0))</f>
        <v>Lib</v>
      </c>
      <c r="J759" t="str">
        <f>INDEX(products!$A$1:$G$49, MATCH(orders!$D749,products!$A$1:$A796,0), MATCH(orders!J$1,products!$A$1:$G$1,0))</f>
        <v>M</v>
      </c>
      <c r="K759" s="5">
        <f>INDEX(products!$A$1:$G$49, MATCH(orders!$D749,products!$A$1:$A796,0), MATCH(orders!K$1,products!$A$1:$G$1,0))</f>
        <v>0.5</v>
      </c>
      <c r="L759" s="6">
        <f>INDEX(products!$A$1:$G$49, MATCH(orders!$D749,products!$A$1:$A796,0), MATCH(orders!L$1,products!$A$1:$G$1,0))</f>
        <v>8.73</v>
      </c>
      <c r="M759" s="6">
        <f t="shared" si="33"/>
        <v>34.92</v>
      </c>
      <c r="N759" t="str">
        <f t="shared" si="34"/>
        <v>Liberica</v>
      </c>
      <c r="O759" t="str">
        <f t="shared" si="35"/>
        <v>Medium</v>
      </c>
      <c r="P759" t="str">
        <f>_xlfn.XLOOKUP(Orders[[#This Row],[Customer ID]],customers!$A$1:$A$1001,customers!$I$1:$I$1001,,0)</f>
        <v>Yes</v>
      </c>
      <c r="Q759">
        <f>COUNTIF(Orders[Order ID],Orders[[#This Row],[Order ID]])</f>
        <v>1</v>
      </c>
      <c r="R759" s="10">
        <f>SUMIF(Orders[Order ID], Orders[[#This Row],[Order ID]],Orders[Sales])/Orders[[#This Row],[Order Frequency]]</f>
        <v>34.92</v>
      </c>
      <c r="S759" t="str">
        <f>IF(Orders[[#This Row],[Order Frequency]]&gt;4, "More than 4", IF(AND(Orders[[#This Row],[Order Frequency]]&lt;=4,Orders[[#This Row],[Order Frequency]]&gt;=2), "Between 4 and 2", "Less than 2"))</f>
        <v>Less than 2</v>
      </c>
      <c r="T759" t="str">
        <f>IF(Orders[[#This Row],[Frequency Group]]="less than 2", "Low Value", IF(Orders[[#This Row],[Frequency Group]]="between 4 and 2", "Medium Value", "High Value"))</f>
        <v>Low Value</v>
      </c>
      <c r="U759" t="str">
        <f>IF(Orders[[#This Row],[Sales]]&lt;50, "$0-50", IF(AND(Orders[[#This Row],[Sales]]&gt;=50,Orders[[#This Row],[Sales]]&lt;=100), "$50-100", IF(AND(Orders[[#This Row],[Sales]]&gt;100,Orders[[#This Row],[Sales]]&lt;=150), "$101-150", "$150+")))</f>
        <v>$0-50</v>
      </c>
      <c r="V759" t="str">
        <f>IF(Orders[[#This Row],[Sales]]&gt;MEDIAN(M:M), "High Price", "Low Price")</f>
        <v>High Price</v>
      </c>
      <c r="W759" t="str">
        <f>IF(Orders[[#This Row],[Quantity]]&gt;MEDIAN(E:E), "High Volume", "Low Volume")</f>
        <v>Low Volume</v>
      </c>
      <c r="X759" t="str">
        <f>Orders[[#This Row],[Sales Tier]] &amp; "-" &amp; Orders[[#This Row],[Quantity Tier]]</f>
        <v>High Price-Low Volume</v>
      </c>
      <c r="Y759" t="str">
        <f>TEXT(Orders[[#This Row],[Order Date]], "mmmm")</f>
        <v>February</v>
      </c>
      <c r="Z75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59" t="str">
        <f>Orders[[#This Row],[Coffee Type Name]] &amp; "-" &amp; Orders[[#This Row],[Roast Type Name]]</f>
        <v>Liberica-Medium</v>
      </c>
      <c r="AB75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760" spans="1:28" x14ac:dyDescent="0.25">
      <c r="A760" s="2" t="s">
        <v>5299</v>
      </c>
      <c r="B760" s="4">
        <v>43900</v>
      </c>
      <c r="C760" s="2" t="s">
        <v>5300</v>
      </c>
      <c r="D760" t="s">
        <v>6169</v>
      </c>
      <c r="E760" s="2">
        <v>1</v>
      </c>
      <c r="F760" s="2" t="str">
        <f>_xlfn.XLOOKUP(C760,customers!$A$1:$A$1001,customers!$B$1:$B$1001,,0)</f>
        <v>Perice Eberz</v>
      </c>
      <c r="G760" s="2" t="str">
        <f>IF(_xlfn.XLOOKUP(C760,customers!$A$1:$A$1001,customers!$C$1:$C$1001,,0)=0,"",_xlfn.XLOOKUP(C760,customers!$A$1:$A$1001,customers!$C$1:$C$1001,,0))</f>
        <v>peberznn@woothemes.com</v>
      </c>
      <c r="H760" s="2" t="str">
        <f>_xlfn.XLOOKUP(C760,customers!$A$1:$A$1001,customers!$G$1:$G$1001,,0)</f>
        <v>United States</v>
      </c>
      <c r="I760" t="str">
        <f>INDEX(products!$A$1:$G$49, MATCH(orders!$D853,products!$A$1:$A900,0), MATCH(orders!I$1,products!$A$1:$G$1,0))</f>
        <v>Lib</v>
      </c>
      <c r="J760" t="str">
        <f>INDEX(products!$A$1:$G$49, MATCH(orders!$D853,products!$A$1:$A900,0), MATCH(orders!J$1,products!$A$1:$G$1,0))</f>
        <v>D</v>
      </c>
      <c r="K760" s="5">
        <f>INDEX(products!$A$1:$G$49, MATCH(orders!$D853,products!$A$1:$A900,0), MATCH(orders!K$1,products!$A$1:$G$1,0))</f>
        <v>0.5</v>
      </c>
      <c r="L760" s="6">
        <f>INDEX(products!$A$1:$G$49, MATCH(orders!$D853,products!$A$1:$A900,0), MATCH(orders!L$1,products!$A$1:$G$1,0))</f>
        <v>7.77</v>
      </c>
      <c r="M760" s="6">
        <f t="shared" si="33"/>
        <v>7.77</v>
      </c>
      <c r="N760" t="str">
        <f t="shared" si="34"/>
        <v>Liberica</v>
      </c>
      <c r="O760" t="str">
        <f t="shared" si="35"/>
        <v>Dark</v>
      </c>
      <c r="P760" t="str">
        <f>_xlfn.XLOOKUP(Orders[[#This Row],[Customer ID]],customers!$A$1:$A$1001,customers!$I$1:$I$1001,,0)</f>
        <v>Yes</v>
      </c>
      <c r="Q760">
        <f>COUNTIF(Orders[Order ID],Orders[[#This Row],[Order ID]])</f>
        <v>1</v>
      </c>
      <c r="R760" s="10">
        <f>SUMIF(Orders[Order ID], Orders[[#This Row],[Order ID]],Orders[Sales])/Orders[[#This Row],[Order Frequency]]</f>
        <v>7.77</v>
      </c>
      <c r="S760" t="str">
        <f>IF(Orders[[#This Row],[Order Frequency]]&gt;4, "More than 4", IF(AND(Orders[[#This Row],[Order Frequency]]&lt;=4,Orders[[#This Row],[Order Frequency]]&gt;=2), "Between 4 and 2", "Less than 2"))</f>
        <v>Less than 2</v>
      </c>
      <c r="T760" t="str">
        <f>IF(Orders[[#This Row],[Frequency Group]]="less than 2", "Low Value", IF(Orders[[#This Row],[Frequency Group]]="between 4 and 2", "Medium Value", "High Value"))</f>
        <v>Low Value</v>
      </c>
      <c r="U760" t="str">
        <f>IF(Orders[[#This Row],[Sales]]&lt;50, "$0-50", IF(AND(Orders[[#This Row],[Sales]]&gt;=50,Orders[[#This Row],[Sales]]&lt;=100), "$50-100", IF(AND(Orders[[#This Row],[Sales]]&gt;100,Orders[[#This Row],[Sales]]&lt;=150), "$101-150", "$150+")))</f>
        <v>$0-50</v>
      </c>
      <c r="V760" t="str">
        <f>IF(Orders[[#This Row],[Sales]]&gt;MEDIAN(M:M), "High Price", "Low Price")</f>
        <v>Low Price</v>
      </c>
      <c r="W760" t="str">
        <f>IF(Orders[[#This Row],[Quantity]]&gt;MEDIAN(E:E), "High Volume", "Low Volume")</f>
        <v>Low Volume</v>
      </c>
      <c r="X760" t="str">
        <f>Orders[[#This Row],[Sales Tier]] &amp; "-" &amp; Orders[[#This Row],[Quantity Tier]]</f>
        <v>Low Price-Low Volume</v>
      </c>
      <c r="Y760" t="str">
        <f>TEXT(Orders[[#This Row],[Order Date]], "mmmm")</f>
        <v>March</v>
      </c>
      <c r="Z76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60" t="str">
        <f>Orders[[#This Row],[Coffee Type Name]] &amp; "-" &amp; Orders[[#This Row],[Roast Type Name]]</f>
        <v>Liberica-Dark</v>
      </c>
      <c r="AB76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761" spans="1:28" x14ac:dyDescent="0.25">
      <c r="A761" s="2" t="s">
        <v>3945</v>
      </c>
      <c r="B761" s="4">
        <v>43896</v>
      </c>
      <c r="C761" s="2" t="s">
        <v>3946</v>
      </c>
      <c r="D761" t="s">
        <v>6152</v>
      </c>
      <c r="E761" s="2">
        <v>4</v>
      </c>
      <c r="F761" s="2" t="str">
        <f>_xlfn.XLOOKUP(C761,customers!$A$1:$A$1001,customers!$B$1:$B$1001,,0)</f>
        <v>Betti Lacasa</v>
      </c>
      <c r="G761" s="2" t="str">
        <f>IF(_xlfn.XLOOKUP(C761,customers!$A$1:$A$1001,customers!$C$1:$C$1001,,0)=0,"",_xlfn.XLOOKUP(C761,customers!$A$1:$A$1001,customers!$C$1:$C$1001,,0))</f>
        <v/>
      </c>
      <c r="H761" s="2" t="str">
        <f>_xlfn.XLOOKUP(C761,customers!$A$1:$A$1001,customers!$G$1:$G$1001,,0)</f>
        <v>Ireland</v>
      </c>
      <c r="I761" t="str">
        <f>INDEX(products!$A$1:$G$49, MATCH(orders!$D614,products!$A$1:$A661,0), MATCH(orders!I$1,products!$A$1:$G$1,0))</f>
        <v>Ara</v>
      </c>
      <c r="J761" t="str">
        <f>INDEX(products!$A$1:$G$49, MATCH(orders!$D614,products!$A$1:$A661,0), MATCH(orders!J$1,products!$A$1:$G$1,0))</f>
        <v>M</v>
      </c>
      <c r="K761" s="5">
        <f>INDEX(products!$A$1:$G$49, MATCH(orders!$D614,products!$A$1:$A661,0), MATCH(orders!K$1,products!$A$1:$G$1,0))</f>
        <v>0.2</v>
      </c>
      <c r="L761" s="6">
        <f>INDEX(products!$A$1:$G$49, MATCH(orders!$D614,products!$A$1:$A661,0), MATCH(orders!L$1,products!$A$1:$G$1,0))</f>
        <v>3.375</v>
      </c>
      <c r="M761" s="6">
        <f t="shared" si="33"/>
        <v>13.5</v>
      </c>
      <c r="N761" t="str">
        <f t="shared" si="34"/>
        <v>Arabica</v>
      </c>
      <c r="O761" t="str">
        <f t="shared" si="35"/>
        <v>Medium</v>
      </c>
      <c r="P761" t="str">
        <f>_xlfn.XLOOKUP(Orders[[#This Row],[Customer ID]],customers!$A$1:$A$1001,customers!$I$1:$I$1001,,0)</f>
        <v>No</v>
      </c>
      <c r="Q761">
        <f>COUNTIF(Orders[Order ID],Orders[[#This Row],[Order ID]])</f>
        <v>1</v>
      </c>
      <c r="R761" s="10">
        <f>SUMIF(Orders[Order ID], Orders[[#This Row],[Order ID]],Orders[Sales])/Orders[[#This Row],[Order Frequency]]</f>
        <v>13.5</v>
      </c>
      <c r="S761" t="str">
        <f>IF(Orders[[#This Row],[Order Frequency]]&gt;4, "More than 4", IF(AND(Orders[[#This Row],[Order Frequency]]&lt;=4,Orders[[#This Row],[Order Frequency]]&gt;=2), "Between 4 and 2", "Less than 2"))</f>
        <v>Less than 2</v>
      </c>
      <c r="T761" t="str">
        <f>IF(Orders[[#This Row],[Frequency Group]]="less than 2", "Low Value", IF(Orders[[#This Row],[Frequency Group]]="between 4 and 2", "Medium Value", "High Value"))</f>
        <v>Low Value</v>
      </c>
      <c r="U761" t="str">
        <f>IF(Orders[[#This Row],[Sales]]&lt;50, "$0-50", IF(AND(Orders[[#This Row],[Sales]]&gt;=50,Orders[[#This Row],[Sales]]&lt;=100), "$50-100", IF(AND(Orders[[#This Row],[Sales]]&gt;100,Orders[[#This Row],[Sales]]&lt;=150), "$101-150", "$150+")))</f>
        <v>$0-50</v>
      </c>
      <c r="V761" t="str">
        <f>IF(Orders[[#This Row],[Sales]]&gt;MEDIAN(M:M), "High Price", "Low Price")</f>
        <v>Low Price</v>
      </c>
      <c r="W761" t="str">
        <f>IF(Orders[[#This Row],[Quantity]]&gt;MEDIAN(E:E), "High Volume", "Low Volume")</f>
        <v>Low Volume</v>
      </c>
      <c r="X761" t="str">
        <f>Orders[[#This Row],[Sales Tier]] &amp; "-" &amp; Orders[[#This Row],[Quantity Tier]]</f>
        <v>Low Price-Low Volume</v>
      </c>
      <c r="Y761" t="str">
        <f>TEXT(Orders[[#This Row],[Order Date]], "mmmm")</f>
        <v>March</v>
      </c>
      <c r="Z76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61" t="str">
        <f>Orders[[#This Row],[Coffee Type Name]] &amp; "-" &amp; Orders[[#This Row],[Roast Type Name]]</f>
        <v>Arabica-Medium</v>
      </c>
      <c r="AB76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762" spans="1:28" x14ac:dyDescent="0.25">
      <c r="A762" s="2" t="s">
        <v>5356</v>
      </c>
      <c r="B762" s="4">
        <v>43802</v>
      </c>
      <c r="C762" s="2" t="s">
        <v>5357</v>
      </c>
      <c r="D762" t="s">
        <v>6143</v>
      </c>
      <c r="E762" s="2">
        <v>6</v>
      </c>
      <c r="F762" s="2" t="str">
        <f>_xlfn.XLOOKUP(C762,customers!$A$1:$A$1001,customers!$B$1:$B$1001,,0)</f>
        <v>Noel Chisholm</v>
      </c>
      <c r="G762" s="2" t="str">
        <f>IF(_xlfn.XLOOKUP(C762,customers!$A$1:$A$1001,customers!$C$1:$C$1001,,0)=0,"",_xlfn.XLOOKUP(C762,customers!$A$1:$A$1001,customers!$C$1:$C$1001,,0))</f>
        <v>nchisholmnx@example.com</v>
      </c>
      <c r="H762" s="2" t="str">
        <f>_xlfn.XLOOKUP(C762,customers!$A$1:$A$1001,customers!$G$1:$G$1001,,0)</f>
        <v>United States</v>
      </c>
      <c r="I762" t="str">
        <f>INDEX(products!$A$1:$G$49, MATCH(orders!$D863,products!$A$1:$A910,0), MATCH(orders!I$1,products!$A$1:$G$1,0))</f>
        <v>Lib</v>
      </c>
      <c r="J762" t="str">
        <f>INDEX(products!$A$1:$G$49, MATCH(orders!$D863,products!$A$1:$A910,0), MATCH(orders!J$1,products!$A$1:$G$1,0))</f>
        <v>D</v>
      </c>
      <c r="K762" s="5">
        <f>INDEX(products!$A$1:$G$49, MATCH(orders!$D863,products!$A$1:$A910,0), MATCH(orders!K$1,products!$A$1:$G$1,0))</f>
        <v>1</v>
      </c>
      <c r="L762" s="6">
        <f>INDEX(products!$A$1:$G$49, MATCH(orders!$D863,products!$A$1:$A910,0), MATCH(orders!L$1,products!$A$1:$G$1,0))</f>
        <v>12.95</v>
      </c>
      <c r="M762" s="6">
        <f t="shared" si="33"/>
        <v>77.699999999999989</v>
      </c>
      <c r="N762" t="str">
        <f t="shared" si="34"/>
        <v>Liberica</v>
      </c>
      <c r="O762" t="str">
        <f t="shared" si="35"/>
        <v>Dark</v>
      </c>
      <c r="P762" t="str">
        <f>_xlfn.XLOOKUP(Orders[[#This Row],[Customer ID]],customers!$A$1:$A$1001,customers!$I$1:$I$1001,,0)</f>
        <v>Yes</v>
      </c>
      <c r="Q762">
        <f>COUNTIF(Orders[Order ID],Orders[[#This Row],[Order ID]])</f>
        <v>1</v>
      </c>
      <c r="R762" s="10">
        <f>SUMIF(Orders[Order ID], Orders[[#This Row],[Order ID]],Orders[Sales])/Orders[[#This Row],[Order Frequency]]</f>
        <v>77.699999999999989</v>
      </c>
      <c r="S762" t="str">
        <f>IF(Orders[[#This Row],[Order Frequency]]&gt;4, "More than 4", IF(AND(Orders[[#This Row],[Order Frequency]]&lt;=4,Orders[[#This Row],[Order Frequency]]&gt;=2), "Between 4 and 2", "Less than 2"))</f>
        <v>Less than 2</v>
      </c>
      <c r="T762" t="str">
        <f>IF(Orders[[#This Row],[Frequency Group]]="less than 2", "Low Value", IF(Orders[[#This Row],[Frequency Group]]="between 4 and 2", "Medium Value", "High Value"))</f>
        <v>Low Value</v>
      </c>
      <c r="U762" t="str">
        <f>IF(Orders[[#This Row],[Sales]]&lt;50, "$0-50", IF(AND(Orders[[#This Row],[Sales]]&gt;=50,Orders[[#This Row],[Sales]]&lt;=100), "$50-100", IF(AND(Orders[[#This Row],[Sales]]&gt;100,Orders[[#This Row],[Sales]]&lt;=150), "$101-150", "$150+")))</f>
        <v>$50-100</v>
      </c>
      <c r="V762" t="str">
        <f>IF(Orders[[#This Row],[Sales]]&gt;MEDIAN(M:M), "High Price", "Low Price")</f>
        <v>High Price</v>
      </c>
      <c r="W762" t="str">
        <f>IF(Orders[[#This Row],[Quantity]]&gt;MEDIAN(E:E), "High Volume", "Low Volume")</f>
        <v>High Volume</v>
      </c>
      <c r="X762" t="str">
        <f>Orders[[#This Row],[Sales Tier]] &amp; "-" &amp; Orders[[#This Row],[Quantity Tier]]</f>
        <v>High Price-High Volume</v>
      </c>
      <c r="Y762" t="str">
        <f>TEXT(Orders[[#This Row],[Order Date]], "mmmm")</f>
        <v>December</v>
      </c>
      <c r="Z76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762" t="str">
        <f>Orders[[#This Row],[Coffee Type Name]] &amp; "-" &amp; Orders[[#This Row],[Roast Type Name]]</f>
        <v>Liberica-Dark</v>
      </c>
      <c r="AB76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763" spans="1:28" x14ac:dyDescent="0.25">
      <c r="A763" s="2" t="s">
        <v>3283</v>
      </c>
      <c r="B763" s="4">
        <v>44132</v>
      </c>
      <c r="C763" s="2" t="s">
        <v>3284</v>
      </c>
      <c r="D763" t="s">
        <v>6170</v>
      </c>
      <c r="E763" s="2">
        <v>2</v>
      </c>
      <c r="F763" s="2" t="str">
        <f>_xlfn.XLOOKUP(C763,customers!$A$1:$A$1001,customers!$B$1:$B$1001,,0)</f>
        <v>Felicia Jecock</v>
      </c>
      <c r="G763" s="2" t="str">
        <f>IF(_xlfn.XLOOKUP(C763,customers!$A$1:$A$1001,customers!$C$1:$C$1001,,0)=0,"",_xlfn.XLOOKUP(C763,customers!$A$1:$A$1001,customers!$C$1:$C$1001,,0))</f>
        <v>fjecockdq@unicef.org</v>
      </c>
      <c r="H763" s="2" t="str">
        <f>_xlfn.XLOOKUP(C763,customers!$A$1:$A$1001,customers!$G$1:$G$1001,,0)</f>
        <v>United States</v>
      </c>
      <c r="I763" t="str">
        <f>INDEX(products!$A$1:$G$49, MATCH(orders!$D496,products!$A$1:$A543,0), MATCH(orders!I$1,products!$A$1:$G$1,0))</f>
        <v>Lib</v>
      </c>
      <c r="J763" t="str">
        <f>INDEX(products!$A$1:$G$49, MATCH(orders!$D496,products!$A$1:$A543,0), MATCH(orders!J$1,products!$A$1:$G$1,0))</f>
        <v>L</v>
      </c>
      <c r="K763" s="5">
        <f>INDEX(products!$A$1:$G$49, MATCH(orders!$D496,products!$A$1:$A543,0), MATCH(orders!K$1,products!$A$1:$G$1,0))</f>
        <v>1</v>
      </c>
      <c r="L763" s="6">
        <f>INDEX(products!$A$1:$G$49, MATCH(orders!$D496,products!$A$1:$A543,0), MATCH(orders!L$1,products!$A$1:$G$1,0))</f>
        <v>15.85</v>
      </c>
      <c r="M763" s="6">
        <f t="shared" si="33"/>
        <v>31.7</v>
      </c>
      <c r="N763" t="str">
        <f t="shared" si="34"/>
        <v>Liberica</v>
      </c>
      <c r="O763" t="str">
        <f t="shared" si="35"/>
        <v>Light</v>
      </c>
      <c r="P763" t="str">
        <f>_xlfn.XLOOKUP(Orders[[#This Row],[Customer ID]],customers!$A$1:$A$1001,customers!$I$1:$I$1001,,0)</f>
        <v>No</v>
      </c>
      <c r="Q763">
        <f>COUNTIF(Orders[Order ID],Orders[[#This Row],[Order ID]])</f>
        <v>1</v>
      </c>
      <c r="R763" s="10">
        <f>SUMIF(Orders[Order ID], Orders[[#This Row],[Order ID]],Orders[Sales])/Orders[[#This Row],[Order Frequency]]</f>
        <v>31.7</v>
      </c>
      <c r="S763" t="str">
        <f>IF(Orders[[#This Row],[Order Frequency]]&gt;4, "More than 4", IF(AND(Orders[[#This Row],[Order Frequency]]&lt;=4,Orders[[#This Row],[Order Frequency]]&gt;=2), "Between 4 and 2", "Less than 2"))</f>
        <v>Less than 2</v>
      </c>
      <c r="T763" t="str">
        <f>IF(Orders[[#This Row],[Frequency Group]]="less than 2", "Low Value", IF(Orders[[#This Row],[Frequency Group]]="between 4 and 2", "Medium Value", "High Value"))</f>
        <v>Low Value</v>
      </c>
      <c r="U763" t="str">
        <f>IF(Orders[[#This Row],[Sales]]&lt;50, "$0-50", IF(AND(Orders[[#This Row],[Sales]]&gt;=50,Orders[[#This Row],[Sales]]&lt;=100), "$50-100", IF(AND(Orders[[#This Row],[Sales]]&gt;100,Orders[[#This Row],[Sales]]&lt;=150), "$101-150", "$150+")))</f>
        <v>$0-50</v>
      </c>
      <c r="V763" t="str">
        <f>IF(Orders[[#This Row],[Sales]]&gt;MEDIAN(M:M), "High Price", "Low Price")</f>
        <v>High Price</v>
      </c>
      <c r="W763" t="str">
        <f>IF(Orders[[#This Row],[Quantity]]&gt;MEDIAN(E:E), "High Volume", "Low Volume")</f>
        <v>Low Volume</v>
      </c>
      <c r="X763" t="str">
        <f>Orders[[#This Row],[Sales Tier]] &amp; "-" &amp; Orders[[#This Row],[Quantity Tier]]</f>
        <v>High Price-Low Volume</v>
      </c>
      <c r="Y763" t="str">
        <f>TEXT(Orders[[#This Row],[Order Date]], "mmmm")</f>
        <v>October</v>
      </c>
      <c r="Z76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763" t="str">
        <f>Orders[[#This Row],[Coffee Type Name]] &amp; "-" &amp; Orders[[#This Row],[Roast Type Name]]</f>
        <v>Liberica-Light</v>
      </c>
      <c r="AB76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764" spans="1:28" x14ac:dyDescent="0.25">
      <c r="A764" s="2" t="s">
        <v>6013</v>
      </c>
      <c r="B764" s="4">
        <v>44026</v>
      </c>
      <c r="C764" s="2" t="s">
        <v>6014</v>
      </c>
      <c r="D764" t="s">
        <v>6179</v>
      </c>
      <c r="E764" s="2">
        <v>5</v>
      </c>
      <c r="F764" s="2" t="str">
        <f>_xlfn.XLOOKUP(C764,customers!$A$1:$A$1001,customers!$B$1:$B$1001,,0)</f>
        <v>Mab Blakemore</v>
      </c>
      <c r="G764" s="2" t="str">
        <f>IF(_xlfn.XLOOKUP(C764,customers!$A$1:$A$1001,customers!$C$1:$C$1001,,0)=0,"",_xlfn.XLOOKUP(C764,customers!$A$1:$A$1001,customers!$C$1:$C$1001,,0))</f>
        <v>mblakemorer5@nsw.gov.au</v>
      </c>
      <c r="H764" s="2" t="str">
        <f>_xlfn.XLOOKUP(C764,customers!$A$1:$A$1001,customers!$G$1:$G$1001,,0)</f>
        <v>United States</v>
      </c>
      <c r="I764" t="str">
        <f>INDEX(products!$A$1:$G$49, MATCH(orders!$D979,products!$A$1:$A1026,0), MATCH(orders!I$1,products!$A$1:$G$1,0))</f>
        <v>Rob</v>
      </c>
      <c r="J764" t="str">
        <f>INDEX(products!$A$1:$G$49, MATCH(orders!$D979,products!$A$1:$A1026,0), MATCH(orders!J$1,products!$A$1:$G$1,0))</f>
        <v>L</v>
      </c>
      <c r="K764" s="5">
        <f>INDEX(products!$A$1:$G$49, MATCH(orders!$D979,products!$A$1:$A1026,0), MATCH(orders!K$1,products!$A$1:$G$1,0))</f>
        <v>1</v>
      </c>
      <c r="L764" s="6">
        <f>INDEX(products!$A$1:$G$49, MATCH(orders!$D979,products!$A$1:$A1026,0), MATCH(orders!L$1,products!$A$1:$G$1,0))</f>
        <v>11.95</v>
      </c>
      <c r="M764" s="6">
        <f t="shared" si="33"/>
        <v>59.75</v>
      </c>
      <c r="N764" t="str">
        <f t="shared" si="34"/>
        <v>Robusta</v>
      </c>
      <c r="O764" t="str">
        <f t="shared" si="35"/>
        <v>Light</v>
      </c>
      <c r="P764" t="str">
        <f>_xlfn.XLOOKUP(Orders[[#This Row],[Customer ID]],customers!$A$1:$A$1001,customers!$I$1:$I$1001,,0)</f>
        <v>No</v>
      </c>
      <c r="Q764">
        <f>COUNTIF(Orders[Order ID],Orders[[#This Row],[Order ID]])</f>
        <v>1</v>
      </c>
      <c r="R764" s="10">
        <f>SUMIF(Orders[Order ID], Orders[[#This Row],[Order ID]],Orders[Sales])/Orders[[#This Row],[Order Frequency]]</f>
        <v>59.75</v>
      </c>
      <c r="S764" t="str">
        <f>IF(Orders[[#This Row],[Order Frequency]]&gt;4, "More than 4", IF(AND(Orders[[#This Row],[Order Frequency]]&lt;=4,Orders[[#This Row],[Order Frequency]]&gt;=2), "Between 4 and 2", "Less than 2"))</f>
        <v>Less than 2</v>
      </c>
      <c r="T764" t="str">
        <f>IF(Orders[[#This Row],[Frequency Group]]="less than 2", "Low Value", IF(Orders[[#This Row],[Frequency Group]]="between 4 and 2", "Medium Value", "High Value"))</f>
        <v>Low Value</v>
      </c>
      <c r="U764" t="str">
        <f>IF(Orders[[#This Row],[Sales]]&lt;50, "$0-50", IF(AND(Orders[[#This Row],[Sales]]&gt;=50,Orders[[#This Row],[Sales]]&lt;=100), "$50-100", IF(AND(Orders[[#This Row],[Sales]]&gt;100,Orders[[#This Row],[Sales]]&lt;=150), "$101-150", "$150+")))</f>
        <v>$50-100</v>
      </c>
      <c r="V764" t="str">
        <f>IF(Orders[[#This Row],[Sales]]&gt;MEDIAN(M:M), "High Price", "Low Price")</f>
        <v>High Price</v>
      </c>
      <c r="W764" t="str">
        <f>IF(Orders[[#This Row],[Quantity]]&gt;MEDIAN(E:E), "High Volume", "Low Volume")</f>
        <v>High Volume</v>
      </c>
      <c r="X764" t="str">
        <f>Orders[[#This Row],[Sales Tier]] &amp; "-" &amp; Orders[[#This Row],[Quantity Tier]]</f>
        <v>High Price-High Volume</v>
      </c>
      <c r="Y764" t="str">
        <f>TEXT(Orders[[#This Row],[Order Date]], "mmmm")</f>
        <v>July</v>
      </c>
      <c r="Z76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764" t="str">
        <f>Orders[[#This Row],[Coffee Type Name]] &amp; "-" &amp; Orders[[#This Row],[Roast Type Name]]</f>
        <v>Robusta-Light</v>
      </c>
      <c r="AB76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765" spans="1:28" x14ac:dyDescent="0.25">
      <c r="A765" s="2" t="s">
        <v>4365</v>
      </c>
      <c r="B765" s="4">
        <v>44330</v>
      </c>
      <c r="C765" s="2" t="s">
        <v>4366</v>
      </c>
      <c r="D765" t="s">
        <v>6163</v>
      </c>
      <c r="E765" s="2">
        <v>3</v>
      </c>
      <c r="F765" s="2" t="str">
        <f>_xlfn.XLOOKUP(C765,customers!$A$1:$A$1001,customers!$B$1:$B$1001,,0)</f>
        <v>Deonne Shortall</v>
      </c>
      <c r="G765" s="2" t="str">
        <f>IF(_xlfn.XLOOKUP(C765,customers!$A$1:$A$1001,customers!$C$1:$C$1001,,0)=0,"",_xlfn.XLOOKUP(C765,customers!$A$1:$A$1001,customers!$C$1:$C$1001,,0))</f>
        <v>dshortallj2@wikipedia.org</v>
      </c>
      <c r="H765" s="2" t="str">
        <f>_xlfn.XLOOKUP(C765,customers!$A$1:$A$1001,customers!$G$1:$G$1001,,0)</f>
        <v>United States</v>
      </c>
      <c r="I765" t="str">
        <f>INDEX(products!$A$1:$G$49, MATCH(orders!$D688,products!$A$1:$A735,0), MATCH(orders!I$1,products!$A$1:$G$1,0))</f>
        <v>Rob</v>
      </c>
      <c r="J765" t="str">
        <f>INDEX(products!$A$1:$G$49, MATCH(orders!$D688,products!$A$1:$A735,0), MATCH(orders!J$1,products!$A$1:$G$1,0))</f>
        <v>D</v>
      </c>
      <c r="K765" s="5">
        <f>INDEX(products!$A$1:$G$49, MATCH(orders!$D688,products!$A$1:$A735,0), MATCH(orders!K$1,products!$A$1:$G$1,0))</f>
        <v>0.2</v>
      </c>
      <c r="L765" s="6">
        <f>INDEX(products!$A$1:$G$49, MATCH(orders!$D688,products!$A$1:$A735,0), MATCH(orders!L$1,products!$A$1:$G$1,0))</f>
        <v>2.6849999999999996</v>
      </c>
      <c r="M765" s="6">
        <f t="shared" si="33"/>
        <v>8.0549999999999997</v>
      </c>
      <c r="N765" t="str">
        <f t="shared" si="34"/>
        <v>Robusta</v>
      </c>
      <c r="O765" t="str">
        <f t="shared" si="35"/>
        <v>Dark</v>
      </c>
      <c r="P765" t="str">
        <f>_xlfn.XLOOKUP(Orders[[#This Row],[Customer ID]],customers!$A$1:$A$1001,customers!$I$1:$I$1001,,0)</f>
        <v>Yes</v>
      </c>
      <c r="Q765">
        <f>COUNTIF(Orders[Order ID],Orders[[#This Row],[Order ID]])</f>
        <v>1</v>
      </c>
      <c r="R765" s="10">
        <f>SUMIF(Orders[Order ID], Orders[[#This Row],[Order ID]],Orders[Sales])/Orders[[#This Row],[Order Frequency]]</f>
        <v>8.0549999999999997</v>
      </c>
      <c r="S765" t="str">
        <f>IF(Orders[[#This Row],[Order Frequency]]&gt;4, "More than 4", IF(AND(Orders[[#This Row],[Order Frequency]]&lt;=4,Orders[[#This Row],[Order Frequency]]&gt;=2), "Between 4 and 2", "Less than 2"))</f>
        <v>Less than 2</v>
      </c>
      <c r="T765" t="str">
        <f>IF(Orders[[#This Row],[Frequency Group]]="less than 2", "Low Value", IF(Orders[[#This Row],[Frequency Group]]="between 4 and 2", "Medium Value", "High Value"))</f>
        <v>Low Value</v>
      </c>
      <c r="U765" t="str">
        <f>IF(Orders[[#This Row],[Sales]]&lt;50, "$0-50", IF(AND(Orders[[#This Row],[Sales]]&gt;=50,Orders[[#This Row],[Sales]]&lt;=100), "$50-100", IF(AND(Orders[[#This Row],[Sales]]&gt;100,Orders[[#This Row],[Sales]]&lt;=150), "$101-150", "$150+")))</f>
        <v>$0-50</v>
      </c>
      <c r="V765" t="str">
        <f>IF(Orders[[#This Row],[Sales]]&gt;MEDIAN(M:M), "High Price", "Low Price")</f>
        <v>Low Price</v>
      </c>
      <c r="W765" t="str">
        <f>IF(Orders[[#This Row],[Quantity]]&gt;MEDIAN(E:E), "High Volume", "Low Volume")</f>
        <v>Low Volume</v>
      </c>
      <c r="X765" t="str">
        <f>Orders[[#This Row],[Sales Tier]] &amp; "-" &amp; Orders[[#This Row],[Quantity Tier]]</f>
        <v>Low Price-Low Volume</v>
      </c>
      <c r="Y765" t="str">
        <f>TEXT(Orders[[#This Row],[Order Date]], "mmmm")</f>
        <v>May</v>
      </c>
      <c r="Z76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765" t="str">
        <f>Orders[[#This Row],[Coffee Type Name]] &amp; "-" &amp; Orders[[#This Row],[Roast Type Name]]</f>
        <v>Robusta-Dark</v>
      </c>
      <c r="AB76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766" spans="1:28" x14ac:dyDescent="0.25">
      <c r="A766" s="2" t="s">
        <v>5938</v>
      </c>
      <c r="B766" s="4">
        <v>43865</v>
      </c>
      <c r="C766" s="2" t="s">
        <v>5939</v>
      </c>
      <c r="D766" t="s">
        <v>6184</v>
      </c>
      <c r="E766" s="2">
        <v>5</v>
      </c>
      <c r="F766" s="2" t="str">
        <f>_xlfn.XLOOKUP(C766,customers!$A$1:$A$1001,customers!$B$1:$B$1001,,0)</f>
        <v>Cleopatra Goodrum</v>
      </c>
      <c r="G766" s="2" t="str">
        <f>IF(_xlfn.XLOOKUP(C766,customers!$A$1:$A$1001,customers!$C$1:$C$1001,,0)=0,"",_xlfn.XLOOKUP(C766,customers!$A$1:$A$1001,customers!$C$1:$C$1001,,0))</f>
        <v>cgoodrumqs@goodreads.com</v>
      </c>
      <c r="H766" s="2" t="str">
        <f>_xlfn.XLOOKUP(C766,customers!$A$1:$A$1001,customers!$G$1:$G$1001,,0)</f>
        <v>United States</v>
      </c>
      <c r="I766" t="str">
        <f>INDEX(products!$A$1:$G$49, MATCH(orders!$D966,products!$A$1:$A1013,0), MATCH(orders!I$1,products!$A$1:$G$1,0))</f>
        <v>Exc</v>
      </c>
      <c r="J766" t="str">
        <f>INDEX(products!$A$1:$G$49, MATCH(orders!$D966,products!$A$1:$A1013,0), MATCH(orders!J$1,products!$A$1:$G$1,0))</f>
        <v>L</v>
      </c>
      <c r="K766" s="5">
        <f>INDEX(products!$A$1:$G$49, MATCH(orders!$D966,products!$A$1:$A1013,0), MATCH(orders!K$1,products!$A$1:$G$1,0))</f>
        <v>0.2</v>
      </c>
      <c r="L766" s="6">
        <f>INDEX(products!$A$1:$G$49, MATCH(orders!$D966,products!$A$1:$A1013,0), MATCH(orders!L$1,products!$A$1:$G$1,0))</f>
        <v>4.4550000000000001</v>
      </c>
      <c r="M766" s="6">
        <f t="shared" si="33"/>
        <v>22.274999999999999</v>
      </c>
      <c r="N766" t="str">
        <f t="shared" si="34"/>
        <v>Excelsa</v>
      </c>
      <c r="O766" t="str">
        <f t="shared" si="35"/>
        <v>Light</v>
      </c>
      <c r="P766" t="str">
        <f>_xlfn.XLOOKUP(Orders[[#This Row],[Customer ID]],customers!$A$1:$A$1001,customers!$I$1:$I$1001,,0)</f>
        <v>No</v>
      </c>
      <c r="Q766">
        <f>COUNTIF(Orders[Order ID],Orders[[#This Row],[Order ID]])</f>
        <v>1</v>
      </c>
      <c r="R766" s="10">
        <f>SUMIF(Orders[Order ID], Orders[[#This Row],[Order ID]],Orders[Sales])/Orders[[#This Row],[Order Frequency]]</f>
        <v>22.274999999999999</v>
      </c>
      <c r="S766" t="str">
        <f>IF(Orders[[#This Row],[Order Frequency]]&gt;4, "More than 4", IF(AND(Orders[[#This Row],[Order Frequency]]&lt;=4,Orders[[#This Row],[Order Frequency]]&gt;=2), "Between 4 and 2", "Less than 2"))</f>
        <v>Less than 2</v>
      </c>
      <c r="T766" t="str">
        <f>IF(Orders[[#This Row],[Frequency Group]]="less than 2", "Low Value", IF(Orders[[#This Row],[Frequency Group]]="between 4 and 2", "Medium Value", "High Value"))</f>
        <v>Low Value</v>
      </c>
      <c r="U766" t="str">
        <f>IF(Orders[[#This Row],[Sales]]&lt;50, "$0-50", IF(AND(Orders[[#This Row],[Sales]]&gt;=50,Orders[[#This Row],[Sales]]&lt;=100), "$50-100", IF(AND(Orders[[#This Row],[Sales]]&gt;100,Orders[[#This Row],[Sales]]&lt;=150), "$101-150", "$150+")))</f>
        <v>$0-50</v>
      </c>
      <c r="V766" t="str">
        <f>IF(Orders[[#This Row],[Sales]]&gt;MEDIAN(M:M), "High Price", "Low Price")</f>
        <v>Low Price</v>
      </c>
      <c r="W766" t="str">
        <f>IF(Orders[[#This Row],[Quantity]]&gt;MEDIAN(E:E), "High Volume", "Low Volume")</f>
        <v>High Volume</v>
      </c>
      <c r="X766" t="str">
        <f>Orders[[#This Row],[Sales Tier]] &amp; "-" &amp; Orders[[#This Row],[Quantity Tier]]</f>
        <v>Low Price-High Volume</v>
      </c>
      <c r="Y766" t="str">
        <f>TEXT(Orders[[#This Row],[Order Date]], "mmmm")</f>
        <v>February</v>
      </c>
      <c r="Z76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66" t="str">
        <f>Orders[[#This Row],[Coffee Type Name]] &amp; "-" &amp; Orders[[#This Row],[Roast Type Name]]</f>
        <v>Excelsa-Light</v>
      </c>
      <c r="AB76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767" spans="1:28" x14ac:dyDescent="0.25">
      <c r="A767" s="2" t="s">
        <v>4943</v>
      </c>
      <c r="B767" s="4">
        <v>44771</v>
      </c>
      <c r="C767" s="2" t="s">
        <v>4944</v>
      </c>
      <c r="D767" t="s">
        <v>6151</v>
      </c>
      <c r="E767" s="2">
        <v>2</v>
      </c>
      <c r="F767" s="2" t="str">
        <f>_xlfn.XLOOKUP(C767,customers!$A$1:$A$1001,customers!$B$1:$B$1001,,0)</f>
        <v>Kaela Nottram</v>
      </c>
      <c r="G767" s="2" t="str">
        <f>IF(_xlfn.XLOOKUP(C767,customers!$A$1:$A$1001,customers!$C$1:$C$1001,,0)=0,"",_xlfn.XLOOKUP(C767,customers!$A$1:$A$1001,customers!$C$1:$C$1001,,0))</f>
        <v>knottramlw@odnoklassniki.ru</v>
      </c>
      <c r="H767" s="2" t="str">
        <f>_xlfn.XLOOKUP(C767,customers!$A$1:$A$1001,customers!$G$1:$G$1001,,0)</f>
        <v>Ireland</v>
      </c>
      <c r="I767" t="str">
        <f>INDEX(products!$A$1:$G$49, MATCH(orders!$D790,products!$A$1:$A837,0), MATCH(orders!I$1,products!$A$1:$G$1,0))</f>
        <v>Rob</v>
      </c>
      <c r="J767" t="str">
        <f>INDEX(products!$A$1:$G$49, MATCH(orders!$D790,products!$A$1:$A837,0), MATCH(orders!J$1,products!$A$1:$G$1,0))</f>
        <v>M</v>
      </c>
      <c r="K767" s="5">
        <f>INDEX(products!$A$1:$G$49, MATCH(orders!$D790,products!$A$1:$A837,0), MATCH(orders!K$1,products!$A$1:$G$1,0))</f>
        <v>2.5</v>
      </c>
      <c r="L767" s="6">
        <f>INDEX(products!$A$1:$G$49, MATCH(orders!$D790,products!$A$1:$A837,0), MATCH(orders!L$1,products!$A$1:$G$1,0))</f>
        <v>22.884999999999998</v>
      </c>
      <c r="M767" s="6">
        <f t="shared" si="33"/>
        <v>45.769999999999996</v>
      </c>
      <c r="N767" t="str">
        <f t="shared" si="34"/>
        <v>Robusta</v>
      </c>
      <c r="O767" t="str">
        <f t="shared" si="35"/>
        <v>Medium</v>
      </c>
      <c r="P767" t="str">
        <f>_xlfn.XLOOKUP(Orders[[#This Row],[Customer ID]],customers!$A$1:$A$1001,customers!$I$1:$I$1001,,0)</f>
        <v>Yes</v>
      </c>
      <c r="Q767">
        <f>COUNTIF(Orders[Order ID],Orders[[#This Row],[Order ID]])</f>
        <v>1</v>
      </c>
      <c r="R767" s="10">
        <f>SUMIF(Orders[Order ID], Orders[[#This Row],[Order ID]],Orders[Sales])/Orders[[#This Row],[Order Frequency]]</f>
        <v>45.769999999999996</v>
      </c>
      <c r="S767" t="str">
        <f>IF(Orders[[#This Row],[Order Frequency]]&gt;4, "More than 4", IF(AND(Orders[[#This Row],[Order Frequency]]&lt;=4,Orders[[#This Row],[Order Frequency]]&gt;=2), "Between 4 and 2", "Less than 2"))</f>
        <v>Less than 2</v>
      </c>
      <c r="T767" t="str">
        <f>IF(Orders[[#This Row],[Frequency Group]]="less than 2", "Low Value", IF(Orders[[#This Row],[Frequency Group]]="between 4 and 2", "Medium Value", "High Value"))</f>
        <v>Low Value</v>
      </c>
      <c r="U767" t="str">
        <f>IF(Orders[[#This Row],[Sales]]&lt;50, "$0-50", IF(AND(Orders[[#This Row],[Sales]]&gt;=50,Orders[[#This Row],[Sales]]&lt;=100), "$50-100", IF(AND(Orders[[#This Row],[Sales]]&gt;100,Orders[[#This Row],[Sales]]&lt;=150), "$101-150", "$150+")))</f>
        <v>$0-50</v>
      </c>
      <c r="V767" t="str">
        <f>IF(Orders[[#This Row],[Sales]]&gt;MEDIAN(M:M), "High Price", "Low Price")</f>
        <v>High Price</v>
      </c>
      <c r="W767" t="str">
        <f>IF(Orders[[#This Row],[Quantity]]&gt;MEDIAN(E:E), "High Volume", "Low Volume")</f>
        <v>Low Volume</v>
      </c>
      <c r="X767" t="str">
        <f>Orders[[#This Row],[Sales Tier]] &amp; "-" &amp; Orders[[#This Row],[Quantity Tier]]</f>
        <v>High Price-Low Volume</v>
      </c>
      <c r="Y767" t="str">
        <f>TEXT(Orders[[#This Row],[Order Date]], "mmmm")</f>
        <v>July</v>
      </c>
      <c r="Z76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767" t="str">
        <f>Orders[[#This Row],[Coffee Type Name]] &amp; "-" &amp; Orders[[#This Row],[Roast Type Name]]</f>
        <v>Robusta-Medium</v>
      </c>
      <c r="AB76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768" spans="1:28" x14ac:dyDescent="0.25">
      <c r="A768" s="2" t="s">
        <v>4932</v>
      </c>
      <c r="B768" s="4">
        <v>43888</v>
      </c>
      <c r="C768" s="2" t="s">
        <v>4933</v>
      </c>
      <c r="D768" t="s">
        <v>6185</v>
      </c>
      <c r="E768" s="2">
        <v>1</v>
      </c>
      <c r="F768" s="2" t="str">
        <f>_xlfn.XLOOKUP(C768,customers!$A$1:$A$1001,customers!$B$1:$B$1001,,0)</f>
        <v>Cam Jewster</v>
      </c>
      <c r="G768" s="2" t="str">
        <f>IF(_xlfn.XLOOKUP(C768,customers!$A$1:$A$1001,customers!$C$1:$C$1001,,0)=0,"",_xlfn.XLOOKUP(C768,customers!$A$1:$A$1001,customers!$C$1:$C$1001,,0))</f>
        <v>cjewsterlu@moonfruit.com</v>
      </c>
      <c r="H768" s="2" t="str">
        <f>_xlfn.XLOOKUP(C768,customers!$A$1:$A$1001,customers!$G$1:$G$1001,,0)</f>
        <v>United States</v>
      </c>
      <c r="I768" t="str">
        <f>INDEX(products!$A$1:$G$49, MATCH(orders!$D788,products!$A$1:$A835,0), MATCH(orders!I$1,products!$A$1:$G$1,0))</f>
        <v>Exc</v>
      </c>
      <c r="J768" t="str">
        <f>INDEX(products!$A$1:$G$49, MATCH(orders!$D788,products!$A$1:$A835,0), MATCH(orders!J$1,products!$A$1:$G$1,0))</f>
        <v>D</v>
      </c>
      <c r="K768" s="5">
        <f>INDEX(products!$A$1:$G$49, MATCH(orders!$D788,products!$A$1:$A835,0), MATCH(orders!K$1,products!$A$1:$G$1,0))</f>
        <v>2.5</v>
      </c>
      <c r="L768" s="6">
        <f>INDEX(products!$A$1:$G$49, MATCH(orders!$D788,products!$A$1:$A835,0), MATCH(orders!L$1,products!$A$1:$G$1,0))</f>
        <v>27.945</v>
      </c>
      <c r="M768" s="6">
        <f t="shared" si="33"/>
        <v>27.945</v>
      </c>
      <c r="N768" t="str">
        <f t="shared" si="34"/>
        <v>Excelsa</v>
      </c>
      <c r="O768" t="str">
        <f t="shared" si="35"/>
        <v>Dark</v>
      </c>
      <c r="P768" t="str">
        <f>_xlfn.XLOOKUP(Orders[[#This Row],[Customer ID]],customers!$A$1:$A$1001,customers!$I$1:$I$1001,,0)</f>
        <v>Yes</v>
      </c>
      <c r="Q768">
        <f>COUNTIF(Orders[Order ID],Orders[[#This Row],[Order ID]])</f>
        <v>1</v>
      </c>
      <c r="R768" s="10">
        <f>SUMIF(Orders[Order ID], Orders[[#This Row],[Order ID]],Orders[Sales])/Orders[[#This Row],[Order Frequency]]</f>
        <v>27.945</v>
      </c>
      <c r="S768" t="str">
        <f>IF(Orders[[#This Row],[Order Frequency]]&gt;4, "More than 4", IF(AND(Orders[[#This Row],[Order Frequency]]&lt;=4,Orders[[#This Row],[Order Frequency]]&gt;=2), "Between 4 and 2", "Less than 2"))</f>
        <v>Less than 2</v>
      </c>
      <c r="T768" t="str">
        <f>IF(Orders[[#This Row],[Frequency Group]]="less than 2", "Low Value", IF(Orders[[#This Row],[Frequency Group]]="between 4 and 2", "Medium Value", "High Value"))</f>
        <v>Low Value</v>
      </c>
      <c r="U768" t="str">
        <f>IF(Orders[[#This Row],[Sales]]&lt;50, "$0-50", IF(AND(Orders[[#This Row],[Sales]]&gt;=50,Orders[[#This Row],[Sales]]&lt;=100), "$50-100", IF(AND(Orders[[#This Row],[Sales]]&gt;100,Orders[[#This Row],[Sales]]&lt;=150), "$101-150", "$150+")))</f>
        <v>$0-50</v>
      </c>
      <c r="V768" t="str">
        <f>IF(Orders[[#This Row],[Sales]]&gt;MEDIAN(M:M), "High Price", "Low Price")</f>
        <v>Low Price</v>
      </c>
      <c r="W768" t="str">
        <f>IF(Orders[[#This Row],[Quantity]]&gt;MEDIAN(E:E), "High Volume", "Low Volume")</f>
        <v>Low Volume</v>
      </c>
      <c r="X768" t="str">
        <f>Orders[[#This Row],[Sales Tier]] &amp; "-" &amp; Orders[[#This Row],[Quantity Tier]]</f>
        <v>Low Price-Low Volume</v>
      </c>
      <c r="Y768" t="str">
        <f>TEXT(Orders[[#This Row],[Order Date]], "mmmm")</f>
        <v>February</v>
      </c>
      <c r="Z76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68" t="str">
        <f>Orders[[#This Row],[Coffee Type Name]] &amp; "-" &amp; Orders[[#This Row],[Roast Type Name]]</f>
        <v>Excelsa-Dark</v>
      </c>
      <c r="AB76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769" spans="1:28" x14ac:dyDescent="0.25">
      <c r="A769" s="2" t="s">
        <v>4128</v>
      </c>
      <c r="B769" s="4">
        <v>44694</v>
      </c>
      <c r="C769" s="2" t="s">
        <v>4129</v>
      </c>
      <c r="D769" t="s">
        <v>6149</v>
      </c>
      <c r="E769" s="2">
        <v>2</v>
      </c>
      <c r="F769" s="2" t="str">
        <f>_xlfn.XLOOKUP(C769,customers!$A$1:$A$1001,customers!$B$1:$B$1001,,0)</f>
        <v>Marne Mingey</v>
      </c>
      <c r="G769" s="2" t="str">
        <f>IF(_xlfn.XLOOKUP(C769,customers!$A$1:$A$1001,customers!$C$1:$C$1001,,0)=0,"",_xlfn.XLOOKUP(C769,customers!$A$1:$A$1001,customers!$C$1:$C$1001,,0))</f>
        <v/>
      </c>
      <c r="H769" s="2" t="str">
        <f>_xlfn.XLOOKUP(C769,customers!$A$1:$A$1001,customers!$G$1:$G$1001,,0)</f>
        <v>United States</v>
      </c>
      <c r="I769" t="str">
        <f>INDEX(products!$A$1:$G$49, MATCH(orders!$D646,products!$A$1:$A693,0), MATCH(orders!I$1,products!$A$1:$G$1,0))</f>
        <v>Rob</v>
      </c>
      <c r="J769" t="str">
        <f>INDEX(products!$A$1:$G$49, MATCH(orders!$D646,products!$A$1:$A693,0), MATCH(orders!J$1,products!$A$1:$G$1,0))</f>
        <v>D</v>
      </c>
      <c r="K769" s="5">
        <f>INDEX(products!$A$1:$G$49, MATCH(orders!$D646,products!$A$1:$A693,0), MATCH(orders!K$1,products!$A$1:$G$1,0))</f>
        <v>2.5</v>
      </c>
      <c r="L769" s="6">
        <f>INDEX(products!$A$1:$G$49, MATCH(orders!$D646,products!$A$1:$A693,0), MATCH(orders!L$1,products!$A$1:$G$1,0))</f>
        <v>20.584999999999997</v>
      </c>
      <c r="M769" s="6">
        <f t="shared" si="33"/>
        <v>41.169999999999995</v>
      </c>
      <c r="N769" t="str">
        <f t="shared" si="34"/>
        <v>Robusta</v>
      </c>
      <c r="O769" t="str">
        <f t="shared" si="35"/>
        <v>Dark</v>
      </c>
      <c r="P769" t="str">
        <f>_xlfn.XLOOKUP(Orders[[#This Row],[Customer ID]],customers!$A$1:$A$1001,customers!$I$1:$I$1001,,0)</f>
        <v>No</v>
      </c>
      <c r="Q769">
        <f>COUNTIF(Orders[Order ID],Orders[[#This Row],[Order ID]])</f>
        <v>1</v>
      </c>
      <c r="R769" s="10">
        <f>SUMIF(Orders[Order ID], Orders[[#This Row],[Order ID]],Orders[Sales])/Orders[[#This Row],[Order Frequency]]</f>
        <v>41.169999999999995</v>
      </c>
      <c r="S769" t="str">
        <f>IF(Orders[[#This Row],[Order Frequency]]&gt;4, "More than 4", IF(AND(Orders[[#This Row],[Order Frequency]]&lt;=4,Orders[[#This Row],[Order Frequency]]&gt;=2), "Between 4 and 2", "Less than 2"))</f>
        <v>Less than 2</v>
      </c>
      <c r="T769" t="str">
        <f>IF(Orders[[#This Row],[Frequency Group]]="less than 2", "Low Value", IF(Orders[[#This Row],[Frequency Group]]="between 4 and 2", "Medium Value", "High Value"))</f>
        <v>Low Value</v>
      </c>
      <c r="U769" t="str">
        <f>IF(Orders[[#This Row],[Sales]]&lt;50, "$0-50", IF(AND(Orders[[#This Row],[Sales]]&gt;=50,Orders[[#This Row],[Sales]]&lt;=100), "$50-100", IF(AND(Orders[[#This Row],[Sales]]&gt;100,Orders[[#This Row],[Sales]]&lt;=150), "$101-150", "$150+")))</f>
        <v>$0-50</v>
      </c>
      <c r="V769" t="str">
        <f>IF(Orders[[#This Row],[Sales]]&gt;MEDIAN(M:M), "High Price", "Low Price")</f>
        <v>High Price</v>
      </c>
      <c r="W769" t="str">
        <f>IF(Orders[[#This Row],[Quantity]]&gt;MEDIAN(E:E), "High Volume", "Low Volume")</f>
        <v>Low Volume</v>
      </c>
      <c r="X769" t="str">
        <f>Orders[[#This Row],[Sales Tier]] &amp; "-" &amp; Orders[[#This Row],[Quantity Tier]]</f>
        <v>High Price-Low Volume</v>
      </c>
      <c r="Y769" t="str">
        <f>TEXT(Orders[[#This Row],[Order Date]], "mmmm")</f>
        <v>May</v>
      </c>
      <c r="Z76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769" t="str">
        <f>Orders[[#This Row],[Coffee Type Name]] &amp; "-" &amp; Orders[[#This Row],[Roast Type Name]]</f>
        <v>Robusta-Dark</v>
      </c>
      <c r="AB76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770" spans="1:28" x14ac:dyDescent="0.25">
      <c r="A770" s="2" t="s">
        <v>2739</v>
      </c>
      <c r="B770" s="4">
        <v>43539</v>
      </c>
      <c r="C770" s="2" t="s">
        <v>2740</v>
      </c>
      <c r="D770" t="s">
        <v>6185</v>
      </c>
      <c r="E770" s="2">
        <v>6</v>
      </c>
      <c r="F770" s="2" t="str">
        <f>_xlfn.XLOOKUP(C770,customers!$A$1:$A$1001,customers!$B$1:$B$1001,,0)</f>
        <v>Ingelbert Hotchkin</v>
      </c>
      <c r="G770" s="2" t="str">
        <f>IF(_xlfn.XLOOKUP(C770,customers!$A$1:$A$1001,customers!$C$1:$C$1001,,0)=0,"",_xlfn.XLOOKUP(C770,customers!$A$1:$A$1001,customers!$C$1:$C$1001,,0))</f>
        <v>ihotchkinb3@mit.edu</v>
      </c>
      <c r="H770" s="2" t="str">
        <f>_xlfn.XLOOKUP(C770,customers!$A$1:$A$1001,customers!$G$1:$G$1001,,0)</f>
        <v>United Kingdom</v>
      </c>
      <c r="I770" t="str">
        <f>INDEX(products!$A$1:$G$49, MATCH(orders!$D401,products!$A$1:$A448,0), MATCH(orders!I$1,products!$A$1:$G$1,0))</f>
        <v>Exc</v>
      </c>
      <c r="J770" t="str">
        <f>INDEX(products!$A$1:$G$49, MATCH(orders!$D401,products!$A$1:$A448,0), MATCH(orders!J$1,products!$A$1:$G$1,0))</f>
        <v>D</v>
      </c>
      <c r="K770" s="5">
        <f>INDEX(products!$A$1:$G$49, MATCH(orders!$D401,products!$A$1:$A448,0), MATCH(orders!K$1,products!$A$1:$G$1,0))</f>
        <v>2.5</v>
      </c>
      <c r="L770" s="6">
        <f>INDEX(products!$A$1:$G$49, MATCH(orders!$D401,products!$A$1:$A448,0), MATCH(orders!L$1,products!$A$1:$G$1,0))</f>
        <v>27.945</v>
      </c>
      <c r="M770" s="6">
        <f t="shared" ref="M770:M833" si="36">L770*E770</f>
        <v>167.67000000000002</v>
      </c>
      <c r="N770" t="str">
        <f t="shared" ref="N770:N833" si="37">IF(I770="Rob", "Robusta", IF(I770="Exc", "Excelsa", IF(I770="Ara","Arabica", IF(I770="Lib", "Liberica",""))))</f>
        <v>Excelsa</v>
      </c>
      <c r="O770" t="str">
        <f t="shared" ref="O770:O833" si="38">IF(J770="M", "Medium", IF(J770="L", "Light", IF(J770="D", "Dark", "")))</f>
        <v>Dark</v>
      </c>
      <c r="P770" t="str">
        <f>_xlfn.XLOOKUP(Orders[[#This Row],[Customer ID]],customers!$A$1:$A$1001,customers!$I$1:$I$1001,,0)</f>
        <v>No</v>
      </c>
      <c r="Q770">
        <f>COUNTIF(Orders[Order ID],Orders[[#This Row],[Order ID]])</f>
        <v>1</v>
      </c>
      <c r="R770" s="10">
        <f>SUMIF(Orders[Order ID], Orders[[#This Row],[Order ID]],Orders[Sales])/Orders[[#This Row],[Order Frequency]]</f>
        <v>167.67000000000002</v>
      </c>
      <c r="S770" t="str">
        <f>IF(Orders[[#This Row],[Order Frequency]]&gt;4, "More than 4", IF(AND(Orders[[#This Row],[Order Frequency]]&lt;=4,Orders[[#This Row],[Order Frequency]]&gt;=2), "Between 4 and 2", "Less than 2"))</f>
        <v>Less than 2</v>
      </c>
      <c r="T770" t="str">
        <f>IF(Orders[[#This Row],[Frequency Group]]="less than 2", "Low Value", IF(Orders[[#This Row],[Frequency Group]]="between 4 and 2", "Medium Value", "High Value"))</f>
        <v>Low Value</v>
      </c>
      <c r="U770" t="str">
        <f>IF(Orders[[#This Row],[Sales]]&lt;50, "$0-50", IF(AND(Orders[[#This Row],[Sales]]&gt;=50,Orders[[#This Row],[Sales]]&lt;=100), "$50-100", IF(AND(Orders[[#This Row],[Sales]]&gt;100,Orders[[#This Row],[Sales]]&lt;=150), "$101-150", "$150+")))</f>
        <v>$150+</v>
      </c>
      <c r="V770" t="str">
        <f>IF(Orders[[#This Row],[Sales]]&gt;MEDIAN(M:M), "High Price", "Low Price")</f>
        <v>High Price</v>
      </c>
      <c r="W770" t="str">
        <f>IF(Orders[[#This Row],[Quantity]]&gt;MEDIAN(E:E), "High Volume", "Low Volume")</f>
        <v>High Volume</v>
      </c>
      <c r="X770" t="str">
        <f>Orders[[#This Row],[Sales Tier]] &amp; "-" &amp; Orders[[#This Row],[Quantity Tier]]</f>
        <v>High Price-High Volume</v>
      </c>
      <c r="Y770" t="str">
        <f>TEXT(Orders[[#This Row],[Order Date]], "mmmm")</f>
        <v>March</v>
      </c>
      <c r="Z77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70" t="str">
        <f>Orders[[#This Row],[Coffee Type Name]] &amp; "-" &amp; Orders[[#This Row],[Roast Type Name]]</f>
        <v>Excelsa-Dark</v>
      </c>
      <c r="AB77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771" spans="1:28" x14ac:dyDescent="0.25">
      <c r="A771" s="2" t="s">
        <v>5839</v>
      </c>
      <c r="B771" s="4">
        <v>43719</v>
      </c>
      <c r="C771" s="2" t="s">
        <v>5840</v>
      </c>
      <c r="D771" t="s">
        <v>6169</v>
      </c>
      <c r="E771" s="2">
        <v>3</v>
      </c>
      <c r="F771" s="2" t="str">
        <f>_xlfn.XLOOKUP(C771,customers!$A$1:$A$1001,customers!$B$1:$B$1001,,0)</f>
        <v>Edeline Edney</v>
      </c>
      <c r="G771" s="2" t="str">
        <f>IF(_xlfn.XLOOKUP(C771,customers!$A$1:$A$1001,customers!$C$1:$C$1001,,0)=0,"",_xlfn.XLOOKUP(C771,customers!$A$1:$A$1001,customers!$C$1:$C$1001,,0))</f>
        <v/>
      </c>
      <c r="H771" s="2" t="str">
        <f>_xlfn.XLOOKUP(C771,customers!$A$1:$A$1001,customers!$G$1:$G$1001,,0)</f>
        <v>United States</v>
      </c>
      <c r="I771" t="str">
        <f>INDEX(products!$A$1:$G$49, MATCH(orders!$D948,products!$A$1:$A995,0), MATCH(orders!I$1,products!$A$1:$G$1,0))</f>
        <v>Lib</v>
      </c>
      <c r="J771" t="str">
        <f>INDEX(products!$A$1:$G$49, MATCH(orders!$D948,products!$A$1:$A995,0), MATCH(orders!J$1,products!$A$1:$G$1,0))</f>
        <v>D</v>
      </c>
      <c r="K771" s="5">
        <f>INDEX(products!$A$1:$G$49, MATCH(orders!$D948,products!$A$1:$A995,0), MATCH(orders!K$1,products!$A$1:$G$1,0))</f>
        <v>0.5</v>
      </c>
      <c r="L771" s="6">
        <f>INDEX(products!$A$1:$G$49, MATCH(orders!$D948,products!$A$1:$A995,0), MATCH(orders!L$1,products!$A$1:$G$1,0))</f>
        <v>7.77</v>
      </c>
      <c r="M771" s="6">
        <f t="shared" si="36"/>
        <v>23.31</v>
      </c>
      <c r="N771" t="str">
        <f t="shared" si="37"/>
        <v>Liberica</v>
      </c>
      <c r="O771" t="str">
        <f t="shared" si="38"/>
        <v>Dark</v>
      </c>
      <c r="P771" t="str">
        <f>_xlfn.XLOOKUP(Orders[[#This Row],[Customer ID]],customers!$A$1:$A$1001,customers!$I$1:$I$1001,,0)</f>
        <v>No</v>
      </c>
      <c r="Q771">
        <f>COUNTIF(Orders[Order ID],Orders[[#This Row],[Order ID]])</f>
        <v>1</v>
      </c>
      <c r="R771" s="10">
        <f>SUMIF(Orders[Order ID], Orders[[#This Row],[Order ID]],Orders[Sales])/Orders[[#This Row],[Order Frequency]]</f>
        <v>23.31</v>
      </c>
      <c r="S771" t="str">
        <f>IF(Orders[[#This Row],[Order Frequency]]&gt;4, "More than 4", IF(AND(Orders[[#This Row],[Order Frequency]]&lt;=4,Orders[[#This Row],[Order Frequency]]&gt;=2), "Between 4 and 2", "Less than 2"))</f>
        <v>Less than 2</v>
      </c>
      <c r="T771" t="str">
        <f>IF(Orders[[#This Row],[Frequency Group]]="less than 2", "Low Value", IF(Orders[[#This Row],[Frequency Group]]="between 4 and 2", "Medium Value", "High Value"))</f>
        <v>Low Value</v>
      </c>
      <c r="U771" t="str">
        <f>IF(Orders[[#This Row],[Sales]]&lt;50, "$0-50", IF(AND(Orders[[#This Row],[Sales]]&gt;=50,Orders[[#This Row],[Sales]]&lt;=100), "$50-100", IF(AND(Orders[[#This Row],[Sales]]&gt;100,Orders[[#This Row],[Sales]]&lt;=150), "$101-150", "$150+")))</f>
        <v>$0-50</v>
      </c>
      <c r="V771" t="str">
        <f>IF(Orders[[#This Row],[Sales]]&gt;MEDIAN(M:M), "High Price", "Low Price")</f>
        <v>Low Price</v>
      </c>
      <c r="W771" t="str">
        <f>IF(Orders[[#This Row],[Quantity]]&gt;MEDIAN(E:E), "High Volume", "Low Volume")</f>
        <v>Low Volume</v>
      </c>
      <c r="X771" t="str">
        <f>Orders[[#This Row],[Sales Tier]] &amp; "-" &amp; Orders[[#This Row],[Quantity Tier]]</f>
        <v>Low Price-Low Volume</v>
      </c>
      <c r="Y771" t="str">
        <f>TEXT(Orders[[#This Row],[Order Date]], "mmmm")</f>
        <v>September</v>
      </c>
      <c r="Z77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771" t="str">
        <f>Orders[[#This Row],[Coffee Type Name]] &amp; "-" &amp; Orders[[#This Row],[Roast Type Name]]</f>
        <v>Liberica-Dark</v>
      </c>
      <c r="AB77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772" spans="1:28" x14ac:dyDescent="0.25">
      <c r="A772" s="2" t="s">
        <v>3208</v>
      </c>
      <c r="B772" s="4">
        <v>43747</v>
      </c>
      <c r="C772" s="2" t="s">
        <v>3209</v>
      </c>
      <c r="D772" t="s">
        <v>6179</v>
      </c>
      <c r="E772" s="2">
        <v>2</v>
      </c>
      <c r="F772" s="2" t="str">
        <f>_xlfn.XLOOKUP(C772,customers!$A$1:$A$1001,customers!$B$1:$B$1001,,0)</f>
        <v>Nanny Izhakov</v>
      </c>
      <c r="G772" s="2" t="str">
        <f>IF(_xlfn.XLOOKUP(C772,customers!$A$1:$A$1001,customers!$C$1:$C$1001,,0)=0,"",_xlfn.XLOOKUP(C772,customers!$A$1:$A$1001,customers!$C$1:$C$1001,,0))</f>
        <v>nizhakovdd@aol.com</v>
      </c>
      <c r="H772" s="2" t="str">
        <f>_xlfn.XLOOKUP(C772,customers!$A$1:$A$1001,customers!$G$1:$G$1001,,0)</f>
        <v>United Kingdom</v>
      </c>
      <c r="I772" t="str">
        <f>INDEX(products!$A$1:$G$49, MATCH(orders!$D483,products!$A$1:$A530,0), MATCH(orders!I$1,products!$A$1:$G$1,0))</f>
        <v>Rob</v>
      </c>
      <c r="J772" t="str">
        <f>INDEX(products!$A$1:$G$49, MATCH(orders!$D483,products!$A$1:$A530,0), MATCH(orders!J$1,products!$A$1:$G$1,0))</f>
        <v>L</v>
      </c>
      <c r="K772" s="5">
        <f>INDEX(products!$A$1:$G$49, MATCH(orders!$D483,products!$A$1:$A530,0), MATCH(orders!K$1,products!$A$1:$G$1,0))</f>
        <v>1</v>
      </c>
      <c r="L772" s="6">
        <f>INDEX(products!$A$1:$G$49, MATCH(orders!$D483,products!$A$1:$A530,0), MATCH(orders!L$1,products!$A$1:$G$1,0))</f>
        <v>11.95</v>
      </c>
      <c r="M772" s="6">
        <f t="shared" si="36"/>
        <v>23.9</v>
      </c>
      <c r="N772" t="str">
        <f t="shared" si="37"/>
        <v>Robusta</v>
      </c>
      <c r="O772" t="str">
        <f t="shared" si="38"/>
        <v>Light</v>
      </c>
      <c r="P772" t="str">
        <f>_xlfn.XLOOKUP(Orders[[#This Row],[Customer ID]],customers!$A$1:$A$1001,customers!$I$1:$I$1001,,0)</f>
        <v>No</v>
      </c>
      <c r="Q772">
        <f>COUNTIF(Orders[Order ID],Orders[[#This Row],[Order ID]])</f>
        <v>1</v>
      </c>
      <c r="R772" s="10">
        <f>SUMIF(Orders[Order ID], Orders[[#This Row],[Order ID]],Orders[Sales])/Orders[[#This Row],[Order Frequency]]</f>
        <v>23.9</v>
      </c>
      <c r="S772" t="str">
        <f>IF(Orders[[#This Row],[Order Frequency]]&gt;4, "More than 4", IF(AND(Orders[[#This Row],[Order Frequency]]&lt;=4,Orders[[#This Row],[Order Frequency]]&gt;=2), "Between 4 and 2", "Less than 2"))</f>
        <v>Less than 2</v>
      </c>
      <c r="T772" t="str">
        <f>IF(Orders[[#This Row],[Frequency Group]]="less than 2", "Low Value", IF(Orders[[#This Row],[Frequency Group]]="between 4 and 2", "Medium Value", "High Value"))</f>
        <v>Low Value</v>
      </c>
      <c r="U772" t="str">
        <f>IF(Orders[[#This Row],[Sales]]&lt;50, "$0-50", IF(AND(Orders[[#This Row],[Sales]]&gt;=50,Orders[[#This Row],[Sales]]&lt;=100), "$50-100", IF(AND(Orders[[#This Row],[Sales]]&gt;100,Orders[[#This Row],[Sales]]&lt;=150), "$101-150", "$150+")))</f>
        <v>$0-50</v>
      </c>
      <c r="V772" t="str">
        <f>IF(Orders[[#This Row],[Sales]]&gt;MEDIAN(M:M), "High Price", "Low Price")</f>
        <v>Low Price</v>
      </c>
      <c r="W772" t="str">
        <f>IF(Orders[[#This Row],[Quantity]]&gt;MEDIAN(E:E), "High Volume", "Low Volume")</f>
        <v>Low Volume</v>
      </c>
      <c r="X772" t="str">
        <f>Orders[[#This Row],[Sales Tier]] &amp; "-" &amp; Orders[[#This Row],[Quantity Tier]]</f>
        <v>Low Price-Low Volume</v>
      </c>
      <c r="Y772" t="str">
        <f>TEXT(Orders[[#This Row],[Order Date]], "mmmm")</f>
        <v>October</v>
      </c>
      <c r="Z77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772" t="str">
        <f>Orders[[#This Row],[Coffee Type Name]] &amp; "-" &amp; Orders[[#This Row],[Roast Type Name]]</f>
        <v>Robusta-Light</v>
      </c>
      <c r="AB77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773" spans="1:28" x14ac:dyDescent="0.25">
      <c r="A773" s="2" t="s">
        <v>2655</v>
      </c>
      <c r="B773" s="4">
        <v>43870</v>
      </c>
      <c r="C773" s="2" t="s">
        <v>2656</v>
      </c>
      <c r="D773" t="s">
        <v>6182</v>
      </c>
      <c r="E773" s="2">
        <v>4</v>
      </c>
      <c r="F773" s="2" t="str">
        <f>_xlfn.XLOOKUP(C773,customers!$A$1:$A$1001,customers!$B$1:$B$1001,,0)</f>
        <v>Nickey Dimbleby</v>
      </c>
      <c r="G773" s="2" t="str">
        <f>IF(_xlfn.XLOOKUP(C773,customers!$A$1:$A$1001,customers!$C$1:$C$1001,,0)=0,"",_xlfn.XLOOKUP(C773,customers!$A$1:$A$1001,customers!$C$1:$C$1001,,0))</f>
        <v/>
      </c>
      <c r="H773" s="2" t="str">
        <f>_xlfn.XLOOKUP(C773,customers!$A$1:$A$1001,customers!$G$1:$G$1001,,0)</f>
        <v>United States</v>
      </c>
      <c r="I773" t="str">
        <f>INDEX(products!$A$1:$G$49, MATCH(orders!$D386,products!$A$1:$A433,0), MATCH(orders!I$1,products!$A$1:$G$1,0))</f>
        <v>Ara</v>
      </c>
      <c r="J773" t="str">
        <f>INDEX(products!$A$1:$G$49, MATCH(orders!$D386,products!$A$1:$A433,0), MATCH(orders!J$1,products!$A$1:$G$1,0))</f>
        <v>L</v>
      </c>
      <c r="K773" s="5">
        <f>INDEX(products!$A$1:$G$49, MATCH(orders!$D386,products!$A$1:$A433,0), MATCH(orders!K$1,products!$A$1:$G$1,0))</f>
        <v>2.5</v>
      </c>
      <c r="L773" s="6">
        <f>INDEX(products!$A$1:$G$49, MATCH(orders!$D386,products!$A$1:$A433,0), MATCH(orders!L$1,products!$A$1:$G$1,0))</f>
        <v>29.784999999999997</v>
      </c>
      <c r="M773" s="6">
        <f t="shared" si="36"/>
        <v>119.13999999999999</v>
      </c>
      <c r="N773" t="str">
        <f t="shared" si="37"/>
        <v>Arabica</v>
      </c>
      <c r="O773" t="str">
        <f t="shared" si="38"/>
        <v>Light</v>
      </c>
      <c r="P773" t="str">
        <f>_xlfn.XLOOKUP(Orders[[#This Row],[Customer ID]],customers!$A$1:$A$1001,customers!$I$1:$I$1001,,0)</f>
        <v>No</v>
      </c>
      <c r="Q773">
        <f>COUNTIF(Orders[Order ID],Orders[[#This Row],[Order ID]])</f>
        <v>1</v>
      </c>
      <c r="R773" s="10">
        <f>SUMIF(Orders[Order ID], Orders[[#This Row],[Order ID]],Orders[Sales])/Orders[[#This Row],[Order Frequency]]</f>
        <v>119.13999999999999</v>
      </c>
      <c r="S773" t="str">
        <f>IF(Orders[[#This Row],[Order Frequency]]&gt;4, "More than 4", IF(AND(Orders[[#This Row],[Order Frequency]]&lt;=4,Orders[[#This Row],[Order Frequency]]&gt;=2), "Between 4 and 2", "Less than 2"))</f>
        <v>Less than 2</v>
      </c>
      <c r="T773" t="str">
        <f>IF(Orders[[#This Row],[Frequency Group]]="less than 2", "Low Value", IF(Orders[[#This Row],[Frequency Group]]="between 4 and 2", "Medium Value", "High Value"))</f>
        <v>Low Value</v>
      </c>
      <c r="U773" t="str">
        <f>IF(Orders[[#This Row],[Sales]]&lt;50, "$0-50", IF(AND(Orders[[#This Row],[Sales]]&gt;=50,Orders[[#This Row],[Sales]]&lt;=100), "$50-100", IF(AND(Orders[[#This Row],[Sales]]&gt;100,Orders[[#This Row],[Sales]]&lt;=150), "$101-150", "$150+")))</f>
        <v>$101-150</v>
      </c>
      <c r="V773" t="str">
        <f>IF(Orders[[#This Row],[Sales]]&gt;MEDIAN(M:M), "High Price", "Low Price")</f>
        <v>High Price</v>
      </c>
      <c r="W773" t="str">
        <f>IF(Orders[[#This Row],[Quantity]]&gt;MEDIAN(E:E), "High Volume", "Low Volume")</f>
        <v>Low Volume</v>
      </c>
      <c r="X773" t="str">
        <f>Orders[[#This Row],[Sales Tier]] &amp; "-" &amp; Orders[[#This Row],[Quantity Tier]]</f>
        <v>High Price-Low Volume</v>
      </c>
      <c r="Y773" t="str">
        <f>TEXT(Orders[[#This Row],[Order Date]], "mmmm")</f>
        <v>February</v>
      </c>
      <c r="Z77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73" t="str">
        <f>Orders[[#This Row],[Coffee Type Name]] &amp; "-" &amp; Orders[[#This Row],[Roast Type Name]]</f>
        <v>Arabica-Light</v>
      </c>
      <c r="AB77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774" spans="1:28" x14ac:dyDescent="0.25">
      <c r="A774" s="2" t="s">
        <v>1514</v>
      </c>
      <c r="B774" s="4">
        <v>44284</v>
      </c>
      <c r="C774" s="2" t="s">
        <v>1515</v>
      </c>
      <c r="D774" t="s">
        <v>6172</v>
      </c>
      <c r="E774" s="2">
        <v>6</v>
      </c>
      <c r="F774" s="2" t="str">
        <f>_xlfn.XLOOKUP(C774,customers!$A$1:$A$1001,customers!$B$1:$B$1001,,0)</f>
        <v>Anny Mundford</v>
      </c>
      <c r="G774" s="2" t="str">
        <f>IF(_xlfn.XLOOKUP(C774,customers!$A$1:$A$1001,customers!$C$1:$C$1001,,0)=0,"",_xlfn.XLOOKUP(C774,customers!$A$1:$A$1001,customers!$C$1:$C$1001,,0))</f>
        <v>amundford52@nbcnews.com</v>
      </c>
      <c r="H774" s="2" t="str">
        <f>_xlfn.XLOOKUP(C774,customers!$A$1:$A$1001,customers!$G$1:$G$1001,,0)</f>
        <v>United States</v>
      </c>
      <c r="I774" t="str">
        <f>INDEX(products!$A$1:$G$49, MATCH(orders!$D184,products!$A$1:$A231,0), MATCH(orders!I$1,products!$A$1:$G$1,0))</f>
        <v>Rob</v>
      </c>
      <c r="J774" t="str">
        <f>INDEX(products!$A$1:$G$49, MATCH(orders!$D184,products!$A$1:$A231,0), MATCH(orders!J$1,products!$A$1:$G$1,0))</f>
        <v>D</v>
      </c>
      <c r="K774" s="5">
        <f>INDEX(products!$A$1:$G$49, MATCH(orders!$D184,products!$A$1:$A231,0), MATCH(orders!K$1,products!$A$1:$G$1,0))</f>
        <v>0.5</v>
      </c>
      <c r="L774" s="6">
        <f>INDEX(products!$A$1:$G$49, MATCH(orders!$D184,products!$A$1:$A231,0), MATCH(orders!L$1,products!$A$1:$G$1,0))</f>
        <v>5.3699999999999992</v>
      </c>
      <c r="M774" s="6">
        <f t="shared" si="36"/>
        <v>32.22</v>
      </c>
      <c r="N774" t="str">
        <f t="shared" si="37"/>
        <v>Robusta</v>
      </c>
      <c r="O774" t="str">
        <f t="shared" si="38"/>
        <v>Dark</v>
      </c>
      <c r="P774" t="str">
        <f>_xlfn.XLOOKUP(Orders[[#This Row],[Customer ID]],customers!$A$1:$A$1001,customers!$I$1:$I$1001,,0)</f>
        <v>No</v>
      </c>
      <c r="Q774">
        <f>COUNTIF(Orders[Order ID],Orders[[#This Row],[Order ID]])</f>
        <v>1</v>
      </c>
      <c r="R774" s="10">
        <f>SUMIF(Orders[Order ID], Orders[[#This Row],[Order ID]],Orders[Sales])/Orders[[#This Row],[Order Frequency]]</f>
        <v>32.22</v>
      </c>
      <c r="S774" t="str">
        <f>IF(Orders[[#This Row],[Order Frequency]]&gt;4, "More than 4", IF(AND(Orders[[#This Row],[Order Frequency]]&lt;=4,Orders[[#This Row],[Order Frequency]]&gt;=2), "Between 4 and 2", "Less than 2"))</f>
        <v>Less than 2</v>
      </c>
      <c r="T774" t="str">
        <f>IF(Orders[[#This Row],[Frequency Group]]="less than 2", "Low Value", IF(Orders[[#This Row],[Frequency Group]]="between 4 and 2", "Medium Value", "High Value"))</f>
        <v>Low Value</v>
      </c>
      <c r="U774" t="str">
        <f>IF(Orders[[#This Row],[Sales]]&lt;50, "$0-50", IF(AND(Orders[[#This Row],[Sales]]&gt;=50,Orders[[#This Row],[Sales]]&lt;=100), "$50-100", IF(AND(Orders[[#This Row],[Sales]]&gt;100,Orders[[#This Row],[Sales]]&lt;=150), "$101-150", "$150+")))</f>
        <v>$0-50</v>
      </c>
      <c r="V774" t="str">
        <f>IF(Orders[[#This Row],[Sales]]&gt;MEDIAN(M:M), "High Price", "Low Price")</f>
        <v>High Price</v>
      </c>
      <c r="W774" t="str">
        <f>IF(Orders[[#This Row],[Quantity]]&gt;MEDIAN(E:E), "High Volume", "Low Volume")</f>
        <v>High Volume</v>
      </c>
      <c r="X774" t="str">
        <f>Orders[[#This Row],[Sales Tier]] &amp; "-" &amp; Orders[[#This Row],[Quantity Tier]]</f>
        <v>High Price-High Volume</v>
      </c>
      <c r="Y774" t="str">
        <f>TEXT(Orders[[#This Row],[Order Date]], "mmmm")</f>
        <v>March</v>
      </c>
      <c r="Z77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74" t="str">
        <f>Orders[[#This Row],[Coffee Type Name]] &amp; "-" &amp; Orders[[#This Row],[Roast Type Name]]</f>
        <v>Robusta-Dark</v>
      </c>
      <c r="AB77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775" spans="1:28" x14ac:dyDescent="0.25">
      <c r="A775" s="2" t="s">
        <v>817</v>
      </c>
      <c r="B775" s="4">
        <v>44624</v>
      </c>
      <c r="C775" s="2" t="s">
        <v>818</v>
      </c>
      <c r="D775" t="s">
        <v>6165</v>
      </c>
      <c r="E775" s="2">
        <v>3</v>
      </c>
      <c r="F775" s="2" t="str">
        <f>_xlfn.XLOOKUP(C775,customers!$A$1:$A$1001,customers!$B$1:$B$1001,,0)</f>
        <v>Willa Rolling</v>
      </c>
      <c r="G775" s="2" t="str">
        <f>IF(_xlfn.XLOOKUP(C775,customers!$A$1:$A$1001,customers!$C$1:$C$1001,,0)=0,"",_xlfn.XLOOKUP(C775,customers!$A$1:$A$1001,customers!$C$1:$C$1001,,0))</f>
        <v/>
      </c>
      <c r="H775" s="2" t="str">
        <f>_xlfn.XLOOKUP(C775,customers!$A$1:$A$1001,customers!$G$1:$G$1001,,0)</f>
        <v>United States</v>
      </c>
      <c r="I775" t="str">
        <f>INDEX(products!$A$1:$G$49, MATCH(orders!$D60,products!$A$1:$A107,0), MATCH(orders!I$1,products!$A$1:$G$1,0))</f>
        <v>Lib</v>
      </c>
      <c r="J775" t="str">
        <f>INDEX(products!$A$1:$G$49, MATCH(orders!$D60,products!$A$1:$A107,0), MATCH(orders!J$1,products!$A$1:$G$1,0))</f>
        <v>D</v>
      </c>
      <c r="K775" s="5">
        <f>INDEX(products!$A$1:$G$49, MATCH(orders!$D60,products!$A$1:$A107,0), MATCH(orders!K$1,products!$A$1:$G$1,0))</f>
        <v>2.5</v>
      </c>
      <c r="L775" s="6">
        <f>INDEX(products!$A$1:$G$49, MATCH(orders!$D60,products!$A$1:$A107,0), MATCH(orders!L$1,products!$A$1:$G$1,0))</f>
        <v>29.784999999999997</v>
      </c>
      <c r="M775" s="6">
        <f t="shared" si="36"/>
        <v>89.35499999999999</v>
      </c>
      <c r="N775" t="str">
        <f t="shared" si="37"/>
        <v>Liberica</v>
      </c>
      <c r="O775" t="str">
        <f t="shared" si="38"/>
        <v>Dark</v>
      </c>
      <c r="P775" t="str">
        <f>_xlfn.XLOOKUP(Orders[[#This Row],[Customer ID]],customers!$A$1:$A$1001,customers!$I$1:$I$1001,,0)</f>
        <v>Yes</v>
      </c>
      <c r="Q775">
        <f>COUNTIF(Orders[Order ID],Orders[[#This Row],[Order ID]])</f>
        <v>1</v>
      </c>
      <c r="R775" s="10">
        <f>SUMIF(Orders[Order ID], Orders[[#This Row],[Order ID]],Orders[Sales])/Orders[[#This Row],[Order Frequency]]</f>
        <v>89.35499999999999</v>
      </c>
      <c r="S775" t="str">
        <f>IF(Orders[[#This Row],[Order Frequency]]&gt;4, "More than 4", IF(AND(Orders[[#This Row],[Order Frequency]]&lt;=4,Orders[[#This Row],[Order Frequency]]&gt;=2), "Between 4 and 2", "Less than 2"))</f>
        <v>Less than 2</v>
      </c>
      <c r="T775" t="str">
        <f>IF(Orders[[#This Row],[Frequency Group]]="less than 2", "Low Value", IF(Orders[[#This Row],[Frequency Group]]="between 4 and 2", "Medium Value", "High Value"))</f>
        <v>Low Value</v>
      </c>
      <c r="U775" t="str">
        <f>IF(Orders[[#This Row],[Sales]]&lt;50, "$0-50", IF(AND(Orders[[#This Row],[Sales]]&gt;=50,Orders[[#This Row],[Sales]]&lt;=100), "$50-100", IF(AND(Orders[[#This Row],[Sales]]&gt;100,Orders[[#This Row],[Sales]]&lt;=150), "$101-150", "$150+")))</f>
        <v>$50-100</v>
      </c>
      <c r="V775" t="str">
        <f>IF(Orders[[#This Row],[Sales]]&gt;MEDIAN(M:M), "High Price", "Low Price")</f>
        <v>High Price</v>
      </c>
      <c r="W775" t="str">
        <f>IF(Orders[[#This Row],[Quantity]]&gt;MEDIAN(E:E), "High Volume", "Low Volume")</f>
        <v>Low Volume</v>
      </c>
      <c r="X775" t="str">
        <f>Orders[[#This Row],[Sales Tier]] &amp; "-" &amp; Orders[[#This Row],[Quantity Tier]]</f>
        <v>High Price-Low Volume</v>
      </c>
      <c r="Y775" t="str">
        <f>TEXT(Orders[[#This Row],[Order Date]], "mmmm")</f>
        <v>March</v>
      </c>
      <c r="Z77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75" t="str">
        <f>Orders[[#This Row],[Coffee Type Name]] &amp; "-" &amp; Orders[[#This Row],[Roast Type Name]]</f>
        <v>Liberica-Dark</v>
      </c>
      <c r="AB77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776" spans="1:28" x14ac:dyDescent="0.25">
      <c r="A776" s="2" t="s">
        <v>4717</v>
      </c>
      <c r="B776" s="4">
        <v>44074</v>
      </c>
      <c r="C776" s="2" t="s">
        <v>4718</v>
      </c>
      <c r="D776" t="s">
        <v>6144</v>
      </c>
      <c r="E776" s="2">
        <v>2</v>
      </c>
      <c r="F776" s="2" t="str">
        <f>_xlfn.XLOOKUP(C776,customers!$A$1:$A$1001,customers!$B$1:$B$1001,,0)</f>
        <v>Felita Eshmade</v>
      </c>
      <c r="G776" s="2" t="str">
        <f>IF(_xlfn.XLOOKUP(C776,customers!$A$1:$A$1001,customers!$C$1:$C$1001,,0)=0,"",_xlfn.XLOOKUP(C776,customers!$A$1:$A$1001,customers!$C$1:$C$1001,,0))</f>
        <v>feshmadeks@umn.edu</v>
      </c>
      <c r="H776" s="2" t="str">
        <f>_xlfn.XLOOKUP(C776,customers!$A$1:$A$1001,customers!$G$1:$G$1001,,0)</f>
        <v>United States</v>
      </c>
      <c r="I776" t="str">
        <f>INDEX(products!$A$1:$G$49, MATCH(orders!$D750,products!$A$1:$A797,0), MATCH(orders!I$1,products!$A$1:$G$1,0))</f>
        <v>Exc</v>
      </c>
      <c r="J776" t="str">
        <f>INDEX(products!$A$1:$G$49, MATCH(orders!$D750,products!$A$1:$A797,0), MATCH(orders!J$1,products!$A$1:$G$1,0))</f>
        <v>D</v>
      </c>
      <c r="K776" s="5">
        <f>INDEX(products!$A$1:$G$49, MATCH(orders!$D750,products!$A$1:$A797,0), MATCH(orders!K$1,products!$A$1:$G$1,0))</f>
        <v>0.5</v>
      </c>
      <c r="L776" s="6">
        <f>INDEX(products!$A$1:$G$49, MATCH(orders!$D750,products!$A$1:$A797,0), MATCH(orders!L$1,products!$A$1:$G$1,0))</f>
        <v>7.29</v>
      </c>
      <c r="M776" s="6">
        <f t="shared" si="36"/>
        <v>14.58</v>
      </c>
      <c r="N776" t="str">
        <f t="shared" si="37"/>
        <v>Excelsa</v>
      </c>
      <c r="O776" t="str">
        <f t="shared" si="38"/>
        <v>Dark</v>
      </c>
      <c r="P776" t="str">
        <f>_xlfn.XLOOKUP(Orders[[#This Row],[Customer ID]],customers!$A$1:$A$1001,customers!$I$1:$I$1001,,0)</f>
        <v>No</v>
      </c>
      <c r="Q776">
        <f>COUNTIF(Orders[Order ID],Orders[[#This Row],[Order ID]])</f>
        <v>1</v>
      </c>
      <c r="R776" s="10">
        <f>SUMIF(Orders[Order ID], Orders[[#This Row],[Order ID]],Orders[Sales])/Orders[[#This Row],[Order Frequency]]</f>
        <v>14.58</v>
      </c>
      <c r="S776" t="str">
        <f>IF(Orders[[#This Row],[Order Frequency]]&gt;4, "More than 4", IF(AND(Orders[[#This Row],[Order Frequency]]&lt;=4,Orders[[#This Row],[Order Frequency]]&gt;=2), "Between 4 and 2", "Less than 2"))</f>
        <v>Less than 2</v>
      </c>
      <c r="T776" t="str">
        <f>IF(Orders[[#This Row],[Frequency Group]]="less than 2", "Low Value", IF(Orders[[#This Row],[Frequency Group]]="between 4 and 2", "Medium Value", "High Value"))</f>
        <v>Low Value</v>
      </c>
      <c r="U776" t="str">
        <f>IF(Orders[[#This Row],[Sales]]&lt;50, "$0-50", IF(AND(Orders[[#This Row],[Sales]]&gt;=50,Orders[[#This Row],[Sales]]&lt;=100), "$50-100", IF(AND(Orders[[#This Row],[Sales]]&gt;100,Orders[[#This Row],[Sales]]&lt;=150), "$101-150", "$150+")))</f>
        <v>$0-50</v>
      </c>
      <c r="V776" t="str">
        <f>IF(Orders[[#This Row],[Sales]]&gt;MEDIAN(M:M), "High Price", "Low Price")</f>
        <v>Low Price</v>
      </c>
      <c r="W776" t="str">
        <f>IF(Orders[[#This Row],[Quantity]]&gt;MEDIAN(E:E), "High Volume", "Low Volume")</f>
        <v>Low Volume</v>
      </c>
      <c r="X776" t="str">
        <f>Orders[[#This Row],[Sales Tier]] &amp; "-" &amp; Orders[[#This Row],[Quantity Tier]]</f>
        <v>Low Price-Low Volume</v>
      </c>
      <c r="Y776" t="str">
        <f>TEXT(Orders[[#This Row],[Order Date]], "mmmm")</f>
        <v>August</v>
      </c>
      <c r="Z77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776" t="str">
        <f>Orders[[#This Row],[Coffee Type Name]] &amp; "-" &amp; Orders[[#This Row],[Roast Type Name]]</f>
        <v>Excelsa-Dark</v>
      </c>
      <c r="AB77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777" spans="1:28" x14ac:dyDescent="0.25">
      <c r="A777" s="2" t="s">
        <v>1389</v>
      </c>
      <c r="B777" s="4">
        <v>43837</v>
      </c>
      <c r="C777" s="2" t="s">
        <v>1390</v>
      </c>
      <c r="D777" t="s">
        <v>6139</v>
      </c>
      <c r="E777" s="2">
        <v>4</v>
      </c>
      <c r="F777" s="2" t="str">
        <f>_xlfn.XLOOKUP(C777,customers!$A$1:$A$1001,customers!$B$1:$B$1001,,0)</f>
        <v>Kari Swede</v>
      </c>
      <c r="G777" s="2" t="str">
        <f>IF(_xlfn.XLOOKUP(C777,customers!$A$1:$A$1001,customers!$C$1:$C$1001,,0)=0,"",_xlfn.XLOOKUP(C777,customers!$A$1:$A$1001,customers!$C$1:$C$1001,,0))</f>
        <v>kswede4g@addthis.com</v>
      </c>
      <c r="H777" s="2" t="str">
        <f>_xlfn.XLOOKUP(C777,customers!$A$1:$A$1001,customers!$G$1:$G$1001,,0)</f>
        <v>United States</v>
      </c>
      <c r="I777" t="str">
        <f>INDEX(products!$A$1:$G$49, MATCH(orders!$D162,products!$A$1:$A209,0), MATCH(orders!I$1,products!$A$1:$G$1,0))</f>
        <v>Exc</v>
      </c>
      <c r="J777" t="str">
        <f>INDEX(products!$A$1:$G$49, MATCH(orders!$D162,products!$A$1:$A209,0), MATCH(orders!J$1,products!$A$1:$G$1,0))</f>
        <v>M</v>
      </c>
      <c r="K777" s="5">
        <f>INDEX(products!$A$1:$G$49, MATCH(orders!$D162,products!$A$1:$A209,0), MATCH(orders!K$1,products!$A$1:$G$1,0))</f>
        <v>0.5</v>
      </c>
      <c r="L777" s="6">
        <f>INDEX(products!$A$1:$G$49, MATCH(orders!$D162,products!$A$1:$A209,0), MATCH(orders!L$1,products!$A$1:$G$1,0))</f>
        <v>8.25</v>
      </c>
      <c r="M777" s="6">
        <f t="shared" si="36"/>
        <v>33</v>
      </c>
      <c r="N777" t="str">
        <f t="shared" si="37"/>
        <v>Excelsa</v>
      </c>
      <c r="O777" t="str">
        <f t="shared" si="38"/>
        <v>Medium</v>
      </c>
      <c r="P777" t="str">
        <f>_xlfn.XLOOKUP(Orders[[#This Row],[Customer ID]],customers!$A$1:$A$1001,customers!$I$1:$I$1001,,0)</f>
        <v>No</v>
      </c>
      <c r="Q777">
        <f>COUNTIF(Orders[Order ID],Orders[[#This Row],[Order ID]])</f>
        <v>1</v>
      </c>
      <c r="R777" s="10">
        <f>SUMIF(Orders[Order ID], Orders[[#This Row],[Order ID]],Orders[Sales])/Orders[[#This Row],[Order Frequency]]</f>
        <v>33</v>
      </c>
      <c r="S777" t="str">
        <f>IF(Orders[[#This Row],[Order Frequency]]&gt;4, "More than 4", IF(AND(Orders[[#This Row],[Order Frequency]]&lt;=4,Orders[[#This Row],[Order Frequency]]&gt;=2), "Between 4 and 2", "Less than 2"))</f>
        <v>Less than 2</v>
      </c>
      <c r="T777" t="str">
        <f>IF(Orders[[#This Row],[Frequency Group]]="less than 2", "Low Value", IF(Orders[[#This Row],[Frequency Group]]="between 4 and 2", "Medium Value", "High Value"))</f>
        <v>Low Value</v>
      </c>
      <c r="U777" t="str">
        <f>IF(Orders[[#This Row],[Sales]]&lt;50, "$0-50", IF(AND(Orders[[#This Row],[Sales]]&gt;=50,Orders[[#This Row],[Sales]]&lt;=100), "$50-100", IF(AND(Orders[[#This Row],[Sales]]&gt;100,Orders[[#This Row],[Sales]]&lt;=150), "$101-150", "$150+")))</f>
        <v>$0-50</v>
      </c>
      <c r="V777" t="str">
        <f>IF(Orders[[#This Row],[Sales]]&gt;MEDIAN(M:M), "High Price", "Low Price")</f>
        <v>High Price</v>
      </c>
      <c r="W777" t="str">
        <f>IF(Orders[[#This Row],[Quantity]]&gt;MEDIAN(E:E), "High Volume", "Low Volume")</f>
        <v>Low Volume</v>
      </c>
      <c r="X777" t="str">
        <f>Orders[[#This Row],[Sales Tier]] &amp; "-" &amp; Orders[[#This Row],[Quantity Tier]]</f>
        <v>High Price-Low Volume</v>
      </c>
      <c r="Y777" t="str">
        <f>TEXT(Orders[[#This Row],[Order Date]], "mmmm")</f>
        <v>January</v>
      </c>
      <c r="Z77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77" t="str">
        <f>Orders[[#This Row],[Coffee Type Name]] &amp; "-" &amp; Orders[[#This Row],[Roast Type Name]]</f>
        <v>Excelsa-Medium</v>
      </c>
      <c r="AB77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778" spans="1:28" x14ac:dyDescent="0.25">
      <c r="A778" s="2" t="s">
        <v>2745</v>
      </c>
      <c r="B778" s="4">
        <v>44332</v>
      </c>
      <c r="C778" s="2" t="s">
        <v>2746</v>
      </c>
      <c r="D778" t="s">
        <v>6170</v>
      </c>
      <c r="E778" s="2">
        <v>4</v>
      </c>
      <c r="F778" s="2" t="str">
        <f>_xlfn.XLOOKUP(C778,customers!$A$1:$A$1001,customers!$B$1:$B$1001,,0)</f>
        <v>Neely Broadberrie</v>
      </c>
      <c r="G778" s="2" t="str">
        <f>IF(_xlfn.XLOOKUP(C778,customers!$A$1:$A$1001,customers!$C$1:$C$1001,,0)=0,"",_xlfn.XLOOKUP(C778,customers!$A$1:$A$1001,customers!$C$1:$C$1001,,0))</f>
        <v>nbroadberrieb4@gnu.org</v>
      </c>
      <c r="H778" s="2" t="str">
        <f>_xlfn.XLOOKUP(C778,customers!$A$1:$A$1001,customers!$G$1:$G$1001,,0)</f>
        <v>United States</v>
      </c>
      <c r="I778" t="str">
        <f>INDEX(products!$A$1:$G$49, MATCH(orders!$D402,products!$A$1:$A449,0), MATCH(orders!I$1,products!$A$1:$G$1,0))</f>
        <v>Lib</v>
      </c>
      <c r="J778" t="str">
        <f>INDEX(products!$A$1:$G$49, MATCH(orders!$D402,products!$A$1:$A449,0), MATCH(orders!J$1,products!$A$1:$G$1,0))</f>
        <v>L</v>
      </c>
      <c r="K778" s="5">
        <f>INDEX(products!$A$1:$G$49, MATCH(orders!$D402,products!$A$1:$A449,0), MATCH(orders!K$1,products!$A$1:$G$1,0))</f>
        <v>1</v>
      </c>
      <c r="L778" s="6">
        <f>INDEX(products!$A$1:$G$49, MATCH(orders!$D402,products!$A$1:$A449,0), MATCH(orders!L$1,products!$A$1:$G$1,0))</f>
        <v>15.85</v>
      </c>
      <c r="M778" s="6">
        <f t="shared" si="36"/>
        <v>63.4</v>
      </c>
      <c r="N778" t="str">
        <f t="shared" si="37"/>
        <v>Liberica</v>
      </c>
      <c r="O778" t="str">
        <f t="shared" si="38"/>
        <v>Light</v>
      </c>
      <c r="P778" t="str">
        <f>_xlfn.XLOOKUP(Orders[[#This Row],[Customer ID]],customers!$A$1:$A$1001,customers!$I$1:$I$1001,,0)</f>
        <v>No</v>
      </c>
      <c r="Q778">
        <f>COUNTIF(Orders[Order ID],Orders[[#This Row],[Order ID]])</f>
        <v>1</v>
      </c>
      <c r="R778" s="10">
        <f>SUMIF(Orders[Order ID], Orders[[#This Row],[Order ID]],Orders[Sales])/Orders[[#This Row],[Order Frequency]]</f>
        <v>63.4</v>
      </c>
      <c r="S778" t="str">
        <f>IF(Orders[[#This Row],[Order Frequency]]&gt;4, "More than 4", IF(AND(Orders[[#This Row],[Order Frequency]]&lt;=4,Orders[[#This Row],[Order Frequency]]&gt;=2), "Between 4 and 2", "Less than 2"))</f>
        <v>Less than 2</v>
      </c>
      <c r="T778" t="str">
        <f>IF(Orders[[#This Row],[Frequency Group]]="less than 2", "Low Value", IF(Orders[[#This Row],[Frequency Group]]="between 4 and 2", "Medium Value", "High Value"))</f>
        <v>Low Value</v>
      </c>
      <c r="U778" t="str">
        <f>IF(Orders[[#This Row],[Sales]]&lt;50, "$0-50", IF(AND(Orders[[#This Row],[Sales]]&gt;=50,Orders[[#This Row],[Sales]]&lt;=100), "$50-100", IF(AND(Orders[[#This Row],[Sales]]&gt;100,Orders[[#This Row],[Sales]]&lt;=150), "$101-150", "$150+")))</f>
        <v>$50-100</v>
      </c>
      <c r="V778" t="str">
        <f>IF(Orders[[#This Row],[Sales]]&gt;MEDIAN(M:M), "High Price", "Low Price")</f>
        <v>High Price</v>
      </c>
      <c r="W778" t="str">
        <f>IF(Orders[[#This Row],[Quantity]]&gt;MEDIAN(E:E), "High Volume", "Low Volume")</f>
        <v>Low Volume</v>
      </c>
      <c r="X778" t="str">
        <f>Orders[[#This Row],[Sales Tier]] &amp; "-" &amp; Orders[[#This Row],[Quantity Tier]]</f>
        <v>High Price-Low Volume</v>
      </c>
      <c r="Y778" t="str">
        <f>TEXT(Orders[[#This Row],[Order Date]], "mmmm")</f>
        <v>May</v>
      </c>
      <c r="Z77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778" t="str">
        <f>Orders[[#This Row],[Coffee Type Name]] &amp; "-" &amp; Orders[[#This Row],[Roast Type Name]]</f>
        <v>Liberica-Light</v>
      </c>
      <c r="AB77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779" spans="1:28" x14ac:dyDescent="0.25">
      <c r="A779" s="2" t="s">
        <v>4017</v>
      </c>
      <c r="B779" s="4">
        <v>44017</v>
      </c>
      <c r="C779" s="2" t="s">
        <v>4018</v>
      </c>
      <c r="D779" t="s">
        <v>6173</v>
      </c>
      <c r="E779" s="2">
        <v>5</v>
      </c>
      <c r="F779" s="2" t="str">
        <f>_xlfn.XLOOKUP(C779,customers!$A$1:$A$1001,customers!$B$1:$B$1001,,0)</f>
        <v>Hailee Radbone</v>
      </c>
      <c r="G779" s="2" t="str">
        <f>IF(_xlfn.XLOOKUP(C779,customers!$A$1:$A$1001,customers!$C$1:$C$1001,,0)=0,"",_xlfn.XLOOKUP(C779,customers!$A$1:$A$1001,customers!$C$1:$C$1001,,0))</f>
        <v>hradbonehd@newsvine.com</v>
      </c>
      <c r="H779" s="2" t="str">
        <f>_xlfn.XLOOKUP(C779,customers!$A$1:$A$1001,customers!$G$1:$G$1001,,0)</f>
        <v>United States</v>
      </c>
      <c r="I779" t="str">
        <f>INDEX(products!$A$1:$G$49, MATCH(orders!$D627,products!$A$1:$A674,0), MATCH(orders!I$1,products!$A$1:$G$1,0))</f>
        <v>Rob</v>
      </c>
      <c r="J779" t="str">
        <f>INDEX(products!$A$1:$G$49, MATCH(orders!$D627,products!$A$1:$A674,0), MATCH(orders!J$1,products!$A$1:$G$1,0))</f>
        <v>L</v>
      </c>
      <c r="K779" s="5">
        <f>INDEX(products!$A$1:$G$49, MATCH(orders!$D627,products!$A$1:$A674,0), MATCH(orders!K$1,products!$A$1:$G$1,0))</f>
        <v>0.5</v>
      </c>
      <c r="L779" s="6">
        <f>INDEX(products!$A$1:$G$49, MATCH(orders!$D627,products!$A$1:$A674,0), MATCH(orders!L$1,products!$A$1:$G$1,0))</f>
        <v>7.169999999999999</v>
      </c>
      <c r="M779" s="6">
        <f t="shared" si="36"/>
        <v>35.849999999999994</v>
      </c>
      <c r="N779" t="str">
        <f t="shared" si="37"/>
        <v>Robusta</v>
      </c>
      <c r="O779" t="str">
        <f t="shared" si="38"/>
        <v>Light</v>
      </c>
      <c r="P779" t="str">
        <f>_xlfn.XLOOKUP(Orders[[#This Row],[Customer ID]],customers!$A$1:$A$1001,customers!$I$1:$I$1001,,0)</f>
        <v>No</v>
      </c>
      <c r="Q779">
        <f>COUNTIF(Orders[Order ID],Orders[[#This Row],[Order ID]])</f>
        <v>1</v>
      </c>
      <c r="R779" s="10">
        <f>SUMIF(Orders[Order ID], Orders[[#This Row],[Order ID]],Orders[Sales])/Orders[[#This Row],[Order Frequency]]</f>
        <v>35.849999999999994</v>
      </c>
      <c r="S779" t="str">
        <f>IF(Orders[[#This Row],[Order Frequency]]&gt;4, "More than 4", IF(AND(Orders[[#This Row],[Order Frequency]]&lt;=4,Orders[[#This Row],[Order Frequency]]&gt;=2), "Between 4 and 2", "Less than 2"))</f>
        <v>Less than 2</v>
      </c>
      <c r="T779" t="str">
        <f>IF(Orders[[#This Row],[Frequency Group]]="less than 2", "Low Value", IF(Orders[[#This Row],[Frequency Group]]="between 4 and 2", "Medium Value", "High Value"))</f>
        <v>Low Value</v>
      </c>
      <c r="U779" t="str">
        <f>IF(Orders[[#This Row],[Sales]]&lt;50, "$0-50", IF(AND(Orders[[#This Row],[Sales]]&gt;=50,Orders[[#This Row],[Sales]]&lt;=100), "$50-100", IF(AND(Orders[[#This Row],[Sales]]&gt;100,Orders[[#This Row],[Sales]]&lt;=150), "$101-150", "$150+")))</f>
        <v>$0-50</v>
      </c>
      <c r="V779" t="str">
        <f>IF(Orders[[#This Row],[Sales]]&gt;MEDIAN(M:M), "High Price", "Low Price")</f>
        <v>High Price</v>
      </c>
      <c r="W779" t="str">
        <f>IF(Orders[[#This Row],[Quantity]]&gt;MEDIAN(E:E), "High Volume", "Low Volume")</f>
        <v>High Volume</v>
      </c>
      <c r="X779" t="str">
        <f>Orders[[#This Row],[Sales Tier]] &amp; "-" &amp; Orders[[#This Row],[Quantity Tier]]</f>
        <v>High Price-High Volume</v>
      </c>
      <c r="Y779" t="str">
        <f>TEXT(Orders[[#This Row],[Order Date]], "mmmm")</f>
        <v>July</v>
      </c>
      <c r="Z77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779" t="str">
        <f>Orders[[#This Row],[Coffee Type Name]] &amp; "-" &amp; Orders[[#This Row],[Roast Type Name]]</f>
        <v>Robusta-Light</v>
      </c>
      <c r="AB77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780" spans="1:28" x14ac:dyDescent="0.25">
      <c r="A780" s="2" t="s">
        <v>5107</v>
      </c>
      <c r="B780" s="4">
        <v>43798</v>
      </c>
      <c r="C780" s="2" t="s">
        <v>5108</v>
      </c>
      <c r="D780" t="s">
        <v>6169</v>
      </c>
      <c r="E780" s="2">
        <v>2</v>
      </c>
      <c r="F780" s="2" t="str">
        <f>_xlfn.XLOOKUP(C780,customers!$A$1:$A$1001,customers!$B$1:$B$1001,,0)</f>
        <v>Bayard Wellan</v>
      </c>
      <c r="G780" s="2" t="str">
        <f>IF(_xlfn.XLOOKUP(C780,customers!$A$1:$A$1001,customers!$C$1:$C$1001,,0)=0,"",_xlfn.XLOOKUP(C780,customers!$A$1:$A$1001,customers!$C$1:$C$1001,,0))</f>
        <v>bwellanmp@cafepress.com</v>
      </c>
      <c r="H780" s="2" t="str">
        <f>_xlfn.XLOOKUP(C780,customers!$A$1:$A$1001,customers!$G$1:$G$1001,,0)</f>
        <v>United States</v>
      </c>
      <c r="I780" t="str">
        <f>INDEX(products!$A$1:$G$49, MATCH(orders!$D819,products!$A$1:$A866,0), MATCH(orders!I$1,products!$A$1:$G$1,0))</f>
        <v>Lib</v>
      </c>
      <c r="J780" t="str">
        <f>INDEX(products!$A$1:$G$49, MATCH(orders!$D819,products!$A$1:$A866,0), MATCH(orders!J$1,products!$A$1:$G$1,0))</f>
        <v>D</v>
      </c>
      <c r="K780" s="5">
        <f>INDEX(products!$A$1:$G$49, MATCH(orders!$D819,products!$A$1:$A866,0), MATCH(orders!K$1,products!$A$1:$G$1,0))</f>
        <v>0.5</v>
      </c>
      <c r="L780" s="6">
        <f>INDEX(products!$A$1:$G$49, MATCH(orders!$D819,products!$A$1:$A866,0), MATCH(orders!L$1,products!$A$1:$G$1,0))</f>
        <v>7.77</v>
      </c>
      <c r="M780" s="6">
        <f t="shared" si="36"/>
        <v>15.54</v>
      </c>
      <c r="N780" t="str">
        <f t="shared" si="37"/>
        <v>Liberica</v>
      </c>
      <c r="O780" t="str">
        <f t="shared" si="38"/>
        <v>Dark</v>
      </c>
      <c r="P780" t="str">
        <f>_xlfn.XLOOKUP(Orders[[#This Row],[Customer ID]],customers!$A$1:$A$1001,customers!$I$1:$I$1001,,0)</f>
        <v>No</v>
      </c>
      <c r="Q780">
        <f>COUNTIF(Orders[Order ID],Orders[[#This Row],[Order ID]])</f>
        <v>1</v>
      </c>
      <c r="R780" s="10">
        <f>SUMIF(Orders[Order ID], Orders[[#This Row],[Order ID]],Orders[Sales])/Orders[[#This Row],[Order Frequency]]</f>
        <v>15.54</v>
      </c>
      <c r="S780" t="str">
        <f>IF(Orders[[#This Row],[Order Frequency]]&gt;4, "More than 4", IF(AND(Orders[[#This Row],[Order Frequency]]&lt;=4,Orders[[#This Row],[Order Frequency]]&gt;=2), "Between 4 and 2", "Less than 2"))</f>
        <v>Less than 2</v>
      </c>
      <c r="T780" t="str">
        <f>IF(Orders[[#This Row],[Frequency Group]]="less than 2", "Low Value", IF(Orders[[#This Row],[Frequency Group]]="between 4 and 2", "Medium Value", "High Value"))</f>
        <v>Low Value</v>
      </c>
      <c r="U780" t="str">
        <f>IF(Orders[[#This Row],[Sales]]&lt;50, "$0-50", IF(AND(Orders[[#This Row],[Sales]]&gt;=50,Orders[[#This Row],[Sales]]&lt;=100), "$50-100", IF(AND(Orders[[#This Row],[Sales]]&gt;100,Orders[[#This Row],[Sales]]&lt;=150), "$101-150", "$150+")))</f>
        <v>$0-50</v>
      </c>
      <c r="V780" t="str">
        <f>IF(Orders[[#This Row],[Sales]]&gt;MEDIAN(M:M), "High Price", "Low Price")</f>
        <v>Low Price</v>
      </c>
      <c r="W780" t="str">
        <f>IF(Orders[[#This Row],[Quantity]]&gt;MEDIAN(E:E), "High Volume", "Low Volume")</f>
        <v>Low Volume</v>
      </c>
      <c r="X780" t="str">
        <f>Orders[[#This Row],[Sales Tier]] &amp; "-" &amp; Orders[[#This Row],[Quantity Tier]]</f>
        <v>Low Price-Low Volume</v>
      </c>
      <c r="Y780" t="str">
        <f>TEXT(Orders[[#This Row],[Order Date]], "mmmm")</f>
        <v>November</v>
      </c>
      <c r="Z78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780" t="str">
        <f>Orders[[#This Row],[Coffee Type Name]] &amp; "-" &amp; Orders[[#This Row],[Roast Type Name]]</f>
        <v>Liberica-Dark</v>
      </c>
      <c r="AB78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781" spans="1:28" x14ac:dyDescent="0.25">
      <c r="A781" s="2" t="s">
        <v>4825</v>
      </c>
      <c r="B781" s="4">
        <v>44267</v>
      </c>
      <c r="C781" s="2" t="s">
        <v>4759</v>
      </c>
      <c r="D781" t="s">
        <v>6182</v>
      </c>
      <c r="E781" s="2">
        <v>3</v>
      </c>
      <c r="F781" s="2" t="str">
        <f>_xlfn.XLOOKUP(C781,customers!$A$1:$A$1001,customers!$B$1:$B$1001,,0)</f>
        <v>Foster Constance</v>
      </c>
      <c r="G781" s="2" t="str">
        <f>IF(_xlfn.XLOOKUP(C781,customers!$A$1:$A$1001,customers!$C$1:$C$1001,,0)=0,"",_xlfn.XLOOKUP(C781,customers!$A$1:$A$1001,customers!$C$1:$C$1001,,0))</f>
        <v>fconstancekz@ifeng.com</v>
      </c>
      <c r="H781" s="2" t="str">
        <f>_xlfn.XLOOKUP(C781,customers!$A$1:$A$1001,customers!$G$1:$G$1001,,0)</f>
        <v>United States</v>
      </c>
      <c r="I781" t="str">
        <f>INDEX(products!$A$1:$G$49, MATCH(orders!$D769,products!$A$1:$A816,0), MATCH(orders!I$1,products!$A$1:$G$1,0))</f>
        <v>Ara</v>
      </c>
      <c r="J781" t="str">
        <f>INDEX(products!$A$1:$G$49, MATCH(orders!$D769,products!$A$1:$A816,0), MATCH(orders!J$1,products!$A$1:$G$1,0))</f>
        <v>L</v>
      </c>
      <c r="K781" s="5">
        <f>INDEX(products!$A$1:$G$49, MATCH(orders!$D769,products!$A$1:$A816,0), MATCH(orders!K$1,products!$A$1:$G$1,0))</f>
        <v>2.5</v>
      </c>
      <c r="L781" s="6">
        <f>INDEX(products!$A$1:$G$49, MATCH(orders!$D769,products!$A$1:$A816,0), MATCH(orders!L$1,products!$A$1:$G$1,0))</f>
        <v>29.784999999999997</v>
      </c>
      <c r="M781" s="6">
        <f t="shared" si="36"/>
        <v>89.35499999999999</v>
      </c>
      <c r="N781" t="str">
        <f t="shared" si="37"/>
        <v>Arabica</v>
      </c>
      <c r="O781" t="str">
        <f t="shared" si="38"/>
        <v>Light</v>
      </c>
      <c r="P781" t="str">
        <f>_xlfn.XLOOKUP(Orders[[#This Row],[Customer ID]],customers!$A$1:$A$1001,customers!$I$1:$I$1001,,0)</f>
        <v>No</v>
      </c>
      <c r="Q781">
        <f>COUNTIF(Orders[Order ID],Orders[[#This Row],[Order ID]])</f>
        <v>1</v>
      </c>
      <c r="R781" s="10">
        <f>SUMIF(Orders[Order ID], Orders[[#This Row],[Order ID]],Orders[Sales])/Orders[[#This Row],[Order Frequency]]</f>
        <v>89.35499999999999</v>
      </c>
      <c r="S781" t="str">
        <f>IF(Orders[[#This Row],[Order Frequency]]&gt;4, "More than 4", IF(AND(Orders[[#This Row],[Order Frequency]]&lt;=4,Orders[[#This Row],[Order Frequency]]&gt;=2), "Between 4 and 2", "Less than 2"))</f>
        <v>Less than 2</v>
      </c>
      <c r="T781" t="str">
        <f>IF(Orders[[#This Row],[Frequency Group]]="less than 2", "Low Value", IF(Orders[[#This Row],[Frequency Group]]="between 4 and 2", "Medium Value", "High Value"))</f>
        <v>Low Value</v>
      </c>
      <c r="U781" t="str">
        <f>IF(Orders[[#This Row],[Sales]]&lt;50, "$0-50", IF(AND(Orders[[#This Row],[Sales]]&gt;=50,Orders[[#This Row],[Sales]]&lt;=100), "$50-100", IF(AND(Orders[[#This Row],[Sales]]&gt;100,Orders[[#This Row],[Sales]]&lt;=150), "$101-150", "$150+")))</f>
        <v>$50-100</v>
      </c>
      <c r="V781" t="str">
        <f>IF(Orders[[#This Row],[Sales]]&gt;MEDIAN(M:M), "High Price", "Low Price")</f>
        <v>High Price</v>
      </c>
      <c r="W781" t="str">
        <f>IF(Orders[[#This Row],[Quantity]]&gt;MEDIAN(E:E), "High Volume", "Low Volume")</f>
        <v>Low Volume</v>
      </c>
      <c r="X781" t="str">
        <f>Orders[[#This Row],[Sales Tier]] &amp; "-" &amp; Orders[[#This Row],[Quantity Tier]]</f>
        <v>High Price-Low Volume</v>
      </c>
      <c r="Y781" t="str">
        <f>TEXT(Orders[[#This Row],[Order Date]], "mmmm")</f>
        <v>March</v>
      </c>
      <c r="Z78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81" t="str">
        <f>Orders[[#This Row],[Coffee Type Name]] &amp; "-" &amp; Orders[[#This Row],[Roast Type Name]]</f>
        <v>Arabica-Light</v>
      </c>
      <c r="AB78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782" spans="1:28" x14ac:dyDescent="0.25">
      <c r="A782" s="2" t="s">
        <v>2482</v>
      </c>
      <c r="B782" s="4">
        <v>43860</v>
      </c>
      <c r="C782" s="2" t="s">
        <v>2483</v>
      </c>
      <c r="D782" t="s">
        <v>6157</v>
      </c>
      <c r="E782" s="2">
        <v>4</v>
      </c>
      <c r="F782" s="2" t="str">
        <f>_xlfn.XLOOKUP(C782,customers!$A$1:$A$1001,customers!$B$1:$B$1001,,0)</f>
        <v>Maitilde Boxill</v>
      </c>
      <c r="G782" s="2" t="str">
        <f>IF(_xlfn.XLOOKUP(C782,customers!$A$1:$A$1001,customers!$C$1:$C$1001,,0)=0,"",_xlfn.XLOOKUP(C782,customers!$A$1:$A$1001,customers!$C$1:$C$1001,,0))</f>
        <v/>
      </c>
      <c r="H782" s="2" t="str">
        <f>_xlfn.XLOOKUP(C782,customers!$A$1:$A$1001,customers!$G$1:$G$1001,,0)</f>
        <v>United States</v>
      </c>
      <c r="I782" t="str">
        <f>INDEX(products!$A$1:$G$49, MATCH(orders!$D355,products!$A$1:$A402,0), MATCH(orders!I$1,products!$A$1:$G$1,0))</f>
        <v>Ara</v>
      </c>
      <c r="J782" t="str">
        <f>INDEX(products!$A$1:$G$49, MATCH(orders!$D355,products!$A$1:$A402,0), MATCH(orders!J$1,products!$A$1:$G$1,0))</f>
        <v>M</v>
      </c>
      <c r="K782" s="5">
        <f>INDEX(products!$A$1:$G$49, MATCH(orders!$D355,products!$A$1:$A402,0), MATCH(orders!K$1,products!$A$1:$G$1,0))</f>
        <v>0.5</v>
      </c>
      <c r="L782" s="6">
        <f>INDEX(products!$A$1:$G$49, MATCH(orders!$D355,products!$A$1:$A402,0), MATCH(orders!L$1,products!$A$1:$G$1,0))</f>
        <v>6.75</v>
      </c>
      <c r="M782" s="6">
        <f t="shared" si="36"/>
        <v>27</v>
      </c>
      <c r="N782" t="str">
        <f t="shared" si="37"/>
        <v>Arabica</v>
      </c>
      <c r="O782" t="str">
        <f t="shared" si="38"/>
        <v>Medium</v>
      </c>
      <c r="P782" t="str">
        <f>_xlfn.XLOOKUP(Orders[[#This Row],[Customer ID]],customers!$A$1:$A$1001,customers!$I$1:$I$1001,,0)</f>
        <v>Yes</v>
      </c>
      <c r="Q782">
        <f>COUNTIF(Orders[Order ID],Orders[[#This Row],[Order ID]])</f>
        <v>1</v>
      </c>
      <c r="R782" s="10">
        <f>SUMIF(Orders[Order ID], Orders[[#This Row],[Order ID]],Orders[Sales])/Orders[[#This Row],[Order Frequency]]</f>
        <v>27</v>
      </c>
      <c r="S782" t="str">
        <f>IF(Orders[[#This Row],[Order Frequency]]&gt;4, "More than 4", IF(AND(Orders[[#This Row],[Order Frequency]]&lt;=4,Orders[[#This Row],[Order Frequency]]&gt;=2), "Between 4 and 2", "Less than 2"))</f>
        <v>Less than 2</v>
      </c>
      <c r="T782" t="str">
        <f>IF(Orders[[#This Row],[Frequency Group]]="less than 2", "Low Value", IF(Orders[[#This Row],[Frequency Group]]="between 4 and 2", "Medium Value", "High Value"))</f>
        <v>Low Value</v>
      </c>
      <c r="U782" t="str">
        <f>IF(Orders[[#This Row],[Sales]]&lt;50, "$0-50", IF(AND(Orders[[#This Row],[Sales]]&gt;=50,Orders[[#This Row],[Sales]]&lt;=100), "$50-100", IF(AND(Orders[[#This Row],[Sales]]&gt;100,Orders[[#This Row],[Sales]]&lt;=150), "$101-150", "$150+")))</f>
        <v>$0-50</v>
      </c>
      <c r="V782" t="str">
        <f>IF(Orders[[#This Row],[Sales]]&gt;MEDIAN(M:M), "High Price", "Low Price")</f>
        <v>Low Price</v>
      </c>
      <c r="W782" t="str">
        <f>IF(Orders[[#This Row],[Quantity]]&gt;MEDIAN(E:E), "High Volume", "Low Volume")</f>
        <v>Low Volume</v>
      </c>
      <c r="X782" t="str">
        <f>Orders[[#This Row],[Sales Tier]] &amp; "-" &amp; Orders[[#This Row],[Quantity Tier]]</f>
        <v>Low Price-Low Volume</v>
      </c>
      <c r="Y782" t="str">
        <f>TEXT(Orders[[#This Row],[Order Date]], "mmmm")</f>
        <v>January</v>
      </c>
      <c r="Z78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82" t="str">
        <f>Orders[[#This Row],[Coffee Type Name]] &amp; "-" &amp; Orders[[#This Row],[Roast Type Name]]</f>
        <v>Arabica-Medium</v>
      </c>
      <c r="AB78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783" spans="1:28" x14ac:dyDescent="0.25">
      <c r="A783" s="2" t="s">
        <v>5222</v>
      </c>
      <c r="B783" s="4">
        <v>43715</v>
      </c>
      <c r="C783" s="2" t="s">
        <v>5113</v>
      </c>
      <c r="D783" t="s">
        <v>6181</v>
      </c>
      <c r="E783" s="2">
        <v>3</v>
      </c>
      <c r="F783" s="2" t="str">
        <f>_xlfn.XLOOKUP(C783,customers!$A$1:$A$1001,customers!$B$1:$B$1001,,0)</f>
        <v>Allis Wilmore</v>
      </c>
      <c r="G783" s="2" t="str">
        <f>IF(_xlfn.XLOOKUP(C783,customers!$A$1:$A$1001,customers!$C$1:$C$1001,,0)=0,"",_xlfn.XLOOKUP(C783,customers!$A$1:$A$1001,customers!$C$1:$C$1001,,0))</f>
        <v/>
      </c>
      <c r="H783" s="2" t="str">
        <f>_xlfn.XLOOKUP(C783,customers!$A$1:$A$1001,customers!$G$1:$G$1001,,0)</f>
        <v>United States</v>
      </c>
      <c r="I783" t="str">
        <f>INDEX(products!$A$1:$G$49, MATCH(orders!$D839,products!$A$1:$A886,0), MATCH(orders!I$1,products!$A$1:$G$1,0))</f>
        <v>Lib</v>
      </c>
      <c r="J783" t="str">
        <f>INDEX(products!$A$1:$G$49, MATCH(orders!$D839,products!$A$1:$A886,0), MATCH(orders!J$1,products!$A$1:$G$1,0))</f>
        <v>M</v>
      </c>
      <c r="K783" s="5">
        <f>INDEX(products!$A$1:$G$49, MATCH(orders!$D839,products!$A$1:$A886,0), MATCH(orders!K$1,products!$A$1:$G$1,0))</f>
        <v>2.5</v>
      </c>
      <c r="L783" s="6">
        <f>INDEX(products!$A$1:$G$49, MATCH(orders!$D839,products!$A$1:$A886,0), MATCH(orders!L$1,products!$A$1:$G$1,0))</f>
        <v>33.464999999999996</v>
      </c>
      <c r="M783" s="6">
        <f t="shared" si="36"/>
        <v>100.39499999999998</v>
      </c>
      <c r="N783" t="str">
        <f t="shared" si="37"/>
        <v>Liberica</v>
      </c>
      <c r="O783" t="str">
        <f t="shared" si="38"/>
        <v>Medium</v>
      </c>
      <c r="P783" t="str">
        <f>_xlfn.XLOOKUP(Orders[[#This Row],[Customer ID]],customers!$A$1:$A$1001,customers!$I$1:$I$1001,,0)</f>
        <v>No</v>
      </c>
      <c r="Q783">
        <f>COUNTIF(Orders[Order ID],Orders[[#This Row],[Order ID]])</f>
        <v>1</v>
      </c>
      <c r="R783" s="10">
        <f>SUMIF(Orders[Order ID], Orders[[#This Row],[Order ID]],Orders[Sales])/Orders[[#This Row],[Order Frequency]]</f>
        <v>100.39499999999998</v>
      </c>
      <c r="S783" t="str">
        <f>IF(Orders[[#This Row],[Order Frequency]]&gt;4, "More than 4", IF(AND(Orders[[#This Row],[Order Frequency]]&lt;=4,Orders[[#This Row],[Order Frequency]]&gt;=2), "Between 4 and 2", "Less than 2"))</f>
        <v>Less than 2</v>
      </c>
      <c r="T783" t="str">
        <f>IF(Orders[[#This Row],[Frequency Group]]="less than 2", "Low Value", IF(Orders[[#This Row],[Frequency Group]]="between 4 and 2", "Medium Value", "High Value"))</f>
        <v>Low Value</v>
      </c>
      <c r="U783" t="str">
        <f>IF(Orders[[#This Row],[Sales]]&lt;50, "$0-50", IF(AND(Orders[[#This Row],[Sales]]&gt;=50,Orders[[#This Row],[Sales]]&lt;=100), "$50-100", IF(AND(Orders[[#This Row],[Sales]]&gt;100,Orders[[#This Row],[Sales]]&lt;=150), "$101-150", "$150+")))</f>
        <v>$101-150</v>
      </c>
      <c r="V783" t="str">
        <f>IF(Orders[[#This Row],[Sales]]&gt;MEDIAN(M:M), "High Price", "Low Price")</f>
        <v>High Price</v>
      </c>
      <c r="W783" t="str">
        <f>IF(Orders[[#This Row],[Quantity]]&gt;MEDIAN(E:E), "High Volume", "Low Volume")</f>
        <v>Low Volume</v>
      </c>
      <c r="X783" t="str">
        <f>Orders[[#This Row],[Sales Tier]] &amp; "-" &amp; Orders[[#This Row],[Quantity Tier]]</f>
        <v>High Price-Low Volume</v>
      </c>
      <c r="Y783" t="str">
        <f>TEXT(Orders[[#This Row],[Order Date]], "mmmm")</f>
        <v>September</v>
      </c>
      <c r="Z78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783" t="str">
        <f>Orders[[#This Row],[Coffee Type Name]] &amp; "-" &amp; Orders[[#This Row],[Roast Type Name]]</f>
        <v>Liberica-Medium</v>
      </c>
      <c r="AB78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784" spans="1:28" x14ac:dyDescent="0.25">
      <c r="A784" s="2" t="s">
        <v>5720</v>
      </c>
      <c r="B784" s="4">
        <v>44770</v>
      </c>
      <c r="C784" s="2" t="s">
        <v>5554</v>
      </c>
      <c r="D784" t="s">
        <v>6157</v>
      </c>
      <c r="E784" s="2">
        <v>3</v>
      </c>
      <c r="F784" s="2" t="str">
        <f>_xlfn.XLOOKUP(C784,customers!$A$1:$A$1001,customers!$B$1:$B$1001,,0)</f>
        <v>Derick Snow</v>
      </c>
      <c r="G784" s="2" t="str">
        <f>IF(_xlfn.XLOOKUP(C784,customers!$A$1:$A$1001,customers!$C$1:$C$1001,,0)=0,"",_xlfn.XLOOKUP(C784,customers!$A$1:$A$1001,customers!$C$1:$C$1001,,0))</f>
        <v/>
      </c>
      <c r="H784" s="2" t="str">
        <f>_xlfn.XLOOKUP(C784,customers!$A$1:$A$1001,customers!$G$1:$G$1001,,0)</f>
        <v>United States</v>
      </c>
      <c r="I784" t="str">
        <f>INDEX(products!$A$1:$G$49, MATCH(orders!$D927,products!$A$1:$A974,0), MATCH(orders!I$1,products!$A$1:$G$1,0))</f>
        <v>Ara</v>
      </c>
      <c r="J784" t="str">
        <f>INDEX(products!$A$1:$G$49, MATCH(orders!$D927,products!$A$1:$A974,0), MATCH(orders!J$1,products!$A$1:$G$1,0))</f>
        <v>M</v>
      </c>
      <c r="K784" s="5">
        <f>INDEX(products!$A$1:$G$49, MATCH(orders!$D927,products!$A$1:$A974,0), MATCH(orders!K$1,products!$A$1:$G$1,0))</f>
        <v>0.5</v>
      </c>
      <c r="L784" s="6">
        <f>INDEX(products!$A$1:$G$49, MATCH(orders!$D927,products!$A$1:$A974,0), MATCH(orders!L$1,products!$A$1:$G$1,0))</f>
        <v>6.75</v>
      </c>
      <c r="M784" s="6">
        <f t="shared" si="36"/>
        <v>20.25</v>
      </c>
      <c r="N784" t="str">
        <f t="shared" si="37"/>
        <v>Arabica</v>
      </c>
      <c r="O784" t="str">
        <f t="shared" si="38"/>
        <v>Medium</v>
      </c>
      <c r="P784" t="str">
        <f>_xlfn.XLOOKUP(Orders[[#This Row],[Customer ID]],customers!$A$1:$A$1001,customers!$I$1:$I$1001,,0)</f>
        <v>No</v>
      </c>
      <c r="Q784">
        <f>COUNTIF(Orders[Order ID],Orders[[#This Row],[Order ID]])</f>
        <v>1</v>
      </c>
      <c r="R784" s="10">
        <f>SUMIF(Orders[Order ID], Orders[[#This Row],[Order ID]],Orders[Sales])/Orders[[#This Row],[Order Frequency]]</f>
        <v>20.25</v>
      </c>
      <c r="S784" t="str">
        <f>IF(Orders[[#This Row],[Order Frequency]]&gt;4, "More than 4", IF(AND(Orders[[#This Row],[Order Frequency]]&lt;=4,Orders[[#This Row],[Order Frequency]]&gt;=2), "Between 4 and 2", "Less than 2"))</f>
        <v>Less than 2</v>
      </c>
      <c r="T784" t="str">
        <f>IF(Orders[[#This Row],[Frequency Group]]="less than 2", "Low Value", IF(Orders[[#This Row],[Frequency Group]]="between 4 and 2", "Medium Value", "High Value"))</f>
        <v>Low Value</v>
      </c>
      <c r="U784" t="str">
        <f>IF(Orders[[#This Row],[Sales]]&lt;50, "$0-50", IF(AND(Orders[[#This Row],[Sales]]&gt;=50,Orders[[#This Row],[Sales]]&lt;=100), "$50-100", IF(AND(Orders[[#This Row],[Sales]]&gt;100,Orders[[#This Row],[Sales]]&lt;=150), "$101-150", "$150+")))</f>
        <v>$0-50</v>
      </c>
      <c r="V784" t="str">
        <f>IF(Orders[[#This Row],[Sales]]&gt;MEDIAN(M:M), "High Price", "Low Price")</f>
        <v>Low Price</v>
      </c>
      <c r="W784" t="str">
        <f>IF(Orders[[#This Row],[Quantity]]&gt;MEDIAN(E:E), "High Volume", "Low Volume")</f>
        <v>Low Volume</v>
      </c>
      <c r="X784" t="str">
        <f>Orders[[#This Row],[Sales Tier]] &amp; "-" &amp; Orders[[#This Row],[Quantity Tier]]</f>
        <v>Low Price-Low Volume</v>
      </c>
      <c r="Y784" t="str">
        <f>TEXT(Orders[[#This Row],[Order Date]], "mmmm")</f>
        <v>July</v>
      </c>
      <c r="Z78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784" t="str">
        <f>Orders[[#This Row],[Coffee Type Name]] &amp; "-" &amp; Orders[[#This Row],[Roast Type Name]]</f>
        <v>Arabica-Medium</v>
      </c>
      <c r="AB78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785" spans="1:28" x14ac:dyDescent="0.25">
      <c r="A785" s="2" t="s">
        <v>5380</v>
      </c>
      <c r="B785" s="4">
        <v>44675</v>
      </c>
      <c r="C785" s="2" t="s">
        <v>5428</v>
      </c>
      <c r="D785" t="s">
        <v>6157</v>
      </c>
      <c r="E785" s="2">
        <v>1</v>
      </c>
      <c r="F785" s="2" t="str">
        <f>_xlfn.XLOOKUP(C785,customers!$A$1:$A$1001,customers!$B$1:$B$1001,,0)</f>
        <v>Modesty MacConnechie</v>
      </c>
      <c r="G785" s="2" t="str">
        <f>IF(_xlfn.XLOOKUP(C785,customers!$A$1:$A$1001,customers!$C$1:$C$1001,,0)=0,"",_xlfn.XLOOKUP(C785,customers!$A$1:$A$1001,customers!$C$1:$C$1001,,0))</f>
        <v>mmacconnechieo9@reuters.com</v>
      </c>
      <c r="H785" s="2" t="str">
        <f>_xlfn.XLOOKUP(C785,customers!$A$1:$A$1001,customers!$G$1:$G$1001,,0)</f>
        <v>United States</v>
      </c>
      <c r="I785" t="str">
        <f>INDEX(products!$A$1:$G$49, MATCH(orders!$D867,products!$A$1:$A914,0), MATCH(orders!I$1,products!$A$1:$G$1,0))</f>
        <v>Ara</v>
      </c>
      <c r="J785" t="str">
        <f>INDEX(products!$A$1:$G$49, MATCH(orders!$D867,products!$A$1:$A914,0), MATCH(orders!J$1,products!$A$1:$G$1,0))</f>
        <v>M</v>
      </c>
      <c r="K785" s="5">
        <f>INDEX(products!$A$1:$G$49, MATCH(orders!$D867,products!$A$1:$A914,0), MATCH(orders!K$1,products!$A$1:$G$1,0))</f>
        <v>0.5</v>
      </c>
      <c r="L785" s="6">
        <f>INDEX(products!$A$1:$G$49, MATCH(orders!$D867,products!$A$1:$A914,0), MATCH(orders!L$1,products!$A$1:$G$1,0))</f>
        <v>6.75</v>
      </c>
      <c r="M785" s="6">
        <f t="shared" si="36"/>
        <v>6.75</v>
      </c>
      <c r="N785" t="str">
        <f t="shared" si="37"/>
        <v>Arabica</v>
      </c>
      <c r="O785" t="str">
        <f t="shared" si="38"/>
        <v>Medium</v>
      </c>
      <c r="P785" t="str">
        <f>_xlfn.XLOOKUP(Orders[[#This Row],[Customer ID]],customers!$A$1:$A$1001,customers!$I$1:$I$1001,,0)</f>
        <v>Yes</v>
      </c>
      <c r="Q785">
        <f>COUNTIF(Orders[Order ID],Orders[[#This Row],[Order ID]])</f>
        <v>1</v>
      </c>
      <c r="R785" s="10">
        <f>SUMIF(Orders[Order ID], Orders[[#This Row],[Order ID]],Orders[Sales])/Orders[[#This Row],[Order Frequency]]</f>
        <v>6.75</v>
      </c>
      <c r="S785" t="str">
        <f>IF(Orders[[#This Row],[Order Frequency]]&gt;4, "More than 4", IF(AND(Orders[[#This Row],[Order Frequency]]&lt;=4,Orders[[#This Row],[Order Frequency]]&gt;=2), "Between 4 and 2", "Less than 2"))</f>
        <v>Less than 2</v>
      </c>
      <c r="T785" t="str">
        <f>IF(Orders[[#This Row],[Frequency Group]]="less than 2", "Low Value", IF(Orders[[#This Row],[Frequency Group]]="between 4 and 2", "Medium Value", "High Value"))</f>
        <v>Low Value</v>
      </c>
      <c r="U785" t="str">
        <f>IF(Orders[[#This Row],[Sales]]&lt;50, "$0-50", IF(AND(Orders[[#This Row],[Sales]]&gt;=50,Orders[[#This Row],[Sales]]&lt;=100), "$50-100", IF(AND(Orders[[#This Row],[Sales]]&gt;100,Orders[[#This Row],[Sales]]&lt;=150), "$101-150", "$150+")))</f>
        <v>$0-50</v>
      </c>
      <c r="V785" t="str">
        <f>IF(Orders[[#This Row],[Sales]]&gt;MEDIAN(M:M), "High Price", "Low Price")</f>
        <v>Low Price</v>
      </c>
      <c r="W785" t="str">
        <f>IF(Orders[[#This Row],[Quantity]]&gt;MEDIAN(E:E), "High Volume", "Low Volume")</f>
        <v>Low Volume</v>
      </c>
      <c r="X785" t="str">
        <f>Orders[[#This Row],[Sales Tier]] &amp; "-" &amp; Orders[[#This Row],[Quantity Tier]]</f>
        <v>Low Price-Low Volume</v>
      </c>
      <c r="Y785" t="str">
        <f>TEXT(Orders[[#This Row],[Order Date]], "mmmm")</f>
        <v>April</v>
      </c>
      <c r="Z78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785" t="str">
        <f>Orders[[#This Row],[Coffee Type Name]] &amp; "-" &amp; Orders[[#This Row],[Roast Type Name]]</f>
        <v>Arabica-Medium</v>
      </c>
      <c r="AB78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786" spans="1:28" x14ac:dyDescent="0.25">
      <c r="A786" s="2" t="s">
        <v>5660</v>
      </c>
      <c r="B786" s="4">
        <v>44640</v>
      </c>
      <c r="C786" s="2" t="s">
        <v>5661</v>
      </c>
      <c r="D786" t="s">
        <v>6155</v>
      </c>
      <c r="E786" s="2">
        <v>4</v>
      </c>
      <c r="F786" s="2" t="str">
        <f>_xlfn.XLOOKUP(C786,customers!$A$1:$A$1001,customers!$B$1:$B$1001,,0)</f>
        <v>Antonius Lewry</v>
      </c>
      <c r="G786" s="2" t="str">
        <f>IF(_xlfn.XLOOKUP(C786,customers!$A$1:$A$1001,customers!$C$1:$C$1001,,0)=0,"",_xlfn.XLOOKUP(C786,customers!$A$1:$A$1001,customers!$C$1:$C$1001,,0))</f>
        <v>alewrype@whitehouse.gov</v>
      </c>
      <c r="H786" s="2" t="str">
        <f>_xlfn.XLOOKUP(C786,customers!$A$1:$A$1001,customers!$G$1:$G$1001,,0)</f>
        <v>United States</v>
      </c>
      <c r="I786" t="str">
        <f>INDEX(products!$A$1:$G$49, MATCH(orders!$D916,products!$A$1:$A963,0), MATCH(orders!I$1,products!$A$1:$G$1,0))</f>
        <v>Ara</v>
      </c>
      <c r="J786" t="str">
        <f>INDEX(products!$A$1:$G$49, MATCH(orders!$D916,products!$A$1:$A963,0), MATCH(orders!J$1,products!$A$1:$G$1,0))</f>
        <v>M</v>
      </c>
      <c r="K786" s="5">
        <f>INDEX(products!$A$1:$G$49, MATCH(orders!$D916,products!$A$1:$A963,0), MATCH(orders!K$1,products!$A$1:$G$1,0))</f>
        <v>1</v>
      </c>
      <c r="L786" s="6">
        <f>INDEX(products!$A$1:$G$49, MATCH(orders!$D916,products!$A$1:$A963,0), MATCH(orders!L$1,products!$A$1:$G$1,0))</f>
        <v>11.25</v>
      </c>
      <c r="M786" s="6">
        <f t="shared" si="36"/>
        <v>45</v>
      </c>
      <c r="N786" t="str">
        <f t="shared" si="37"/>
        <v>Arabica</v>
      </c>
      <c r="O786" t="str">
        <f t="shared" si="38"/>
        <v>Medium</v>
      </c>
      <c r="P786" t="str">
        <f>_xlfn.XLOOKUP(Orders[[#This Row],[Customer ID]],customers!$A$1:$A$1001,customers!$I$1:$I$1001,,0)</f>
        <v>No</v>
      </c>
      <c r="Q786">
        <f>COUNTIF(Orders[Order ID],Orders[[#This Row],[Order ID]])</f>
        <v>1</v>
      </c>
      <c r="R786" s="10">
        <f>SUMIF(Orders[Order ID], Orders[[#This Row],[Order ID]],Orders[Sales])/Orders[[#This Row],[Order Frequency]]</f>
        <v>45</v>
      </c>
      <c r="S786" t="str">
        <f>IF(Orders[[#This Row],[Order Frequency]]&gt;4, "More than 4", IF(AND(Orders[[#This Row],[Order Frequency]]&lt;=4,Orders[[#This Row],[Order Frequency]]&gt;=2), "Between 4 and 2", "Less than 2"))</f>
        <v>Less than 2</v>
      </c>
      <c r="T786" t="str">
        <f>IF(Orders[[#This Row],[Frequency Group]]="less than 2", "Low Value", IF(Orders[[#This Row],[Frequency Group]]="between 4 and 2", "Medium Value", "High Value"))</f>
        <v>Low Value</v>
      </c>
      <c r="U786" t="str">
        <f>IF(Orders[[#This Row],[Sales]]&lt;50, "$0-50", IF(AND(Orders[[#This Row],[Sales]]&gt;=50,Orders[[#This Row],[Sales]]&lt;=100), "$50-100", IF(AND(Orders[[#This Row],[Sales]]&gt;100,Orders[[#This Row],[Sales]]&lt;=150), "$101-150", "$150+")))</f>
        <v>$0-50</v>
      </c>
      <c r="V786" t="str">
        <f>IF(Orders[[#This Row],[Sales]]&gt;MEDIAN(M:M), "High Price", "Low Price")</f>
        <v>High Price</v>
      </c>
      <c r="W786" t="str">
        <f>IF(Orders[[#This Row],[Quantity]]&gt;MEDIAN(E:E), "High Volume", "Low Volume")</f>
        <v>Low Volume</v>
      </c>
      <c r="X786" t="str">
        <f>Orders[[#This Row],[Sales Tier]] &amp; "-" &amp; Orders[[#This Row],[Quantity Tier]]</f>
        <v>High Price-Low Volume</v>
      </c>
      <c r="Y786" t="str">
        <f>TEXT(Orders[[#This Row],[Order Date]], "mmmm")</f>
        <v>March</v>
      </c>
      <c r="Z78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86" t="str">
        <f>Orders[[#This Row],[Coffee Type Name]] &amp; "-" &amp; Orders[[#This Row],[Roast Type Name]]</f>
        <v>Arabica-Medium</v>
      </c>
      <c r="AB78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787" spans="1:28" x14ac:dyDescent="0.25">
      <c r="A787" s="2" t="s">
        <v>3923</v>
      </c>
      <c r="B787" s="4">
        <v>44608</v>
      </c>
      <c r="C787" s="2" t="s">
        <v>3924</v>
      </c>
      <c r="D787" t="s">
        <v>6185</v>
      </c>
      <c r="E787" s="2">
        <v>2</v>
      </c>
      <c r="F787" s="2" t="str">
        <f>_xlfn.XLOOKUP(C787,customers!$A$1:$A$1001,customers!$B$1:$B$1001,,0)</f>
        <v>Billy Neiland</v>
      </c>
      <c r="G787" s="2" t="str">
        <f>IF(_xlfn.XLOOKUP(C787,customers!$A$1:$A$1001,customers!$C$1:$C$1001,,0)=0,"",_xlfn.XLOOKUP(C787,customers!$A$1:$A$1001,customers!$C$1:$C$1001,,0))</f>
        <v/>
      </c>
      <c r="H787" s="2" t="str">
        <f>_xlfn.XLOOKUP(C787,customers!$A$1:$A$1001,customers!$G$1:$G$1001,,0)</f>
        <v>United States</v>
      </c>
      <c r="I787" t="str">
        <f>INDEX(products!$A$1:$G$49, MATCH(orders!$D610,products!$A$1:$A657,0), MATCH(orders!I$1,products!$A$1:$G$1,0))</f>
        <v>Exc</v>
      </c>
      <c r="J787" t="str">
        <f>INDEX(products!$A$1:$G$49, MATCH(orders!$D610,products!$A$1:$A657,0), MATCH(orders!J$1,products!$A$1:$G$1,0))</f>
        <v>D</v>
      </c>
      <c r="K787" s="5">
        <f>INDEX(products!$A$1:$G$49, MATCH(orders!$D610,products!$A$1:$A657,0), MATCH(orders!K$1,products!$A$1:$G$1,0))</f>
        <v>2.5</v>
      </c>
      <c r="L787" s="6">
        <f>INDEX(products!$A$1:$G$49, MATCH(orders!$D610,products!$A$1:$A657,0), MATCH(orders!L$1,products!$A$1:$G$1,0))</f>
        <v>27.945</v>
      </c>
      <c r="M787" s="6">
        <f t="shared" si="36"/>
        <v>55.89</v>
      </c>
      <c r="N787" t="str">
        <f t="shared" si="37"/>
        <v>Excelsa</v>
      </c>
      <c r="O787" t="str">
        <f t="shared" si="38"/>
        <v>Dark</v>
      </c>
      <c r="P787" t="str">
        <f>_xlfn.XLOOKUP(Orders[[#This Row],[Customer ID]],customers!$A$1:$A$1001,customers!$I$1:$I$1001,,0)</f>
        <v>No</v>
      </c>
      <c r="Q787">
        <f>COUNTIF(Orders[Order ID],Orders[[#This Row],[Order ID]])</f>
        <v>1</v>
      </c>
      <c r="R787" s="10">
        <f>SUMIF(Orders[Order ID], Orders[[#This Row],[Order ID]],Orders[Sales])/Orders[[#This Row],[Order Frequency]]</f>
        <v>55.89</v>
      </c>
      <c r="S787" t="str">
        <f>IF(Orders[[#This Row],[Order Frequency]]&gt;4, "More than 4", IF(AND(Orders[[#This Row],[Order Frequency]]&lt;=4,Orders[[#This Row],[Order Frequency]]&gt;=2), "Between 4 and 2", "Less than 2"))</f>
        <v>Less than 2</v>
      </c>
      <c r="T787" t="str">
        <f>IF(Orders[[#This Row],[Frequency Group]]="less than 2", "Low Value", IF(Orders[[#This Row],[Frequency Group]]="between 4 and 2", "Medium Value", "High Value"))</f>
        <v>Low Value</v>
      </c>
      <c r="U787" t="str">
        <f>IF(Orders[[#This Row],[Sales]]&lt;50, "$0-50", IF(AND(Orders[[#This Row],[Sales]]&gt;=50,Orders[[#This Row],[Sales]]&lt;=100), "$50-100", IF(AND(Orders[[#This Row],[Sales]]&gt;100,Orders[[#This Row],[Sales]]&lt;=150), "$101-150", "$150+")))</f>
        <v>$50-100</v>
      </c>
      <c r="V787" t="str">
        <f>IF(Orders[[#This Row],[Sales]]&gt;MEDIAN(M:M), "High Price", "Low Price")</f>
        <v>High Price</v>
      </c>
      <c r="W787" t="str">
        <f>IF(Orders[[#This Row],[Quantity]]&gt;MEDIAN(E:E), "High Volume", "Low Volume")</f>
        <v>Low Volume</v>
      </c>
      <c r="X787" t="str">
        <f>Orders[[#This Row],[Sales Tier]] &amp; "-" &amp; Orders[[#This Row],[Quantity Tier]]</f>
        <v>High Price-Low Volume</v>
      </c>
      <c r="Y787" t="str">
        <f>TEXT(Orders[[#This Row],[Order Date]], "mmmm")</f>
        <v>February</v>
      </c>
      <c r="Z78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87" t="str">
        <f>Orders[[#This Row],[Coffee Type Name]] &amp; "-" &amp; Orders[[#This Row],[Roast Type Name]]</f>
        <v>Excelsa-Dark</v>
      </c>
      <c r="AB78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788" spans="1:28" x14ac:dyDescent="0.25">
      <c r="A788" s="2" t="s">
        <v>5351</v>
      </c>
      <c r="B788" s="4">
        <v>44707</v>
      </c>
      <c r="C788" s="2" t="s">
        <v>5352</v>
      </c>
      <c r="D788" t="s">
        <v>6175</v>
      </c>
      <c r="E788" s="2">
        <v>1</v>
      </c>
      <c r="F788" s="2" t="str">
        <f>_xlfn.XLOOKUP(C788,customers!$A$1:$A$1001,customers!$B$1:$B$1001,,0)</f>
        <v>Cece Inker</v>
      </c>
      <c r="G788" s="2" t="str">
        <f>IF(_xlfn.XLOOKUP(C788,customers!$A$1:$A$1001,customers!$C$1:$C$1001,,0)=0,"",_xlfn.XLOOKUP(C788,customers!$A$1:$A$1001,customers!$C$1:$C$1001,,0))</f>
        <v/>
      </c>
      <c r="H788" s="2" t="str">
        <f>_xlfn.XLOOKUP(C788,customers!$A$1:$A$1001,customers!$G$1:$G$1001,,0)</f>
        <v>United States</v>
      </c>
      <c r="I788" t="str">
        <f>INDEX(products!$A$1:$G$49, MATCH(orders!$D862,products!$A$1:$A909,0), MATCH(orders!I$1,products!$A$1:$G$1,0))</f>
        <v>Ara</v>
      </c>
      <c r="J788" t="str">
        <f>INDEX(products!$A$1:$G$49, MATCH(orders!$D862,products!$A$1:$A909,0), MATCH(orders!J$1,products!$A$1:$G$1,0))</f>
        <v>M</v>
      </c>
      <c r="K788" s="5">
        <f>INDEX(products!$A$1:$G$49, MATCH(orders!$D862,products!$A$1:$A909,0), MATCH(orders!K$1,products!$A$1:$G$1,0))</f>
        <v>2.5</v>
      </c>
      <c r="L788" s="6">
        <f>INDEX(products!$A$1:$G$49, MATCH(orders!$D862,products!$A$1:$A909,0), MATCH(orders!L$1,products!$A$1:$G$1,0))</f>
        <v>25.874999999999996</v>
      </c>
      <c r="M788" s="6">
        <f t="shared" si="36"/>
        <v>25.874999999999996</v>
      </c>
      <c r="N788" t="str">
        <f t="shared" si="37"/>
        <v>Arabica</v>
      </c>
      <c r="O788" t="str">
        <f t="shared" si="38"/>
        <v>Medium</v>
      </c>
      <c r="P788" t="str">
        <f>_xlfn.XLOOKUP(Orders[[#This Row],[Customer ID]],customers!$A$1:$A$1001,customers!$I$1:$I$1001,,0)</f>
        <v>No</v>
      </c>
      <c r="Q788">
        <f>COUNTIF(Orders[Order ID],Orders[[#This Row],[Order ID]])</f>
        <v>1</v>
      </c>
      <c r="R788" s="10">
        <f>SUMIF(Orders[Order ID], Orders[[#This Row],[Order ID]],Orders[Sales])/Orders[[#This Row],[Order Frequency]]</f>
        <v>25.874999999999996</v>
      </c>
      <c r="S788" t="str">
        <f>IF(Orders[[#This Row],[Order Frequency]]&gt;4, "More than 4", IF(AND(Orders[[#This Row],[Order Frequency]]&lt;=4,Orders[[#This Row],[Order Frequency]]&gt;=2), "Between 4 and 2", "Less than 2"))</f>
        <v>Less than 2</v>
      </c>
      <c r="T788" t="str">
        <f>IF(Orders[[#This Row],[Frequency Group]]="less than 2", "Low Value", IF(Orders[[#This Row],[Frequency Group]]="between 4 and 2", "Medium Value", "High Value"))</f>
        <v>Low Value</v>
      </c>
      <c r="U788" t="str">
        <f>IF(Orders[[#This Row],[Sales]]&lt;50, "$0-50", IF(AND(Orders[[#This Row],[Sales]]&gt;=50,Orders[[#This Row],[Sales]]&lt;=100), "$50-100", IF(AND(Orders[[#This Row],[Sales]]&gt;100,Orders[[#This Row],[Sales]]&lt;=150), "$101-150", "$150+")))</f>
        <v>$0-50</v>
      </c>
      <c r="V788" t="str">
        <f>IF(Orders[[#This Row],[Sales]]&gt;MEDIAN(M:M), "High Price", "Low Price")</f>
        <v>Low Price</v>
      </c>
      <c r="W788" t="str">
        <f>IF(Orders[[#This Row],[Quantity]]&gt;MEDIAN(E:E), "High Volume", "Low Volume")</f>
        <v>Low Volume</v>
      </c>
      <c r="X788" t="str">
        <f>Orders[[#This Row],[Sales Tier]] &amp; "-" &amp; Orders[[#This Row],[Quantity Tier]]</f>
        <v>Low Price-Low Volume</v>
      </c>
      <c r="Y788" t="str">
        <f>TEXT(Orders[[#This Row],[Order Date]], "mmmm")</f>
        <v>May</v>
      </c>
      <c r="Z78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788" t="str">
        <f>Orders[[#This Row],[Coffee Type Name]] &amp; "-" &amp; Orders[[#This Row],[Roast Type Name]]</f>
        <v>Arabica-Medium</v>
      </c>
      <c r="AB78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789" spans="1:28" x14ac:dyDescent="0.25">
      <c r="A789" s="2" t="s">
        <v>2291</v>
      </c>
      <c r="B789" s="4">
        <v>43676</v>
      </c>
      <c r="C789" s="2" t="s">
        <v>2292</v>
      </c>
      <c r="D789" t="s">
        <v>6156</v>
      </c>
      <c r="E789" s="2">
        <v>2</v>
      </c>
      <c r="F789" s="2" t="str">
        <f>_xlfn.XLOOKUP(C789,customers!$A$1:$A$1001,customers!$B$1:$B$1001,,0)</f>
        <v>Gabie Tweed</v>
      </c>
      <c r="G789" s="2" t="str">
        <f>IF(_xlfn.XLOOKUP(C789,customers!$A$1:$A$1001,customers!$C$1:$C$1001,,0)=0,"",_xlfn.XLOOKUP(C789,customers!$A$1:$A$1001,customers!$C$1:$C$1001,,0))</f>
        <v>gtweed8v@yolasite.com</v>
      </c>
      <c r="H789" s="2" t="str">
        <f>_xlfn.XLOOKUP(C789,customers!$A$1:$A$1001,customers!$G$1:$G$1001,,0)</f>
        <v>United States</v>
      </c>
      <c r="I789" t="str">
        <f>INDEX(products!$A$1:$G$49, MATCH(orders!$D321,products!$A$1:$A368,0), MATCH(orders!I$1,products!$A$1:$G$1,0))</f>
        <v>Exc</v>
      </c>
      <c r="J789" t="str">
        <f>INDEX(products!$A$1:$G$49, MATCH(orders!$D321,products!$A$1:$A368,0), MATCH(orders!J$1,products!$A$1:$G$1,0))</f>
        <v>M</v>
      </c>
      <c r="K789" s="5">
        <f>INDEX(products!$A$1:$G$49, MATCH(orders!$D321,products!$A$1:$A368,0), MATCH(orders!K$1,products!$A$1:$G$1,0))</f>
        <v>0.2</v>
      </c>
      <c r="L789" s="6">
        <f>INDEX(products!$A$1:$G$49, MATCH(orders!$D321,products!$A$1:$A368,0), MATCH(orders!L$1,products!$A$1:$G$1,0))</f>
        <v>4.125</v>
      </c>
      <c r="M789" s="6">
        <f t="shared" si="36"/>
        <v>8.25</v>
      </c>
      <c r="N789" t="str">
        <f t="shared" si="37"/>
        <v>Excelsa</v>
      </c>
      <c r="O789" t="str">
        <f t="shared" si="38"/>
        <v>Medium</v>
      </c>
      <c r="P789" t="str">
        <f>_xlfn.XLOOKUP(Orders[[#This Row],[Customer ID]],customers!$A$1:$A$1001,customers!$I$1:$I$1001,,0)</f>
        <v>Yes</v>
      </c>
      <c r="Q789">
        <f>COUNTIF(Orders[Order ID],Orders[[#This Row],[Order ID]])</f>
        <v>2</v>
      </c>
      <c r="R789" s="10">
        <f>SUMIF(Orders[Order ID], Orders[[#This Row],[Order ID]],Orders[Sales])/Orders[[#This Row],[Order Frequency]]</f>
        <v>13.837499999999999</v>
      </c>
      <c r="S789" t="str">
        <f>IF(Orders[[#This Row],[Order Frequency]]&gt;4, "More than 4", IF(AND(Orders[[#This Row],[Order Frequency]]&lt;=4,Orders[[#This Row],[Order Frequency]]&gt;=2), "Between 4 and 2", "Less than 2"))</f>
        <v>Between 4 and 2</v>
      </c>
      <c r="T789" t="str">
        <f>IF(Orders[[#This Row],[Frequency Group]]="less than 2", "Low Value", IF(Orders[[#This Row],[Frequency Group]]="between 4 and 2", "Medium Value", "High Value"))</f>
        <v>Medium Value</v>
      </c>
      <c r="U789" t="str">
        <f>IF(Orders[[#This Row],[Sales]]&lt;50, "$0-50", IF(AND(Orders[[#This Row],[Sales]]&gt;=50,Orders[[#This Row],[Sales]]&lt;=100), "$50-100", IF(AND(Orders[[#This Row],[Sales]]&gt;100,Orders[[#This Row],[Sales]]&lt;=150), "$101-150", "$150+")))</f>
        <v>$0-50</v>
      </c>
      <c r="V789" t="str">
        <f>IF(Orders[[#This Row],[Sales]]&gt;MEDIAN(M:M), "High Price", "Low Price")</f>
        <v>Low Price</v>
      </c>
      <c r="W789" t="str">
        <f>IF(Orders[[#This Row],[Quantity]]&gt;MEDIAN(E:E), "High Volume", "Low Volume")</f>
        <v>Low Volume</v>
      </c>
      <c r="X789" t="str">
        <f>Orders[[#This Row],[Sales Tier]] &amp; "-" &amp; Orders[[#This Row],[Quantity Tier]]</f>
        <v>Low Price-Low Volume</v>
      </c>
      <c r="Y789" t="str">
        <f>TEXT(Orders[[#This Row],[Order Date]], "mmmm")</f>
        <v>July</v>
      </c>
      <c r="Z78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789" t="str">
        <f>Orders[[#This Row],[Coffee Type Name]] &amp; "-" &amp; Orders[[#This Row],[Roast Type Name]]</f>
        <v>Excelsa-Medium</v>
      </c>
      <c r="AB78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790" spans="1:28" x14ac:dyDescent="0.25">
      <c r="A790" s="2" t="s">
        <v>2291</v>
      </c>
      <c r="B790" s="4">
        <v>43676</v>
      </c>
      <c r="C790" s="2" t="s">
        <v>2292</v>
      </c>
      <c r="D790" t="s">
        <v>6167</v>
      </c>
      <c r="E790" s="2">
        <v>5</v>
      </c>
      <c r="F790" s="2" t="str">
        <f>_xlfn.XLOOKUP(C790,customers!$A$1:$A$1001,customers!$B$1:$B$1001,,0)</f>
        <v>Gabie Tweed</v>
      </c>
      <c r="G790" s="2" t="str">
        <f>IF(_xlfn.XLOOKUP(C790,customers!$A$1:$A$1001,customers!$C$1:$C$1001,,0)=0,"",_xlfn.XLOOKUP(C790,customers!$A$1:$A$1001,customers!$C$1:$C$1001,,0))</f>
        <v>gtweed8v@yolasite.com</v>
      </c>
      <c r="H790" s="2" t="str">
        <f>_xlfn.XLOOKUP(C790,customers!$A$1:$A$1001,customers!$G$1:$G$1001,,0)</f>
        <v>United States</v>
      </c>
      <c r="I790" t="str">
        <f>INDEX(products!$A$1:$G$49, MATCH(orders!$D322,products!$A$1:$A369,0), MATCH(orders!I$1,products!$A$1:$G$1,0))</f>
        <v>Ara</v>
      </c>
      <c r="J790" t="str">
        <f>INDEX(products!$A$1:$G$49, MATCH(orders!$D322,products!$A$1:$A369,0), MATCH(orders!J$1,products!$A$1:$G$1,0))</f>
        <v>L</v>
      </c>
      <c r="K790" s="5">
        <f>INDEX(products!$A$1:$G$49, MATCH(orders!$D322,products!$A$1:$A369,0), MATCH(orders!K$1,products!$A$1:$G$1,0))</f>
        <v>0.2</v>
      </c>
      <c r="L790" s="6">
        <f>INDEX(products!$A$1:$G$49, MATCH(orders!$D322,products!$A$1:$A369,0), MATCH(orders!L$1,products!$A$1:$G$1,0))</f>
        <v>3.8849999999999998</v>
      </c>
      <c r="M790" s="6">
        <f t="shared" si="36"/>
        <v>19.424999999999997</v>
      </c>
      <c r="N790" t="str">
        <f t="shared" si="37"/>
        <v>Arabica</v>
      </c>
      <c r="O790" t="str">
        <f t="shared" si="38"/>
        <v>Light</v>
      </c>
      <c r="P790" t="str">
        <f>_xlfn.XLOOKUP(Orders[[#This Row],[Customer ID]],customers!$A$1:$A$1001,customers!$I$1:$I$1001,,0)</f>
        <v>Yes</v>
      </c>
      <c r="Q790">
        <f>COUNTIF(Orders[Order ID],Orders[[#This Row],[Order ID]])</f>
        <v>2</v>
      </c>
      <c r="R790" s="10">
        <f>SUMIF(Orders[Order ID], Orders[[#This Row],[Order ID]],Orders[Sales])/Orders[[#This Row],[Order Frequency]]</f>
        <v>13.837499999999999</v>
      </c>
      <c r="S790" t="str">
        <f>IF(Orders[[#This Row],[Order Frequency]]&gt;4, "More than 4", IF(AND(Orders[[#This Row],[Order Frequency]]&lt;=4,Orders[[#This Row],[Order Frequency]]&gt;=2), "Between 4 and 2", "Less than 2"))</f>
        <v>Between 4 and 2</v>
      </c>
      <c r="T790" t="str">
        <f>IF(Orders[[#This Row],[Frequency Group]]="less than 2", "Low Value", IF(Orders[[#This Row],[Frequency Group]]="between 4 and 2", "Medium Value", "High Value"))</f>
        <v>Medium Value</v>
      </c>
      <c r="U790" t="str">
        <f>IF(Orders[[#This Row],[Sales]]&lt;50, "$0-50", IF(AND(Orders[[#This Row],[Sales]]&gt;=50,Orders[[#This Row],[Sales]]&lt;=100), "$50-100", IF(AND(Orders[[#This Row],[Sales]]&gt;100,Orders[[#This Row],[Sales]]&lt;=150), "$101-150", "$150+")))</f>
        <v>$0-50</v>
      </c>
      <c r="V790" t="str">
        <f>IF(Orders[[#This Row],[Sales]]&gt;MEDIAN(M:M), "High Price", "Low Price")</f>
        <v>Low Price</v>
      </c>
      <c r="W790" t="str">
        <f>IF(Orders[[#This Row],[Quantity]]&gt;MEDIAN(E:E), "High Volume", "Low Volume")</f>
        <v>High Volume</v>
      </c>
      <c r="X790" t="str">
        <f>Orders[[#This Row],[Sales Tier]] &amp; "-" &amp; Orders[[#This Row],[Quantity Tier]]</f>
        <v>Low Price-High Volume</v>
      </c>
      <c r="Y790" t="str">
        <f>TEXT(Orders[[#This Row],[Order Date]], "mmmm")</f>
        <v>July</v>
      </c>
      <c r="Z79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790" t="str">
        <f>Orders[[#This Row],[Coffee Type Name]] &amp; "-" &amp; Orders[[#This Row],[Roast Type Name]]</f>
        <v>Arabica-Light</v>
      </c>
      <c r="AB79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791" spans="1:28" x14ac:dyDescent="0.25">
      <c r="A791" s="2" t="s">
        <v>4991</v>
      </c>
      <c r="B791" s="4">
        <v>44533</v>
      </c>
      <c r="C791" s="2" t="s">
        <v>4992</v>
      </c>
      <c r="D791" t="s">
        <v>6161</v>
      </c>
      <c r="E791" s="2">
        <v>1</v>
      </c>
      <c r="F791" s="2" t="str">
        <f>_xlfn.XLOOKUP(C791,customers!$A$1:$A$1001,customers!$B$1:$B$1001,,0)</f>
        <v>Merell Zanazzi</v>
      </c>
      <c r="G791" s="2" t="str">
        <f>IF(_xlfn.XLOOKUP(C791,customers!$A$1:$A$1001,customers!$C$1:$C$1001,,0)=0,"",_xlfn.XLOOKUP(C791,customers!$A$1:$A$1001,customers!$C$1:$C$1001,,0))</f>
        <v/>
      </c>
      <c r="H791" s="2" t="str">
        <f>_xlfn.XLOOKUP(C791,customers!$A$1:$A$1001,customers!$G$1:$G$1001,,0)</f>
        <v>United States</v>
      </c>
      <c r="I791" t="str">
        <f>INDEX(products!$A$1:$G$49, MATCH(orders!$D798,products!$A$1:$A845,0), MATCH(orders!I$1,products!$A$1:$G$1,0))</f>
        <v>Lib</v>
      </c>
      <c r="J791" t="str">
        <f>INDEX(products!$A$1:$G$49, MATCH(orders!$D798,products!$A$1:$A845,0), MATCH(orders!J$1,products!$A$1:$G$1,0))</f>
        <v>L</v>
      </c>
      <c r="K791" s="5">
        <f>INDEX(products!$A$1:$G$49, MATCH(orders!$D798,products!$A$1:$A845,0), MATCH(orders!K$1,products!$A$1:$G$1,0))</f>
        <v>0.5</v>
      </c>
      <c r="L791" s="6">
        <f>INDEX(products!$A$1:$G$49, MATCH(orders!$D798,products!$A$1:$A845,0), MATCH(orders!L$1,products!$A$1:$G$1,0))</f>
        <v>9.51</v>
      </c>
      <c r="M791" s="6">
        <f t="shared" si="36"/>
        <v>9.51</v>
      </c>
      <c r="N791" t="str">
        <f t="shared" si="37"/>
        <v>Liberica</v>
      </c>
      <c r="O791" t="str">
        <f t="shared" si="38"/>
        <v>Light</v>
      </c>
      <c r="P791" t="str">
        <f>_xlfn.XLOOKUP(Orders[[#This Row],[Customer ID]],customers!$A$1:$A$1001,customers!$I$1:$I$1001,,0)</f>
        <v>No</v>
      </c>
      <c r="Q791">
        <f>COUNTIF(Orders[Order ID],Orders[[#This Row],[Order ID]])</f>
        <v>1</v>
      </c>
      <c r="R791" s="10">
        <f>SUMIF(Orders[Order ID], Orders[[#This Row],[Order ID]],Orders[Sales])/Orders[[#This Row],[Order Frequency]]</f>
        <v>9.51</v>
      </c>
      <c r="S791" t="str">
        <f>IF(Orders[[#This Row],[Order Frequency]]&gt;4, "More than 4", IF(AND(Orders[[#This Row],[Order Frequency]]&lt;=4,Orders[[#This Row],[Order Frequency]]&gt;=2), "Between 4 and 2", "Less than 2"))</f>
        <v>Less than 2</v>
      </c>
      <c r="T791" t="str">
        <f>IF(Orders[[#This Row],[Frequency Group]]="less than 2", "Low Value", IF(Orders[[#This Row],[Frequency Group]]="between 4 and 2", "Medium Value", "High Value"))</f>
        <v>Low Value</v>
      </c>
      <c r="U791" t="str">
        <f>IF(Orders[[#This Row],[Sales]]&lt;50, "$0-50", IF(AND(Orders[[#This Row],[Sales]]&gt;=50,Orders[[#This Row],[Sales]]&lt;=100), "$50-100", IF(AND(Orders[[#This Row],[Sales]]&gt;100,Orders[[#This Row],[Sales]]&lt;=150), "$101-150", "$150+")))</f>
        <v>$0-50</v>
      </c>
      <c r="V791" t="str">
        <f>IF(Orders[[#This Row],[Sales]]&gt;MEDIAN(M:M), "High Price", "Low Price")</f>
        <v>Low Price</v>
      </c>
      <c r="W791" t="str">
        <f>IF(Orders[[#This Row],[Quantity]]&gt;MEDIAN(E:E), "High Volume", "Low Volume")</f>
        <v>Low Volume</v>
      </c>
      <c r="X791" t="str">
        <f>Orders[[#This Row],[Sales Tier]] &amp; "-" &amp; Orders[[#This Row],[Quantity Tier]]</f>
        <v>Low Price-Low Volume</v>
      </c>
      <c r="Y791" t="str">
        <f>TEXT(Orders[[#This Row],[Order Date]], "mmmm")</f>
        <v>December</v>
      </c>
      <c r="Z79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791" t="str">
        <f>Orders[[#This Row],[Coffee Type Name]] &amp; "-" &amp; Orders[[#This Row],[Roast Type Name]]</f>
        <v>Liberica-Light</v>
      </c>
      <c r="AB79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792" spans="1:28" x14ac:dyDescent="0.25">
      <c r="A792" s="2" t="s">
        <v>5228</v>
      </c>
      <c r="B792" s="4">
        <v>44755</v>
      </c>
      <c r="C792" s="2" t="s">
        <v>5229</v>
      </c>
      <c r="D792" t="s">
        <v>6168</v>
      </c>
      <c r="E792" s="2">
        <v>5</v>
      </c>
      <c r="F792" s="2" t="str">
        <f>_xlfn.XLOOKUP(C792,customers!$A$1:$A$1001,customers!$B$1:$B$1001,,0)</f>
        <v>Romain Avrashin</v>
      </c>
      <c r="G792" s="2" t="str">
        <f>IF(_xlfn.XLOOKUP(C792,customers!$A$1:$A$1001,customers!$C$1:$C$1001,,0)=0,"",_xlfn.XLOOKUP(C792,customers!$A$1:$A$1001,customers!$C$1:$C$1001,,0))</f>
        <v>ravrashinna@tamu.edu</v>
      </c>
      <c r="H792" s="2" t="str">
        <f>_xlfn.XLOOKUP(C792,customers!$A$1:$A$1001,customers!$G$1:$G$1001,,0)</f>
        <v>United States</v>
      </c>
      <c r="I792" t="str">
        <f>INDEX(products!$A$1:$G$49, MATCH(orders!$D840,products!$A$1:$A887,0), MATCH(orders!I$1,products!$A$1:$G$1,0))</f>
        <v>Ara</v>
      </c>
      <c r="J792" t="str">
        <f>INDEX(products!$A$1:$G$49, MATCH(orders!$D840,products!$A$1:$A887,0), MATCH(orders!J$1,products!$A$1:$G$1,0))</f>
        <v>D</v>
      </c>
      <c r="K792" s="5">
        <f>INDEX(products!$A$1:$G$49, MATCH(orders!$D840,products!$A$1:$A887,0), MATCH(orders!K$1,products!$A$1:$G$1,0))</f>
        <v>2.5</v>
      </c>
      <c r="L792" s="6">
        <f>INDEX(products!$A$1:$G$49, MATCH(orders!$D840,products!$A$1:$A887,0), MATCH(orders!L$1,products!$A$1:$G$1,0))</f>
        <v>22.884999999999998</v>
      </c>
      <c r="M792" s="6">
        <f t="shared" si="36"/>
        <v>114.42499999999998</v>
      </c>
      <c r="N792" t="str">
        <f t="shared" si="37"/>
        <v>Arabica</v>
      </c>
      <c r="O792" t="str">
        <f t="shared" si="38"/>
        <v>Dark</v>
      </c>
      <c r="P792" t="str">
        <f>_xlfn.XLOOKUP(Orders[[#This Row],[Customer ID]],customers!$A$1:$A$1001,customers!$I$1:$I$1001,,0)</f>
        <v>No</v>
      </c>
      <c r="Q792">
        <f>COUNTIF(Orders[Order ID],Orders[[#This Row],[Order ID]])</f>
        <v>1</v>
      </c>
      <c r="R792" s="10">
        <f>SUMIF(Orders[Order ID], Orders[[#This Row],[Order ID]],Orders[Sales])/Orders[[#This Row],[Order Frequency]]</f>
        <v>114.42499999999998</v>
      </c>
      <c r="S792" t="str">
        <f>IF(Orders[[#This Row],[Order Frequency]]&gt;4, "More than 4", IF(AND(Orders[[#This Row],[Order Frequency]]&lt;=4,Orders[[#This Row],[Order Frequency]]&gt;=2), "Between 4 and 2", "Less than 2"))</f>
        <v>Less than 2</v>
      </c>
      <c r="T792" t="str">
        <f>IF(Orders[[#This Row],[Frequency Group]]="less than 2", "Low Value", IF(Orders[[#This Row],[Frequency Group]]="between 4 and 2", "Medium Value", "High Value"))</f>
        <v>Low Value</v>
      </c>
      <c r="U792" t="str">
        <f>IF(Orders[[#This Row],[Sales]]&lt;50, "$0-50", IF(AND(Orders[[#This Row],[Sales]]&gt;=50,Orders[[#This Row],[Sales]]&lt;=100), "$50-100", IF(AND(Orders[[#This Row],[Sales]]&gt;100,Orders[[#This Row],[Sales]]&lt;=150), "$101-150", "$150+")))</f>
        <v>$101-150</v>
      </c>
      <c r="V792" t="str">
        <f>IF(Orders[[#This Row],[Sales]]&gt;MEDIAN(M:M), "High Price", "Low Price")</f>
        <v>High Price</v>
      </c>
      <c r="W792" t="str">
        <f>IF(Orders[[#This Row],[Quantity]]&gt;MEDIAN(E:E), "High Volume", "Low Volume")</f>
        <v>High Volume</v>
      </c>
      <c r="X792" t="str">
        <f>Orders[[#This Row],[Sales Tier]] &amp; "-" &amp; Orders[[#This Row],[Quantity Tier]]</f>
        <v>High Price-High Volume</v>
      </c>
      <c r="Y792" t="str">
        <f>TEXT(Orders[[#This Row],[Order Date]], "mmmm")</f>
        <v>July</v>
      </c>
      <c r="Z79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792" t="str">
        <f>Orders[[#This Row],[Coffee Type Name]] &amp; "-" &amp; Orders[[#This Row],[Roast Type Name]]</f>
        <v>Arabica-Dark</v>
      </c>
      <c r="AB79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793" spans="1:28" x14ac:dyDescent="0.25">
      <c r="A793" s="2" t="s">
        <v>3053</v>
      </c>
      <c r="B793" s="4">
        <v>44421</v>
      </c>
      <c r="C793" s="2" t="s">
        <v>3054</v>
      </c>
      <c r="D793" t="s">
        <v>6149</v>
      </c>
      <c r="E793" s="2">
        <v>4</v>
      </c>
      <c r="F793" s="2" t="str">
        <f>_xlfn.XLOOKUP(C793,customers!$A$1:$A$1001,customers!$B$1:$B$1001,,0)</f>
        <v>Reube Cawley</v>
      </c>
      <c r="G793" s="2" t="str">
        <f>IF(_xlfn.XLOOKUP(C793,customers!$A$1:$A$1001,customers!$C$1:$C$1001,,0)=0,"",_xlfn.XLOOKUP(C793,customers!$A$1:$A$1001,customers!$C$1:$C$1001,,0))</f>
        <v>rcawleycm@yellowbook.com</v>
      </c>
      <c r="H793" s="2" t="str">
        <f>_xlfn.XLOOKUP(C793,customers!$A$1:$A$1001,customers!$G$1:$G$1001,,0)</f>
        <v>Ireland</v>
      </c>
      <c r="I793" t="str">
        <f>INDEX(products!$A$1:$G$49, MATCH(orders!$D456,products!$A$1:$A503,0), MATCH(orders!I$1,products!$A$1:$G$1,0))</f>
        <v>Rob</v>
      </c>
      <c r="J793" t="str">
        <f>INDEX(products!$A$1:$G$49, MATCH(orders!$D456,products!$A$1:$A503,0), MATCH(orders!J$1,products!$A$1:$G$1,0))</f>
        <v>D</v>
      </c>
      <c r="K793" s="5">
        <f>INDEX(products!$A$1:$G$49, MATCH(orders!$D456,products!$A$1:$A503,0), MATCH(orders!K$1,products!$A$1:$G$1,0))</f>
        <v>2.5</v>
      </c>
      <c r="L793" s="6">
        <f>INDEX(products!$A$1:$G$49, MATCH(orders!$D456,products!$A$1:$A503,0), MATCH(orders!L$1,products!$A$1:$G$1,0))</f>
        <v>20.584999999999997</v>
      </c>
      <c r="M793" s="6">
        <f t="shared" si="36"/>
        <v>82.339999999999989</v>
      </c>
      <c r="N793" t="str">
        <f t="shared" si="37"/>
        <v>Robusta</v>
      </c>
      <c r="O793" t="str">
        <f t="shared" si="38"/>
        <v>Dark</v>
      </c>
      <c r="P793" t="str">
        <f>_xlfn.XLOOKUP(Orders[[#This Row],[Customer ID]],customers!$A$1:$A$1001,customers!$I$1:$I$1001,,0)</f>
        <v>Yes</v>
      </c>
      <c r="Q793">
        <f>COUNTIF(Orders[Order ID],Orders[[#This Row],[Order ID]])</f>
        <v>1</v>
      </c>
      <c r="R793" s="10">
        <f>SUMIF(Orders[Order ID], Orders[[#This Row],[Order ID]],Orders[Sales])/Orders[[#This Row],[Order Frequency]]</f>
        <v>82.339999999999989</v>
      </c>
      <c r="S793" t="str">
        <f>IF(Orders[[#This Row],[Order Frequency]]&gt;4, "More than 4", IF(AND(Orders[[#This Row],[Order Frequency]]&lt;=4,Orders[[#This Row],[Order Frequency]]&gt;=2), "Between 4 and 2", "Less than 2"))</f>
        <v>Less than 2</v>
      </c>
      <c r="T793" t="str">
        <f>IF(Orders[[#This Row],[Frequency Group]]="less than 2", "Low Value", IF(Orders[[#This Row],[Frequency Group]]="between 4 and 2", "Medium Value", "High Value"))</f>
        <v>Low Value</v>
      </c>
      <c r="U793" t="str">
        <f>IF(Orders[[#This Row],[Sales]]&lt;50, "$0-50", IF(AND(Orders[[#This Row],[Sales]]&gt;=50,Orders[[#This Row],[Sales]]&lt;=100), "$50-100", IF(AND(Orders[[#This Row],[Sales]]&gt;100,Orders[[#This Row],[Sales]]&lt;=150), "$101-150", "$150+")))</f>
        <v>$50-100</v>
      </c>
      <c r="V793" t="str">
        <f>IF(Orders[[#This Row],[Sales]]&gt;MEDIAN(M:M), "High Price", "Low Price")</f>
        <v>High Price</v>
      </c>
      <c r="W793" t="str">
        <f>IF(Orders[[#This Row],[Quantity]]&gt;MEDIAN(E:E), "High Volume", "Low Volume")</f>
        <v>Low Volume</v>
      </c>
      <c r="X793" t="str">
        <f>Orders[[#This Row],[Sales Tier]] &amp; "-" &amp; Orders[[#This Row],[Quantity Tier]]</f>
        <v>High Price-Low Volume</v>
      </c>
      <c r="Y793" t="str">
        <f>TEXT(Orders[[#This Row],[Order Date]], "mmmm")</f>
        <v>August</v>
      </c>
      <c r="Z79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793" t="str">
        <f>Orders[[#This Row],[Coffee Type Name]] &amp; "-" &amp; Orders[[#This Row],[Roast Type Name]]</f>
        <v>Robusta-Dark</v>
      </c>
      <c r="AB79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794" spans="1:28" x14ac:dyDescent="0.25">
      <c r="A794" s="2" t="s">
        <v>2153</v>
      </c>
      <c r="B794" s="4">
        <v>44057</v>
      </c>
      <c r="C794" s="2" t="s">
        <v>2154</v>
      </c>
      <c r="D794" t="s">
        <v>6141</v>
      </c>
      <c r="E794" s="2">
        <v>2</v>
      </c>
      <c r="F794" s="2" t="str">
        <f>_xlfn.XLOOKUP(C794,customers!$A$1:$A$1001,customers!$B$1:$B$1001,,0)</f>
        <v>Cybill Graddell</v>
      </c>
      <c r="G794" s="2" t="str">
        <f>IF(_xlfn.XLOOKUP(C794,customers!$A$1:$A$1001,customers!$C$1:$C$1001,,0)=0,"",_xlfn.XLOOKUP(C794,customers!$A$1:$A$1001,customers!$C$1:$C$1001,,0))</f>
        <v/>
      </c>
      <c r="H794" s="2" t="str">
        <f>_xlfn.XLOOKUP(C794,customers!$A$1:$A$1001,customers!$G$1:$G$1001,,0)</f>
        <v>United States</v>
      </c>
      <c r="I794" t="str">
        <f>INDEX(products!$A$1:$G$49, MATCH(orders!$D297,products!$A$1:$A344,0), MATCH(orders!I$1,products!$A$1:$G$1,0))</f>
        <v>Exc</v>
      </c>
      <c r="J794" t="str">
        <f>INDEX(products!$A$1:$G$49, MATCH(orders!$D297,products!$A$1:$A344,0), MATCH(orders!J$1,products!$A$1:$G$1,0))</f>
        <v>M</v>
      </c>
      <c r="K794" s="5">
        <f>INDEX(products!$A$1:$G$49, MATCH(orders!$D297,products!$A$1:$A344,0), MATCH(orders!K$1,products!$A$1:$G$1,0))</f>
        <v>1</v>
      </c>
      <c r="L794" s="6">
        <f>INDEX(products!$A$1:$G$49, MATCH(orders!$D297,products!$A$1:$A344,0), MATCH(orders!L$1,products!$A$1:$G$1,0))</f>
        <v>13.75</v>
      </c>
      <c r="M794" s="6">
        <f t="shared" si="36"/>
        <v>27.5</v>
      </c>
      <c r="N794" t="str">
        <f t="shared" si="37"/>
        <v>Excelsa</v>
      </c>
      <c r="O794" t="str">
        <f t="shared" si="38"/>
        <v>Medium</v>
      </c>
      <c r="P794" t="str">
        <f>_xlfn.XLOOKUP(Orders[[#This Row],[Customer ID]],customers!$A$1:$A$1001,customers!$I$1:$I$1001,,0)</f>
        <v>No</v>
      </c>
      <c r="Q794">
        <f>COUNTIF(Orders[Order ID],Orders[[#This Row],[Order ID]])</f>
        <v>1</v>
      </c>
      <c r="R794" s="10">
        <f>SUMIF(Orders[Order ID], Orders[[#This Row],[Order ID]],Orders[Sales])/Orders[[#This Row],[Order Frequency]]</f>
        <v>27.5</v>
      </c>
      <c r="S794" t="str">
        <f>IF(Orders[[#This Row],[Order Frequency]]&gt;4, "More than 4", IF(AND(Orders[[#This Row],[Order Frequency]]&lt;=4,Orders[[#This Row],[Order Frequency]]&gt;=2), "Between 4 and 2", "Less than 2"))</f>
        <v>Less than 2</v>
      </c>
      <c r="T794" t="str">
        <f>IF(Orders[[#This Row],[Frequency Group]]="less than 2", "Low Value", IF(Orders[[#This Row],[Frequency Group]]="between 4 and 2", "Medium Value", "High Value"))</f>
        <v>Low Value</v>
      </c>
      <c r="U794" t="str">
        <f>IF(Orders[[#This Row],[Sales]]&lt;50, "$0-50", IF(AND(Orders[[#This Row],[Sales]]&gt;=50,Orders[[#This Row],[Sales]]&lt;=100), "$50-100", IF(AND(Orders[[#This Row],[Sales]]&gt;100,Orders[[#This Row],[Sales]]&lt;=150), "$101-150", "$150+")))</f>
        <v>$0-50</v>
      </c>
      <c r="V794" t="str">
        <f>IF(Orders[[#This Row],[Sales]]&gt;MEDIAN(M:M), "High Price", "Low Price")</f>
        <v>Low Price</v>
      </c>
      <c r="W794" t="str">
        <f>IF(Orders[[#This Row],[Quantity]]&gt;MEDIAN(E:E), "High Volume", "Low Volume")</f>
        <v>Low Volume</v>
      </c>
      <c r="X794" t="str">
        <f>Orders[[#This Row],[Sales Tier]] &amp; "-" &amp; Orders[[#This Row],[Quantity Tier]]</f>
        <v>Low Price-Low Volume</v>
      </c>
      <c r="Y794" t="str">
        <f>TEXT(Orders[[#This Row],[Order Date]], "mmmm")</f>
        <v>August</v>
      </c>
      <c r="Z79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794" t="str">
        <f>Orders[[#This Row],[Coffee Type Name]] &amp; "-" &amp; Orders[[#This Row],[Roast Type Name]]</f>
        <v>Excelsa-Medium</v>
      </c>
      <c r="AB79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795" spans="1:28" x14ac:dyDescent="0.25">
      <c r="A795" s="2" t="s">
        <v>733</v>
      </c>
      <c r="B795" s="4">
        <v>44473</v>
      </c>
      <c r="C795" s="2" t="s">
        <v>734</v>
      </c>
      <c r="D795" t="s">
        <v>6164</v>
      </c>
      <c r="E795" s="2">
        <v>2</v>
      </c>
      <c r="F795" s="2" t="str">
        <f>_xlfn.XLOOKUP(C795,customers!$A$1:$A$1001,customers!$B$1:$B$1001,,0)</f>
        <v>Maurie Bartol</v>
      </c>
      <c r="G795" s="2" t="str">
        <f>IF(_xlfn.XLOOKUP(C795,customers!$A$1:$A$1001,customers!$C$1:$C$1001,,0)=0,"",_xlfn.XLOOKUP(C795,customers!$A$1:$A$1001,customers!$C$1:$C$1001,,0))</f>
        <v/>
      </c>
      <c r="H795" s="2" t="str">
        <f>_xlfn.XLOOKUP(C795,customers!$A$1:$A$1001,customers!$G$1:$G$1001,,0)</f>
        <v>United States</v>
      </c>
      <c r="I795" t="str">
        <f>INDEX(products!$A$1:$G$49, MATCH(orders!$D45,products!$A$1:$A92,0), MATCH(orders!I$1,products!$A$1:$G$1,0))</f>
        <v>Lib</v>
      </c>
      <c r="J795" t="str">
        <f>INDEX(products!$A$1:$G$49, MATCH(orders!$D45,products!$A$1:$A92,0), MATCH(orders!J$1,products!$A$1:$G$1,0))</f>
        <v>L</v>
      </c>
      <c r="K795" s="5">
        <f>INDEX(products!$A$1:$G$49, MATCH(orders!$D45,products!$A$1:$A92,0), MATCH(orders!K$1,products!$A$1:$G$1,0))</f>
        <v>2.5</v>
      </c>
      <c r="L795" s="6">
        <f>INDEX(products!$A$1:$G$49, MATCH(orders!$D45,products!$A$1:$A92,0), MATCH(orders!L$1,products!$A$1:$G$1,0))</f>
        <v>36.454999999999998</v>
      </c>
      <c r="M795" s="6">
        <f t="shared" si="36"/>
        <v>72.91</v>
      </c>
      <c r="N795" t="str">
        <f t="shared" si="37"/>
        <v>Liberica</v>
      </c>
      <c r="O795" t="str">
        <f t="shared" si="38"/>
        <v>Light</v>
      </c>
      <c r="P795" t="str">
        <f>_xlfn.XLOOKUP(Orders[[#This Row],[Customer ID]],customers!$A$1:$A$1001,customers!$I$1:$I$1001,,0)</f>
        <v>No</v>
      </c>
      <c r="Q795">
        <f>COUNTIF(Orders[Order ID],Orders[[#This Row],[Order ID]])</f>
        <v>1</v>
      </c>
      <c r="R795" s="10">
        <f>SUMIF(Orders[Order ID], Orders[[#This Row],[Order ID]],Orders[Sales])/Orders[[#This Row],[Order Frequency]]</f>
        <v>72.91</v>
      </c>
      <c r="S795" t="str">
        <f>IF(Orders[[#This Row],[Order Frequency]]&gt;4, "More than 4", IF(AND(Orders[[#This Row],[Order Frequency]]&lt;=4,Orders[[#This Row],[Order Frequency]]&gt;=2), "Between 4 and 2", "Less than 2"))</f>
        <v>Less than 2</v>
      </c>
      <c r="T795" t="str">
        <f>IF(Orders[[#This Row],[Frequency Group]]="less than 2", "Low Value", IF(Orders[[#This Row],[Frequency Group]]="between 4 and 2", "Medium Value", "High Value"))</f>
        <v>Low Value</v>
      </c>
      <c r="U795" t="str">
        <f>IF(Orders[[#This Row],[Sales]]&lt;50, "$0-50", IF(AND(Orders[[#This Row],[Sales]]&gt;=50,Orders[[#This Row],[Sales]]&lt;=100), "$50-100", IF(AND(Orders[[#This Row],[Sales]]&gt;100,Orders[[#This Row],[Sales]]&lt;=150), "$101-150", "$150+")))</f>
        <v>$50-100</v>
      </c>
      <c r="V795" t="str">
        <f>IF(Orders[[#This Row],[Sales]]&gt;MEDIAN(M:M), "High Price", "Low Price")</f>
        <v>High Price</v>
      </c>
      <c r="W795" t="str">
        <f>IF(Orders[[#This Row],[Quantity]]&gt;MEDIAN(E:E), "High Volume", "Low Volume")</f>
        <v>Low Volume</v>
      </c>
      <c r="X795" t="str">
        <f>Orders[[#This Row],[Sales Tier]] &amp; "-" &amp; Orders[[#This Row],[Quantity Tier]]</f>
        <v>High Price-Low Volume</v>
      </c>
      <c r="Y795" t="str">
        <f>TEXT(Orders[[#This Row],[Order Date]], "mmmm")</f>
        <v>October</v>
      </c>
      <c r="Z79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795" t="str">
        <f>Orders[[#This Row],[Coffee Type Name]] &amp; "-" &amp; Orders[[#This Row],[Roast Type Name]]</f>
        <v>Liberica-Light</v>
      </c>
      <c r="AB79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796" spans="1:28" x14ac:dyDescent="0.25">
      <c r="A796" s="2" t="s">
        <v>4286</v>
      </c>
      <c r="B796" s="4">
        <v>43916</v>
      </c>
      <c r="C796" s="2" t="s">
        <v>4287</v>
      </c>
      <c r="D796" t="s">
        <v>6160</v>
      </c>
      <c r="E796" s="2">
        <v>5</v>
      </c>
      <c r="F796" s="2" t="str">
        <f>_xlfn.XLOOKUP(C796,customers!$A$1:$A$1001,customers!$B$1:$B$1001,,0)</f>
        <v>Layne Imason</v>
      </c>
      <c r="G796" s="2" t="str">
        <f>IF(_xlfn.XLOOKUP(C796,customers!$A$1:$A$1001,customers!$C$1:$C$1001,,0)=0,"",_xlfn.XLOOKUP(C796,customers!$A$1:$A$1001,customers!$C$1:$C$1001,,0))</f>
        <v>limasonio@discuz.net</v>
      </c>
      <c r="H796" s="2" t="str">
        <f>_xlfn.XLOOKUP(C796,customers!$A$1:$A$1001,customers!$G$1:$G$1001,,0)</f>
        <v>United States</v>
      </c>
      <c r="I796" t="str">
        <f>INDEX(products!$A$1:$G$49, MATCH(orders!$D674,products!$A$1:$A721,0), MATCH(orders!I$1,products!$A$1:$G$1,0))</f>
        <v>Lib</v>
      </c>
      <c r="J796" t="str">
        <f>INDEX(products!$A$1:$G$49, MATCH(orders!$D674,products!$A$1:$A721,0), MATCH(orders!J$1,products!$A$1:$G$1,0))</f>
        <v>M</v>
      </c>
      <c r="K796" s="5">
        <f>INDEX(products!$A$1:$G$49, MATCH(orders!$D674,products!$A$1:$A721,0), MATCH(orders!K$1,products!$A$1:$G$1,0))</f>
        <v>0.5</v>
      </c>
      <c r="L796" s="6">
        <f>INDEX(products!$A$1:$G$49, MATCH(orders!$D674,products!$A$1:$A721,0), MATCH(orders!L$1,products!$A$1:$G$1,0))</f>
        <v>8.73</v>
      </c>
      <c r="M796" s="6">
        <f t="shared" si="36"/>
        <v>43.650000000000006</v>
      </c>
      <c r="N796" t="str">
        <f t="shared" si="37"/>
        <v>Liberica</v>
      </c>
      <c r="O796" t="str">
        <f t="shared" si="38"/>
        <v>Medium</v>
      </c>
      <c r="P796" t="str">
        <f>_xlfn.XLOOKUP(Orders[[#This Row],[Customer ID]],customers!$A$1:$A$1001,customers!$I$1:$I$1001,,0)</f>
        <v>Yes</v>
      </c>
      <c r="Q796">
        <f>COUNTIF(Orders[Order ID],Orders[[#This Row],[Order ID]])</f>
        <v>1</v>
      </c>
      <c r="R796" s="10">
        <f>SUMIF(Orders[Order ID], Orders[[#This Row],[Order ID]],Orders[Sales])/Orders[[#This Row],[Order Frequency]]</f>
        <v>43.650000000000006</v>
      </c>
      <c r="S796" t="str">
        <f>IF(Orders[[#This Row],[Order Frequency]]&gt;4, "More than 4", IF(AND(Orders[[#This Row],[Order Frequency]]&lt;=4,Orders[[#This Row],[Order Frequency]]&gt;=2), "Between 4 and 2", "Less than 2"))</f>
        <v>Less than 2</v>
      </c>
      <c r="T796" t="str">
        <f>IF(Orders[[#This Row],[Frequency Group]]="less than 2", "Low Value", IF(Orders[[#This Row],[Frequency Group]]="between 4 and 2", "Medium Value", "High Value"))</f>
        <v>Low Value</v>
      </c>
      <c r="U796" t="str">
        <f>IF(Orders[[#This Row],[Sales]]&lt;50, "$0-50", IF(AND(Orders[[#This Row],[Sales]]&gt;=50,Orders[[#This Row],[Sales]]&lt;=100), "$50-100", IF(AND(Orders[[#This Row],[Sales]]&gt;100,Orders[[#This Row],[Sales]]&lt;=150), "$101-150", "$150+")))</f>
        <v>$0-50</v>
      </c>
      <c r="V796" t="str">
        <f>IF(Orders[[#This Row],[Sales]]&gt;MEDIAN(M:M), "High Price", "Low Price")</f>
        <v>High Price</v>
      </c>
      <c r="W796" t="str">
        <f>IF(Orders[[#This Row],[Quantity]]&gt;MEDIAN(E:E), "High Volume", "Low Volume")</f>
        <v>High Volume</v>
      </c>
      <c r="X796" t="str">
        <f>Orders[[#This Row],[Sales Tier]] &amp; "-" &amp; Orders[[#This Row],[Quantity Tier]]</f>
        <v>High Price-High Volume</v>
      </c>
      <c r="Y796" t="str">
        <f>TEXT(Orders[[#This Row],[Order Date]], "mmmm")</f>
        <v>March</v>
      </c>
      <c r="Z79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96" t="str">
        <f>Orders[[#This Row],[Coffee Type Name]] &amp; "-" &amp; Orders[[#This Row],[Roast Type Name]]</f>
        <v>Liberica-Medium</v>
      </c>
      <c r="AB79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797" spans="1:28" x14ac:dyDescent="0.25">
      <c r="A797" s="2" t="s">
        <v>5012</v>
      </c>
      <c r="B797" s="4">
        <v>44240</v>
      </c>
      <c r="C797" s="2" t="s">
        <v>5013</v>
      </c>
      <c r="D797" t="s">
        <v>6163</v>
      </c>
      <c r="E797" s="2">
        <v>6</v>
      </c>
      <c r="F797" s="2" t="str">
        <f>_xlfn.XLOOKUP(C797,customers!$A$1:$A$1001,customers!$B$1:$B$1001,,0)</f>
        <v>Man Fright</v>
      </c>
      <c r="G797" s="2" t="str">
        <f>IF(_xlfn.XLOOKUP(C797,customers!$A$1:$A$1001,customers!$C$1:$C$1001,,0)=0,"",_xlfn.XLOOKUP(C797,customers!$A$1:$A$1001,customers!$C$1:$C$1001,,0))</f>
        <v>mfrightm8@harvard.edu</v>
      </c>
      <c r="H797" s="2" t="str">
        <f>_xlfn.XLOOKUP(C797,customers!$A$1:$A$1001,customers!$G$1:$G$1001,,0)</f>
        <v>Ireland</v>
      </c>
      <c r="I797" t="str">
        <f>INDEX(products!$A$1:$G$49, MATCH(orders!$D802,products!$A$1:$A849,0), MATCH(orders!I$1,products!$A$1:$G$1,0))</f>
        <v>Rob</v>
      </c>
      <c r="J797" t="str">
        <f>INDEX(products!$A$1:$G$49, MATCH(orders!$D802,products!$A$1:$A849,0), MATCH(orders!J$1,products!$A$1:$G$1,0))</f>
        <v>D</v>
      </c>
      <c r="K797" s="5">
        <f>INDEX(products!$A$1:$G$49, MATCH(orders!$D802,products!$A$1:$A849,0), MATCH(orders!K$1,products!$A$1:$G$1,0))</f>
        <v>0.2</v>
      </c>
      <c r="L797" s="6">
        <f>INDEX(products!$A$1:$G$49, MATCH(orders!$D802,products!$A$1:$A849,0), MATCH(orders!L$1,products!$A$1:$G$1,0))</f>
        <v>2.6849999999999996</v>
      </c>
      <c r="M797" s="6">
        <f t="shared" si="36"/>
        <v>16.11</v>
      </c>
      <c r="N797" t="str">
        <f t="shared" si="37"/>
        <v>Robusta</v>
      </c>
      <c r="O797" t="str">
        <f t="shared" si="38"/>
        <v>Dark</v>
      </c>
      <c r="P797" t="str">
        <f>_xlfn.XLOOKUP(Orders[[#This Row],[Customer ID]],customers!$A$1:$A$1001,customers!$I$1:$I$1001,,0)</f>
        <v>No</v>
      </c>
      <c r="Q797">
        <f>COUNTIF(Orders[Order ID],Orders[[#This Row],[Order ID]])</f>
        <v>1</v>
      </c>
      <c r="R797" s="10">
        <f>SUMIF(Orders[Order ID], Orders[[#This Row],[Order ID]],Orders[Sales])/Orders[[#This Row],[Order Frequency]]</f>
        <v>16.11</v>
      </c>
      <c r="S797" t="str">
        <f>IF(Orders[[#This Row],[Order Frequency]]&gt;4, "More than 4", IF(AND(Orders[[#This Row],[Order Frequency]]&lt;=4,Orders[[#This Row],[Order Frequency]]&gt;=2), "Between 4 and 2", "Less than 2"))</f>
        <v>Less than 2</v>
      </c>
      <c r="T797" t="str">
        <f>IF(Orders[[#This Row],[Frequency Group]]="less than 2", "Low Value", IF(Orders[[#This Row],[Frequency Group]]="between 4 and 2", "Medium Value", "High Value"))</f>
        <v>Low Value</v>
      </c>
      <c r="U797" t="str">
        <f>IF(Orders[[#This Row],[Sales]]&lt;50, "$0-50", IF(AND(Orders[[#This Row],[Sales]]&gt;=50,Orders[[#This Row],[Sales]]&lt;=100), "$50-100", IF(AND(Orders[[#This Row],[Sales]]&gt;100,Orders[[#This Row],[Sales]]&lt;=150), "$101-150", "$150+")))</f>
        <v>$0-50</v>
      </c>
      <c r="V797" t="str">
        <f>IF(Orders[[#This Row],[Sales]]&gt;MEDIAN(M:M), "High Price", "Low Price")</f>
        <v>Low Price</v>
      </c>
      <c r="W797" t="str">
        <f>IF(Orders[[#This Row],[Quantity]]&gt;MEDIAN(E:E), "High Volume", "Low Volume")</f>
        <v>High Volume</v>
      </c>
      <c r="X797" t="str">
        <f>Orders[[#This Row],[Sales Tier]] &amp; "-" &amp; Orders[[#This Row],[Quantity Tier]]</f>
        <v>Low Price-High Volume</v>
      </c>
      <c r="Y797" t="str">
        <f>TEXT(Orders[[#This Row],[Order Date]], "mmmm")</f>
        <v>February</v>
      </c>
      <c r="Z79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797" t="str">
        <f>Orders[[#This Row],[Coffee Type Name]] &amp; "-" &amp; Orders[[#This Row],[Roast Type Name]]</f>
        <v>Robusta-Dark</v>
      </c>
      <c r="AB79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798" spans="1:28" x14ac:dyDescent="0.25">
      <c r="A798" s="2" t="s">
        <v>6122</v>
      </c>
      <c r="B798" s="4">
        <v>43749</v>
      </c>
      <c r="C798" s="2" t="s">
        <v>6118</v>
      </c>
      <c r="D798" t="s">
        <v>6157</v>
      </c>
      <c r="E798" s="2">
        <v>4</v>
      </c>
      <c r="F798" s="2" t="str">
        <f>_xlfn.XLOOKUP(C798,customers!$A$1:$A$1001,customers!$B$1:$B$1001,,0)</f>
        <v>Marguerite Graves</v>
      </c>
      <c r="G798" s="2" t="str">
        <f>IF(_xlfn.XLOOKUP(C798,customers!$A$1:$A$1001,customers!$C$1:$C$1001,,0)=0,"",_xlfn.XLOOKUP(C798,customers!$A$1:$A$1001,customers!$C$1:$C$1001,,0))</f>
        <v/>
      </c>
      <c r="H798" s="2" t="str">
        <f>_xlfn.XLOOKUP(C798,customers!$A$1:$A$1001,customers!$G$1:$G$1001,,0)</f>
        <v>United States</v>
      </c>
      <c r="I798" t="str">
        <f>INDEX(products!$A$1:$G$49, MATCH(orders!$D999,products!$A$1:$A1046,0), MATCH(orders!I$1,products!$A$1:$G$1,0))</f>
        <v>Ara</v>
      </c>
      <c r="J798" t="str">
        <f>INDEX(products!$A$1:$G$49, MATCH(orders!$D999,products!$A$1:$A1046,0), MATCH(orders!J$1,products!$A$1:$G$1,0))</f>
        <v>M</v>
      </c>
      <c r="K798" s="5">
        <f>INDEX(products!$A$1:$G$49, MATCH(orders!$D999,products!$A$1:$A1046,0), MATCH(orders!K$1,products!$A$1:$G$1,0))</f>
        <v>0.5</v>
      </c>
      <c r="L798" s="6">
        <f>INDEX(products!$A$1:$G$49, MATCH(orders!$D999,products!$A$1:$A1046,0), MATCH(orders!L$1,products!$A$1:$G$1,0))</f>
        <v>6.75</v>
      </c>
      <c r="M798" s="6">
        <f t="shared" si="36"/>
        <v>27</v>
      </c>
      <c r="N798" t="str">
        <f t="shared" si="37"/>
        <v>Arabica</v>
      </c>
      <c r="O798" t="str">
        <f t="shared" si="38"/>
        <v>Medium</v>
      </c>
      <c r="P798" t="str">
        <f>_xlfn.XLOOKUP(Orders[[#This Row],[Customer ID]],customers!$A$1:$A$1001,customers!$I$1:$I$1001,,0)</f>
        <v>No</v>
      </c>
      <c r="Q798">
        <f>COUNTIF(Orders[Order ID],Orders[[#This Row],[Order ID]])</f>
        <v>1</v>
      </c>
      <c r="R798" s="10">
        <f>SUMIF(Orders[Order ID], Orders[[#This Row],[Order ID]],Orders[Sales])/Orders[[#This Row],[Order Frequency]]</f>
        <v>27</v>
      </c>
      <c r="S798" t="str">
        <f>IF(Orders[[#This Row],[Order Frequency]]&gt;4, "More than 4", IF(AND(Orders[[#This Row],[Order Frequency]]&lt;=4,Orders[[#This Row],[Order Frequency]]&gt;=2), "Between 4 and 2", "Less than 2"))</f>
        <v>Less than 2</v>
      </c>
      <c r="T798" t="str">
        <f>IF(Orders[[#This Row],[Frequency Group]]="less than 2", "Low Value", IF(Orders[[#This Row],[Frequency Group]]="between 4 and 2", "Medium Value", "High Value"))</f>
        <v>Low Value</v>
      </c>
      <c r="U798" t="str">
        <f>IF(Orders[[#This Row],[Sales]]&lt;50, "$0-50", IF(AND(Orders[[#This Row],[Sales]]&gt;=50,Orders[[#This Row],[Sales]]&lt;=100), "$50-100", IF(AND(Orders[[#This Row],[Sales]]&gt;100,Orders[[#This Row],[Sales]]&lt;=150), "$101-150", "$150+")))</f>
        <v>$0-50</v>
      </c>
      <c r="V798" t="str">
        <f>IF(Orders[[#This Row],[Sales]]&gt;MEDIAN(M:M), "High Price", "Low Price")</f>
        <v>Low Price</v>
      </c>
      <c r="W798" t="str">
        <f>IF(Orders[[#This Row],[Quantity]]&gt;MEDIAN(E:E), "High Volume", "Low Volume")</f>
        <v>Low Volume</v>
      </c>
      <c r="X798" t="str">
        <f>Orders[[#This Row],[Sales Tier]] &amp; "-" &amp; Orders[[#This Row],[Quantity Tier]]</f>
        <v>Low Price-Low Volume</v>
      </c>
      <c r="Y798" t="str">
        <f>TEXT(Orders[[#This Row],[Order Date]], "mmmm")</f>
        <v>October</v>
      </c>
      <c r="Z79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798" t="str">
        <f>Orders[[#This Row],[Coffee Type Name]] &amp; "-" &amp; Orders[[#This Row],[Roast Type Name]]</f>
        <v>Arabica-Medium</v>
      </c>
      <c r="AB79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799" spans="1:28" x14ac:dyDescent="0.25">
      <c r="A799" s="2" t="s">
        <v>3911</v>
      </c>
      <c r="B799" s="4">
        <v>44138</v>
      </c>
      <c r="C799" s="2" t="s">
        <v>3840</v>
      </c>
      <c r="D799" t="s">
        <v>6164</v>
      </c>
      <c r="E799" s="2">
        <v>3</v>
      </c>
      <c r="F799" s="2" t="str">
        <f>_xlfn.XLOOKUP(C799,customers!$A$1:$A$1001,customers!$B$1:$B$1001,,0)</f>
        <v>Cody Verissimo</v>
      </c>
      <c r="G799" s="2" t="str">
        <f>IF(_xlfn.XLOOKUP(C799,customers!$A$1:$A$1001,customers!$C$1:$C$1001,,0)=0,"",_xlfn.XLOOKUP(C799,customers!$A$1:$A$1001,customers!$C$1:$C$1001,,0))</f>
        <v>cverissimogh@theglobeandmail.com</v>
      </c>
      <c r="H799" s="2" t="str">
        <f>_xlfn.XLOOKUP(C799,customers!$A$1:$A$1001,customers!$G$1:$G$1001,,0)</f>
        <v>United Kingdom</v>
      </c>
      <c r="I799" t="str">
        <f>INDEX(products!$A$1:$G$49, MATCH(orders!$D608,products!$A$1:$A655,0), MATCH(orders!I$1,products!$A$1:$G$1,0))</f>
        <v>Lib</v>
      </c>
      <c r="J799" t="str">
        <f>INDEX(products!$A$1:$G$49, MATCH(orders!$D608,products!$A$1:$A655,0), MATCH(orders!J$1,products!$A$1:$G$1,0))</f>
        <v>L</v>
      </c>
      <c r="K799" s="5">
        <f>INDEX(products!$A$1:$G$49, MATCH(orders!$D608,products!$A$1:$A655,0), MATCH(orders!K$1,products!$A$1:$G$1,0))</f>
        <v>2.5</v>
      </c>
      <c r="L799" s="6">
        <f>INDEX(products!$A$1:$G$49, MATCH(orders!$D608,products!$A$1:$A655,0), MATCH(orders!L$1,products!$A$1:$G$1,0))</f>
        <v>36.454999999999998</v>
      </c>
      <c r="M799" s="6">
        <f t="shared" si="36"/>
        <v>109.36499999999999</v>
      </c>
      <c r="N799" t="str">
        <f t="shared" si="37"/>
        <v>Liberica</v>
      </c>
      <c r="O799" t="str">
        <f t="shared" si="38"/>
        <v>Light</v>
      </c>
      <c r="P799" t="str">
        <f>_xlfn.XLOOKUP(Orders[[#This Row],[Customer ID]],customers!$A$1:$A$1001,customers!$I$1:$I$1001,,0)</f>
        <v>Yes</v>
      </c>
      <c r="Q799">
        <f>COUNTIF(Orders[Order ID],Orders[[#This Row],[Order ID]])</f>
        <v>1</v>
      </c>
      <c r="R799" s="10">
        <f>SUMIF(Orders[Order ID], Orders[[#This Row],[Order ID]],Orders[Sales])/Orders[[#This Row],[Order Frequency]]</f>
        <v>109.36499999999999</v>
      </c>
      <c r="S799" t="str">
        <f>IF(Orders[[#This Row],[Order Frequency]]&gt;4, "More than 4", IF(AND(Orders[[#This Row],[Order Frequency]]&lt;=4,Orders[[#This Row],[Order Frequency]]&gt;=2), "Between 4 and 2", "Less than 2"))</f>
        <v>Less than 2</v>
      </c>
      <c r="T799" t="str">
        <f>IF(Orders[[#This Row],[Frequency Group]]="less than 2", "Low Value", IF(Orders[[#This Row],[Frequency Group]]="between 4 and 2", "Medium Value", "High Value"))</f>
        <v>Low Value</v>
      </c>
      <c r="U799" t="str">
        <f>IF(Orders[[#This Row],[Sales]]&lt;50, "$0-50", IF(AND(Orders[[#This Row],[Sales]]&gt;=50,Orders[[#This Row],[Sales]]&lt;=100), "$50-100", IF(AND(Orders[[#This Row],[Sales]]&gt;100,Orders[[#This Row],[Sales]]&lt;=150), "$101-150", "$150+")))</f>
        <v>$101-150</v>
      </c>
      <c r="V799" t="str">
        <f>IF(Orders[[#This Row],[Sales]]&gt;MEDIAN(M:M), "High Price", "Low Price")</f>
        <v>High Price</v>
      </c>
      <c r="W799" t="str">
        <f>IF(Orders[[#This Row],[Quantity]]&gt;MEDIAN(E:E), "High Volume", "Low Volume")</f>
        <v>Low Volume</v>
      </c>
      <c r="X799" t="str">
        <f>Orders[[#This Row],[Sales Tier]] &amp; "-" &amp; Orders[[#This Row],[Quantity Tier]]</f>
        <v>High Price-Low Volume</v>
      </c>
      <c r="Y799" t="str">
        <f>TEXT(Orders[[#This Row],[Order Date]], "mmmm")</f>
        <v>November</v>
      </c>
      <c r="Z79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799" t="str">
        <f>Orders[[#This Row],[Coffee Type Name]] &amp; "-" &amp; Orders[[#This Row],[Roast Type Name]]</f>
        <v>Liberica-Light</v>
      </c>
      <c r="AB79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00" spans="1:28" x14ac:dyDescent="0.25">
      <c r="A800" s="2" t="s">
        <v>4274</v>
      </c>
      <c r="B800" s="4">
        <v>43606</v>
      </c>
      <c r="C800" s="2" t="s">
        <v>4275</v>
      </c>
      <c r="D800" t="s">
        <v>6159</v>
      </c>
      <c r="E800" s="2">
        <v>3</v>
      </c>
      <c r="F800" s="2" t="str">
        <f>_xlfn.XLOOKUP(C800,customers!$A$1:$A$1001,customers!$B$1:$B$1001,,0)</f>
        <v>Cecil Weatherall</v>
      </c>
      <c r="G800" s="2" t="str">
        <f>IF(_xlfn.XLOOKUP(C800,customers!$A$1:$A$1001,customers!$C$1:$C$1001,,0)=0,"",_xlfn.XLOOKUP(C800,customers!$A$1:$A$1001,customers!$C$1:$C$1001,,0))</f>
        <v>cweatherallim@toplist.cz</v>
      </c>
      <c r="H800" s="2" t="str">
        <f>_xlfn.XLOOKUP(C800,customers!$A$1:$A$1001,customers!$G$1:$G$1001,,0)</f>
        <v>United States</v>
      </c>
      <c r="I800" t="str">
        <f>INDEX(products!$A$1:$G$49, MATCH(orders!$D672,products!$A$1:$A719,0), MATCH(orders!I$1,products!$A$1:$G$1,0))</f>
        <v>Lib</v>
      </c>
      <c r="J800" t="str">
        <f>INDEX(products!$A$1:$G$49, MATCH(orders!$D672,products!$A$1:$A719,0), MATCH(orders!J$1,products!$A$1:$G$1,0))</f>
        <v>M</v>
      </c>
      <c r="K800" s="5">
        <f>INDEX(products!$A$1:$G$49, MATCH(orders!$D672,products!$A$1:$A719,0), MATCH(orders!K$1,products!$A$1:$G$1,0))</f>
        <v>0.2</v>
      </c>
      <c r="L800" s="6">
        <f>INDEX(products!$A$1:$G$49, MATCH(orders!$D672,products!$A$1:$A719,0), MATCH(orders!L$1,products!$A$1:$G$1,0))</f>
        <v>4.3650000000000002</v>
      </c>
      <c r="M800" s="6">
        <f t="shared" si="36"/>
        <v>13.095000000000001</v>
      </c>
      <c r="N800" t="str">
        <f t="shared" si="37"/>
        <v>Liberica</v>
      </c>
      <c r="O800" t="str">
        <f t="shared" si="38"/>
        <v>Medium</v>
      </c>
      <c r="P800" t="str">
        <f>_xlfn.XLOOKUP(Orders[[#This Row],[Customer ID]],customers!$A$1:$A$1001,customers!$I$1:$I$1001,,0)</f>
        <v>Yes</v>
      </c>
      <c r="Q800">
        <f>COUNTIF(Orders[Order ID],Orders[[#This Row],[Order ID]])</f>
        <v>1</v>
      </c>
      <c r="R800" s="10">
        <f>SUMIF(Orders[Order ID], Orders[[#This Row],[Order ID]],Orders[Sales])/Orders[[#This Row],[Order Frequency]]</f>
        <v>13.095000000000001</v>
      </c>
      <c r="S800" t="str">
        <f>IF(Orders[[#This Row],[Order Frequency]]&gt;4, "More than 4", IF(AND(Orders[[#This Row],[Order Frequency]]&lt;=4,Orders[[#This Row],[Order Frequency]]&gt;=2), "Between 4 and 2", "Less than 2"))</f>
        <v>Less than 2</v>
      </c>
      <c r="T800" t="str">
        <f>IF(Orders[[#This Row],[Frequency Group]]="less than 2", "Low Value", IF(Orders[[#This Row],[Frequency Group]]="between 4 and 2", "Medium Value", "High Value"))</f>
        <v>Low Value</v>
      </c>
      <c r="U800" t="str">
        <f>IF(Orders[[#This Row],[Sales]]&lt;50, "$0-50", IF(AND(Orders[[#This Row],[Sales]]&gt;=50,Orders[[#This Row],[Sales]]&lt;=100), "$50-100", IF(AND(Orders[[#This Row],[Sales]]&gt;100,Orders[[#This Row],[Sales]]&lt;=150), "$101-150", "$150+")))</f>
        <v>$0-50</v>
      </c>
      <c r="V800" t="str">
        <f>IF(Orders[[#This Row],[Sales]]&gt;MEDIAN(M:M), "High Price", "Low Price")</f>
        <v>Low Price</v>
      </c>
      <c r="W800" t="str">
        <f>IF(Orders[[#This Row],[Quantity]]&gt;MEDIAN(E:E), "High Volume", "Low Volume")</f>
        <v>Low Volume</v>
      </c>
      <c r="X800" t="str">
        <f>Orders[[#This Row],[Sales Tier]] &amp; "-" &amp; Orders[[#This Row],[Quantity Tier]]</f>
        <v>Low Price-Low Volume</v>
      </c>
      <c r="Y800" t="str">
        <f>TEXT(Orders[[#This Row],[Order Date]], "mmmm")</f>
        <v>May</v>
      </c>
      <c r="Z80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800" t="str">
        <f>Orders[[#This Row],[Coffee Type Name]] &amp; "-" &amp; Orders[[#This Row],[Roast Type Name]]</f>
        <v>Liberica-Medium</v>
      </c>
      <c r="AB80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801" spans="1:28" x14ac:dyDescent="0.25">
      <c r="A801" s="2" t="s">
        <v>1077</v>
      </c>
      <c r="B801" s="4">
        <v>43982</v>
      </c>
      <c r="C801" s="2" t="s">
        <v>1078</v>
      </c>
      <c r="D801" t="s">
        <v>6157</v>
      </c>
      <c r="E801" s="2">
        <v>6</v>
      </c>
      <c r="F801" s="2" t="str">
        <f>_xlfn.XLOOKUP(C801,customers!$A$1:$A$1001,customers!$B$1:$B$1001,,0)</f>
        <v>Queenie Veel</v>
      </c>
      <c r="G801" s="2" t="str">
        <f>IF(_xlfn.XLOOKUP(C801,customers!$A$1:$A$1001,customers!$C$1:$C$1001,,0)=0,"",_xlfn.XLOOKUP(C801,customers!$A$1:$A$1001,customers!$C$1:$C$1001,,0))</f>
        <v>qveel2x@jugem.jp</v>
      </c>
      <c r="H801" s="2" t="str">
        <f>_xlfn.XLOOKUP(C801,customers!$A$1:$A$1001,customers!$G$1:$G$1001,,0)</f>
        <v>United States</v>
      </c>
      <c r="I801" t="str">
        <f>INDEX(products!$A$1:$G$49, MATCH(orders!$D107,products!$A$1:$A154,0), MATCH(orders!I$1,products!$A$1:$G$1,0))</f>
        <v>Ara</v>
      </c>
      <c r="J801" t="str">
        <f>INDEX(products!$A$1:$G$49, MATCH(orders!$D107,products!$A$1:$A154,0), MATCH(orders!J$1,products!$A$1:$G$1,0))</f>
        <v>M</v>
      </c>
      <c r="K801" s="5">
        <f>INDEX(products!$A$1:$G$49, MATCH(orders!$D107,products!$A$1:$A154,0), MATCH(orders!K$1,products!$A$1:$G$1,0))</f>
        <v>0.5</v>
      </c>
      <c r="L801" s="6">
        <f>INDEX(products!$A$1:$G$49, MATCH(orders!$D107,products!$A$1:$A154,0), MATCH(orders!L$1,products!$A$1:$G$1,0))</f>
        <v>6.75</v>
      </c>
      <c r="M801" s="6">
        <f t="shared" si="36"/>
        <v>40.5</v>
      </c>
      <c r="N801" t="str">
        <f t="shared" si="37"/>
        <v>Arabica</v>
      </c>
      <c r="O801" t="str">
        <f t="shared" si="38"/>
        <v>Medium</v>
      </c>
      <c r="P801" t="str">
        <f>_xlfn.XLOOKUP(Orders[[#This Row],[Customer ID]],customers!$A$1:$A$1001,customers!$I$1:$I$1001,,0)</f>
        <v>Yes</v>
      </c>
      <c r="Q801">
        <f>COUNTIF(Orders[Order ID],Orders[[#This Row],[Order ID]])</f>
        <v>1</v>
      </c>
      <c r="R801" s="10">
        <f>SUMIF(Orders[Order ID], Orders[[#This Row],[Order ID]],Orders[Sales])/Orders[[#This Row],[Order Frequency]]</f>
        <v>40.5</v>
      </c>
      <c r="S801" t="str">
        <f>IF(Orders[[#This Row],[Order Frequency]]&gt;4, "More than 4", IF(AND(Orders[[#This Row],[Order Frequency]]&lt;=4,Orders[[#This Row],[Order Frequency]]&gt;=2), "Between 4 and 2", "Less than 2"))</f>
        <v>Less than 2</v>
      </c>
      <c r="T801" t="str">
        <f>IF(Orders[[#This Row],[Frequency Group]]="less than 2", "Low Value", IF(Orders[[#This Row],[Frequency Group]]="between 4 and 2", "Medium Value", "High Value"))</f>
        <v>Low Value</v>
      </c>
      <c r="U801" t="str">
        <f>IF(Orders[[#This Row],[Sales]]&lt;50, "$0-50", IF(AND(Orders[[#This Row],[Sales]]&gt;=50,Orders[[#This Row],[Sales]]&lt;=100), "$50-100", IF(AND(Orders[[#This Row],[Sales]]&gt;100,Orders[[#This Row],[Sales]]&lt;=150), "$101-150", "$150+")))</f>
        <v>$0-50</v>
      </c>
      <c r="V801" t="str">
        <f>IF(Orders[[#This Row],[Sales]]&gt;MEDIAN(M:M), "High Price", "Low Price")</f>
        <v>High Price</v>
      </c>
      <c r="W801" t="str">
        <f>IF(Orders[[#This Row],[Quantity]]&gt;MEDIAN(E:E), "High Volume", "Low Volume")</f>
        <v>High Volume</v>
      </c>
      <c r="X801" t="str">
        <f>Orders[[#This Row],[Sales Tier]] &amp; "-" &amp; Orders[[#This Row],[Quantity Tier]]</f>
        <v>High Price-High Volume</v>
      </c>
      <c r="Y801" t="str">
        <f>TEXT(Orders[[#This Row],[Order Date]], "mmmm")</f>
        <v>May</v>
      </c>
      <c r="Z80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801" t="str">
        <f>Orders[[#This Row],[Coffee Type Name]] &amp; "-" &amp; Orders[[#This Row],[Roast Type Name]]</f>
        <v>Arabica-Medium</v>
      </c>
      <c r="AB80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802" spans="1:28" x14ac:dyDescent="0.25">
      <c r="A802" s="2" t="s">
        <v>3854</v>
      </c>
      <c r="B802" s="4">
        <v>44523</v>
      </c>
      <c r="C802" s="2" t="s">
        <v>3855</v>
      </c>
      <c r="D802" t="s">
        <v>6157</v>
      </c>
      <c r="E802" s="2">
        <v>5</v>
      </c>
      <c r="F802" s="2" t="str">
        <f>_xlfn.XLOOKUP(C802,customers!$A$1:$A$1001,customers!$B$1:$B$1001,,0)</f>
        <v>Kienan Scholard</v>
      </c>
      <c r="G802" s="2" t="str">
        <f>IF(_xlfn.XLOOKUP(C802,customers!$A$1:$A$1001,customers!$C$1:$C$1001,,0)=0,"",_xlfn.XLOOKUP(C802,customers!$A$1:$A$1001,customers!$C$1:$C$1001,,0))</f>
        <v>kscholardgk@sbwire.com</v>
      </c>
      <c r="H802" s="2" t="str">
        <f>_xlfn.XLOOKUP(C802,customers!$A$1:$A$1001,customers!$G$1:$G$1001,,0)</f>
        <v>United States</v>
      </c>
      <c r="I802" t="str">
        <f>INDEX(products!$A$1:$G$49, MATCH(orders!$D598,products!$A$1:$A645,0), MATCH(orders!I$1,products!$A$1:$G$1,0))</f>
        <v>Ara</v>
      </c>
      <c r="J802" t="str">
        <f>INDEX(products!$A$1:$G$49, MATCH(orders!$D598,products!$A$1:$A645,0), MATCH(orders!J$1,products!$A$1:$G$1,0))</f>
        <v>M</v>
      </c>
      <c r="K802" s="5">
        <f>INDEX(products!$A$1:$G$49, MATCH(orders!$D598,products!$A$1:$A645,0), MATCH(orders!K$1,products!$A$1:$G$1,0))</f>
        <v>0.5</v>
      </c>
      <c r="L802" s="6">
        <f>INDEX(products!$A$1:$G$49, MATCH(orders!$D598,products!$A$1:$A645,0), MATCH(orders!L$1,products!$A$1:$G$1,0))</f>
        <v>6.75</v>
      </c>
      <c r="M802" s="6">
        <f t="shared" si="36"/>
        <v>33.75</v>
      </c>
      <c r="N802" t="str">
        <f t="shared" si="37"/>
        <v>Arabica</v>
      </c>
      <c r="O802" t="str">
        <f t="shared" si="38"/>
        <v>Medium</v>
      </c>
      <c r="P802" t="str">
        <f>_xlfn.XLOOKUP(Orders[[#This Row],[Customer ID]],customers!$A$1:$A$1001,customers!$I$1:$I$1001,,0)</f>
        <v>No</v>
      </c>
      <c r="Q802">
        <f>COUNTIF(Orders[Order ID],Orders[[#This Row],[Order ID]])</f>
        <v>1</v>
      </c>
      <c r="R802" s="10">
        <f>SUMIF(Orders[Order ID], Orders[[#This Row],[Order ID]],Orders[Sales])/Orders[[#This Row],[Order Frequency]]</f>
        <v>33.75</v>
      </c>
      <c r="S802" t="str">
        <f>IF(Orders[[#This Row],[Order Frequency]]&gt;4, "More than 4", IF(AND(Orders[[#This Row],[Order Frequency]]&lt;=4,Orders[[#This Row],[Order Frequency]]&gt;=2), "Between 4 and 2", "Less than 2"))</f>
        <v>Less than 2</v>
      </c>
      <c r="T802" t="str">
        <f>IF(Orders[[#This Row],[Frequency Group]]="less than 2", "Low Value", IF(Orders[[#This Row],[Frequency Group]]="between 4 and 2", "Medium Value", "High Value"))</f>
        <v>Low Value</v>
      </c>
      <c r="U802" t="str">
        <f>IF(Orders[[#This Row],[Sales]]&lt;50, "$0-50", IF(AND(Orders[[#This Row],[Sales]]&gt;=50,Orders[[#This Row],[Sales]]&lt;=100), "$50-100", IF(AND(Orders[[#This Row],[Sales]]&gt;100,Orders[[#This Row],[Sales]]&lt;=150), "$101-150", "$150+")))</f>
        <v>$0-50</v>
      </c>
      <c r="V802" t="str">
        <f>IF(Orders[[#This Row],[Sales]]&gt;MEDIAN(M:M), "High Price", "Low Price")</f>
        <v>High Price</v>
      </c>
      <c r="W802" t="str">
        <f>IF(Orders[[#This Row],[Quantity]]&gt;MEDIAN(E:E), "High Volume", "Low Volume")</f>
        <v>High Volume</v>
      </c>
      <c r="X802" t="str">
        <f>Orders[[#This Row],[Sales Tier]] &amp; "-" &amp; Orders[[#This Row],[Quantity Tier]]</f>
        <v>High Price-High Volume</v>
      </c>
      <c r="Y802" t="str">
        <f>TEXT(Orders[[#This Row],[Order Date]], "mmmm")</f>
        <v>November</v>
      </c>
      <c r="Z80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802" t="str">
        <f>Orders[[#This Row],[Coffee Type Name]] &amp; "-" &amp; Orders[[#This Row],[Roast Type Name]]</f>
        <v>Arabica-Medium</v>
      </c>
      <c r="AB80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03" spans="1:28" x14ac:dyDescent="0.25">
      <c r="A803" s="2" t="s">
        <v>3790</v>
      </c>
      <c r="B803" s="4">
        <v>44262</v>
      </c>
      <c r="C803" s="2" t="s">
        <v>3791</v>
      </c>
      <c r="D803" t="s">
        <v>6178</v>
      </c>
      <c r="E803" s="2">
        <v>6</v>
      </c>
      <c r="F803" s="2" t="str">
        <f>_xlfn.XLOOKUP(C803,customers!$A$1:$A$1001,customers!$B$1:$B$1001,,0)</f>
        <v>Rickey Readie</v>
      </c>
      <c r="G803" s="2" t="str">
        <f>IF(_xlfn.XLOOKUP(C803,customers!$A$1:$A$1001,customers!$C$1:$C$1001,,0)=0,"",_xlfn.XLOOKUP(C803,customers!$A$1:$A$1001,customers!$C$1:$C$1001,,0))</f>
        <v>rreadieg8@guardian.co.uk</v>
      </c>
      <c r="H803" s="2" t="str">
        <f>_xlfn.XLOOKUP(C803,customers!$A$1:$A$1001,customers!$G$1:$G$1001,,0)</f>
        <v>United States</v>
      </c>
      <c r="I803" t="str">
        <f>INDEX(products!$A$1:$G$49, MATCH(orders!$D586,products!$A$1:$A633,0), MATCH(orders!I$1,products!$A$1:$G$1,0))</f>
        <v>Rob</v>
      </c>
      <c r="J803" t="str">
        <f>INDEX(products!$A$1:$G$49, MATCH(orders!$D586,products!$A$1:$A633,0), MATCH(orders!J$1,products!$A$1:$G$1,0))</f>
        <v>L</v>
      </c>
      <c r="K803" s="5">
        <f>INDEX(products!$A$1:$G$49, MATCH(orders!$D586,products!$A$1:$A633,0), MATCH(orders!K$1,products!$A$1:$G$1,0))</f>
        <v>0.2</v>
      </c>
      <c r="L803" s="6">
        <f>INDEX(products!$A$1:$G$49, MATCH(orders!$D586,products!$A$1:$A633,0), MATCH(orders!L$1,products!$A$1:$G$1,0))</f>
        <v>3.5849999999999995</v>
      </c>
      <c r="M803" s="6">
        <f t="shared" si="36"/>
        <v>21.509999999999998</v>
      </c>
      <c r="N803" t="str">
        <f t="shared" si="37"/>
        <v>Robusta</v>
      </c>
      <c r="O803" t="str">
        <f t="shared" si="38"/>
        <v>Light</v>
      </c>
      <c r="P803" t="str">
        <f>_xlfn.XLOOKUP(Orders[[#This Row],[Customer ID]],customers!$A$1:$A$1001,customers!$I$1:$I$1001,,0)</f>
        <v>No</v>
      </c>
      <c r="Q803">
        <f>COUNTIF(Orders[Order ID],Orders[[#This Row],[Order ID]])</f>
        <v>1</v>
      </c>
      <c r="R803" s="10">
        <f>SUMIF(Orders[Order ID], Orders[[#This Row],[Order ID]],Orders[Sales])/Orders[[#This Row],[Order Frequency]]</f>
        <v>21.509999999999998</v>
      </c>
      <c r="S803" t="str">
        <f>IF(Orders[[#This Row],[Order Frequency]]&gt;4, "More than 4", IF(AND(Orders[[#This Row],[Order Frequency]]&lt;=4,Orders[[#This Row],[Order Frequency]]&gt;=2), "Between 4 and 2", "Less than 2"))</f>
        <v>Less than 2</v>
      </c>
      <c r="T803" t="str">
        <f>IF(Orders[[#This Row],[Frequency Group]]="less than 2", "Low Value", IF(Orders[[#This Row],[Frequency Group]]="between 4 and 2", "Medium Value", "High Value"))</f>
        <v>Low Value</v>
      </c>
      <c r="U803" t="str">
        <f>IF(Orders[[#This Row],[Sales]]&lt;50, "$0-50", IF(AND(Orders[[#This Row],[Sales]]&gt;=50,Orders[[#This Row],[Sales]]&lt;=100), "$50-100", IF(AND(Orders[[#This Row],[Sales]]&gt;100,Orders[[#This Row],[Sales]]&lt;=150), "$101-150", "$150+")))</f>
        <v>$0-50</v>
      </c>
      <c r="V803" t="str">
        <f>IF(Orders[[#This Row],[Sales]]&gt;MEDIAN(M:M), "High Price", "Low Price")</f>
        <v>Low Price</v>
      </c>
      <c r="W803" t="str">
        <f>IF(Orders[[#This Row],[Quantity]]&gt;MEDIAN(E:E), "High Volume", "Low Volume")</f>
        <v>High Volume</v>
      </c>
      <c r="X803" t="str">
        <f>Orders[[#This Row],[Sales Tier]] &amp; "-" &amp; Orders[[#This Row],[Quantity Tier]]</f>
        <v>Low Price-High Volume</v>
      </c>
      <c r="Y803" t="str">
        <f>TEXT(Orders[[#This Row],[Order Date]], "mmmm")</f>
        <v>March</v>
      </c>
      <c r="Z80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03" t="str">
        <f>Orders[[#This Row],[Coffee Type Name]] &amp; "-" &amp; Orders[[#This Row],[Roast Type Name]]</f>
        <v>Robusta-Light</v>
      </c>
      <c r="AB80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804" spans="1:28" x14ac:dyDescent="0.25">
      <c r="A804" s="2" t="s">
        <v>5525</v>
      </c>
      <c r="B804" s="4">
        <v>44646</v>
      </c>
      <c r="C804" s="2" t="s">
        <v>5526</v>
      </c>
      <c r="D804" t="s">
        <v>6149</v>
      </c>
      <c r="E804" s="2">
        <v>1</v>
      </c>
      <c r="F804" s="2" t="str">
        <f>_xlfn.XLOOKUP(C804,customers!$A$1:$A$1001,customers!$B$1:$B$1001,,0)</f>
        <v>Kippie Marrison</v>
      </c>
      <c r="G804" s="2" t="str">
        <f>IF(_xlfn.XLOOKUP(C804,customers!$A$1:$A$1001,customers!$C$1:$C$1001,,0)=0,"",_xlfn.XLOOKUP(C804,customers!$A$1:$A$1001,customers!$C$1:$C$1001,,0))</f>
        <v>kmarrisonoq@dropbox.com</v>
      </c>
      <c r="H804" s="2" t="str">
        <f>_xlfn.XLOOKUP(C804,customers!$A$1:$A$1001,customers!$G$1:$G$1001,,0)</f>
        <v>United States</v>
      </c>
      <c r="I804" t="str">
        <f>INDEX(products!$A$1:$G$49, MATCH(orders!$D892,products!$A$1:$A939,0), MATCH(orders!I$1,products!$A$1:$G$1,0))</f>
        <v>Rob</v>
      </c>
      <c r="J804" t="str">
        <f>INDEX(products!$A$1:$G$49, MATCH(orders!$D892,products!$A$1:$A939,0), MATCH(orders!J$1,products!$A$1:$G$1,0))</f>
        <v>D</v>
      </c>
      <c r="K804" s="5">
        <f>INDEX(products!$A$1:$G$49, MATCH(orders!$D892,products!$A$1:$A939,0), MATCH(orders!K$1,products!$A$1:$G$1,0))</f>
        <v>2.5</v>
      </c>
      <c r="L804" s="6">
        <f>INDEX(products!$A$1:$G$49, MATCH(orders!$D892,products!$A$1:$A939,0), MATCH(orders!L$1,products!$A$1:$G$1,0))</f>
        <v>20.584999999999997</v>
      </c>
      <c r="M804" s="6">
        <f t="shared" si="36"/>
        <v>20.584999999999997</v>
      </c>
      <c r="N804" t="str">
        <f t="shared" si="37"/>
        <v>Robusta</v>
      </c>
      <c r="O804" t="str">
        <f t="shared" si="38"/>
        <v>Dark</v>
      </c>
      <c r="P804" t="str">
        <f>_xlfn.XLOOKUP(Orders[[#This Row],[Customer ID]],customers!$A$1:$A$1001,customers!$I$1:$I$1001,,0)</f>
        <v>Yes</v>
      </c>
      <c r="Q804">
        <f>COUNTIF(Orders[Order ID],Orders[[#This Row],[Order ID]])</f>
        <v>1</v>
      </c>
      <c r="R804" s="10">
        <f>SUMIF(Orders[Order ID], Orders[[#This Row],[Order ID]],Orders[Sales])/Orders[[#This Row],[Order Frequency]]</f>
        <v>20.584999999999997</v>
      </c>
      <c r="S804" t="str">
        <f>IF(Orders[[#This Row],[Order Frequency]]&gt;4, "More than 4", IF(AND(Orders[[#This Row],[Order Frequency]]&lt;=4,Orders[[#This Row],[Order Frequency]]&gt;=2), "Between 4 and 2", "Less than 2"))</f>
        <v>Less than 2</v>
      </c>
      <c r="T804" t="str">
        <f>IF(Orders[[#This Row],[Frequency Group]]="less than 2", "Low Value", IF(Orders[[#This Row],[Frequency Group]]="between 4 and 2", "Medium Value", "High Value"))</f>
        <v>Low Value</v>
      </c>
      <c r="U804" t="str">
        <f>IF(Orders[[#This Row],[Sales]]&lt;50, "$0-50", IF(AND(Orders[[#This Row],[Sales]]&gt;=50,Orders[[#This Row],[Sales]]&lt;=100), "$50-100", IF(AND(Orders[[#This Row],[Sales]]&gt;100,Orders[[#This Row],[Sales]]&lt;=150), "$101-150", "$150+")))</f>
        <v>$0-50</v>
      </c>
      <c r="V804" t="str">
        <f>IF(Orders[[#This Row],[Sales]]&gt;MEDIAN(M:M), "High Price", "Low Price")</f>
        <v>Low Price</v>
      </c>
      <c r="W804" t="str">
        <f>IF(Orders[[#This Row],[Quantity]]&gt;MEDIAN(E:E), "High Volume", "Low Volume")</f>
        <v>Low Volume</v>
      </c>
      <c r="X804" t="str">
        <f>Orders[[#This Row],[Sales Tier]] &amp; "-" &amp; Orders[[#This Row],[Quantity Tier]]</f>
        <v>Low Price-Low Volume</v>
      </c>
      <c r="Y804" t="str">
        <f>TEXT(Orders[[#This Row],[Order Date]], "mmmm")</f>
        <v>March</v>
      </c>
      <c r="Z80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04" t="str">
        <f>Orders[[#This Row],[Coffee Type Name]] &amp; "-" &amp; Orders[[#This Row],[Roast Type Name]]</f>
        <v>Robusta-Dark</v>
      </c>
      <c r="AB80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805" spans="1:28" x14ac:dyDescent="0.25">
      <c r="A805" s="2" t="s">
        <v>3802</v>
      </c>
      <c r="B805" s="4">
        <v>43867</v>
      </c>
      <c r="C805" s="2" t="s">
        <v>3803</v>
      </c>
      <c r="D805" t="s">
        <v>6142</v>
      </c>
      <c r="E805" s="2">
        <v>3</v>
      </c>
      <c r="F805" s="2" t="str">
        <f>_xlfn.XLOOKUP(C805,customers!$A$1:$A$1001,customers!$B$1:$B$1001,,0)</f>
        <v>Zilvia Claisse</v>
      </c>
      <c r="G805" s="2" t="str">
        <f>IF(_xlfn.XLOOKUP(C805,customers!$A$1:$A$1001,customers!$C$1:$C$1001,,0)=0,"",_xlfn.XLOOKUP(C805,customers!$A$1:$A$1001,customers!$C$1:$C$1001,,0))</f>
        <v/>
      </c>
      <c r="H805" s="2" t="str">
        <f>_xlfn.XLOOKUP(C805,customers!$A$1:$A$1001,customers!$G$1:$G$1001,,0)</f>
        <v>United States</v>
      </c>
      <c r="I805" t="str">
        <f>INDEX(products!$A$1:$G$49, MATCH(orders!$D588,products!$A$1:$A635,0), MATCH(orders!I$1,products!$A$1:$G$1,0))</f>
        <v>Rob</v>
      </c>
      <c r="J805" t="str">
        <f>INDEX(products!$A$1:$G$49, MATCH(orders!$D588,products!$A$1:$A635,0), MATCH(orders!J$1,products!$A$1:$G$1,0))</f>
        <v>L</v>
      </c>
      <c r="K805" s="5">
        <f>INDEX(products!$A$1:$G$49, MATCH(orders!$D588,products!$A$1:$A635,0), MATCH(orders!K$1,products!$A$1:$G$1,0))</f>
        <v>2.5</v>
      </c>
      <c r="L805" s="6">
        <f>INDEX(products!$A$1:$G$49, MATCH(orders!$D588,products!$A$1:$A635,0), MATCH(orders!L$1,products!$A$1:$G$1,0))</f>
        <v>27.484999999999996</v>
      </c>
      <c r="M805" s="6">
        <f t="shared" si="36"/>
        <v>82.454999999999984</v>
      </c>
      <c r="N805" t="str">
        <f t="shared" si="37"/>
        <v>Robusta</v>
      </c>
      <c r="O805" t="str">
        <f t="shared" si="38"/>
        <v>Light</v>
      </c>
      <c r="P805" t="str">
        <f>_xlfn.XLOOKUP(Orders[[#This Row],[Customer ID]],customers!$A$1:$A$1001,customers!$I$1:$I$1001,,0)</f>
        <v>No</v>
      </c>
      <c r="Q805">
        <f>COUNTIF(Orders[Order ID],Orders[[#This Row],[Order ID]])</f>
        <v>1</v>
      </c>
      <c r="R805" s="10">
        <f>SUMIF(Orders[Order ID], Orders[[#This Row],[Order ID]],Orders[Sales])/Orders[[#This Row],[Order Frequency]]</f>
        <v>82.454999999999984</v>
      </c>
      <c r="S805" t="str">
        <f>IF(Orders[[#This Row],[Order Frequency]]&gt;4, "More than 4", IF(AND(Orders[[#This Row],[Order Frequency]]&lt;=4,Orders[[#This Row],[Order Frequency]]&gt;=2), "Between 4 and 2", "Less than 2"))</f>
        <v>Less than 2</v>
      </c>
      <c r="T805" t="str">
        <f>IF(Orders[[#This Row],[Frequency Group]]="less than 2", "Low Value", IF(Orders[[#This Row],[Frequency Group]]="between 4 and 2", "Medium Value", "High Value"))</f>
        <v>Low Value</v>
      </c>
      <c r="U805" t="str">
        <f>IF(Orders[[#This Row],[Sales]]&lt;50, "$0-50", IF(AND(Orders[[#This Row],[Sales]]&gt;=50,Orders[[#This Row],[Sales]]&lt;=100), "$50-100", IF(AND(Orders[[#This Row],[Sales]]&gt;100,Orders[[#This Row],[Sales]]&lt;=150), "$101-150", "$150+")))</f>
        <v>$50-100</v>
      </c>
      <c r="V805" t="str">
        <f>IF(Orders[[#This Row],[Sales]]&gt;MEDIAN(M:M), "High Price", "Low Price")</f>
        <v>High Price</v>
      </c>
      <c r="W805" t="str">
        <f>IF(Orders[[#This Row],[Quantity]]&gt;MEDIAN(E:E), "High Volume", "Low Volume")</f>
        <v>Low Volume</v>
      </c>
      <c r="X805" t="str">
        <f>Orders[[#This Row],[Sales Tier]] &amp; "-" &amp; Orders[[#This Row],[Quantity Tier]]</f>
        <v>High Price-Low Volume</v>
      </c>
      <c r="Y805" t="str">
        <f>TEXT(Orders[[#This Row],[Order Date]], "mmmm")</f>
        <v>February</v>
      </c>
      <c r="Z80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05" t="str">
        <f>Orders[[#This Row],[Coffee Type Name]] &amp; "-" &amp; Orders[[#This Row],[Roast Type Name]]</f>
        <v>Robusta-Light</v>
      </c>
      <c r="AB80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806" spans="1:28" x14ac:dyDescent="0.25">
      <c r="A806" s="2" t="s">
        <v>5620</v>
      </c>
      <c r="B806" s="4">
        <v>44449</v>
      </c>
      <c r="C806" s="2" t="s">
        <v>5621</v>
      </c>
      <c r="D806" t="s">
        <v>6143</v>
      </c>
      <c r="E806" s="2">
        <v>3</v>
      </c>
      <c r="F806" s="2" t="str">
        <f>_xlfn.XLOOKUP(C806,customers!$A$1:$A$1001,customers!$B$1:$B$1001,,0)</f>
        <v>Tawnya Menary</v>
      </c>
      <c r="G806" s="2" t="str">
        <f>IF(_xlfn.XLOOKUP(C806,customers!$A$1:$A$1001,customers!$C$1:$C$1001,,0)=0,"",_xlfn.XLOOKUP(C806,customers!$A$1:$A$1001,customers!$C$1:$C$1001,,0))</f>
        <v>tmenaryp7@phoca.cz</v>
      </c>
      <c r="H806" s="2" t="str">
        <f>_xlfn.XLOOKUP(C806,customers!$A$1:$A$1001,customers!$G$1:$G$1001,,0)</f>
        <v>United States</v>
      </c>
      <c r="I806" t="str">
        <f>INDEX(products!$A$1:$G$49, MATCH(orders!$D909,products!$A$1:$A956,0), MATCH(orders!I$1,products!$A$1:$G$1,0))</f>
        <v>Lib</v>
      </c>
      <c r="J806" t="str">
        <f>INDEX(products!$A$1:$G$49, MATCH(orders!$D909,products!$A$1:$A956,0), MATCH(orders!J$1,products!$A$1:$G$1,0))</f>
        <v>D</v>
      </c>
      <c r="K806" s="5">
        <f>INDEX(products!$A$1:$G$49, MATCH(orders!$D909,products!$A$1:$A956,0), MATCH(orders!K$1,products!$A$1:$G$1,0))</f>
        <v>1</v>
      </c>
      <c r="L806" s="6">
        <f>INDEX(products!$A$1:$G$49, MATCH(orders!$D909,products!$A$1:$A956,0), MATCH(orders!L$1,products!$A$1:$G$1,0))</f>
        <v>12.95</v>
      </c>
      <c r="M806" s="6">
        <f t="shared" si="36"/>
        <v>38.849999999999994</v>
      </c>
      <c r="N806" t="str">
        <f t="shared" si="37"/>
        <v>Liberica</v>
      </c>
      <c r="O806" t="str">
        <f t="shared" si="38"/>
        <v>Dark</v>
      </c>
      <c r="P806" t="str">
        <f>_xlfn.XLOOKUP(Orders[[#This Row],[Customer ID]],customers!$A$1:$A$1001,customers!$I$1:$I$1001,,0)</f>
        <v>No</v>
      </c>
      <c r="Q806">
        <f>COUNTIF(Orders[Order ID],Orders[[#This Row],[Order ID]])</f>
        <v>1</v>
      </c>
      <c r="R806" s="10">
        <f>SUMIF(Orders[Order ID], Orders[[#This Row],[Order ID]],Orders[Sales])/Orders[[#This Row],[Order Frequency]]</f>
        <v>38.849999999999994</v>
      </c>
      <c r="S806" t="str">
        <f>IF(Orders[[#This Row],[Order Frequency]]&gt;4, "More than 4", IF(AND(Orders[[#This Row],[Order Frequency]]&lt;=4,Orders[[#This Row],[Order Frequency]]&gt;=2), "Between 4 and 2", "Less than 2"))</f>
        <v>Less than 2</v>
      </c>
      <c r="T806" t="str">
        <f>IF(Orders[[#This Row],[Frequency Group]]="less than 2", "Low Value", IF(Orders[[#This Row],[Frequency Group]]="between 4 and 2", "Medium Value", "High Value"))</f>
        <v>Low Value</v>
      </c>
      <c r="U806" t="str">
        <f>IF(Orders[[#This Row],[Sales]]&lt;50, "$0-50", IF(AND(Orders[[#This Row],[Sales]]&gt;=50,Orders[[#This Row],[Sales]]&lt;=100), "$50-100", IF(AND(Orders[[#This Row],[Sales]]&gt;100,Orders[[#This Row],[Sales]]&lt;=150), "$101-150", "$150+")))</f>
        <v>$0-50</v>
      </c>
      <c r="V806" t="str">
        <f>IF(Orders[[#This Row],[Sales]]&gt;MEDIAN(M:M), "High Price", "Low Price")</f>
        <v>High Price</v>
      </c>
      <c r="W806" t="str">
        <f>IF(Orders[[#This Row],[Quantity]]&gt;MEDIAN(E:E), "High Volume", "Low Volume")</f>
        <v>Low Volume</v>
      </c>
      <c r="X806" t="str">
        <f>Orders[[#This Row],[Sales Tier]] &amp; "-" &amp; Orders[[#This Row],[Quantity Tier]]</f>
        <v>High Price-Low Volume</v>
      </c>
      <c r="Y806" t="str">
        <f>TEXT(Orders[[#This Row],[Order Date]], "mmmm")</f>
        <v>September</v>
      </c>
      <c r="Z80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806" t="str">
        <f>Orders[[#This Row],[Coffee Type Name]] &amp; "-" &amp; Orders[[#This Row],[Roast Type Name]]</f>
        <v>Liberica-Dark</v>
      </c>
      <c r="AB80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07" spans="1:28" x14ac:dyDescent="0.25">
      <c r="A807" s="2" t="s">
        <v>5866</v>
      </c>
      <c r="B807" s="4">
        <v>44092</v>
      </c>
      <c r="C807" s="2" t="s">
        <v>5867</v>
      </c>
      <c r="D807" t="s">
        <v>6178</v>
      </c>
      <c r="E807" s="2">
        <v>6</v>
      </c>
      <c r="F807" s="2" t="str">
        <f>_xlfn.XLOOKUP(C807,customers!$A$1:$A$1001,customers!$B$1:$B$1001,,0)</f>
        <v>Ingamar Eberlein</v>
      </c>
      <c r="G807" s="2" t="str">
        <f>IF(_xlfn.XLOOKUP(C807,customers!$A$1:$A$1001,customers!$C$1:$C$1001,,0)=0,"",_xlfn.XLOOKUP(C807,customers!$A$1:$A$1001,customers!$C$1:$C$1001,,0))</f>
        <v>ieberleinqf@hc360.com</v>
      </c>
      <c r="H807" s="2" t="str">
        <f>_xlfn.XLOOKUP(C807,customers!$A$1:$A$1001,customers!$G$1:$G$1001,,0)</f>
        <v>United States</v>
      </c>
      <c r="I807" t="str">
        <f>INDEX(products!$A$1:$G$49, MATCH(orders!$D953,products!$A$1:$A1000,0), MATCH(orders!I$1,products!$A$1:$G$1,0))</f>
        <v>Rob</v>
      </c>
      <c r="J807" t="str">
        <f>INDEX(products!$A$1:$G$49, MATCH(orders!$D953,products!$A$1:$A1000,0), MATCH(orders!J$1,products!$A$1:$G$1,0))</f>
        <v>L</v>
      </c>
      <c r="K807" s="5">
        <f>INDEX(products!$A$1:$G$49, MATCH(orders!$D953,products!$A$1:$A1000,0), MATCH(orders!K$1,products!$A$1:$G$1,0))</f>
        <v>0.2</v>
      </c>
      <c r="L807" s="6">
        <f>INDEX(products!$A$1:$G$49, MATCH(orders!$D953,products!$A$1:$A1000,0), MATCH(orders!L$1,products!$A$1:$G$1,0))</f>
        <v>3.5849999999999995</v>
      </c>
      <c r="M807" s="6">
        <f t="shared" si="36"/>
        <v>21.509999999999998</v>
      </c>
      <c r="N807" t="str">
        <f t="shared" si="37"/>
        <v>Robusta</v>
      </c>
      <c r="O807" t="str">
        <f t="shared" si="38"/>
        <v>Light</v>
      </c>
      <c r="P807" t="str">
        <f>_xlfn.XLOOKUP(Orders[[#This Row],[Customer ID]],customers!$A$1:$A$1001,customers!$I$1:$I$1001,,0)</f>
        <v>No</v>
      </c>
      <c r="Q807">
        <f>COUNTIF(Orders[Order ID],Orders[[#This Row],[Order ID]])</f>
        <v>1</v>
      </c>
      <c r="R807" s="10">
        <f>SUMIF(Orders[Order ID], Orders[[#This Row],[Order ID]],Orders[Sales])/Orders[[#This Row],[Order Frequency]]</f>
        <v>21.509999999999998</v>
      </c>
      <c r="S807" t="str">
        <f>IF(Orders[[#This Row],[Order Frequency]]&gt;4, "More than 4", IF(AND(Orders[[#This Row],[Order Frequency]]&lt;=4,Orders[[#This Row],[Order Frequency]]&gt;=2), "Between 4 and 2", "Less than 2"))</f>
        <v>Less than 2</v>
      </c>
      <c r="T807" t="str">
        <f>IF(Orders[[#This Row],[Frequency Group]]="less than 2", "Low Value", IF(Orders[[#This Row],[Frequency Group]]="between 4 and 2", "Medium Value", "High Value"))</f>
        <v>Low Value</v>
      </c>
      <c r="U807" t="str">
        <f>IF(Orders[[#This Row],[Sales]]&lt;50, "$0-50", IF(AND(Orders[[#This Row],[Sales]]&gt;=50,Orders[[#This Row],[Sales]]&lt;=100), "$50-100", IF(AND(Orders[[#This Row],[Sales]]&gt;100,Orders[[#This Row],[Sales]]&lt;=150), "$101-150", "$150+")))</f>
        <v>$0-50</v>
      </c>
      <c r="V807" t="str">
        <f>IF(Orders[[#This Row],[Sales]]&gt;MEDIAN(M:M), "High Price", "Low Price")</f>
        <v>Low Price</v>
      </c>
      <c r="W807" t="str">
        <f>IF(Orders[[#This Row],[Quantity]]&gt;MEDIAN(E:E), "High Volume", "Low Volume")</f>
        <v>High Volume</v>
      </c>
      <c r="X807" t="str">
        <f>Orders[[#This Row],[Sales Tier]] &amp; "-" &amp; Orders[[#This Row],[Quantity Tier]]</f>
        <v>Low Price-High Volume</v>
      </c>
      <c r="Y807" t="str">
        <f>TEXT(Orders[[#This Row],[Order Date]], "mmmm")</f>
        <v>September</v>
      </c>
      <c r="Z80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807" t="str">
        <f>Orders[[#This Row],[Coffee Type Name]] &amp; "-" &amp; Orders[[#This Row],[Roast Type Name]]</f>
        <v>Robusta-Light</v>
      </c>
      <c r="AB80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08" spans="1:28" x14ac:dyDescent="0.25">
      <c r="A808" s="2" t="s">
        <v>614</v>
      </c>
      <c r="B808" s="4">
        <v>44218</v>
      </c>
      <c r="C808" s="2" t="s">
        <v>615</v>
      </c>
      <c r="D808" t="s">
        <v>6151</v>
      </c>
      <c r="E808" s="2">
        <v>4</v>
      </c>
      <c r="F808" s="2" t="str">
        <f>_xlfn.XLOOKUP(C808,customers!$A$1:$A$1001,customers!$B$1:$B$1001,,0)</f>
        <v>Annabel Antuk</v>
      </c>
      <c r="G808" s="2" t="str">
        <f>IF(_xlfn.XLOOKUP(C808,customers!$A$1:$A$1001,customers!$C$1:$C$1001,,0)=0,"",_xlfn.XLOOKUP(C808,customers!$A$1:$A$1001,customers!$C$1:$C$1001,,0))</f>
        <v>aantukm@kickstarter.com</v>
      </c>
      <c r="H808" s="2" t="str">
        <f>_xlfn.XLOOKUP(C808,customers!$A$1:$A$1001,customers!$G$1:$G$1001,,0)</f>
        <v>United States</v>
      </c>
      <c r="I808" t="str">
        <f>INDEX(products!$A$1:$G$49, MATCH(orders!$D24,products!$A$1:$A71,0), MATCH(orders!I$1,products!$A$1:$G$1,0))</f>
        <v>Rob</v>
      </c>
      <c r="J808" t="str">
        <f>INDEX(products!$A$1:$G$49, MATCH(orders!$D24,products!$A$1:$A71,0), MATCH(orders!J$1,products!$A$1:$G$1,0))</f>
        <v>M</v>
      </c>
      <c r="K808" s="5">
        <f>INDEX(products!$A$1:$G$49, MATCH(orders!$D24,products!$A$1:$A71,0), MATCH(orders!K$1,products!$A$1:$G$1,0))</f>
        <v>2.5</v>
      </c>
      <c r="L808" s="6">
        <f>INDEX(products!$A$1:$G$49, MATCH(orders!$D24,products!$A$1:$A71,0), MATCH(orders!L$1,products!$A$1:$G$1,0))</f>
        <v>22.884999999999998</v>
      </c>
      <c r="M808" s="6">
        <f t="shared" si="36"/>
        <v>91.539999999999992</v>
      </c>
      <c r="N808" t="str">
        <f t="shared" si="37"/>
        <v>Robusta</v>
      </c>
      <c r="O808" t="str">
        <f t="shared" si="38"/>
        <v>Medium</v>
      </c>
      <c r="P808" t="str">
        <f>_xlfn.XLOOKUP(Orders[[#This Row],[Customer ID]],customers!$A$1:$A$1001,customers!$I$1:$I$1001,,0)</f>
        <v>Yes</v>
      </c>
      <c r="Q808">
        <f>COUNTIF(Orders[Order ID],Orders[[#This Row],[Order ID]])</f>
        <v>1</v>
      </c>
      <c r="R808" s="10">
        <f>SUMIF(Orders[Order ID], Orders[[#This Row],[Order ID]],Orders[Sales])/Orders[[#This Row],[Order Frequency]]</f>
        <v>91.539999999999992</v>
      </c>
      <c r="S808" t="str">
        <f>IF(Orders[[#This Row],[Order Frequency]]&gt;4, "More than 4", IF(AND(Orders[[#This Row],[Order Frequency]]&lt;=4,Orders[[#This Row],[Order Frequency]]&gt;=2), "Between 4 and 2", "Less than 2"))</f>
        <v>Less than 2</v>
      </c>
      <c r="T808" t="str">
        <f>IF(Orders[[#This Row],[Frequency Group]]="less than 2", "Low Value", IF(Orders[[#This Row],[Frequency Group]]="between 4 and 2", "Medium Value", "High Value"))</f>
        <v>Low Value</v>
      </c>
      <c r="U808" t="str">
        <f>IF(Orders[[#This Row],[Sales]]&lt;50, "$0-50", IF(AND(Orders[[#This Row],[Sales]]&gt;=50,Orders[[#This Row],[Sales]]&lt;=100), "$50-100", IF(AND(Orders[[#This Row],[Sales]]&gt;100,Orders[[#This Row],[Sales]]&lt;=150), "$101-150", "$150+")))</f>
        <v>$50-100</v>
      </c>
      <c r="V808" t="str">
        <f>IF(Orders[[#This Row],[Sales]]&gt;MEDIAN(M:M), "High Price", "Low Price")</f>
        <v>High Price</v>
      </c>
      <c r="W808" t="str">
        <f>IF(Orders[[#This Row],[Quantity]]&gt;MEDIAN(E:E), "High Volume", "Low Volume")</f>
        <v>Low Volume</v>
      </c>
      <c r="X808" t="str">
        <f>Orders[[#This Row],[Sales Tier]] &amp; "-" &amp; Orders[[#This Row],[Quantity Tier]]</f>
        <v>High Price-Low Volume</v>
      </c>
      <c r="Y808" t="str">
        <f>TEXT(Orders[[#This Row],[Order Date]], "mmmm")</f>
        <v>January</v>
      </c>
      <c r="Z80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08" t="str">
        <f>Orders[[#This Row],[Coffee Type Name]] &amp; "-" &amp; Orders[[#This Row],[Roast Type Name]]</f>
        <v>Robusta-Medium</v>
      </c>
      <c r="AB80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809" spans="1:28" x14ac:dyDescent="0.25">
      <c r="A809" s="2" t="s">
        <v>4625</v>
      </c>
      <c r="B809" s="4">
        <v>44312</v>
      </c>
      <c r="C809" s="2" t="s">
        <v>4626</v>
      </c>
      <c r="D809" t="s">
        <v>6184</v>
      </c>
      <c r="E809" s="2">
        <v>2</v>
      </c>
      <c r="F809" s="2" t="str">
        <f>_xlfn.XLOOKUP(C809,customers!$A$1:$A$1001,customers!$B$1:$B$1001,,0)</f>
        <v>Jacquelyn Maha</v>
      </c>
      <c r="G809" s="2" t="str">
        <f>IF(_xlfn.XLOOKUP(C809,customers!$A$1:$A$1001,customers!$C$1:$C$1001,,0)=0,"",_xlfn.XLOOKUP(C809,customers!$A$1:$A$1001,customers!$C$1:$C$1001,,0))</f>
        <v>jmahakc@cyberchimps.com</v>
      </c>
      <c r="H809" s="2" t="str">
        <f>_xlfn.XLOOKUP(C809,customers!$A$1:$A$1001,customers!$G$1:$G$1001,,0)</f>
        <v>United States</v>
      </c>
      <c r="I809" t="str">
        <f>INDEX(products!$A$1:$G$49, MATCH(orders!$D734,products!$A$1:$A781,0), MATCH(orders!I$1,products!$A$1:$G$1,0))</f>
        <v>Exc</v>
      </c>
      <c r="J809" t="str">
        <f>INDEX(products!$A$1:$G$49, MATCH(orders!$D734,products!$A$1:$A781,0), MATCH(orders!J$1,products!$A$1:$G$1,0))</f>
        <v>L</v>
      </c>
      <c r="K809" s="5">
        <f>INDEX(products!$A$1:$G$49, MATCH(orders!$D734,products!$A$1:$A781,0), MATCH(orders!K$1,products!$A$1:$G$1,0))</f>
        <v>0.2</v>
      </c>
      <c r="L809" s="6">
        <f>INDEX(products!$A$1:$G$49, MATCH(orders!$D734,products!$A$1:$A781,0), MATCH(orders!L$1,products!$A$1:$G$1,0))</f>
        <v>4.4550000000000001</v>
      </c>
      <c r="M809" s="6">
        <f t="shared" si="36"/>
        <v>8.91</v>
      </c>
      <c r="N809" t="str">
        <f t="shared" si="37"/>
        <v>Excelsa</v>
      </c>
      <c r="O809" t="str">
        <f t="shared" si="38"/>
        <v>Light</v>
      </c>
      <c r="P809" t="str">
        <f>_xlfn.XLOOKUP(Orders[[#This Row],[Customer ID]],customers!$A$1:$A$1001,customers!$I$1:$I$1001,,0)</f>
        <v>No</v>
      </c>
      <c r="Q809">
        <f>COUNTIF(Orders[Order ID],Orders[[#This Row],[Order ID]])</f>
        <v>1</v>
      </c>
      <c r="R809" s="10">
        <f>SUMIF(Orders[Order ID], Orders[[#This Row],[Order ID]],Orders[Sales])/Orders[[#This Row],[Order Frequency]]</f>
        <v>8.91</v>
      </c>
      <c r="S809" t="str">
        <f>IF(Orders[[#This Row],[Order Frequency]]&gt;4, "More than 4", IF(AND(Orders[[#This Row],[Order Frequency]]&lt;=4,Orders[[#This Row],[Order Frequency]]&gt;=2), "Between 4 and 2", "Less than 2"))</f>
        <v>Less than 2</v>
      </c>
      <c r="T809" t="str">
        <f>IF(Orders[[#This Row],[Frequency Group]]="less than 2", "Low Value", IF(Orders[[#This Row],[Frequency Group]]="between 4 and 2", "Medium Value", "High Value"))</f>
        <v>Low Value</v>
      </c>
      <c r="U809" t="str">
        <f>IF(Orders[[#This Row],[Sales]]&lt;50, "$0-50", IF(AND(Orders[[#This Row],[Sales]]&gt;=50,Orders[[#This Row],[Sales]]&lt;=100), "$50-100", IF(AND(Orders[[#This Row],[Sales]]&gt;100,Orders[[#This Row],[Sales]]&lt;=150), "$101-150", "$150+")))</f>
        <v>$0-50</v>
      </c>
      <c r="V809" t="str">
        <f>IF(Orders[[#This Row],[Sales]]&gt;MEDIAN(M:M), "High Price", "Low Price")</f>
        <v>Low Price</v>
      </c>
      <c r="W809" t="str">
        <f>IF(Orders[[#This Row],[Quantity]]&gt;MEDIAN(E:E), "High Volume", "Low Volume")</f>
        <v>Low Volume</v>
      </c>
      <c r="X809" t="str">
        <f>Orders[[#This Row],[Sales Tier]] &amp; "-" &amp; Orders[[#This Row],[Quantity Tier]]</f>
        <v>Low Price-Low Volume</v>
      </c>
      <c r="Y809" t="str">
        <f>TEXT(Orders[[#This Row],[Order Date]], "mmmm")</f>
        <v>April</v>
      </c>
      <c r="Z80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809" t="str">
        <f>Orders[[#This Row],[Coffee Type Name]] &amp; "-" &amp; Orders[[#This Row],[Roast Type Name]]</f>
        <v>Excelsa-Light</v>
      </c>
      <c r="AB80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810" spans="1:28" x14ac:dyDescent="0.25">
      <c r="A810" s="2" t="s">
        <v>4169</v>
      </c>
      <c r="B810" s="4">
        <v>44084</v>
      </c>
      <c r="C810" s="2" t="s">
        <v>4170</v>
      </c>
      <c r="D810" t="s">
        <v>6179</v>
      </c>
      <c r="E810" s="2">
        <v>4</v>
      </c>
      <c r="F810" s="2" t="str">
        <f>_xlfn.XLOOKUP(C810,customers!$A$1:$A$1001,customers!$B$1:$B$1001,,0)</f>
        <v>Giana Tonnesen</v>
      </c>
      <c r="G810" s="2" t="str">
        <f>IF(_xlfn.XLOOKUP(C810,customers!$A$1:$A$1001,customers!$C$1:$C$1001,,0)=0,"",_xlfn.XLOOKUP(C810,customers!$A$1:$A$1001,customers!$C$1:$C$1001,,0))</f>
        <v/>
      </c>
      <c r="H810" s="2" t="str">
        <f>_xlfn.XLOOKUP(C810,customers!$A$1:$A$1001,customers!$G$1:$G$1001,,0)</f>
        <v>United States</v>
      </c>
      <c r="I810" t="str">
        <f>INDEX(products!$A$1:$G$49, MATCH(orders!$D653,products!$A$1:$A700,0), MATCH(orders!I$1,products!$A$1:$G$1,0))</f>
        <v>Rob</v>
      </c>
      <c r="J810" t="str">
        <f>INDEX(products!$A$1:$G$49, MATCH(orders!$D653,products!$A$1:$A700,0), MATCH(orders!J$1,products!$A$1:$G$1,0))</f>
        <v>L</v>
      </c>
      <c r="K810" s="5">
        <f>INDEX(products!$A$1:$G$49, MATCH(orders!$D653,products!$A$1:$A700,0), MATCH(orders!K$1,products!$A$1:$G$1,0))</f>
        <v>1</v>
      </c>
      <c r="L810" s="6">
        <f>INDEX(products!$A$1:$G$49, MATCH(orders!$D653,products!$A$1:$A700,0), MATCH(orders!L$1,products!$A$1:$G$1,0))</f>
        <v>11.95</v>
      </c>
      <c r="M810" s="6">
        <f t="shared" si="36"/>
        <v>47.8</v>
      </c>
      <c r="N810" t="str">
        <f t="shared" si="37"/>
        <v>Robusta</v>
      </c>
      <c r="O810" t="str">
        <f t="shared" si="38"/>
        <v>Light</v>
      </c>
      <c r="P810" t="str">
        <f>_xlfn.XLOOKUP(Orders[[#This Row],[Customer ID]],customers!$A$1:$A$1001,customers!$I$1:$I$1001,,0)</f>
        <v>No</v>
      </c>
      <c r="Q810">
        <f>COUNTIF(Orders[Order ID],Orders[[#This Row],[Order ID]])</f>
        <v>1</v>
      </c>
      <c r="R810" s="10">
        <f>SUMIF(Orders[Order ID], Orders[[#This Row],[Order ID]],Orders[Sales])/Orders[[#This Row],[Order Frequency]]</f>
        <v>47.8</v>
      </c>
      <c r="S810" t="str">
        <f>IF(Orders[[#This Row],[Order Frequency]]&gt;4, "More than 4", IF(AND(Orders[[#This Row],[Order Frequency]]&lt;=4,Orders[[#This Row],[Order Frequency]]&gt;=2), "Between 4 and 2", "Less than 2"))</f>
        <v>Less than 2</v>
      </c>
      <c r="T810" t="str">
        <f>IF(Orders[[#This Row],[Frequency Group]]="less than 2", "Low Value", IF(Orders[[#This Row],[Frequency Group]]="between 4 and 2", "Medium Value", "High Value"))</f>
        <v>Low Value</v>
      </c>
      <c r="U810" t="str">
        <f>IF(Orders[[#This Row],[Sales]]&lt;50, "$0-50", IF(AND(Orders[[#This Row],[Sales]]&gt;=50,Orders[[#This Row],[Sales]]&lt;=100), "$50-100", IF(AND(Orders[[#This Row],[Sales]]&gt;100,Orders[[#This Row],[Sales]]&lt;=150), "$101-150", "$150+")))</f>
        <v>$0-50</v>
      </c>
      <c r="V810" t="str">
        <f>IF(Orders[[#This Row],[Sales]]&gt;MEDIAN(M:M), "High Price", "Low Price")</f>
        <v>High Price</v>
      </c>
      <c r="W810" t="str">
        <f>IF(Orders[[#This Row],[Quantity]]&gt;MEDIAN(E:E), "High Volume", "Low Volume")</f>
        <v>Low Volume</v>
      </c>
      <c r="X810" t="str">
        <f>Orders[[#This Row],[Sales Tier]] &amp; "-" &amp; Orders[[#This Row],[Quantity Tier]]</f>
        <v>High Price-Low Volume</v>
      </c>
      <c r="Y810" t="str">
        <f>TEXT(Orders[[#This Row],[Order Date]], "mmmm")</f>
        <v>September</v>
      </c>
      <c r="Z81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810" t="str">
        <f>Orders[[#This Row],[Coffee Type Name]] &amp; "-" &amp; Orders[[#This Row],[Roast Type Name]]</f>
        <v>Robusta-Light</v>
      </c>
      <c r="AB81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11" spans="1:28" x14ac:dyDescent="0.25">
      <c r="A811" s="2" t="s">
        <v>2992</v>
      </c>
      <c r="B811" s="4">
        <v>44418</v>
      </c>
      <c r="C811" s="2" t="s">
        <v>2993</v>
      </c>
      <c r="D811" t="s">
        <v>6156</v>
      </c>
      <c r="E811" s="2">
        <v>6</v>
      </c>
      <c r="F811" s="2" t="str">
        <f>_xlfn.XLOOKUP(C811,customers!$A$1:$A$1001,customers!$B$1:$B$1001,,0)</f>
        <v>Rasia Jacquemard</v>
      </c>
      <c r="G811" s="2" t="str">
        <f>IF(_xlfn.XLOOKUP(C811,customers!$A$1:$A$1001,customers!$C$1:$C$1001,,0)=0,"",_xlfn.XLOOKUP(C811,customers!$A$1:$A$1001,customers!$C$1:$C$1001,,0))</f>
        <v>rjacquemardcc@acquirethisname.com</v>
      </c>
      <c r="H811" s="2" t="str">
        <f>_xlfn.XLOOKUP(C811,customers!$A$1:$A$1001,customers!$G$1:$G$1001,,0)</f>
        <v>Ireland</v>
      </c>
      <c r="I811" t="str">
        <f>INDEX(products!$A$1:$G$49, MATCH(orders!$D446,products!$A$1:$A493,0), MATCH(orders!I$1,products!$A$1:$G$1,0))</f>
        <v>Exc</v>
      </c>
      <c r="J811" t="str">
        <f>INDEX(products!$A$1:$G$49, MATCH(orders!$D446,products!$A$1:$A493,0), MATCH(orders!J$1,products!$A$1:$G$1,0))</f>
        <v>M</v>
      </c>
      <c r="K811" s="5">
        <f>INDEX(products!$A$1:$G$49, MATCH(orders!$D446,products!$A$1:$A493,0), MATCH(orders!K$1,products!$A$1:$G$1,0))</f>
        <v>0.2</v>
      </c>
      <c r="L811" s="6">
        <f>INDEX(products!$A$1:$G$49, MATCH(orders!$D446,products!$A$1:$A493,0), MATCH(orders!L$1,products!$A$1:$G$1,0))</f>
        <v>4.125</v>
      </c>
      <c r="M811" s="6">
        <f t="shared" si="36"/>
        <v>24.75</v>
      </c>
      <c r="N811" t="str">
        <f t="shared" si="37"/>
        <v>Excelsa</v>
      </c>
      <c r="O811" t="str">
        <f t="shared" si="38"/>
        <v>Medium</v>
      </c>
      <c r="P811" t="str">
        <f>_xlfn.XLOOKUP(Orders[[#This Row],[Customer ID]],customers!$A$1:$A$1001,customers!$I$1:$I$1001,,0)</f>
        <v>No</v>
      </c>
      <c r="Q811">
        <f>COUNTIF(Orders[Order ID],Orders[[#This Row],[Order ID]])</f>
        <v>1</v>
      </c>
      <c r="R811" s="10">
        <f>SUMIF(Orders[Order ID], Orders[[#This Row],[Order ID]],Orders[Sales])/Orders[[#This Row],[Order Frequency]]</f>
        <v>24.75</v>
      </c>
      <c r="S811" t="str">
        <f>IF(Orders[[#This Row],[Order Frequency]]&gt;4, "More than 4", IF(AND(Orders[[#This Row],[Order Frequency]]&lt;=4,Orders[[#This Row],[Order Frequency]]&gt;=2), "Between 4 and 2", "Less than 2"))</f>
        <v>Less than 2</v>
      </c>
      <c r="T811" t="str">
        <f>IF(Orders[[#This Row],[Frequency Group]]="less than 2", "Low Value", IF(Orders[[#This Row],[Frequency Group]]="between 4 and 2", "Medium Value", "High Value"))</f>
        <v>Low Value</v>
      </c>
      <c r="U811" t="str">
        <f>IF(Orders[[#This Row],[Sales]]&lt;50, "$0-50", IF(AND(Orders[[#This Row],[Sales]]&gt;=50,Orders[[#This Row],[Sales]]&lt;=100), "$50-100", IF(AND(Orders[[#This Row],[Sales]]&gt;100,Orders[[#This Row],[Sales]]&lt;=150), "$101-150", "$150+")))</f>
        <v>$0-50</v>
      </c>
      <c r="V811" t="str">
        <f>IF(Orders[[#This Row],[Sales]]&gt;MEDIAN(M:M), "High Price", "Low Price")</f>
        <v>Low Price</v>
      </c>
      <c r="W811" t="str">
        <f>IF(Orders[[#This Row],[Quantity]]&gt;MEDIAN(E:E), "High Volume", "Low Volume")</f>
        <v>High Volume</v>
      </c>
      <c r="X811" t="str">
        <f>Orders[[#This Row],[Sales Tier]] &amp; "-" &amp; Orders[[#This Row],[Quantity Tier]]</f>
        <v>Low Price-High Volume</v>
      </c>
      <c r="Y811" t="str">
        <f>TEXT(Orders[[#This Row],[Order Date]], "mmmm")</f>
        <v>August</v>
      </c>
      <c r="Z81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811" t="str">
        <f>Orders[[#This Row],[Coffee Type Name]] &amp; "-" &amp; Orders[[#This Row],[Roast Type Name]]</f>
        <v>Excelsa-Medium</v>
      </c>
      <c r="AB81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812" spans="1:28" x14ac:dyDescent="0.25">
      <c r="A812" s="2" t="s">
        <v>3818</v>
      </c>
      <c r="B812" s="4">
        <v>43671</v>
      </c>
      <c r="C812" s="2" t="s">
        <v>3819</v>
      </c>
      <c r="D812" t="s">
        <v>6148</v>
      </c>
      <c r="E812" s="2">
        <v>6</v>
      </c>
      <c r="F812" s="2" t="str">
        <f>_xlfn.XLOOKUP(C812,customers!$A$1:$A$1001,customers!$B$1:$B$1001,,0)</f>
        <v>Daniel Heinonen</v>
      </c>
      <c r="G812" s="2" t="str">
        <f>IF(_xlfn.XLOOKUP(C812,customers!$A$1:$A$1001,customers!$C$1:$C$1001,,0)=0,"",_xlfn.XLOOKUP(C812,customers!$A$1:$A$1001,customers!$C$1:$C$1001,,0))</f>
        <v>dheinonengd@printfriendly.com</v>
      </c>
      <c r="H812" s="2" t="str">
        <f>_xlfn.XLOOKUP(C812,customers!$A$1:$A$1001,customers!$G$1:$G$1001,,0)</f>
        <v>United States</v>
      </c>
      <c r="I812" t="str">
        <f>INDEX(products!$A$1:$G$49, MATCH(orders!$D591,products!$A$1:$A638,0), MATCH(orders!I$1,products!$A$1:$G$1,0))</f>
        <v>Exc</v>
      </c>
      <c r="J812" t="str">
        <f>INDEX(products!$A$1:$G$49, MATCH(orders!$D591,products!$A$1:$A638,0), MATCH(orders!J$1,products!$A$1:$G$1,0))</f>
        <v>L</v>
      </c>
      <c r="K812" s="5">
        <f>INDEX(products!$A$1:$G$49, MATCH(orders!$D591,products!$A$1:$A638,0), MATCH(orders!K$1,products!$A$1:$G$1,0))</f>
        <v>2.5</v>
      </c>
      <c r="L812" s="6">
        <f>INDEX(products!$A$1:$G$49, MATCH(orders!$D591,products!$A$1:$A638,0), MATCH(orders!L$1,products!$A$1:$G$1,0))</f>
        <v>34.154999999999994</v>
      </c>
      <c r="M812" s="6">
        <f t="shared" si="36"/>
        <v>204.92999999999995</v>
      </c>
      <c r="N812" t="str">
        <f t="shared" si="37"/>
        <v>Excelsa</v>
      </c>
      <c r="O812" t="str">
        <f t="shared" si="38"/>
        <v>Light</v>
      </c>
      <c r="P812" t="str">
        <f>_xlfn.XLOOKUP(Orders[[#This Row],[Customer ID]],customers!$A$1:$A$1001,customers!$I$1:$I$1001,,0)</f>
        <v>No</v>
      </c>
      <c r="Q812">
        <f>COUNTIF(Orders[Order ID],Orders[[#This Row],[Order ID]])</f>
        <v>1</v>
      </c>
      <c r="R812" s="10">
        <f>SUMIF(Orders[Order ID], Orders[[#This Row],[Order ID]],Orders[Sales])/Orders[[#This Row],[Order Frequency]]</f>
        <v>204.92999999999995</v>
      </c>
      <c r="S812" t="str">
        <f>IF(Orders[[#This Row],[Order Frequency]]&gt;4, "More than 4", IF(AND(Orders[[#This Row],[Order Frequency]]&lt;=4,Orders[[#This Row],[Order Frequency]]&gt;=2), "Between 4 and 2", "Less than 2"))</f>
        <v>Less than 2</v>
      </c>
      <c r="T812" t="str">
        <f>IF(Orders[[#This Row],[Frequency Group]]="less than 2", "Low Value", IF(Orders[[#This Row],[Frequency Group]]="between 4 and 2", "Medium Value", "High Value"))</f>
        <v>Low Value</v>
      </c>
      <c r="U812" t="str">
        <f>IF(Orders[[#This Row],[Sales]]&lt;50, "$0-50", IF(AND(Orders[[#This Row],[Sales]]&gt;=50,Orders[[#This Row],[Sales]]&lt;=100), "$50-100", IF(AND(Orders[[#This Row],[Sales]]&gt;100,Orders[[#This Row],[Sales]]&lt;=150), "$101-150", "$150+")))</f>
        <v>$150+</v>
      </c>
      <c r="V812" t="str">
        <f>IF(Orders[[#This Row],[Sales]]&gt;MEDIAN(M:M), "High Price", "Low Price")</f>
        <v>High Price</v>
      </c>
      <c r="W812" t="str">
        <f>IF(Orders[[#This Row],[Quantity]]&gt;MEDIAN(E:E), "High Volume", "Low Volume")</f>
        <v>High Volume</v>
      </c>
      <c r="X812" t="str">
        <f>Orders[[#This Row],[Sales Tier]] &amp; "-" &amp; Orders[[#This Row],[Quantity Tier]]</f>
        <v>High Price-High Volume</v>
      </c>
      <c r="Y812" t="str">
        <f>TEXT(Orders[[#This Row],[Order Date]], "mmmm")</f>
        <v>July</v>
      </c>
      <c r="Z81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812" t="str">
        <f>Orders[[#This Row],[Coffee Type Name]] &amp; "-" &amp; Orders[[#This Row],[Roast Type Name]]</f>
        <v>Excelsa-Light</v>
      </c>
      <c r="AB81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813" spans="1:28" x14ac:dyDescent="0.25">
      <c r="A813" s="2" t="s">
        <v>4921</v>
      </c>
      <c r="B813" s="4">
        <v>44511</v>
      </c>
      <c r="C813" s="2" t="s">
        <v>4922</v>
      </c>
      <c r="D813" t="s">
        <v>6170</v>
      </c>
      <c r="E813" s="2">
        <v>2</v>
      </c>
      <c r="F813" s="2" t="str">
        <f>_xlfn.XLOOKUP(C813,customers!$A$1:$A$1001,customers!$B$1:$B$1001,,0)</f>
        <v>Graeme Whitehead</v>
      </c>
      <c r="G813" s="2" t="str">
        <f>IF(_xlfn.XLOOKUP(C813,customers!$A$1:$A$1001,customers!$C$1:$C$1001,,0)=0,"",_xlfn.XLOOKUP(C813,customers!$A$1:$A$1001,customers!$C$1:$C$1001,,0))</f>
        <v>gwhiteheadls@hp.com</v>
      </c>
      <c r="H813" s="2" t="str">
        <f>_xlfn.XLOOKUP(C813,customers!$A$1:$A$1001,customers!$G$1:$G$1001,,0)</f>
        <v>United States</v>
      </c>
      <c r="I813" t="str">
        <f>INDEX(products!$A$1:$G$49, MATCH(orders!$D786,products!$A$1:$A833,0), MATCH(orders!I$1,products!$A$1:$G$1,0))</f>
        <v>Lib</v>
      </c>
      <c r="J813" t="str">
        <f>INDEX(products!$A$1:$G$49, MATCH(orders!$D786,products!$A$1:$A833,0), MATCH(orders!J$1,products!$A$1:$G$1,0))</f>
        <v>L</v>
      </c>
      <c r="K813" s="5">
        <f>INDEX(products!$A$1:$G$49, MATCH(orders!$D786,products!$A$1:$A833,0), MATCH(orders!K$1,products!$A$1:$G$1,0))</f>
        <v>1</v>
      </c>
      <c r="L813" s="6">
        <f>INDEX(products!$A$1:$G$49, MATCH(orders!$D786,products!$A$1:$A833,0), MATCH(orders!L$1,products!$A$1:$G$1,0))</f>
        <v>15.85</v>
      </c>
      <c r="M813" s="6">
        <f t="shared" si="36"/>
        <v>31.7</v>
      </c>
      <c r="N813" t="str">
        <f t="shared" si="37"/>
        <v>Liberica</v>
      </c>
      <c r="O813" t="str">
        <f t="shared" si="38"/>
        <v>Light</v>
      </c>
      <c r="P813" t="str">
        <f>_xlfn.XLOOKUP(Orders[[#This Row],[Customer ID]],customers!$A$1:$A$1001,customers!$I$1:$I$1001,,0)</f>
        <v>No</v>
      </c>
      <c r="Q813">
        <f>COUNTIF(Orders[Order ID],Orders[[#This Row],[Order ID]])</f>
        <v>1</v>
      </c>
      <c r="R813" s="10">
        <f>SUMIF(Orders[Order ID], Orders[[#This Row],[Order ID]],Orders[Sales])/Orders[[#This Row],[Order Frequency]]</f>
        <v>31.7</v>
      </c>
      <c r="S813" t="str">
        <f>IF(Orders[[#This Row],[Order Frequency]]&gt;4, "More than 4", IF(AND(Orders[[#This Row],[Order Frequency]]&lt;=4,Orders[[#This Row],[Order Frequency]]&gt;=2), "Between 4 and 2", "Less than 2"))</f>
        <v>Less than 2</v>
      </c>
      <c r="T813" t="str">
        <f>IF(Orders[[#This Row],[Frequency Group]]="less than 2", "Low Value", IF(Orders[[#This Row],[Frequency Group]]="between 4 and 2", "Medium Value", "High Value"))</f>
        <v>Low Value</v>
      </c>
      <c r="U813" t="str">
        <f>IF(Orders[[#This Row],[Sales]]&lt;50, "$0-50", IF(AND(Orders[[#This Row],[Sales]]&gt;=50,Orders[[#This Row],[Sales]]&lt;=100), "$50-100", IF(AND(Orders[[#This Row],[Sales]]&gt;100,Orders[[#This Row],[Sales]]&lt;=150), "$101-150", "$150+")))</f>
        <v>$0-50</v>
      </c>
      <c r="V813" t="str">
        <f>IF(Orders[[#This Row],[Sales]]&gt;MEDIAN(M:M), "High Price", "Low Price")</f>
        <v>High Price</v>
      </c>
      <c r="W813" t="str">
        <f>IF(Orders[[#This Row],[Quantity]]&gt;MEDIAN(E:E), "High Volume", "Low Volume")</f>
        <v>Low Volume</v>
      </c>
      <c r="X813" t="str">
        <f>Orders[[#This Row],[Sales Tier]] &amp; "-" &amp; Orders[[#This Row],[Quantity Tier]]</f>
        <v>High Price-Low Volume</v>
      </c>
      <c r="Y813" t="str">
        <f>TEXT(Orders[[#This Row],[Order Date]], "mmmm")</f>
        <v>November</v>
      </c>
      <c r="Z81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813" t="str">
        <f>Orders[[#This Row],[Coffee Type Name]] &amp; "-" &amp; Orders[[#This Row],[Roast Type Name]]</f>
        <v>Liberica-Light</v>
      </c>
      <c r="AB81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14" spans="1:28" x14ac:dyDescent="0.25">
      <c r="A814" s="2" t="s">
        <v>1884</v>
      </c>
      <c r="B814" s="4">
        <v>44131</v>
      </c>
      <c r="C814" s="2" t="s">
        <v>1885</v>
      </c>
      <c r="D814" t="s">
        <v>6178</v>
      </c>
      <c r="E814" s="2">
        <v>6</v>
      </c>
      <c r="F814" s="2" t="str">
        <f>_xlfn.XLOOKUP(C814,customers!$A$1:$A$1001,customers!$B$1:$B$1001,,0)</f>
        <v>Delmar Beasant</v>
      </c>
      <c r="G814" s="2" t="str">
        <f>IF(_xlfn.XLOOKUP(C814,customers!$A$1:$A$1001,customers!$C$1:$C$1001,,0)=0,"",_xlfn.XLOOKUP(C814,customers!$A$1:$A$1001,customers!$C$1:$C$1001,,0))</f>
        <v/>
      </c>
      <c r="H814" s="2" t="str">
        <f>_xlfn.XLOOKUP(C814,customers!$A$1:$A$1001,customers!$G$1:$G$1001,,0)</f>
        <v>Ireland</v>
      </c>
      <c r="I814" t="str">
        <f>INDEX(products!$A$1:$G$49, MATCH(orders!$D249,products!$A$1:$A296,0), MATCH(orders!I$1,products!$A$1:$G$1,0))</f>
        <v>Rob</v>
      </c>
      <c r="J814" t="str">
        <f>INDEX(products!$A$1:$G$49, MATCH(orders!$D249,products!$A$1:$A296,0), MATCH(orders!J$1,products!$A$1:$G$1,0))</f>
        <v>L</v>
      </c>
      <c r="K814" s="5">
        <f>INDEX(products!$A$1:$G$49, MATCH(orders!$D249,products!$A$1:$A296,0), MATCH(orders!K$1,products!$A$1:$G$1,0))</f>
        <v>0.2</v>
      </c>
      <c r="L814" s="6">
        <f>INDEX(products!$A$1:$G$49, MATCH(orders!$D249,products!$A$1:$A296,0), MATCH(orders!L$1,products!$A$1:$G$1,0))</f>
        <v>3.5849999999999995</v>
      </c>
      <c r="M814" s="6">
        <f t="shared" si="36"/>
        <v>21.509999999999998</v>
      </c>
      <c r="N814" t="str">
        <f t="shared" si="37"/>
        <v>Robusta</v>
      </c>
      <c r="O814" t="str">
        <f t="shared" si="38"/>
        <v>Light</v>
      </c>
      <c r="P814" t="str">
        <f>_xlfn.XLOOKUP(Orders[[#This Row],[Customer ID]],customers!$A$1:$A$1001,customers!$I$1:$I$1001,,0)</f>
        <v>Yes</v>
      </c>
      <c r="Q814">
        <f>COUNTIF(Orders[Order ID],Orders[[#This Row],[Order ID]])</f>
        <v>1</v>
      </c>
      <c r="R814" s="10">
        <f>SUMIF(Orders[Order ID], Orders[[#This Row],[Order ID]],Orders[Sales])/Orders[[#This Row],[Order Frequency]]</f>
        <v>21.509999999999998</v>
      </c>
      <c r="S814" t="str">
        <f>IF(Orders[[#This Row],[Order Frequency]]&gt;4, "More than 4", IF(AND(Orders[[#This Row],[Order Frequency]]&lt;=4,Orders[[#This Row],[Order Frequency]]&gt;=2), "Between 4 and 2", "Less than 2"))</f>
        <v>Less than 2</v>
      </c>
      <c r="T814" t="str">
        <f>IF(Orders[[#This Row],[Frequency Group]]="less than 2", "Low Value", IF(Orders[[#This Row],[Frequency Group]]="between 4 and 2", "Medium Value", "High Value"))</f>
        <v>Low Value</v>
      </c>
      <c r="U814" t="str">
        <f>IF(Orders[[#This Row],[Sales]]&lt;50, "$0-50", IF(AND(Orders[[#This Row],[Sales]]&gt;=50,Orders[[#This Row],[Sales]]&lt;=100), "$50-100", IF(AND(Orders[[#This Row],[Sales]]&gt;100,Orders[[#This Row],[Sales]]&lt;=150), "$101-150", "$150+")))</f>
        <v>$0-50</v>
      </c>
      <c r="V814" t="str">
        <f>IF(Orders[[#This Row],[Sales]]&gt;MEDIAN(M:M), "High Price", "Low Price")</f>
        <v>Low Price</v>
      </c>
      <c r="W814" t="str">
        <f>IF(Orders[[#This Row],[Quantity]]&gt;MEDIAN(E:E), "High Volume", "Low Volume")</f>
        <v>High Volume</v>
      </c>
      <c r="X814" t="str">
        <f>Orders[[#This Row],[Sales Tier]] &amp; "-" &amp; Orders[[#This Row],[Quantity Tier]]</f>
        <v>Low Price-High Volume</v>
      </c>
      <c r="Y814" t="str">
        <f>TEXT(Orders[[#This Row],[Order Date]], "mmmm")</f>
        <v>October</v>
      </c>
      <c r="Z81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814" t="str">
        <f>Orders[[#This Row],[Coffee Type Name]] &amp; "-" &amp; Orders[[#This Row],[Roast Type Name]]</f>
        <v>Robusta-Light</v>
      </c>
      <c r="AB81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15" spans="1:28" x14ac:dyDescent="0.25">
      <c r="A815" s="2" t="s">
        <v>581</v>
      </c>
      <c r="B815" s="4">
        <v>43544</v>
      </c>
      <c r="C815" s="2" t="s">
        <v>582</v>
      </c>
      <c r="D815" t="s">
        <v>6152</v>
      </c>
      <c r="E815" s="2">
        <v>6</v>
      </c>
      <c r="F815" s="2" t="str">
        <f>_xlfn.XLOOKUP(C815,customers!$A$1:$A$1001,customers!$B$1:$B$1001,,0)</f>
        <v>Minni Alabaster</v>
      </c>
      <c r="G815" s="2" t="str">
        <f>IF(_xlfn.XLOOKUP(C815,customers!$A$1:$A$1001,customers!$C$1:$C$1001,,0)=0,"",_xlfn.XLOOKUP(C815,customers!$A$1:$A$1001,customers!$C$1:$C$1001,,0))</f>
        <v>malabasterg@hexun.com</v>
      </c>
      <c r="H815" s="2" t="str">
        <f>_xlfn.XLOOKUP(C815,customers!$A$1:$A$1001,customers!$G$1:$G$1001,,0)</f>
        <v>United States</v>
      </c>
      <c r="I815" t="str">
        <f>INDEX(products!$A$1:$G$49, MATCH(orders!$D18,products!$A$1:$A65,0), MATCH(orders!I$1,products!$A$1:$G$1,0))</f>
        <v>Ara</v>
      </c>
      <c r="J815" t="str">
        <f>INDEX(products!$A$1:$G$49, MATCH(orders!$D18,products!$A$1:$A65,0), MATCH(orders!J$1,products!$A$1:$G$1,0))</f>
        <v>M</v>
      </c>
      <c r="K815" s="5">
        <f>INDEX(products!$A$1:$G$49, MATCH(orders!$D18,products!$A$1:$A65,0), MATCH(orders!K$1,products!$A$1:$G$1,0))</f>
        <v>0.2</v>
      </c>
      <c r="L815" s="6">
        <f>INDEX(products!$A$1:$G$49, MATCH(orders!$D18,products!$A$1:$A65,0), MATCH(orders!L$1,products!$A$1:$G$1,0))</f>
        <v>3.375</v>
      </c>
      <c r="M815" s="6">
        <f t="shared" si="36"/>
        <v>20.25</v>
      </c>
      <c r="N815" t="str">
        <f t="shared" si="37"/>
        <v>Arabica</v>
      </c>
      <c r="O815" t="str">
        <f t="shared" si="38"/>
        <v>Medium</v>
      </c>
      <c r="P815" t="str">
        <f>_xlfn.XLOOKUP(Orders[[#This Row],[Customer ID]],customers!$A$1:$A$1001,customers!$I$1:$I$1001,,0)</f>
        <v>No</v>
      </c>
      <c r="Q815">
        <f>COUNTIF(Orders[Order ID],Orders[[#This Row],[Order ID]])</f>
        <v>1</v>
      </c>
      <c r="R815" s="10">
        <f>SUMIF(Orders[Order ID], Orders[[#This Row],[Order ID]],Orders[Sales])/Orders[[#This Row],[Order Frequency]]</f>
        <v>20.25</v>
      </c>
      <c r="S815" t="str">
        <f>IF(Orders[[#This Row],[Order Frequency]]&gt;4, "More than 4", IF(AND(Orders[[#This Row],[Order Frequency]]&lt;=4,Orders[[#This Row],[Order Frequency]]&gt;=2), "Between 4 and 2", "Less than 2"))</f>
        <v>Less than 2</v>
      </c>
      <c r="T815" t="str">
        <f>IF(Orders[[#This Row],[Frequency Group]]="less than 2", "Low Value", IF(Orders[[#This Row],[Frequency Group]]="between 4 and 2", "Medium Value", "High Value"))</f>
        <v>Low Value</v>
      </c>
      <c r="U815" t="str">
        <f>IF(Orders[[#This Row],[Sales]]&lt;50, "$0-50", IF(AND(Orders[[#This Row],[Sales]]&gt;=50,Orders[[#This Row],[Sales]]&lt;=100), "$50-100", IF(AND(Orders[[#This Row],[Sales]]&gt;100,Orders[[#This Row],[Sales]]&lt;=150), "$101-150", "$150+")))</f>
        <v>$0-50</v>
      </c>
      <c r="V815" t="str">
        <f>IF(Orders[[#This Row],[Sales]]&gt;MEDIAN(M:M), "High Price", "Low Price")</f>
        <v>Low Price</v>
      </c>
      <c r="W815" t="str">
        <f>IF(Orders[[#This Row],[Quantity]]&gt;MEDIAN(E:E), "High Volume", "Low Volume")</f>
        <v>High Volume</v>
      </c>
      <c r="X815" t="str">
        <f>Orders[[#This Row],[Sales Tier]] &amp; "-" &amp; Orders[[#This Row],[Quantity Tier]]</f>
        <v>Low Price-High Volume</v>
      </c>
      <c r="Y815" t="str">
        <f>TEXT(Orders[[#This Row],[Order Date]], "mmmm")</f>
        <v>March</v>
      </c>
      <c r="Z81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15" t="str">
        <f>Orders[[#This Row],[Coffee Type Name]] &amp; "-" &amp; Orders[[#This Row],[Roast Type Name]]</f>
        <v>Arabica-Medium</v>
      </c>
      <c r="AB81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816" spans="1:28" x14ac:dyDescent="0.25">
      <c r="A816" s="2" t="s">
        <v>4596</v>
      </c>
      <c r="B816" s="4">
        <v>44264</v>
      </c>
      <c r="C816" s="2" t="s">
        <v>4597</v>
      </c>
      <c r="D816" t="s">
        <v>6146</v>
      </c>
      <c r="E816" s="2">
        <v>5</v>
      </c>
      <c r="F816" s="2" t="str">
        <f>_xlfn.XLOOKUP(C816,customers!$A$1:$A$1001,customers!$B$1:$B$1001,,0)</f>
        <v>Rikki Tomkowicz</v>
      </c>
      <c r="G816" s="2" t="str">
        <f>IF(_xlfn.XLOOKUP(C816,customers!$A$1:$A$1001,customers!$C$1:$C$1001,,0)=0,"",_xlfn.XLOOKUP(C816,customers!$A$1:$A$1001,customers!$C$1:$C$1001,,0))</f>
        <v>rtomkowiczk7@bravesites.com</v>
      </c>
      <c r="H816" s="2" t="str">
        <f>_xlfn.XLOOKUP(C816,customers!$A$1:$A$1001,customers!$G$1:$G$1001,,0)</f>
        <v>Ireland</v>
      </c>
      <c r="I816" t="str">
        <f>INDEX(products!$A$1:$G$49, MATCH(orders!$D729,products!$A$1:$A776,0), MATCH(orders!I$1,products!$A$1:$G$1,0))</f>
        <v>Rob</v>
      </c>
      <c r="J816" t="str">
        <f>INDEX(products!$A$1:$G$49, MATCH(orders!$D729,products!$A$1:$A776,0), MATCH(orders!J$1,products!$A$1:$G$1,0))</f>
        <v>M</v>
      </c>
      <c r="K816" s="5">
        <f>INDEX(products!$A$1:$G$49, MATCH(orders!$D729,products!$A$1:$A776,0), MATCH(orders!K$1,products!$A$1:$G$1,0))</f>
        <v>0.5</v>
      </c>
      <c r="L816" s="6">
        <f>INDEX(products!$A$1:$G$49, MATCH(orders!$D729,products!$A$1:$A776,0), MATCH(orders!L$1,products!$A$1:$G$1,0))</f>
        <v>5.97</v>
      </c>
      <c r="M816" s="6">
        <f t="shared" si="36"/>
        <v>29.849999999999998</v>
      </c>
      <c r="N816" t="str">
        <f t="shared" si="37"/>
        <v>Robusta</v>
      </c>
      <c r="O816" t="str">
        <f t="shared" si="38"/>
        <v>Medium</v>
      </c>
      <c r="P816" t="str">
        <f>_xlfn.XLOOKUP(Orders[[#This Row],[Customer ID]],customers!$A$1:$A$1001,customers!$I$1:$I$1001,,0)</f>
        <v>Yes</v>
      </c>
      <c r="Q816">
        <f>COUNTIF(Orders[Order ID],Orders[[#This Row],[Order ID]])</f>
        <v>1</v>
      </c>
      <c r="R816" s="10">
        <f>SUMIF(Orders[Order ID], Orders[[#This Row],[Order ID]],Orders[Sales])/Orders[[#This Row],[Order Frequency]]</f>
        <v>29.849999999999998</v>
      </c>
      <c r="S816" t="str">
        <f>IF(Orders[[#This Row],[Order Frequency]]&gt;4, "More than 4", IF(AND(Orders[[#This Row],[Order Frequency]]&lt;=4,Orders[[#This Row],[Order Frequency]]&gt;=2), "Between 4 and 2", "Less than 2"))</f>
        <v>Less than 2</v>
      </c>
      <c r="T816" t="str">
        <f>IF(Orders[[#This Row],[Frequency Group]]="less than 2", "Low Value", IF(Orders[[#This Row],[Frequency Group]]="between 4 and 2", "Medium Value", "High Value"))</f>
        <v>Low Value</v>
      </c>
      <c r="U816" t="str">
        <f>IF(Orders[[#This Row],[Sales]]&lt;50, "$0-50", IF(AND(Orders[[#This Row],[Sales]]&gt;=50,Orders[[#This Row],[Sales]]&lt;=100), "$50-100", IF(AND(Orders[[#This Row],[Sales]]&gt;100,Orders[[#This Row],[Sales]]&lt;=150), "$101-150", "$150+")))</f>
        <v>$0-50</v>
      </c>
      <c r="V816" t="str">
        <f>IF(Orders[[#This Row],[Sales]]&gt;MEDIAN(M:M), "High Price", "Low Price")</f>
        <v>High Price</v>
      </c>
      <c r="W816" t="str">
        <f>IF(Orders[[#This Row],[Quantity]]&gt;MEDIAN(E:E), "High Volume", "Low Volume")</f>
        <v>High Volume</v>
      </c>
      <c r="X816" t="str">
        <f>Orders[[#This Row],[Sales Tier]] &amp; "-" &amp; Orders[[#This Row],[Quantity Tier]]</f>
        <v>High Price-High Volume</v>
      </c>
      <c r="Y816" t="str">
        <f>TEXT(Orders[[#This Row],[Order Date]], "mmmm")</f>
        <v>March</v>
      </c>
      <c r="Z81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16" t="str">
        <f>Orders[[#This Row],[Coffee Type Name]] &amp; "-" &amp; Orders[[#This Row],[Roast Type Name]]</f>
        <v>Robusta-Medium</v>
      </c>
      <c r="AB81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817" spans="1:28" x14ac:dyDescent="0.25">
      <c r="A817" s="2" t="s">
        <v>1227</v>
      </c>
      <c r="B817" s="4">
        <v>44196</v>
      </c>
      <c r="C817" s="2" t="s">
        <v>1228</v>
      </c>
      <c r="D817" t="s">
        <v>6144</v>
      </c>
      <c r="E817" s="2">
        <v>2</v>
      </c>
      <c r="F817" s="2" t="str">
        <f>_xlfn.XLOOKUP(C817,customers!$A$1:$A$1001,customers!$B$1:$B$1001,,0)</f>
        <v>Bobinette Hindsberg</v>
      </c>
      <c r="G817" s="2" t="str">
        <f>IF(_xlfn.XLOOKUP(C817,customers!$A$1:$A$1001,customers!$C$1:$C$1001,,0)=0,"",_xlfn.XLOOKUP(C817,customers!$A$1:$A$1001,customers!$C$1:$C$1001,,0))</f>
        <v>bhindsberg3n@blogs.com</v>
      </c>
      <c r="H817" s="2" t="str">
        <f>_xlfn.XLOOKUP(C817,customers!$A$1:$A$1001,customers!$G$1:$G$1001,,0)</f>
        <v>United States</v>
      </c>
      <c r="I817" t="str">
        <f>INDEX(products!$A$1:$G$49, MATCH(orders!$D133,products!$A$1:$A180,0), MATCH(orders!I$1,products!$A$1:$G$1,0))</f>
        <v>Exc</v>
      </c>
      <c r="J817" t="str">
        <f>INDEX(products!$A$1:$G$49, MATCH(orders!$D133,products!$A$1:$A180,0), MATCH(orders!J$1,products!$A$1:$G$1,0))</f>
        <v>D</v>
      </c>
      <c r="K817" s="5">
        <f>INDEX(products!$A$1:$G$49, MATCH(orders!$D133,products!$A$1:$A180,0), MATCH(orders!K$1,products!$A$1:$G$1,0))</f>
        <v>0.5</v>
      </c>
      <c r="L817" s="6">
        <f>INDEX(products!$A$1:$G$49, MATCH(orders!$D133,products!$A$1:$A180,0), MATCH(orders!L$1,products!$A$1:$G$1,0))</f>
        <v>7.29</v>
      </c>
      <c r="M817" s="6">
        <f t="shared" si="36"/>
        <v>14.58</v>
      </c>
      <c r="N817" t="str">
        <f t="shared" si="37"/>
        <v>Excelsa</v>
      </c>
      <c r="O817" t="str">
        <f t="shared" si="38"/>
        <v>Dark</v>
      </c>
      <c r="P817" t="str">
        <f>_xlfn.XLOOKUP(Orders[[#This Row],[Customer ID]],customers!$A$1:$A$1001,customers!$I$1:$I$1001,,0)</f>
        <v>Yes</v>
      </c>
      <c r="Q817">
        <f>COUNTIF(Orders[Order ID],Orders[[#This Row],[Order ID]])</f>
        <v>1</v>
      </c>
      <c r="R817" s="10">
        <f>SUMIF(Orders[Order ID], Orders[[#This Row],[Order ID]],Orders[Sales])/Orders[[#This Row],[Order Frequency]]</f>
        <v>14.58</v>
      </c>
      <c r="S817" t="str">
        <f>IF(Orders[[#This Row],[Order Frequency]]&gt;4, "More than 4", IF(AND(Orders[[#This Row],[Order Frequency]]&lt;=4,Orders[[#This Row],[Order Frequency]]&gt;=2), "Between 4 and 2", "Less than 2"))</f>
        <v>Less than 2</v>
      </c>
      <c r="T817" t="str">
        <f>IF(Orders[[#This Row],[Frequency Group]]="less than 2", "Low Value", IF(Orders[[#This Row],[Frequency Group]]="between 4 and 2", "Medium Value", "High Value"))</f>
        <v>Low Value</v>
      </c>
      <c r="U817" t="str">
        <f>IF(Orders[[#This Row],[Sales]]&lt;50, "$0-50", IF(AND(Orders[[#This Row],[Sales]]&gt;=50,Orders[[#This Row],[Sales]]&lt;=100), "$50-100", IF(AND(Orders[[#This Row],[Sales]]&gt;100,Orders[[#This Row],[Sales]]&lt;=150), "$101-150", "$150+")))</f>
        <v>$0-50</v>
      </c>
      <c r="V817" t="str">
        <f>IF(Orders[[#This Row],[Sales]]&gt;MEDIAN(M:M), "High Price", "Low Price")</f>
        <v>Low Price</v>
      </c>
      <c r="W817" t="str">
        <f>IF(Orders[[#This Row],[Quantity]]&gt;MEDIAN(E:E), "High Volume", "Low Volume")</f>
        <v>Low Volume</v>
      </c>
      <c r="X817" t="str">
        <f>Orders[[#This Row],[Sales Tier]] &amp; "-" &amp; Orders[[#This Row],[Quantity Tier]]</f>
        <v>Low Price-Low Volume</v>
      </c>
      <c r="Y817" t="str">
        <f>TEXT(Orders[[#This Row],[Order Date]], "mmmm")</f>
        <v>December</v>
      </c>
      <c r="Z81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817" t="str">
        <f>Orders[[#This Row],[Coffee Type Name]] &amp; "-" &amp; Orders[[#This Row],[Roast Type Name]]</f>
        <v>Excelsa-Dark</v>
      </c>
      <c r="AB81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818" spans="1:28" x14ac:dyDescent="0.25">
      <c r="A818" s="2" t="s">
        <v>1459</v>
      </c>
      <c r="B818" s="4">
        <v>44545</v>
      </c>
      <c r="C818" s="2" t="s">
        <v>1460</v>
      </c>
      <c r="D818" t="s">
        <v>6144</v>
      </c>
      <c r="E818" s="2">
        <v>3</v>
      </c>
      <c r="F818" s="2" t="str">
        <f>_xlfn.XLOOKUP(C818,customers!$A$1:$A$1001,customers!$B$1:$B$1001,,0)</f>
        <v>Bartholemy Flaherty</v>
      </c>
      <c r="G818" s="2" t="str">
        <f>IF(_xlfn.XLOOKUP(C818,customers!$A$1:$A$1001,customers!$C$1:$C$1001,,0)=0,"",_xlfn.XLOOKUP(C818,customers!$A$1:$A$1001,customers!$C$1:$C$1001,,0))</f>
        <v>bflaherty4s@moonfruit.com</v>
      </c>
      <c r="H818" s="2" t="str">
        <f>_xlfn.XLOOKUP(C818,customers!$A$1:$A$1001,customers!$G$1:$G$1001,,0)</f>
        <v>Ireland</v>
      </c>
      <c r="I818" t="str">
        <f>INDEX(products!$A$1:$G$49, MATCH(orders!$D174,products!$A$1:$A221,0), MATCH(orders!I$1,products!$A$1:$G$1,0))</f>
        <v>Exc</v>
      </c>
      <c r="J818" t="str">
        <f>INDEX(products!$A$1:$G$49, MATCH(orders!$D174,products!$A$1:$A221,0), MATCH(orders!J$1,products!$A$1:$G$1,0))</f>
        <v>D</v>
      </c>
      <c r="K818" s="5">
        <f>INDEX(products!$A$1:$G$49, MATCH(orders!$D174,products!$A$1:$A221,0), MATCH(orders!K$1,products!$A$1:$G$1,0))</f>
        <v>0.5</v>
      </c>
      <c r="L818" s="6">
        <f>INDEX(products!$A$1:$G$49, MATCH(orders!$D174,products!$A$1:$A221,0), MATCH(orders!L$1,products!$A$1:$G$1,0))</f>
        <v>7.29</v>
      </c>
      <c r="M818" s="6">
        <f t="shared" si="36"/>
        <v>21.87</v>
      </c>
      <c r="N818" t="str">
        <f t="shared" si="37"/>
        <v>Excelsa</v>
      </c>
      <c r="O818" t="str">
        <f t="shared" si="38"/>
        <v>Dark</v>
      </c>
      <c r="P818" t="str">
        <f>_xlfn.XLOOKUP(Orders[[#This Row],[Customer ID]],customers!$A$1:$A$1001,customers!$I$1:$I$1001,,0)</f>
        <v>No</v>
      </c>
      <c r="Q818">
        <f>COUNTIF(Orders[Order ID],Orders[[#This Row],[Order ID]])</f>
        <v>1</v>
      </c>
      <c r="R818" s="10">
        <f>SUMIF(Orders[Order ID], Orders[[#This Row],[Order ID]],Orders[Sales])/Orders[[#This Row],[Order Frequency]]</f>
        <v>21.87</v>
      </c>
      <c r="S818" t="str">
        <f>IF(Orders[[#This Row],[Order Frequency]]&gt;4, "More than 4", IF(AND(Orders[[#This Row],[Order Frequency]]&lt;=4,Orders[[#This Row],[Order Frequency]]&gt;=2), "Between 4 and 2", "Less than 2"))</f>
        <v>Less than 2</v>
      </c>
      <c r="T818" t="str">
        <f>IF(Orders[[#This Row],[Frequency Group]]="less than 2", "Low Value", IF(Orders[[#This Row],[Frequency Group]]="between 4 and 2", "Medium Value", "High Value"))</f>
        <v>Low Value</v>
      </c>
      <c r="U818" t="str">
        <f>IF(Orders[[#This Row],[Sales]]&lt;50, "$0-50", IF(AND(Orders[[#This Row],[Sales]]&gt;=50,Orders[[#This Row],[Sales]]&lt;=100), "$50-100", IF(AND(Orders[[#This Row],[Sales]]&gt;100,Orders[[#This Row],[Sales]]&lt;=150), "$101-150", "$150+")))</f>
        <v>$0-50</v>
      </c>
      <c r="V818" t="str">
        <f>IF(Orders[[#This Row],[Sales]]&gt;MEDIAN(M:M), "High Price", "Low Price")</f>
        <v>Low Price</v>
      </c>
      <c r="W818" t="str">
        <f>IF(Orders[[#This Row],[Quantity]]&gt;MEDIAN(E:E), "High Volume", "Low Volume")</f>
        <v>Low Volume</v>
      </c>
      <c r="X818" t="str">
        <f>Orders[[#This Row],[Sales Tier]] &amp; "-" &amp; Orders[[#This Row],[Quantity Tier]]</f>
        <v>Low Price-Low Volume</v>
      </c>
      <c r="Y818" t="str">
        <f>TEXT(Orders[[#This Row],[Order Date]], "mmmm")</f>
        <v>December</v>
      </c>
      <c r="Z81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818" t="str">
        <f>Orders[[#This Row],[Coffee Type Name]] &amp; "-" &amp; Orders[[#This Row],[Roast Type Name]]</f>
        <v>Excelsa-Dark</v>
      </c>
      <c r="AB81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819" spans="1:28" x14ac:dyDescent="0.25">
      <c r="A819" s="2" t="s">
        <v>4262</v>
      </c>
      <c r="B819" s="4">
        <v>44636</v>
      </c>
      <c r="C819" s="2" t="s">
        <v>4263</v>
      </c>
      <c r="D819" t="s">
        <v>6142</v>
      </c>
      <c r="E819" s="2">
        <v>5</v>
      </c>
      <c r="F819" s="2" t="str">
        <f>_xlfn.XLOOKUP(C819,customers!$A$1:$A$1001,customers!$B$1:$B$1001,,0)</f>
        <v>Janella Millett</v>
      </c>
      <c r="G819" s="2" t="str">
        <f>IF(_xlfn.XLOOKUP(C819,customers!$A$1:$A$1001,customers!$C$1:$C$1001,,0)=0,"",_xlfn.XLOOKUP(C819,customers!$A$1:$A$1001,customers!$C$1:$C$1001,,0))</f>
        <v>jmillettik@addtoany.com</v>
      </c>
      <c r="H819" s="2" t="str">
        <f>_xlfn.XLOOKUP(C819,customers!$A$1:$A$1001,customers!$G$1:$G$1001,,0)</f>
        <v>United States</v>
      </c>
      <c r="I819" t="str">
        <f>INDEX(products!$A$1:$G$49, MATCH(orders!$D670,products!$A$1:$A717,0), MATCH(orders!I$1,products!$A$1:$G$1,0))</f>
        <v>Rob</v>
      </c>
      <c r="J819" t="str">
        <f>INDEX(products!$A$1:$G$49, MATCH(orders!$D670,products!$A$1:$A717,0), MATCH(orders!J$1,products!$A$1:$G$1,0))</f>
        <v>L</v>
      </c>
      <c r="K819" s="5">
        <f>INDEX(products!$A$1:$G$49, MATCH(orders!$D670,products!$A$1:$A717,0), MATCH(orders!K$1,products!$A$1:$G$1,0))</f>
        <v>2.5</v>
      </c>
      <c r="L819" s="6">
        <f>INDEX(products!$A$1:$G$49, MATCH(orders!$D670,products!$A$1:$A717,0), MATCH(orders!L$1,products!$A$1:$G$1,0))</f>
        <v>27.484999999999996</v>
      </c>
      <c r="M819" s="6">
        <f t="shared" si="36"/>
        <v>137.42499999999998</v>
      </c>
      <c r="N819" t="str">
        <f t="shared" si="37"/>
        <v>Robusta</v>
      </c>
      <c r="O819" t="str">
        <f t="shared" si="38"/>
        <v>Light</v>
      </c>
      <c r="P819" t="str">
        <f>_xlfn.XLOOKUP(Orders[[#This Row],[Customer ID]],customers!$A$1:$A$1001,customers!$I$1:$I$1001,,0)</f>
        <v>Yes</v>
      </c>
      <c r="Q819">
        <f>COUNTIF(Orders[Order ID],Orders[[#This Row],[Order ID]])</f>
        <v>1</v>
      </c>
      <c r="R819" s="10">
        <f>SUMIF(Orders[Order ID], Orders[[#This Row],[Order ID]],Orders[Sales])/Orders[[#This Row],[Order Frequency]]</f>
        <v>137.42499999999998</v>
      </c>
      <c r="S819" t="str">
        <f>IF(Orders[[#This Row],[Order Frequency]]&gt;4, "More than 4", IF(AND(Orders[[#This Row],[Order Frequency]]&lt;=4,Orders[[#This Row],[Order Frequency]]&gt;=2), "Between 4 and 2", "Less than 2"))</f>
        <v>Less than 2</v>
      </c>
      <c r="T819" t="str">
        <f>IF(Orders[[#This Row],[Frequency Group]]="less than 2", "Low Value", IF(Orders[[#This Row],[Frequency Group]]="between 4 and 2", "Medium Value", "High Value"))</f>
        <v>Low Value</v>
      </c>
      <c r="U819" t="str">
        <f>IF(Orders[[#This Row],[Sales]]&lt;50, "$0-50", IF(AND(Orders[[#This Row],[Sales]]&gt;=50,Orders[[#This Row],[Sales]]&lt;=100), "$50-100", IF(AND(Orders[[#This Row],[Sales]]&gt;100,Orders[[#This Row],[Sales]]&lt;=150), "$101-150", "$150+")))</f>
        <v>$101-150</v>
      </c>
      <c r="V819" t="str">
        <f>IF(Orders[[#This Row],[Sales]]&gt;MEDIAN(M:M), "High Price", "Low Price")</f>
        <v>High Price</v>
      </c>
      <c r="W819" t="str">
        <f>IF(Orders[[#This Row],[Quantity]]&gt;MEDIAN(E:E), "High Volume", "Low Volume")</f>
        <v>High Volume</v>
      </c>
      <c r="X819" t="str">
        <f>Orders[[#This Row],[Sales Tier]] &amp; "-" &amp; Orders[[#This Row],[Quantity Tier]]</f>
        <v>High Price-High Volume</v>
      </c>
      <c r="Y819" t="str">
        <f>TEXT(Orders[[#This Row],[Order Date]], "mmmm")</f>
        <v>March</v>
      </c>
      <c r="Z81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19" t="str">
        <f>Orders[[#This Row],[Coffee Type Name]] &amp; "-" &amp; Orders[[#This Row],[Roast Type Name]]</f>
        <v>Robusta-Light</v>
      </c>
      <c r="AB81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820" spans="1:28" x14ac:dyDescent="0.25">
      <c r="A820" s="2" t="s">
        <v>3823</v>
      </c>
      <c r="B820" s="4">
        <v>43950</v>
      </c>
      <c r="C820" s="2" t="s">
        <v>3824</v>
      </c>
      <c r="D820" t="s">
        <v>6166</v>
      </c>
      <c r="E820" s="2">
        <v>2</v>
      </c>
      <c r="F820" s="2" t="str">
        <f>_xlfn.XLOOKUP(C820,customers!$A$1:$A$1001,customers!$B$1:$B$1001,,0)</f>
        <v>Jewelle Shenton</v>
      </c>
      <c r="G820" s="2" t="str">
        <f>IF(_xlfn.XLOOKUP(C820,customers!$A$1:$A$1001,customers!$C$1:$C$1001,,0)=0,"",_xlfn.XLOOKUP(C820,customers!$A$1:$A$1001,customers!$C$1:$C$1001,,0))</f>
        <v>jshentonge@google.com.hk</v>
      </c>
      <c r="H820" s="2" t="str">
        <f>_xlfn.XLOOKUP(C820,customers!$A$1:$A$1001,customers!$G$1:$G$1001,,0)</f>
        <v>United States</v>
      </c>
      <c r="I820" t="str">
        <f>INDEX(products!$A$1:$G$49, MATCH(orders!$D592,products!$A$1:$A639,0), MATCH(orders!I$1,products!$A$1:$G$1,0))</f>
        <v>Exc</v>
      </c>
      <c r="J820" t="str">
        <f>INDEX(products!$A$1:$G$49, MATCH(orders!$D592,products!$A$1:$A639,0), MATCH(orders!J$1,products!$A$1:$G$1,0))</f>
        <v>M</v>
      </c>
      <c r="K820" s="5">
        <f>INDEX(products!$A$1:$G$49, MATCH(orders!$D592,products!$A$1:$A639,0), MATCH(orders!K$1,products!$A$1:$G$1,0))</f>
        <v>2.5</v>
      </c>
      <c r="L820" s="6">
        <f>INDEX(products!$A$1:$G$49, MATCH(orders!$D592,products!$A$1:$A639,0), MATCH(orders!L$1,products!$A$1:$G$1,0))</f>
        <v>31.624999999999996</v>
      </c>
      <c r="M820" s="6">
        <f t="shared" si="36"/>
        <v>63.249999999999993</v>
      </c>
      <c r="N820" t="str">
        <f t="shared" si="37"/>
        <v>Excelsa</v>
      </c>
      <c r="O820" t="str">
        <f t="shared" si="38"/>
        <v>Medium</v>
      </c>
      <c r="P820" t="str">
        <f>_xlfn.XLOOKUP(Orders[[#This Row],[Customer ID]],customers!$A$1:$A$1001,customers!$I$1:$I$1001,,0)</f>
        <v>Yes</v>
      </c>
      <c r="Q820">
        <f>COUNTIF(Orders[Order ID],Orders[[#This Row],[Order ID]])</f>
        <v>1</v>
      </c>
      <c r="R820" s="10">
        <f>SUMIF(Orders[Order ID], Orders[[#This Row],[Order ID]],Orders[Sales])/Orders[[#This Row],[Order Frequency]]</f>
        <v>63.249999999999993</v>
      </c>
      <c r="S820" t="str">
        <f>IF(Orders[[#This Row],[Order Frequency]]&gt;4, "More than 4", IF(AND(Orders[[#This Row],[Order Frequency]]&lt;=4,Orders[[#This Row],[Order Frequency]]&gt;=2), "Between 4 and 2", "Less than 2"))</f>
        <v>Less than 2</v>
      </c>
      <c r="T820" t="str">
        <f>IF(Orders[[#This Row],[Frequency Group]]="less than 2", "Low Value", IF(Orders[[#This Row],[Frequency Group]]="between 4 and 2", "Medium Value", "High Value"))</f>
        <v>Low Value</v>
      </c>
      <c r="U820" t="str">
        <f>IF(Orders[[#This Row],[Sales]]&lt;50, "$0-50", IF(AND(Orders[[#This Row],[Sales]]&gt;=50,Orders[[#This Row],[Sales]]&lt;=100), "$50-100", IF(AND(Orders[[#This Row],[Sales]]&gt;100,Orders[[#This Row],[Sales]]&lt;=150), "$101-150", "$150+")))</f>
        <v>$50-100</v>
      </c>
      <c r="V820" t="str">
        <f>IF(Orders[[#This Row],[Sales]]&gt;MEDIAN(M:M), "High Price", "Low Price")</f>
        <v>High Price</v>
      </c>
      <c r="W820" t="str">
        <f>IF(Orders[[#This Row],[Quantity]]&gt;MEDIAN(E:E), "High Volume", "Low Volume")</f>
        <v>Low Volume</v>
      </c>
      <c r="X820" t="str">
        <f>Orders[[#This Row],[Sales Tier]] &amp; "-" &amp; Orders[[#This Row],[Quantity Tier]]</f>
        <v>High Price-Low Volume</v>
      </c>
      <c r="Y820" t="str">
        <f>TEXT(Orders[[#This Row],[Order Date]], "mmmm")</f>
        <v>April</v>
      </c>
      <c r="Z82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820" t="str">
        <f>Orders[[#This Row],[Coffee Type Name]] &amp; "-" &amp; Orders[[#This Row],[Roast Type Name]]</f>
        <v>Excelsa-Medium</v>
      </c>
      <c r="AB82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821" spans="1:28" x14ac:dyDescent="0.25">
      <c r="A821" s="2" t="s">
        <v>1736</v>
      </c>
      <c r="B821" s="4">
        <v>44513</v>
      </c>
      <c r="C821" s="2" t="s">
        <v>1737</v>
      </c>
      <c r="D821" t="s">
        <v>6140</v>
      </c>
      <c r="E821" s="2">
        <v>6</v>
      </c>
      <c r="F821" s="2" t="str">
        <f>_xlfn.XLOOKUP(C821,customers!$A$1:$A$1001,customers!$B$1:$B$1001,,0)</f>
        <v>Lenka Rushmer</v>
      </c>
      <c r="G821" s="2" t="str">
        <f>IF(_xlfn.XLOOKUP(C821,customers!$A$1:$A$1001,customers!$C$1:$C$1001,,0)=0,"",_xlfn.XLOOKUP(C821,customers!$A$1:$A$1001,customers!$C$1:$C$1001,,0))</f>
        <v>lrushmer65@europa.eu</v>
      </c>
      <c r="H821" s="2" t="str">
        <f>_xlfn.XLOOKUP(C821,customers!$A$1:$A$1001,customers!$G$1:$G$1001,,0)</f>
        <v>United States</v>
      </c>
      <c r="I821" t="str">
        <f>INDEX(products!$A$1:$G$49, MATCH(orders!$D223,products!$A$1:$A270,0), MATCH(orders!I$1,products!$A$1:$G$1,0))</f>
        <v>Ara</v>
      </c>
      <c r="J821" t="str">
        <f>INDEX(products!$A$1:$G$49, MATCH(orders!$D223,products!$A$1:$A270,0), MATCH(orders!J$1,products!$A$1:$G$1,0))</f>
        <v>L</v>
      </c>
      <c r="K821" s="5">
        <f>INDEX(products!$A$1:$G$49, MATCH(orders!$D223,products!$A$1:$A270,0), MATCH(orders!K$1,products!$A$1:$G$1,0))</f>
        <v>1</v>
      </c>
      <c r="L821" s="6">
        <f>INDEX(products!$A$1:$G$49, MATCH(orders!$D223,products!$A$1:$A270,0), MATCH(orders!L$1,products!$A$1:$G$1,0))</f>
        <v>12.95</v>
      </c>
      <c r="M821" s="6">
        <f t="shared" si="36"/>
        <v>77.699999999999989</v>
      </c>
      <c r="N821" t="str">
        <f t="shared" si="37"/>
        <v>Arabica</v>
      </c>
      <c r="O821" t="str">
        <f t="shared" si="38"/>
        <v>Light</v>
      </c>
      <c r="P821" t="str">
        <f>_xlfn.XLOOKUP(Orders[[#This Row],[Customer ID]],customers!$A$1:$A$1001,customers!$I$1:$I$1001,,0)</f>
        <v>Yes</v>
      </c>
      <c r="Q821">
        <f>COUNTIF(Orders[Order ID],Orders[[#This Row],[Order ID]])</f>
        <v>1</v>
      </c>
      <c r="R821" s="10">
        <f>SUMIF(Orders[Order ID], Orders[[#This Row],[Order ID]],Orders[Sales])/Orders[[#This Row],[Order Frequency]]</f>
        <v>77.699999999999989</v>
      </c>
      <c r="S821" t="str">
        <f>IF(Orders[[#This Row],[Order Frequency]]&gt;4, "More than 4", IF(AND(Orders[[#This Row],[Order Frequency]]&lt;=4,Orders[[#This Row],[Order Frequency]]&gt;=2), "Between 4 and 2", "Less than 2"))</f>
        <v>Less than 2</v>
      </c>
      <c r="T821" t="str">
        <f>IF(Orders[[#This Row],[Frequency Group]]="less than 2", "Low Value", IF(Orders[[#This Row],[Frequency Group]]="between 4 and 2", "Medium Value", "High Value"))</f>
        <v>Low Value</v>
      </c>
      <c r="U821" t="str">
        <f>IF(Orders[[#This Row],[Sales]]&lt;50, "$0-50", IF(AND(Orders[[#This Row],[Sales]]&gt;=50,Orders[[#This Row],[Sales]]&lt;=100), "$50-100", IF(AND(Orders[[#This Row],[Sales]]&gt;100,Orders[[#This Row],[Sales]]&lt;=150), "$101-150", "$150+")))</f>
        <v>$50-100</v>
      </c>
      <c r="V821" t="str">
        <f>IF(Orders[[#This Row],[Sales]]&gt;MEDIAN(M:M), "High Price", "Low Price")</f>
        <v>High Price</v>
      </c>
      <c r="W821" t="str">
        <f>IF(Orders[[#This Row],[Quantity]]&gt;MEDIAN(E:E), "High Volume", "Low Volume")</f>
        <v>High Volume</v>
      </c>
      <c r="X821" t="str">
        <f>Orders[[#This Row],[Sales Tier]] &amp; "-" &amp; Orders[[#This Row],[Quantity Tier]]</f>
        <v>High Price-High Volume</v>
      </c>
      <c r="Y821" t="str">
        <f>TEXT(Orders[[#This Row],[Order Date]], "mmmm")</f>
        <v>November</v>
      </c>
      <c r="Z82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821" t="str">
        <f>Orders[[#This Row],[Coffee Type Name]] &amp; "-" &amp; Orders[[#This Row],[Roast Type Name]]</f>
        <v>Arabica-Light</v>
      </c>
      <c r="AB82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22" spans="1:28" x14ac:dyDescent="0.25">
      <c r="A822" s="2" t="s">
        <v>4967</v>
      </c>
      <c r="B822" s="4">
        <v>43545</v>
      </c>
      <c r="C822" s="2" t="s">
        <v>4968</v>
      </c>
      <c r="D822" t="s">
        <v>6160</v>
      </c>
      <c r="E822" s="2">
        <v>6</v>
      </c>
      <c r="F822" s="2" t="str">
        <f>_xlfn.XLOOKUP(C822,customers!$A$1:$A$1001,customers!$B$1:$B$1001,,0)</f>
        <v>Jereme Gippes</v>
      </c>
      <c r="G822" s="2" t="str">
        <f>IF(_xlfn.XLOOKUP(C822,customers!$A$1:$A$1001,customers!$C$1:$C$1001,,0)=0,"",_xlfn.XLOOKUP(C822,customers!$A$1:$A$1001,customers!$C$1:$C$1001,,0))</f>
        <v>jgippesm0@cloudflare.com</v>
      </c>
      <c r="H822" s="2" t="str">
        <f>_xlfn.XLOOKUP(C822,customers!$A$1:$A$1001,customers!$G$1:$G$1001,,0)</f>
        <v>United Kingdom</v>
      </c>
      <c r="I822" t="str">
        <f>INDEX(products!$A$1:$G$49, MATCH(orders!$D794,products!$A$1:$A841,0), MATCH(orders!I$1,products!$A$1:$G$1,0))</f>
        <v>Lib</v>
      </c>
      <c r="J822" t="str">
        <f>INDEX(products!$A$1:$G$49, MATCH(orders!$D794,products!$A$1:$A841,0), MATCH(orders!J$1,products!$A$1:$G$1,0))</f>
        <v>M</v>
      </c>
      <c r="K822" s="5">
        <f>INDEX(products!$A$1:$G$49, MATCH(orders!$D794,products!$A$1:$A841,0), MATCH(orders!K$1,products!$A$1:$G$1,0))</f>
        <v>0.5</v>
      </c>
      <c r="L822" s="6">
        <f>INDEX(products!$A$1:$G$49, MATCH(orders!$D794,products!$A$1:$A841,0), MATCH(orders!L$1,products!$A$1:$G$1,0))</f>
        <v>8.73</v>
      </c>
      <c r="M822" s="6">
        <f t="shared" si="36"/>
        <v>52.38</v>
      </c>
      <c r="N822" t="str">
        <f t="shared" si="37"/>
        <v>Liberica</v>
      </c>
      <c r="O822" t="str">
        <f t="shared" si="38"/>
        <v>Medium</v>
      </c>
      <c r="P822" t="str">
        <f>_xlfn.XLOOKUP(Orders[[#This Row],[Customer ID]],customers!$A$1:$A$1001,customers!$I$1:$I$1001,,0)</f>
        <v>Yes</v>
      </c>
      <c r="Q822">
        <f>COUNTIF(Orders[Order ID],Orders[[#This Row],[Order ID]])</f>
        <v>1</v>
      </c>
      <c r="R822" s="10">
        <f>SUMIF(Orders[Order ID], Orders[[#This Row],[Order ID]],Orders[Sales])/Orders[[#This Row],[Order Frequency]]</f>
        <v>52.38</v>
      </c>
      <c r="S822" t="str">
        <f>IF(Orders[[#This Row],[Order Frequency]]&gt;4, "More than 4", IF(AND(Orders[[#This Row],[Order Frequency]]&lt;=4,Orders[[#This Row],[Order Frequency]]&gt;=2), "Between 4 and 2", "Less than 2"))</f>
        <v>Less than 2</v>
      </c>
      <c r="T822" t="str">
        <f>IF(Orders[[#This Row],[Frequency Group]]="less than 2", "Low Value", IF(Orders[[#This Row],[Frequency Group]]="between 4 and 2", "Medium Value", "High Value"))</f>
        <v>Low Value</v>
      </c>
      <c r="U822" t="str">
        <f>IF(Orders[[#This Row],[Sales]]&lt;50, "$0-50", IF(AND(Orders[[#This Row],[Sales]]&gt;=50,Orders[[#This Row],[Sales]]&lt;=100), "$50-100", IF(AND(Orders[[#This Row],[Sales]]&gt;100,Orders[[#This Row],[Sales]]&lt;=150), "$101-150", "$150+")))</f>
        <v>$50-100</v>
      </c>
      <c r="V822" t="str">
        <f>IF(Orders[[#This Row],[Sales]]&gt;MEDIAN(M:M), "High Price", "Low Price")</f>
        <v>High Price</v>
      </c>
      <c r="W822" t="str">
        <f>IF(Orders[[#This Row],[Quantity]]&gt;MEDIAN(E:E), "High Volume", "Low Volume")</f>
        <v>High Volume</v>
      </c>
      <c r="X822" t="str">
        <f>Orders[[#This Row],[Sales Tier]] &amp; "-" &amp; Orders[[#This Row],[Quantity Tier]]</f>
        <v>High Price-High Volume</v>
      </c>
      <c r="Y822" t="str">
        <f>TEXT(Orders[[#This Row],[Order Date]], "mmmm")</f>
        <v>March</v>
      </c>
      <c r="Z82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22" t="str">
        <f>Orders[[#This Row],[Coffee Type Name]] &amp; "-" &amp; Orders[[#This Row],[Roast Type Name]]</f>
        <v>Liberica-Medium</v>
      </c>
      <c r="AB82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823" spans="1:28" x14ac:dyDescent="0.25">
      <c r="A823" s="2" t="s">
        <v>4029</v>
      </c>
      <c r="B823" s="4">
        <v>44682</v>
      </c>
      <c r="C823" s="2" t="s">
        <v>4030</v>
      </c>
      <c r="D823" t="s">
        <v>6166</v>
      </c>
      <c r="E823" s="2">
        <v>2</v>
      </c>
      <c r="F823" s="2" t="str">
        <f>_xlfn.XLOOKUP(C823,customers!$A$1:$A$1001,customers!$B$1:$B$1001,,0)</f>
        <v>Byron Acarson</v>
      </c>
      <c r="G823" s="2" t="str">
        <f>IF(_xlfn.XLOOKUP(C823,customers!$A$1:$A$1001,customers!$C$1:$C$1001,,0)=0,"",_xlfn.XLOOKUP(C823,customers!$A$1:$A$1001,customers!$C$1:$C$1001,,0))</f>
        <v>bacarsonhf@cnn.com</v>
      </c>
      <c r="H823" s="2" t="str">
        <f>_xlfn.XLOOKUP(C823,customers!$A$1:$A$1001,customers!$G$1:$G$1001,,0)</f>
        <v>United States</v>
      </c>
      <c r="I823" t="str">
        <f>INDEX(products!$A$1:$G$49, MATCH(orders!$D629,products!$A$1:$A676,0), MATCH(orders!I$1,products!$A$1:$G$1,0))</f>
        <v>Exc</v>
      </c>
      <c r="J823" t="str">
        <f>INDEX(products!$A$1:$G$49, MATCH(orders!$D629,products!$A$1:$A676,0), MATCH(orders!J$1,products!$A$1:$G$1,0))</f>
        <v>M</v>
      </c>
      <c r="K823" s="5">
        <f>INDEX(products!$A$1:$G$49, MATCH(orders!$D629,products!$A$1:$A676,0), MATCH(orders!K$1,products!$A$1:$G$1,0))</f>
        <v>2.5</v>
      </c>
      <c r="L823" s="6">
        <f>INDEX(products!$A$1:$G$49, MATCH(orders!$D629,products!$A$1:$A676,0), MATCH(orders!L$1,products!$A$1:$G$1,0))</f>
        <v>31.624999999999996</v>
      </c>
      <c r="M823" s="6">
        <f t="shared" si="36"/>
        <v>63.249999999999993</v>
      </c>
      <c r="N823" t="str">
        <f t="shared" si="37"/>
        <v>Excelsa</v>
      </c>
      <c r="O823" t="str">
        <f t="shared" si="38"/>
        <v>Medium</v>
      </c>
      <c r="P823" t="str">
        <f>_xlfn.XLOOKUP(Orders[[#This Row],[Customer ID]],customers!$A$1:$A$1001,customers!$I$1:$I$1001,,0)</f>
        <v>Yes</v>
      </c>
      <c r="Q823">
        <f>COUNTIF(Orders[Order ID],Orders[[#This Row],[Order ID]])</f>
        <v>1</v>
      </c>
      <c r="R823" s="10">
        <f>SUMIF(Orders[Order ID], Orders[[#This Row],[Order ID]],Orders[Sales])/Orders[[#This Row],[Order Frequency]]</f>
        <v>63.249999999999993</v>
      </c>
      <c r="S823" t="str">
        <f>IF(Orders[[#This Row],[Order Frequency]]&gt;4, "More than 4", IF(AND(Orders[[#This Row],[Order Frequency]]&lt;=4,Orders[[#This Row],[Order Frequency]]&gt;=2), "Between 4 and 2", "Less than 2"))</f>
        <v>Less than 2</v>
      </c>
      <c r="T823" t="str">
        <f>IF(Orders[[#This Row],[Frequency Group]]="less than 2", "Low Value", IF(Orders[[#This Row],[Frequency Group]]="between 4 and 2", "Medium Value", "High Value"))</f>
        <v>Low Value</v>
      </c>
      <c r="U823" t="str">
        <f>IF(Orders[[#This Row],[Sales]]&lt;50, "$0-50", IF(AND(Orders[[#This Row],[Sales]]&gt;=50,Orders[[#This Row],[Sales]]&lt;=100), "$50-100", IF(AND(Orders[[#This Row],[Sales]]&gt;100,Orders[[#This Row],[Sales]]&lt;=150), "$101-150", "$150+")))</f>
        <v>$50-100</v>
      </c>
      <c r="V823" t="str">
        <f>IF(Orders[[#This Row],[Sales]]&gt;MEDIAN(M:M), "High Price", "Low Price")</f>
        <v>High Price</v>
      </c>
      <c r="W823" t="str">
        <f>IF(Orders[[#This Row],[Quantity]]&gt;MEDIAN(E:E), "High Volume", "Low Volume")</f>
        <v>Low Volume</v>
      </c>
      <c r="X823" t="str">
        <f>Orders[[#This Row],[Sales Tier]] &amp; "-" &amp; Orders[[#This Row],[Quantity Tier]]</f>
        <v>High Price-Low Volume</v>
      </c>
      <c r="Y823" t="str">
        <f>TEXT(Orders[[#This Row],[Order Date]], "mmmm")</f>
        <v>May</v>
      </c>
      <c r="Z82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823" t="str">
        <f>Orders[[#This Row],[Coffee Type Name]] &amp; "-" &amp; Orders[[#This Row],[Roast Type Name]]</f>
        <v>Excelsa-Medium</v>
      </c>
      <c r="AB82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824" spans="1:28" x14ac:dyDescent="0.25">
      <c r="A824" s="2" t="s">
        <v>3214</v>
      </c>
      <c r="B824" s="4">
        <v>44247</v>
      </c>
      <c r="C824" s="2" t="s">
        <v>3215</v>
      </c>
      <c r="D824" t="s">
        <v>6185</v>
      </c>
      <c r="E824" s="2">
        <v>5</v>
      </c>
      <c r="F824" s="2" t="str">
        <f>_xlfn.XLOOKUP(C824,customers!$A$1:$A$1001,customers!$B$1:$B$1001,,0)</f>
        <v>Stanly Keets</v>
      </c>
      <c r="G824" s="2" t="str">
        <f>IF(_xlfn.XLOOKUP(C824,customers!$A$1:$A$1001,customers!$C$1:$C$1001,,0)=0,"",_xlfn.XLOOKUP(C824,customers!$A$1:$A$1001,customers!$C$1:$C$1001,,0))</f>
        <v>skeetsde@answers.com</v>
      </c>
      <c r="H824" s="2" t="str">
        <f>_xlfn.XLOOKUP(C824,customers!$A$1:$A$1001,customers!$G$1:$G$1001,,0)</f>
        <v>United States</v>
      </c>
      <c r="I824" t="str">
        <f>INDEX(products!$A$1:$G$49, MATCH(orders!$D484,products!$A$1:$A531,0), MATCH(orders!I$1,products!$A$1:$G$1,0))</f>
        <v>Exc</v>
      </c>
      <c r="J824" t="str">
        <f>INDEX(products!$A$1:$G$49, MATCH(orders!$D484,products!$A$1:$A531,0), MATCH(orders!J$1,products!$A$1:$G$1,0))</f>
        <v>D</v>
      </c>
      <c r="K824" s="5">
        <f>INDEX(products!$A$1:$G$49, MATCH(orders!$D484,products!$A$1:$A531,0), MATCH(orders!K$1,products!$A$1:$G$1,0))</f>
        <v>2.5</v>
      </c>
      <c r="L824" s="6">
        <f>INDEX(products!$A$1:$G$49, MATCH(orders!$D484,products!$A$1:$A531,0), MATCH(orders!L$1,products!$A$1:$G$1,0))</f>
        <v>27.945</v>
      </c>
      <c r="M824" s="6">
        <f t="shared" si="36"/>
        <v>139.72499999999999</v>
      </c>
      <c r="N824" t="str">
        <f t="shared" si="37"/>
        <v>Excelsa</v>
      </c>
      <c r="O824" t="str">
        <f t="shared" si="38"/>
        <v>Dark</v>
      </c>
      <c r="P824" t="str">
        <f>_xlfn.XLOOKUP(Orders[[#This Row],[Customer ID]],customers!$A$1:$A$1001,customers!$I$1:$I$1001,,0)</f>
        <v>Yes</v>
      </c>
      <c r="Q824">
        <f>COUNTIF(Orders[Order ID],Orders[[#This Row],[Order ID]])</f>
        <v>1</v>
      </c>
      <c r="R824" s="10">
        <f>SUMIF(Orders[Order ID], Orders[[#This Row],[Order ID]],Orders[Sales])/Orders[[#This Row],[Order Frequency]]</f>
        <v>139.72499999999999</v>
      </c>
      <c r="S824" t="str">
        <f>IF(Orders[[#This Row],[Order Frequency]]&gt;4, "More than 4", IF(AND(Orders[[#This Row],[Order Frequency]]&lt;=4,Orders[[#This Row],[Order Frequency]]&gt;=2), "Between 4 and 2", "Less than 2"))</f>
        <v>Less than 2</v>
      </c>
      <c r="T824" t="str">
        <f>IF(Orders[[#This Row],[Frequency Group]]="less than 2", "Low Value", IF(Orders[[#This Row],[Frequency Group]]="between 4 and 2", "Medium Value", "High Value"))</f>
        <v>Low Value</v>
      </c>
      <c r="U824" t="str">
        <f>IF(Orders[[#This Row],[Sales]]&lt;50, "$0-50", IF(AND(Orders[[#This Row],[Sales]]&gt;=50,Orders[[#This Row],[Sales]]&lt;=100), "$50-100", IF(AND(Orders[[#This Row],[Sales]]&gt;100,Orders[[#This Row],[Sales]]&lt;=150), "$101-150", "$150+")))</f>
        <v>$101-150</v>
      </c>
      <c r="V824" t="str">
        <f>IF(Orders[[#This Row],[Sales]]&gt;MEDIAN(M:M), "High Price", "Low Price")</f>
        <v>High Price</v>
      </c>
      <c r="W824" t="str">
        <f>IF(Orders[[#This Row],[Quantity]]&gt;MEDIAN(E:E), "High Volume", "Low Volume")</f>
        <v>High Volume</v>
      </c>
      <c r="X824" t="str">
        <f>Orders[[#This Row],[Sales Tier]] &amp; "-" &amp; Orders[[#This Row],[Quantity Tier]]</f>
        <v>High Price-High Volume</v>
      </c>
      <c r="Y824" t="str">
        <f>TEXT(Orders[[#This Row],[Order Date]], "mmmm")</f>
        <v>February</v>
      </c>
      <c r="Z82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24" t="str">
        <f>Orders[[#This Row],[Coffee Type Name]] &amp; "-" &amp; Orders[[#This Row],[Roast Type Name]]</f>
        <v>Excelsa-Dark</v>
      </c>
      <c r="AB82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825" spans="1:28" x14ac:dyDescent="0.25">
      <c r="A825" s="2" t="s">
        <v>3118</v>
      </c>
      <c r="B825" s="4">
        <v>43814</v>
      </c>
      <c r="C825" s="2" t="s">
        <v>3119</v>
      </c>
      <c r="D825" t="s">
        <v>6149</v>
      </c>
      <c r="E825" s="2">
        <v>1</v>
      </c>
      <c r="F825" s="2" t="str">
        <f>_xlfn.XLOOKUP(C825,customers!$A$1:$A$1001,customers!$B$1:$B$1001,,0)</f>
        <v>Dick Drinkall</v>
      </c>
      <c r="G825" s="2" t="str">
        <f>IF(_xlfn.XLOOKUP(C825,customers!$A$1:$A$1001,customers!$C$1:$C$1001,,0)=0,"",_xlfn.XLOOKUP(C825,customers!$A$1:$A$1001,customers!$C$1:$C$1001,,0))</f>
        <v>ddrinkallcx@psu.edu</v>
      </c>
      <c r="H825" s="2" t="str">
        <f>_xlfn.XLOOKUP(C825,customers!$A$1:$A$1001,customers!$G$1:$G$1001,,0)</f>
        <v>United States</v>
      </c>
      <c r="I825" t="str">
        <f>INDEX(products!$A$1:$G$49, MATCH(orders!$D467,products!$A$1:$A514,0), MATCH(orders!I$1,products!$A$1:$G$1,0))</f>
        <v>Rob</v>
      </c>
      <c r="J825" t="str">
        <f>INDEX(products!$A$1:$G$49, MATCH(orders!$D467,products!$A$1:$A514,0), MATCH(orders!J$1,products!$A$1:$G$1,0))</f>
        <v>D</v>
      </c>
      <c r="K825" s="5">
        <f>INDEX(products!$A$1:$G$49, MATCH(orders!$D467,products!$A$1:$A514,0), MATCH(orders!K$1,products!$A$1:$G$1,0))</f>
        <v>2.5</v>
      </c>
      <c r="L825" s="6">
        <f>INDEX(products!$A$1:$G$49, MATCH(orders!$D467,products!$A$1:$A514,0), MATCH(orders!L$1,products!$A$1:$G$1,0))</f>
        <v>20.584999999999997</v>
      </c>
      <c r="M825" s="6">
        <f t="shared" si="36"/>
        <v>20.584999999999997</v>
      </c>
      <c r="N825" t="str">
        <f t="shared" si="37"/>
        <v>Robusta</v>
      </c>
      <c r="O825" t="str">
        <f t="shared" si="38"/>
        <v>Dark</v>
      </c>
      <c r="P825" t="str">
        <f>_xlfn.XLOOKUP(Orders[[#This Row],[Customer ID]],customers!$A$1:$A$1001,customers!$I$1:$I$1001,,0)</f>
        <v>Yes</v>
      </c>
      <c r="Q825">
        <f>COUNTIF(Orders[Order ID],Orders[[#This Row],[Order ID]])</f>
        <v>1</v>
      </c>
      <c r="R825" s="10">
        <f>SUMIF(Orders[Order ID], Orders[[#This Row],[Order ID]],Orders[Sales])/Orders[[#This Row],[Order Frequency]]</f>
        <v>20.584999999999997</v>
      </c>
      <c r="S825" t="str">
        <f>IF(Orders[[#This Row],[Order Frequency]]&gt;4, "More than 4", IF(AND(Orders[[#This Row],[Order Frequency]]&lt;=4,Orders[[#This Row],[Order Frequency]]&gt;=2), "Between 4 and 2", "Less than 2"))</f>
        <v>Less than 2</v>
      </c>
      <c r="T825" t="str">
        <f>IF(Orders[[#This Row],[Frequency Group]]="less than 2", "Low Value", IF(Orders[[#This Row],[Frequency Group]]="between 4 and 2", "Medium Value", "High Value"))</f>
        <v>Low Value</v>
      </c>
      <c r="U825" t="str">
        <f>IF(Orders[[#This Row],[Sales]]&lt;50, "$0-50", IF(AND(Orders[[#This Row],[Sales]]&gt;=50,Orders[[#This Row],[Sales]]&lt;=100), "$50-100", IF(AND(Orders[[#This Row],[Sales]]&gt;100,Orders[[#This Row],[Sales]]&lt;=150), "$101-150", "$150+")))</f>
        <v>$0-50</v>
      </c>
      <c r="V825" t="str">
        <f>IF(Orders[[#This Row],[Sales]]&gt;MEDIAN(M:M), "High Price", "Low Price")</f>
        <v>Low Price</v>
      </c>
      <c r="W825" t="str">
        <f>IF(Orders[[#This Row],[Quantity]]&gt;MEDIAN(E:E), "High Volume", "Low Volume")</f>
        <v>Low Volume</v>
      </c>
      <c r="X825" t="str">
        <f>Orders[[#This Row],[Sales Tier]] &amp; "-" &amp; Orders[[#This Row],[Quantity Tier]]</f>
        <v>Low Price-Low Volume</v>
      </c>
      <c r="Y825" t="str">
        <f>TEXT(Orders[[#This Row],[Order Date]], "mmmm")</f>
        <v>December</v>
      </c>
      <c r="Z82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825" t="str">
        <f>Orders[[#This Row],[Coffee Type Name]] &amp; "-" &amp; Orders[[#This Row],[Roast Type Name]]</f>
        <v>Robusta-Dark</v>
      </c>
      <c r="AB82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826" spans="1:28" x14ac:dyDescent="0.25">
      <c r="A826" s="2" t="s">
        <v>2956</v>
      </c>
      <c r="B826" s="4">
        <v>43483</v>
      </c>
      <c r="C826" s="2" t="s">
        <v>3042</v>
      </c>
      <c r="D826" t="s">
        <v>6169</v>
      </c>
      <c r="E826" s="2">
        <v>2</v>
      </c>
      <c r="F826" s="2" t="str">
        <f>_xlfn.XLOOKUP(C826,customers!$A$1:$A$1001,customers!$B$1:$B$1001,,0)</f>
        <v>Morgen Seson</v>
      </c>
      <c r="G826" s="2" t="str">
        <f>IF(_xlfn.XLOOKUP(C826,customers!$A$1:$A$1001,customers!$C$1:$C$1001,,0)=0,"",_xlfn.XLOOKUP(C826,customers!$A$1:$A$1001,customers!$C$1:$C$1001,,0))</f>
        <v>msesonck@census.gov</v>
      </c>
      <c r="H826" s="2" t="str">
        <f>_xlfn.XLOOKUP(C826,customers!$A$1:$A$1001,customers!$G$1:$G$1001,,0)</f>
        <v>United States</v>
      </c>
      <c r="I826" t="str">
        <f>INDEX(products!$A$1:$G$49, MATCH(orders!$D440,products!$A$1:$A487,0), MATCH(orders!I$1,products!$A$1:$G$1,0))</f>
        <v>Lib</v>
      </c>
      <c r="J826" t="str">
        <f>INDEX(products!$A$1:$G$49, MATCH(orders!$D440,products!$A$1:$A487,0), MATCH(orders!J$1,products!$A$1:$G$1,0))</f>
        <v>D</v>
      </c>
      <c r="K826" s="5">
        <f>INDEX(products!$A$1:$G$49, MATCH(orders!$D440,products!$A$1:$A487,0), MATCH(orders!K$1,products!$A$1:$G$1,0))</f>
        <v>0.5</v>
      </c>
      <c r="L826" s="6">
        <f>INDEX(products!$A$1:$G$49, MATCH(orders!$D440,products!$A$1:$A487,0), MATCH(orders!L$1,products!$A$1:$G$1,0))</f>
        <v>7.77</v>
      </c>
      <c r="M826" s="6">
        <f t="shared" si="36"/>
        <v>15.54</v>
      </c>
      <c r="N826" t="str">
        <f t="shared" si="37"/>
        <v>Liberica</v>
      </c>
      <c r="O826" t="str">
        <f t="shared" si="38"/>
        <v>Dark</v>
      </c>
      <c r="P826" t="str">
        <f>_xlfn.XLOOKUP(Orders[[#This Row],[Customer ID]],customers!$A$1:$A$1001,customers!$I$1:$I$1001,,0)</f>
        <v>No</v>
      </c>
      <c r="Q826">
        <f>COUNTIF(Orders[Order ID],Orders[[#This Row],[Order ID]])</f>
        <v>1</v>
      </c>
      <c r="R826" s="10">
        <f>SUMIF(Orders[Order ID], Orders[[#This Row],[Order ID]],Orders[Sales])/Orders[[#This Row],[Order Frequency]]</f>
        <v>15.54</v>
      </c>
      <c r="S826" t="str">
        <f>IF(Orders[[#This Row],[Order Frequency]]&gt;4, "More than 4", IF(AND(Orders[[#This Row],[Order Frequency]]&lt;=4,Orders[[#This Row],[Order Frequency]]&gt;=2), "Between 4 and 2", "Less than 2"))</f>
        <v>Less than 2</v>
      </c>
      <c r="T826" t="str">
        <f>IF(Orders[[#This Row],[Frequency Group]]="less than 2", "Low Value", IF(Orders[[#This Row],[Frequency Group]]="between 4 and 2", "Medium Value", "High Value"))</f>
        <v>Low Value</v>
      </c>
      <c r="U826" t="str">
        <f>IF(Orders[[#This Row],[Sales]]&lt;50, "$0-50", IF(AND(Orders[[#This Row],[Sales]]&gt;=50,Orders[[#This Row],[Sales]]&lt;=100), "$50-100", IF(AND(Orders[[#This Row],[Sales]]&gt;100,Orders[[#This Row],[Sales]]&lt;=150), "$101-150", "$150+")))</f>
        <v>$0-50</v>
      </c>
      <c r="V826" t="str">
        <f>IF(Orders[[#This Row],[Sales]]&gt;MEDIAN(M:M), "High Price", "Low Price")</f>
        <v>Low Price</v>
      </c>
      <c r="W826" t="str">
        <f>IF(Orders[[#This Row],[Quantity]]&gt;MEDIAN(E:E), "High Volume", "Low Volume")</f>
        <v>Low Volume</v>
      </c>
      <c r="X826" t="str">
        <f>Orders[[#This Row],[Sales Tier]] &amp; "-" &amp; Orders[[#This Row],[Quantity Tier]]</f>
        <v>Low Price-Low Volume</v>
      </c>
      <c r="Y826" t="str">
        <f>TEXT(Orders[[#This Row],[Order Date]], "mmmm")</f>
        <v>January</v>
      </c>
      <c r="Z82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26" t="str">
        <f>Orders[[#This Row],[Coffee Type Name]] &amp; "-" &amp; Orders[[#This Row],[Roast Type Name]]</f>
        <v>Liberica-Dark</v>
      </c>
      <c r="AB82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827" spans="1:28" x14ac:dyDescent="0.25">
      <c r="A827" s="2" t="s">
        <v>1361</v>
      </c>
      <c r="B827" s="4">
        <v>43640</v>
      </c>
      <c r="C827" s="2" t="s">
        <v>1362</v>
      </c>
      <c r="D827" t="s">
        <v>6175</v>
      </c>
      <c r="E827" s="2">
        <v>6</v>
      </c>
      <c r="F827" s="2" t="str">
        <f>_xlfn.XLOOKUP(C827,customers!$A$1:$A$1001,customers!$B$1:$B$1001,,0)</f>
        <v>Grete Holborn</v>
      </c>
      <c r="G827" s="2" t="str">
        <f>IF(_xlfn.XLOOKUP(C827,customers!$A$1:$A$1001,customers!$C$1:$C$1001,,0)=0,"",_xlfn.XLOOKUP(C827,customers!$A$1:$A$1001,customers!$C$1:$C$1001,,0))</f>
        <v>gholborn4b@ow.ly</v>
      </c>
      <c r="H827" s="2" t="str">
        <f>_xlfn.XLOOKUP(C827,customers!$A$1:$A$1001,customers!$G$1:$G$1001,,0)</f>
        <v>United States</v>
      </c>
      <c r="I827" t="str">
        <f>INDEX(products!$A$1:$G$49, MATCH(orders!$D157,products!$A$1:$A204,0), MATCH(orders!I$1,products!$A$1:$G$1,0))</f>
        <v>Ara</v>
      </c>
      <c r="J827" t="str">
        <f>INDEX(products!$A$1:$G$49, MATCH(orders!$D157,products!$A$1:$A204,0), MATCH(orders!J$1,products!$A$1:$G$1,0))</f>
        <v>M</v>
      </c>
      <c r="K827" s="5">
        <f>INDEX(products!$A$1:$G$49, MATCH(orders!$D157,products!$A$1:$A204,0), MATCH(orders!K$1,products!$A$1:$G$1,0))</f>
        <v>2.5</v>
      </c>
      <c r="L827" s="6">
        <f>INDEX(products!$A$1:$G$49, MATCH(orders!$D157,products!$A$1:$A204,0), MATCH(orders!L$1,products!$A$1:$G$1,0))</f>
        <v>25.874999999999996</v>
      </c>
      <c r="M827" s="6">
        <f t="shared" si="36"/>
        <v>155.24999999999997</v>
      </c>
      <c r="N827" t="str">
        <f t="shared" si="37"/>
        <v>Arabica</v>
      </c>
      <c r="O827" t="str">
        <f t="shared" si="38"/>
        <v>Medium</v>
      </c>
      <c r="P827" t="str">
        <f>_xlfn.XLOOKUP(Orders[[#This Row],[Customer ID]],customers!$A$1:$A$1001,customers!$I$1:$I$1001,,0)</f>
        <v>Yes</v>
      </c>
      <c r="Q827">
        <f>COUNTIF(Orders[Order ID],Orders[[#This Row],[Order ID]])</f>
        <v>1</v>
      </c>
      <c r="R827" s="10">
        <f>SUMIF(Orders[Order ID], Orders[[#This Row],[Order ID]],Orders[Sales])/Orders[[#This Row],[Order Frequency]]</f>
        <v>155.24999999999997</v>
      </c>
      <c r="S827" t="str">
        <f>IF(Orders[[#This Row],[Order Frequency]]&gt;4, "More than 4", IF(AND(Orders[[#This Row],[Order Frequency]]&lt;=4,Orders[[#This Row],[Order Frequency]]&gt;=2), "Between 4 and 2", "Less than 2"))</f>
        <v>Less than 2</v>
      </c>
      <c r="T827" t="str">
        <f>IF(Orders[[#This Row],[Frequency Group]]="less than 2", "Low Value", IF(Orders[[#This Row],[Frequency Group]]="between 4 and 2", "Medium Value", "High Value"))</f>
        <v>Low Value</v>
      </c>
      <c r="U827" t="str">
        <f>IF(Orders[[#This Row],[Sales]]&lt;50, "$0-50", IF(AND(Orders[[#This Row],[Sales]]&gt;=50,Orders[[#This Row],[Sales]]&lt;=100), "$50-100", IF(AND(Orders[[#This Row],[Sales]]&gt;100,Orders[[#This Row],[Sales]]&lt;=150), "$101-150", "$150+")))</f>
        <v>$150+</v>
      </c>
      <c r="V827" t="str">
        <f>IF(Orders[[#This Row],[Sales]]&gt;MEDIAN(M:M), "High Price", "Low Price")</f>
        <v>High Price</v>
      </c>
      <c r="W827" t="str">
        <f>IF(Orders[[#This Row],[Quantity]]&gt;MEDIAN(E:E), "High Volume", "Low Volume")</f>
        <v>High Volume</v>
      </c>
      <c r="X827" t="str">
        <f>Orders[[#This Row],[Sales Tier]] &amp; "-" &amp; Orders[[#This Row],[Quantity Tier]]</f>
        <v>High Price-High Volume</v>
      </c>
      <c r="Y827" t="str">
        <f>TEXT(Orders[[#This Row],[Order Date]], "mmmm")</f>
        <v>June</v>
      </c>
      <c r="Z82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827" t="str">
        <f>Orders[[#This Row],[Coffee Type Name]] &amp; "-" &amp; Orders[[#This Row],[Roast Type Name]]</f>
        <v>Arabica-Medium</v>
      </c>
      <c r="AB82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828" spans="1:28" x14ac:dyDescent="0.25">
      <c r="A828" s="2" t="s">
        <v>5575</v>
      </c>
      <c r="B828" s="4">
        <v>44523</v>
      </c>
      <c r="C828" s="2" t="s">
        <v>5554</v>
      </c>
      <c r="D828" t="s">
        <v>6162</v>
      </c>
      <c r="E828" s="2">
        <v>5</v>
      </c>
      <c r="F828" s="2" t="str">
        <f>_xlfn.XLOOKUP(C828,customers!$A$1:$A$1001,customers!$B$1:$B$1001,,0)</f>
        <v>Derick Snow</v>
      </c>
      <c r="G828" s="2" t="str">
        <f>IF(_xlfn.XLOOKUP(C828,customers!$A$1:$A$1001,customers!$C$1:$C$1001,,0)=0,"",_xlfn.XLOOKUP(C828,customers!$A$1:$A$1001,customers!$C$1:$C$1001,,0))</f>
        <v/>
      </c>
      <c r="H828" s="2" t="str">
        <f>_xlfn.XLOOKUP(C828,customers!$A$1:$A$1001,customers!$G$1:$G$1001,,0)</f>
        <v>United States</v>
      </c>
      <c r="I828" t="str">
        <f>INDEX(products!$A$1:$G$49, MATCH(orders!$D901,products!$A$1:$A948,0), MATCH(orders!I$1,products!$A$1:$G$1,0))</f>
        <v>Lib</v>
      </c>
      <c r="J828" t="str">
        <f>INDEX(products!$A$1:$G$49, MATCH(orders!$D901,products!$A$1:$A948,0), MATCH(orders!J$1,products!$A$1:$G$1,0))</f>
        <v>M</v>
      </c>
      <c r="K828" s="5">
        <f>INDEX(products!$A$1:$G$49, MATCH(orders!$D901,products!$A$1:$A948,0), MATCH(orders!K$1,products!$A$1:$G$1,0))</f>
        <v>1</v>
      </c>
      <c r="L828" s="6">
        <f>INDEX(products!$A$1:$G$49, MATCH(orders!$D901,products!$A$1:$A948,0), MATCH(orders!L$1,products!$A$1:$G$1,0))</f>
        <v>14.55</v>
      </c>
      <c r="M828" s="6">
        <f t="shared" si="36"/>
        <v>72.75</v>
      </c>
      <c r="N828" t="str">
        <f t="shared" si="37"/>
        <v>Liberica</v>
      </c>
      <c r="O828" t="str">
        <f t="shared" si="38"/>
        <v>Medium</v>
      </c>
      <c r="P828" t="str">
        <f>_xlfn.XLOOKUP(Orders[[#This Row],[Customer ID]],customers!$A$1:$A$1001,customers!$I$1:$I$1001,,0)</f>
        <v>No</v>
      </c>
      <c r="Q828">
        <f>COUNTIF(Orders[Order ID],Orders[[#This Row],[Order ID]])</f>
        <v>1</v>
      </c>
      <c r="R828" s="10">
        <f>SUMIF(Orders[Order ID], Orders[[#This Row],[Order ID]],Orders[Sales])/Orders[[#This Row],[Order Frequency]]</f>
        <v>72.75</v>
      </c>
      <c r="S828" t="str">
        <f>IF(Orders[[#This Row],[Order Frequency]]&gt;4, "More than 4", IF(AND(Orders[[#This Row],[Order Frequency]]&lt;=4,Orders[[#This Row],[Order Frequency]]&gt;=2), "Between 4 and 2", "Less than 2"))</f>
        <v>Less than 2</v>
      </c>
      <c r="T828" t="str">
        <f>IF(Orders[[#This Row],[Frequency Group]]="less than 2", "Low Value", IF(Orders[[#This Row],[Frequency Group]]="between 4 and 2", "Medium Value", "High Value"))</f>
        <v>Low Value</v>
      </c>
      <c r="U828" t="str">
        <f>IF(Orders[[#This Row],[Sales]]&lt;50, "$0-50", IF(AND(Orders[[#This Row],[Sales]]&gt;=50,Orders[[#This Row],[Sales]]&lt;=100), "$50-100", IF(AND(Orders[[#This Row],[Sales]]&gt;100,Orders[[#This Row],[Sales]]&lt;=150), "$101-150", "$150+")))</f>
        <v>$50-100</v>
      </c>
      <c r="V828" t="str">
        <f>IF(Orders[[#This Row],[Sales]]&gt;MEDIAN(M:M), "High Price", "Low Price")</f>
        <v>High Price</v>
      </c>
      <c r="W828" t="str">
        <f>IF(Orders[[#This Row],[Quantity]]&gt;MEDIAN(E:E), "High Volume", "Low Volume")</f>
        <v>High Volume</v>
      </c>
      <c r="X828" t="str">
        <f>Orders[[#This Row],[Sales Tier]] &amp; "-" &amp; Orders[[#This Row],[Quantity Tier]]</f>
        <v>High Price-High Volume</v>
      </c>
      <c r="Y828" t="str">
        <f>TEXT(Orders[[#This Row],[Order Date]], "mmmm")</f>
        <v>November</v>
      </c>
      <c r="Z82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828" t="str">
        <f>Orders[[#This Row],[Coffee Type Name]] &amp; "-" &amp; Orders[[#This Row],[Roast Type Name]]</f>
        <v>Liberica-Medium</v>
      </c>
      <c r="AB82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29" spans="1:28" x14ac:dyDescent="0.25">
      <c r="A829" s="2" t="s">
        <v>990</v>
      </c>
      <c r="B829" s="4">
        <v>44545</v>
      </c>
      <c r="C829" s="2" t="s">
        <v>991</v>
      </c>
      <c r="D829" t="s">
        <v>6140</v>
      </c>
      <c r="E829" s="2">
        <v>6</v>
      </c>
      <c r="F829" s="2" t="str">
        <f>_xlfn.XLOOKUP(C829,customers!$A$1:$A$1001,customers!$B$1:$B$1001,,0)</f>
        <v>Torie Gottelier</v>
      </c>
      <c r="G829" s="2" t="str">
        <f>IF(_xlfn.XLOOKUP(C829,customers!$A$1:$A$1001,customers!$C$1:$C$1001,,0)=0,"",_xlfn.XLOOKUP(C829,customers!$A$1:$A$1001,customers!$C$1:$C$1001,,0))</f>
        <v>tgottelier2h@vistaprint.com</v>
      </c>
      <c r="H829" s="2" t="str">
        <f>_xlfn.XLOOKUP(C829,customers!$A$1:$A$1001,customers!$G$1:$G$1001,,0)</f>
        <v>United States</v>
      </c>
      <c r="I829" t="str">
        <f>INDEX(products!$A$1:$G$49, MATCH(orders!$D91,products!$A$1:$A138,0), MATCH(orders!I$1,products!$A$1:$G$1,0))</f>
        <v>Ara</v>
      </c>
      <c r="J829" t="str">
        <f>INDEX(products!$A$1:$G$49, MATCH(orders!$D91,products!$A$1:$A138,0), MATCH(orders!J$1,products!$A$1:$G$1,0))</f>
        <v>L</v>
      </c>
      <c r="K829" s="5">
        <f>INDEX(products!$A$1:$G$49, MATCH(orders!$D91,products!$A$1:$A138,0), MATCH(orders!K$1,products!$A$1:$G$1,0))</f>
        <v>1</v>
      </c>
      <c r="L829" s="6">
        <f>INDEX(products!$A$1:$G$49, MATCH(orders!$D91,products!$A$1:$A138,0), MATCH(orders!L$1,products!$A$1:$G$1,0))</f>
        <v>12.95</v>
      </c>
      <c r="M829" s="6">
        <f t="shared" si="36"/>
        <v>77.699999999999989</v>
      </c>
      <c r="N829" t="str">
        <f t="shared" si="37"/>
        <v>Arabica</v>
      </c>
      <c r="O829" t="str">
        <f t="shared" si="38"/>
        <v>Light</v>
      </c>
      <c r="P829" t="str">
        <f>_xlfn.XLOOKUP(Orders[[#This Row],[Customer ID]],customers!$A$1:$A$1001,customers!$I$1:$I$1001,,0)</f>
        <v>No</v>
      </c>
      <c r="Q829">
        <f>COUNTIF(Orders[Order ID],Orders[[#This Row],[Order ID]])</f>
        <v>1</v>
      </c>
      <c r="R829" s="10">
        <f>SUMIF(Orders[Order ID], Orders[[#This Row],[Order ID]],Orders[Sales])/Orders[[#This Row],[Order Frequency]]</f>
        <v>77.699999999999989</v>
      </c>
      <c r="S829" t="str">
        <f>IF(Orders[[#This Row],[Order Frequency]]&gt;4, "More than 4", IF(AND(Orders[[#This Row],[Order Frequency]]&lt;=4,Orders[[#This Row],[Order Frequency]]&gt;=2), "Between 4 and 2", "Less than 2"))</f>
        <v>Less than 2</v>
      </c>
      <c r="T829" t="str">
        <f>IF(Orders[[#This Row],[Frequency Group]]="less than 2", "Low Value", IF(Orders[[#This Row],[Frequency Group]]="between 4 and 2", "Medium Value", "High Value"))</f>
        <v>Low Value</v>
      </c>
      <c r="U829" t="str">
        <f>IF(Orders[[#This Row],[Sales]]&lt;50, "$0-50", IF(AND(Orders[[#This Row],[Sales]]&gt;=50,Orders[[#This Row],[Sales]]&lt;=100), "$50-100", IF(AND(Orders[[#This Row],[Sales]]&gt;100,Orders[[#This Row],[Sales]]&lt;=150), "$101-150", "$150+")))</f>
        <v>$50-100</v>
      </c>
      <c r="V829" t="str">
        <f>IF(Orders[[#This Row],[Sales]]&gt;MEDIAN(M:M), "High Price", "Low Price")</f>
        <v>High Price</v>
      </c>
      <c r="W829" t="str">
        <f>IF(Orders[[#This Row],[Quantity]]&gt;MEDIAN(E:E), "High Volume", "Low Volume")</f>
        <v>High Volume</v>
      </c>
      <c r="X829" t="str">
        <f>Orders[[#This Row],[Sales Tier]] &amp; "-" &amp; Orders[[#This Row],[Quantity Tier]]</f>
        <v>High Price-High Volume</v>
      </c>
      <c r="Y829" t="str">
        <f>TEXT(Orders[[#This Row],[Order Date]], "mmmm")</f>
        <v>December</v>
      </c>
      <c r="Z82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829" t="str">
        <f>Orders[[#This Row],[Coffee Type Name]] &amp; "-" &amp; Orders[[#This Row],[Roast Type Name]]</f>
        <v>Arabica-Light</v>
      </c>
      <c r="AB82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830" spans="1:28" x14ac:dyDescent="0.25">
      <c r="A830" s="2" t="s">
        <v>755</v>
      </c>
      <c r="B830" s="4">
        <v>43644</v>
      </c>
      <c r="C830" s="2" t="s">
        <v>756</v>
      </c>
      <c r="D830" t="s">
        <v>6167</v>
      </c>
      <c r="E830" s="2">
        <v>2</v>
      </c>
      <c r="F830" s="2" t="str">
        <f>_xlfn.XLOOKUP(C830,customers!$A$1:$A$1001,customers!$B$1:$B$1001,,0)</f>
        <v>Arda Curley</v>
      </c>
      <c r="G830" s="2" t="str">
        <f>IF(_xlfn.XLOOKUP(C830,customers!$A$1:$A$1001,customers!$C$1:$C$1001,,0)=0,"",_xlfn.XLOOKUP(C830,customers!$A$1:$A$1001,customers!$C$1:$C$1001,,0))</f>
        <v>acurley1b@hao123.com</v>
      </c>
      <c r="H830" s="2" t="str">
        <f>_xlfn.XLOOKUP(C830,customers!$A$1:$A$1001,customers!$G$1:$G$1001,,0)</f>
        <v>United States</v>
      </c>
      <c r="I830" t="str">
        <f>INDEX(products!$A$1:$G$49, MATCH(orders!$D49,products!$A$1:$A96,0), MATCH(orders!I$1,products!$A$1:$G$1,0))</f>
        <v>Ara</v>
      </c>
      <c r="J830" t="str">
        <f>INDEX(products!$A$1:$G$49, MATCH(orders!$D49,products!$A$1:$A96,0), MATCH(orders!J$1,products!$A$1:$G$1,0))</f>
        <v>L</v>
      </c>
      <c r="K830" s="5">
        <f>INDEX(products!$A$1:$G$49, MATCH(orders!$D49,products!$A$1:$A96,0), MATCH(orders!K$1,products!$A$1:$G$1,0))</f>
        <v>0.2</v>
      </c>
      <c r="L830" s="6">
        <f>INDEX(products!$A$1:$G$49, MATCH(orders!$D49,products!$A$1:$A96,0), MATCH(orders!L$1,products!$A$1:$G$1,0))</f>
        <v>3.8849999999999998</v>
      </c>
      <c r="M830" s="6">
        <f t="shared" si="36"/>
        <v>7.77</v>
      </c>
      <c r="N830" t="str">
        <f t="shared" si="37"/>
        <v>Arabica</v>
      </c>
      <c r="O830" t="str">
        <f t="shared" si="38"/>
        <v>Light</v>
      </c>
      <c r="P830" t="str">
        <f>_xlfn.XLOOKUP(Orders[[#This Row],[Customer ID]],customers!$A$1:$A$1001,customers!$I$1:$I$1001,,0)</f>
        <v>Yes</v>
      </c>
      <c r="Q830">
        <f>COUNTIF(Orders[Order ID],Orders[[#This Row],[Order ID]])</f>
        <v>1</v>
      </c>
      <c r="R830" s="10">
        <f>SUMIF(Orders[Order ID], Orders[[#This Row],[Order ID]],Orders[Sales])/Orders[[#This Row],[Order Frequency]]</f>
        <v>7.77</v>
      </c>
      <c r="S830" t="str">
        <f>IF(Orders[[#This Row],[Order Frequency]]&gt;4, "More than 4", IF(AND(Orders[[#This Row],[Order Frequency]]&lt;=4,Orders[[#This Row],[Order Frequency]]&gt;=2), "Between 4 and 2", "Less than 2"))</f>
        <v>Less than 2</v>
      </c>
      <c r="T830" t="str">
        <f>IF(Orders[[#This Row],[Frequency Group]]="less than 2", "Low Value", IF(Orders[[#This Row],[Frequency Group]]="between 4 and 2", "Medium Value", "High Value"))</f>
        <v>Low Value</v>
      </c>
      <c r="U830" t="str">
        <f>IF(Orders[[#This Row],[Sales]]&lt;50, "$0-50", IF(AND(Orders[[#This Row],[Sales]]&gt;=50,Orders[[#This Row],[Sales]]&lt;=100), "$50-100", IF(AND(Orders[[#This Row],[Sales]]&gt;100,Orders[[#This Row],[Sales]]&lt;=150), "$101-150", "$150+")))</f>
        <v>$0-50</v>
      </c>
      <c r="V830" t="str">
        <f>IF(Orders[[#This Row],[Sales]]&gt;MEDIAN(M:M), "High Price", "Low Price")</f>
        <v>Low Price</v>
      </c>
      <c r="W830" t="str">
        <f>IF(Orders[[#This Row],[Quantity]]&gt;MEDIAN(E:E), "High Volume", "Low Volume")</f>
        <v>Low Volume</v>
      </c>
      <c r="X830" t="str">
        <f>Orders[[#This Row],[Sales Tier]] &amp; "-" &amp; Orders[[#This Row],[Quantity Tier]]</f>
        <v>Low Price-Low Volume</v>
      </c>
      <c r="Y830" t="str">
        <f>TEXT(Orders[[#This Row],[Order Date]], "mmmm")</f>
        <v>June</v>
      </c>
      <c r="Z83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830" t="str">
        <f>Orders[[#This Row],[Coffee Type Name]] &amp; "-" &amp; Orders[[#This Row],[Roast Type Name]]</f>
        <v>Arabica-Light</v>
      </c>
      <c r="AB83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831" spans="1:28" x14ac:dyDescent="0.25">
      <c r="A831" s="2" t="s">
        <v>1895</v>
      </c>
      <c r="B831" s="4">
        <v>43861</v>
      </c>
      <c r="C831" s="2" t="s">
        <v>1935</v>
      </c>
      <c r="D831" t="s">
        <v>6170</v>
      </c>
      <c r="E831" s="2">
        <v>1</v>
      </c>
      <c r="F831" s="2" t="str">
        <f>_xlfn.XLOOKUP(C831,customers!$A$1:$A$1001,customers!$B$1:$B$1001,,0)</f>
        <v>Zacharias Kiffe</v>
      </c>
      <c r="G831" s="2" t="str">
        <f>IF(_xlfn.XLOOKUP(C831,customers!$A$1:$A$1001,customers!$C$1:$C$1001,,0)=0,"",_xlfn.XLOOKUP(C831,customers!$A$1:$A$1001,customers!$C$1:$C$1001,,0))</f>
        <v>zkiffe74@cyberchimps.com</v>
      </c>
      <c r="H831" s="2" t="str">
        <f>_xlfn.XLOOKUP(C831,customers!$A$1:$A$1001,customers!$G$1:$G$1001,,0)</f>
        <v>United States</v>
      </c>
      <c r="I831" t="str">
        <f>INDEX(products!$A$1:$G$49, MATCH(orders!$D251,products!$A$1:$A298,0), MATCH(orders!I$1,products!$A$1:$G$1,0))</f>
        <v>Lib</v>
      </c>
      <c r="J831" t="str">
        <f>INDEX(products!$A$1:$G$49, MATCH(orders!$D251,products!$A$1:$A298,0), MATCH(orders!J$1,products!$A$1:$G$1,0))</f>
        <v>L</v>
      </c>
      <c r="K831" s="5">
        <f>INDEX(products!$A$1:$G$49, MATCH(orders!$D251,products!$A$1:$A298,0), MATCH(orders!K$1,products!$A$1:$G$1,0))</f>
        <v>1</v>
      </c>
      <c r="L831" s="6">
        <f>INDEX(products!$A$1:$G$49, MATCH(orders!$D251,products!$A$1:$A298,0), MATCH(orders!L$1,products!$A$1:$G$1,0))</f>
        <v>15.85</v>
      </c>
      <c r="M831" s="6">
        <f t="shared" si="36"/>
        <v>15.85</v>
      </c>
      <c r="N831" t="str">
        <f t="shared" si="37"/>
        <v>Liberica</v>
      </c>
      <c r="O831" t="str">
        <f t="shared" si="38"/>
        <v>Light</v>
      </c>
      <c r="P831" t="str">
        <f>_xlfn.XLOOKUP(Orders[[#This Row],[Customer ID]],customers!$A$1:$A$1001,customers!$I$1:$I$1001,,0)</f>
        <v>Yes</v>
      </c>
      <c r="Q831">
        <f>COUNTIF(Orders[Order ID],Orders[[#This Row],[Order ID]])</f>
        <v>1</v>
      </c>
      <c r="R831" s="10">
        <f>SUMIF(Orders[Order ID], Orders[[#This Row],[Order ID]],Orders[Sales])/Orders[[#This Row],[Order Frequency]]</f>
        <v>15.85</v>
      </c>
      <c r="S831" t="str">
        <f>IF(Orders[[#This Row],[Order Frequency]]&gt;4, "More than 4", IF(AND(Orders[[#This Row],[Order Frequency]]&lt;=4,Orders[[#This Row],[Order Frequency]]&gt;=2), "Between 4 and 2", "Less than 2"))</f>
        <v>Less than 2</v>
      </c>
      <c r="T831" t="str">
        <f>IF(Orders[[#This Row],[Frequency Group]]="less than 2", "Low Value", IF(Orders[[#This Row],[Frequency Group]]="between 4 and 2", "Medium Value", "High Value"))</f>
        <v>Low Value</v>
      </c>
      <c r="U831" t="str">
        <f>IF(Orders[[#This Row],[Sales]]&lt;50, "$0-50", IF(AND(Orders[[#This Row],[Sales]]&gt;=50,Orders[[#This Row],[Sales]]&lt;=100), "$50-100", IF(AND(Orders[[#This Row],[Sales]]&gt;100,Orders[[#This Row],[Sales]]&lt;=150), "$101-150", "$150+")))</f>
        <v>$0-50</v>
      </c>
      <c r="V831" t="str">
        <f>IF(Orders[[#This Row],[Sales]]&gt;MEDIAN(M:M), "High Price", "Low Price")</f>
        <v>Low Price</v>
      </c>
      <c r="W831" t="str">
        <f>IF(Orders[[#This Row],[Quantity]]&gt;MEDIAN(E:E), "High Volume", "Low Volume")</f>
        <v>Low Volume</v>
      </c>
      <c r="X831" t="str">
        <f>Orders[[#This Row],[Sales Tier]] &amp; "-" &amp; Orders[[#This Row],[Quantity Tier]]</f>
        <v>Low Price-Low Volume</v>
      </c>
      <c r="Y831" t="str">
        <f>TEXT(Orders[[#This Row],[Order Date]], "mmmm")</f>
        <v>January</v>
      </c>
      <c r="Z83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31" t="str">
        <f>Orders[[#This Row],[Coffee Type Name]] &amp; "-" &amp; Orders[[#This Row],[Roast Type Name]]</f>
        <v>Liberica-Light</v>
      </c>
      <c r="AB83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832" spans="1:28" x14ac:dyDescent="0.25">
      <c r="A832" s="2" t="s">
        <v>4551</v>
      </c>
      <c r="B832" s="4">
        <v>44150</v>
      </c>
      <c r="C832" s="2" t="s">
        <v>4552</v>
      </c>
      <c r="D832" t="s">
        <v>6170</v>
      </c>
      <c r="E832" s="2">
        <v>5</v>
      </c>
      <c r="F832" s="2" t="str">
        <f>_xlfn.XLOOKUP(C832,customers!$A$1:$A$1001,customers!$B$1:$B$1001,,0)</f>
        <v>Granger Fantham</v>
      </c>
      <c r="G832" s="2" t="str">
        <f>IF(_xlfn.XLOOKUP(C832,customers!$A$1:$A$1001,customers!$C$1:$C$1001,,0)=0,"",_xlfn.XLOOKUP(C832,customers!$A$1:$A$1001,customers!$C$1:$C$1001,,0))</f>
        <v>gfanthamjz@hexun.com</v>
      </c>
      <c r="H832" s="2" t="str">
        <f>_xlfn.XLOOKUP(C832,customers!$A$1:$A$1001,customers!$G$1:$G$1001,,0)</f>
        <v>United States</v>
      </c>
      <c r="I832" t="str">
        <f>INDEX(products!$A$1:$G$49, MATCH(orders!$D721,products!$A$1:$A768,0), MATCH(orders!I$1,products!$A$1:$G$1,0))</f>
        <v>Lib</v>
      </c>
      <c r="J832" t="str">
        <f>INDEX(products!$A$1:$G$49, MATCH(orders!$D721,products!$A$1:$A768,0), MATCH(orders!J$1,products!$A$1:$G$1,0))</f>
        <v>L</v>
      </c>
      <c r="K832" s="5">
        <f>INDEX(products!$A$1:$G$49, MATCH(orders!$D721,products!$A$1:$A768,0), MATCH(orders!K$1,products!$A$1:$G$1,0))</f>
        <v>1</v>
      </c>
      <c r="L832" s="6">
        <f>INDEX(products!$A$1:$G$49, MATCH(orders!$D721,products!$A$1:$A768,0), MATCH(orders!L$1,products!$A$1:$G$1,0))</f>
        <v>15.85</v>
      </c>
      <c r="M832" s="6">
        <f t="shared" si="36"/>
        <v>79.25</v>
      </c>
      <c r="N832" t="str">
        <f t="shared" si="37"/>
        <v>Liberica</v>
      </c>
      <c r="O832" t="str">
        <f t="shared" si="38"/>
        <v>Light</v>
      </c>
      <c r="P832" t="str">
        <f>_xlfn.XLOOKUP(Orders[[#This Row],[Customer ID]],customers!$A$1:$A$1001,customers!$I$1:$I$1001,,0)</f>
        <v>Yes</v>
      </c>
      <c r="Q832">
        <f>COUNTIF(Orders[Order ID],Orders[[#This Row],[Order ID]])</f>
        <v>1</v>
      </c>
      <c r="R832" s="10">
        <f>SUMIF(Orders[Order ID], Orders[[#This Row],[Order ID]],Orders[Sales])/Orders[[#This Row],[Order Frequency]]</f>
        <v>79.25</v>
      </c>
      <c r="S832" t="str">
        <f>IF(Orders[[#This Row],[Order Frequency]]&gt;4, "More than 4", IF(AND(Orders[[#This Row],[Order Frequency]]&lt;=4,Orders[[#This Row],[Order Frequency]]&gt;=2), "Between 4 and 2", "Less than 2"))</f>
        <v>Less than 2</v>
      </c>
      <c r="T832" t="str">
        <f>IF(Orders[[#This Row],[Frequency Group]]="less than 2", "Low Value", IF(Orders[[#This Row],[Frequency Group]]="between 4 and 2", "Medium Value", "High Value"))</f>
        <v>Low Value</v>
      </c>
      <c r="U832" t="str">
        <f>IF(Orders[[#This Row],[Sales]]&lt;50, "$0-50", IF(AND(Orders[[#This Row],[Sales]]&gt;=50,Orders[[#This Row],[Sales]]&lt;=100), "$50-100", IF(AND(Orders[[#This Row],[Sales]]&gt;100,Orders[[#This Row],[Sales]]&lt;=150), "$101-150", "$150+")))</f>
        <v>$50-100</v>
      </c>
      <c r="V832" t="str">
        <f>IF(Orders[[#This Row],[Sales]]&gt;MEDIAN(M:M), "High Price", "Low Price")</f>
        <v>High Price</v>
      </c>
      <c r="W832" t="str">
        <f>IF(Orders[[#This Row],[Quantity]]&gt;MEDIAN(E:E), "High Volume", "Low Volume")</f>
        <v>High Volume</v>
      </c>
      <c r="X832" t="str">
        <f>Orders[[#This Row],[Sales Tier]] &amp; "-" &amp; Orders[[#This Row],[Quantity Tier]]</f>
        <v>High Price-High Volume</v>
      </c>
      <c r="Y832" t="str">
        <f>TEXT(Orders[[#This Row],[Order Date]], "mmmm")</f>
        <v>November</v>
      </c>
      <c r="Z83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832" t="str">
        <f>Orders[[#This Row],[Coffee Type Name]] &amp; "-" &amp; Orders[[#This Row],[Roast Type Name]]</f>
        <v>Liberica-Light</v>
      </c>
      <c r="AB83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33" spans="1:28" x14ac:dyDescent="0.25">
      <c r="A833" s="2" t="s">
        <v>3441</v>
      </c>
      <c r="B833" s="4">
        <v>43625</v>
      </c>
      <c r="C833" s="2" t="s">
        <v>3442</v>
      </c>
      <c r="D833" t="s">
        <v>6146</v>
      </c>
      <c r="E833" s="2">
        <v>5</v>
      </c>
      <c r="F833" s="2" t="str">
        <f>_xlfn.XLOOKUP(C833,customers!$A$1:$A$1001,customers!$B$1:$B$1001,,0)</f>
        <v>Vasili Upstone</v>
      </c>
      <c r="G833" s="2" t="str">
        <f>IF(_xlfn.XLOOKUP(C833,customers!$A$1:$A$1001,customers!$C$1:$C$1001,,0)=0,"",_xlfn.XLOOKUP(C833,customers!$A$1:$A$1001,customers!$C$1:$C$1001,,0))</f>
        <v>vupstoneei@google.pl</v>
      </c>
      <c r="H833" s="2" t="str">
        <f>_xlfn.XLOOKUP(C833,customers!$A$1:$A$1001,customers!$G$1:$G$1001,,0)</f>
        <v>United States</v>
      </c>
      <c r="I833" t="str">
        <f>INDEX(products!$A$1:$G$49, MATCH(orders!$D524,products!$A$1:$A571,0), MATCH(orders!I$1,products!$A$1:$G$1,0))</f>
        <v>Rob</v>
      </c>
      <c r="J833" t="str">
        <f>INDEX(products!$A$1:$G$49, MATCH(orders!$D524,products!$A$1:$A571,0), MATCH(orders!J$1,products!$A$1:$G$1,0))</f>
        <v>M</v>
      </c>
      <c r="K833" s="5">
        <f>INDEX(products!$A$1:$G$49, MATCH(orders!$D524,products!$A$1:$A571,0), MATCH(orders!K$1,products!$A$1:$G$1,0))</f>
        <v>0.5</v>
      </c>
      <c r="L833" s="6">
        <f>INDEX(products!$A$1:$G$49, MATCH(orders!$D524,products!$A$1:$A571,0), MATCH(orders!L$1,products!$A$1:$G$1,0))</f>
        <v>5.97</v>
      </c>
      <c r="M833" s="6">
        <f t="shared" si="36"/>
        <v>29.849999999999998</v>
      </c>
      <c r="N833" t="str">
        <f t="shared" si="37"/>
        <v>Robusta</v>
      </c>
      <c r="O833" t="str">
        <f t="shared" si="38"/>
        <v>Medium</v>
      </c>
      <c r="P833" t="str">
        <f>_xlfn.XLOOKUP(Orders[[#This Row],[Customer ID]],customers!$A$1:$A$1001,customers!$I$1:$I$1001,,0)</f>
        <v>No</v>
      </c>
      <c r="Q833">
        <f>COUNTIF(Orders[Order ID],Orders[[#This Row],[Order ID]])</f>
        <v>1</v>
      </c>
      <c r="R833" s="10">
        <f>SUMIF(Orders[Order ID], Orders[[#This Row],[Order ID]],Orders[Sales])/Orders[[#This Row],[Order Frequency]]</f>
        <v>29.849999999999998</v>
      </c>
      <c r="S833" t="str">
        <f>IF(Orders[[#This Row],[Order Frequency]]&gt;4, "More than 4", IF(AND(Orders[[#This Row],[Order Frequency]]&lt;=4,Orders[[#This Row],[Order Frequency]]&gt;=2), "Between 4 and 2", "Less than 2"))</f>
        <v>Less than 2</v>
      </c>
      <c r="T833" t="str">
        <f>IF(Orders[[#This Row],[Frequency Group]]="less than 2", "Low Value", IF(Orders[[#This Row],[Frequency Group]]="between 4 and 2", "Medium Value", "High Value"))</f>
        <v>Low Value</v>
      </c>
      <c r="U833" t="str">
        <f>IF(Orders[[#This Row],[Sales]]&lt;50, "$0-50", IF(AND(Orders[[#This Row],[Sales]]&gt;=50,Orders[[#This Row],[Sales]]&lt;=100), "$50-100", IF(AND(Orders[[#This Row],[Sales]]&gt;100,Orders[[#This Row],[Sales]]&lt;=150), "$101-150", "$150+")))</f>
        <v>$0-50</v>
      </c>
      <c r="V833" t="str">
        <f>IF(Orders[[#This Row],[Sales]]&gt;MEDIAN(M:M), "High Price", "Low Price")</f>
        <v>High Price</v>
      </c>
      <c r="W833" t="str">
        <f>IF(Orders[[#This Row],[Quantity]]&gt;MEDIAN(E:E), "High Volume", "Low Volume")</f>
        <v>High Volume</v>
      </c>
      <c r="X833" t="str">
        <f>Orders[[#This Row],[Sales Tier]] &amp; "-" &amp; Orders[[#This Row],[Quantity Tier]]</f>
        <v>High Price-High Volume</v>
      </c>
      <c r="Y833" t="str">
        <f>TEXT(Orders[[#This Row],[Order Date]], "mmmm")</f>
        <v>June</v>
      </c>
      <c r="Z83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833" t="str">
        <f>Orders[[#This Row],[Coffee Type Name]] &amp; "-" &amp; Orders[[#This Row],[Roast Type Name]]</f>
        <v>Robusta-Medium</v>
      </c>
      <c r="AB83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834" spans="1:28" x14ac:dyDescent="0.25">
      <c r="A834" s="2" t="s">
        <v>553</v>
      </c>
      <c r="B834" s="4">
        <v>44132</v>
      </c>
      <c r="C834" s="2" t="s">
        <v>554</v>
      </c>
      <c r="D834" t="s">
        <v>6148</v>
      </c>
      <c r="E834" s="2">
        <v>5</v>
      </c>
      <c r="F834" s="2" t="str">
        <f>_xlfn.XLOOKUP(C834,customers!$A$1:$A$1001,customers!$B$1:$B$1001,,0)</f>
        <v>Duky Phizackerly</v>
      </c>
      <c r="G834" s="2" t="str">
        <f>IF(_xlfn.XLOOKUP(C834,customers!$A$1:$A$1001,customers!$C$1:$C$1001,,0)=0,"",_xlfn.XLOOKUP(C834,customers!$A$1:$A$1001,customers!$C$1:$C$1001,,0))</f>
        <v>dphizackerlyb@utexas.edu</v>
      </c>
      <c r="H834" s="2" t="str">
        <f>_xlfn.XLOOKUP(C834,customers!$A$1:$A$1001,customers!$G$1:$G$1001,,0)</f>
        <v>United States</v>
      </c>
      <c r="I834" t="str">
        <f>INDEX(products!$A$1:$G$49, MATCH(orders!$D13,products!$A$1:$A60,0), MATCH(orders!I$1,products!$A$1:$G$1,0))</f>
        <v>Exc</v>
      </c>
      <c r="J834" t="str">
        <f>INDEX(products!$A$1:$G$49, MATCH(orders!$D13,products!$A$1:$A60,0), MATCH(orders!J$1,products!$A$1:$G$1,0))</f>
        <v>L</v>
      </c>
      <c r="K834" s="5">
        <f>INDEX(products!$A$1:$G$49, MATCH(orders!$D13,products!$A$1:$A60,0), MATCH(orders!K$1,products!$A$1:$G$1,0))</f>
        <v>2.5</v>
      </c>
      <c r="L834" s="6">
        <f>INDEX(products!$A$1:$G$49, MATCH(orders!$D13,products!$A$1:$A60,0), MATCH(orders!L$1,products!$A$1:$G$1,0))</f>
        <v>34.154999999999994</v>
      </c>
      <c r="M834" s="6">
        <f t="shared" ref="M834:M897" si="39">L834*E834</f>
        <v>170.77499999999998</v>
      </c>
      <c r="N834" t="str">
        <f t="shared" ref="N834:N897" si="40">IF(I834="Rob", "Robusta", IF(I834="Exc", "Excelsa", IF(I834="Ara","Arabica", IF(I834="Lib", "Liberica",""))))</f>
        <v>Excelsa</v>
      </c>
      <c r="O834" t="str">
        <f t="shared" ref="O834:O897" si="41">IF(J834="M", "Medium", IF(J834="L", "Light", IF(J834="D", "Dark", "")))</f>
        <v>Light</v>
      </c>
      <c r="P834" t="str">
        <f>_xlfn.XLOOKUP(Orders[[#This Row],[Customer ID]],customers!$A$1:$A$1001,customers!$I$1:$I$1001,,0)</f>
        <v>Yes</v>
      </c>
      <c r="Q834">
        <f>COUNTIF(Orders[Order ID],Orders[[#This Row],[Order ID]])</f>
        <v>1</v>
      </c>
      <c r="R834" s="10">
        <f>SUMIF(Orders[Order ID], Orders[[#This Row],[Order ID]],Orders[Sales])/Orders[[#This Row],[Order Frequency]]</f>
        <v>170.77499999999998</v>
      </c>
      <c r="S834" t="str">
        <f>IF(Orders[[#This Row],[Order Frequency]]&gt;4, "More than 4", IF(AND(Orders[[#This Row],[Order Frequency]]&lt;=4,Orders[[#This Row],[Order Frequency]]&gt;=2), "Between 4 and 2", "Less than 2"))</f>
        <v>Less than 2</v>
      </c>
      <c r="T834" t="str">
        <f>IF(Orders[[#This Row],[Frequency Group]]="less than 2", "Low Value", IF(Orders[[#This Row],[Frequency Group]]="between 4 and 2", "Medium Value", "High Value"))</f>
        <v>Low Value</v>
      </c>
      <c r="U834" t="str">
        <f>IF(Orders[[#This Row],[Sales]]&lt;50, "$0-50", IF(AND(Orders[[#This Row],[Sales]]&gt;=50,Orders[[#This Row],[Sales]]&lt;=100), "$50-100", IF(AND(Orders[[#This Row],[Sales]]&gt;100,Orders[[#This Row],[Sales]]&lt;=150), "$101-150", "$150+")))</f>
        <v>$150+</v>
      </c>
      <c r="V834" t="str">
        <f>IF(Orders[[#This Row],[Sales]]&gt;MEDIAN(M:M), "High Price", "Low Price")</f>
        <v>High Price</v>
      </c>
      <c r="W834" t="str">
        <f>IF(Orders[[#This Row],[Quantity]]&gt;MEDIAN(E:E), "High Volume", "Low Volume")</f>
        <v>High Volume</v>
      </c>
      <c r="X834" t="str">
        <f>Orders[[#This Row],[Sales Tier]] &amp; "-" &amp; Orders[[#This Row],[Quantity Tier]]</f>
        <v>High Price-High Volume</v>
      </c>
      <c r="Y834" t="str">
        <f>TEXT(Orders[[#This Row],[Order Date]], "mmmm")</f>
        <v>October</v>
      </c>
      <c r="Z83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834" t="str">
        <f>Orders[[#This Row],[Coffee Type Name]] &amp; "-" &amp; Orders[[#This Row],[Roast Type Name]]</f>
        <v>Excelsa-Light</v>
      </c>
      <c r="AB83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35" spans="1:28" x14ac:dyDescent="0.25">
      <c r="A835" s="2" t="s">
        <v>2615</v>
      </c>
      <c r="B835" s="4">
        <v>43532</v>
      </c>
      <c r="C835" s="2" t="s">
        <v>2616</v>
      </c>
      <c r="D835" t="s">
        <v>6163</v>
      </c>
      <c r="E835" s="2">
        <v>3</v>
      </c>
      <c r="F835" s="2" t="str">
        <f>_xlfn.XLOOKUP(C835,customers!$A$1:$A$1001,customers!$B$1:$B$1001,,0)</f>
        <v>Vanya Skullet</v>
      </c>
      <c r="G835" s="2" t="str">
        <f>IF(_xlfn.XLOOKUP(C835,customers!$A$1:$A$1001,customers!$C$1:$C$1001,,0)=0,"",_xlfn.XLOOKUP(C835,customers!$A$1:$A$1001,customers!$C$1:$C$1001,,0))</f>
        <v>vskulletah@tinyurl.com</v>
      </c>
      <c r="H835" s="2" t="str">
        <f>_xlfn.XLOOKUP(C835,customers!$A$1:$A$1001,customers!$G$1:$G$1001,,0)</f>
        <v>Ireland</v>
      </c>
      <c r="I835" t="str">
        <f>INDEX(products!$A$1:$G$49, MATCH(orders!$D379,products!$A$1:$A426,0), MATCH(orders!I$1,products!$A$1:$G$1,0))</f>
        <v>Rob</v>
      </c>
      <c r="J835" t="str">
        <f>INDEX(products!$A$1:$G$49, MATCH(orders!$D379,products!$A$1:$A426,0), MATCH(orders!J$1,products!$A$1:$G$1,0))</f>
        <v>D</v>
      </c>
      <c r="K835" s="5">
        <f>INDEX(products!$A$1:$G$49, MATCH(orders!$D379,products!$A$1:$A426,0), MATCH(orders!K$1,products!$A$1:$G$1,0))</f>
        <v>0.2</v>
      </c>
      <c r="L835" s="6">
        <f>INDEX(products!$A$1:$G$49, MATCH(orders!$D379,products!$A$1:$A426,0), MATCH(orders!L$1,products!$A$1:$G$1,0))</f>
        <v>2.6849999999999996</v>
      </c>
      <c r="M835" s="6">
        <f t="shared" si="39"/>
        <v>8.0549999999999997</v>
      </c>
      <c r="N835" t="str">
        <f t="shared" si="40"/>
        <v>Robusta</v>
      </c>
      <c r="O835" t="str">
        <f t="shared" si="41"/>
        <v>Dark</v>
      </c>
      <c r="P835" t="str">
        <f>_xlfn.XLOOKUP(Orders[[#This Row],[Customer ID]],customers!$A$1:$A$1001,customers!$I$1:$I$1001,,0)</f>
        <v>No</v>
      </c>
      <c r="Q835">
        <f>COUNTIF(Orders[Order ID],Orders[[#This Row],[Order ID]])</f>
        <v>1</v>
      </c>
      <c r="R835" s="10">
        <f>SUMIF(Orders[Order ID], Orders[[#This Row],[Order ID]],Orders[Sales])/Orders[[#This Row],[Order Frequency]]</f>
        <v>8.0549999999999997</v>
      </c>
      <c r="S835" t="str">
        <f>IF(Orders[[#This Row],[Order Frequency]]&gt;4, "More than 4", IF(AND(Orders[[#This Row],[Order Frequency]]&lt;=4,Orders[[#This Row],[Order Frequency]]&gt;=2), "Between 4 and 2", "Less than 2"))</f>
        <v>Less than 2</v>
      </c>
      <c r="T835" t="str">
        <f>IF(Orders[[#This Row],[Frequency Group]]="less than 2", "Low Value", IF(Orders[[#This Row],[Frequency Group]]="between 4 and 2", "Medium Value", "High Value"))</f>
        <v>Low Value</v>
      </c>
      <c r="U835" t="str">
        <f>IF(Orders[[#This Row],[Sales]]&lt;50, "$0-50", IF(AND(Orders[[#This Row],[Sales]]&gt;=50,Orders[[#This Row],[Sales]]&lt;=100), "$50-100", IF(AND(Orders[[#This Row],[Sales]]&gt;100,Orders[[#This Row],[Sales]]&lt;=150), "$101-150", "$150+")))</f>
        <v>$0-50</v>
      </c>
      <c r="V835" t="str">
        <f>IF(Orders[[#This Row],[Sales]]&gt;MEDIAN(M:M), "High Price", "Low Price")</f>
        <v>Low Price</v>
      </c>
      <c r="W835" t="str">
        <f>IF(Orders[[#This Row],[Quantity]]&gt;MEDIAN(E:E), "High Volume", "Low Volume")</f>
        <v>Low Volume</v>
      </c>
      <c r="X835" t="str">
        <f>Orders[[#This Row],[Sales Tier]] &amp; "-" &amp; Orders[[#This Row],[Quantity Tier]]</f>
        <v>Low Price-Low Volume</v>
      </c>
      <c r="Y835" t="str">
        <f>TEXT(Orders[[#This Row],[Order Date]], "mmmm")</f>
        <v>March</v>
      </c>
      <c r="Z83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35" t="str">
        <f>Orders[[#This Row],[Coffee Type Name]] &amp; "-" &amp; Orders[[#This Row],[Roast Type Name]]</f>
        <v>Robusta-Dark</v>
      </c>
      <c r="AB83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836" spans="1:28" x14ac:dyDescent="0.25">
      <c r="A836" s="2" t="s">
        <v>3839</v>
      </c>
      <c r="B836" s="4">
        <v>43903</v>
      </c>
      <c r="C836" s="2" t="s">
        <v>3840</v>
      </c>
      <c r="D836" t="s">
        <v>6185</v>
      </c>
      <c r="E836" s="2">
        <v>1</v>
      </c>
      <c r="F836" s="2" t="str">
        <f>_xlfn.XLOOKUP(C836,customers!$A$1:$A$1001,customers!$B$1:$B$1001,,0)</f>
        <v>Cody Verissimo</v>
      </c>
      <c r="G836" s="2" t="str">
        <f>IF(_xlfn.XLOOKUP(C836,customers!$A$1:$A$1001,customers!$C$1:$C$1001,,0)=0,"",_xlfn.XLOOKUP(C836,customers!$A$1:$A$1001,customers!$C$1:$C$1001,,0))</f>
        <v>cverissimogh@theglobeandmail.com</v>
      </c>
      <c r="H836" s="2" t="str">
        <f>_xlfn.XLOOKUP(C836,customers!$A$1:$A$1001,customers!$G$1:$G$1001,,0)</f>
        <v>United Kingdom</v>
      </c>
      <c r="I836" t="str">
        <f>INDEX(products!$A$1:$G$49, MATCH(orders!$D595,products!$A$1:$A642,0), MATCH(orders!I$1,products!$A$1:$G$1,0))</f>
        <v>Exc</v>
      </c>
      <c r="J836" t="str">
        <f>INDEX(products!$A$1:$G$49, MATCH(orders!$D595,products!$A$1:$A642,0), MATCH(orders!J$1,products!$A$1:$G$1,0))</f>
        <v>D</v>
      </c>
      <c r="K836" s="5">
        <f>INDEX(products!$A$1:$G$49, MATCH(orders!$D595,products!$A$1:$A642,0), MATCH(orders!K$1,products!$A$1:$G$1,0))</f>
        <v>2.5</v>
      </c>
      <c r="L836" s="6">
        <f>INDEX(products!$A$1:$G$49, MATCH(orders!$D595,products!$A$1:$A642,0), MATCH(orders!L$1,products!$A$1:$G$1,0))</f>
        <v>27.945</v>
      </c>
      <c r="M836" s="6">
        <f t="shared" si="39"/>
        <v>27.945</v>
      </c>
      <c r="N836" t="str">
        <f t="shared" si="40"/>
        <v>Excelsa</v>
      </c>
      <c r="O836" t="str">
        <f t="shared" si="41"/>
        <v>Dark</v>
      </c>
      <c r="P836" t="str">
        <f>_xlfn.XLOOKUP(Orders[[#This Row],[Customer ID]],customers!$A$1:$A$1001,customers!$I$1:$I$1001,,0)</f>
        <v>Yes</v>
      </c>
      <c r="Q836">
        <f>COUNTIF(Orders[Order ID],Orders[[#This Row],[Order ID]])</f>
        <v>1</v>
      </c>
      <c r="R836" s="10">
        <f>SUMIF(Orders[Order ID], Orders[[#This Row],[Order ID]],Orders[Sales])/Orders[[#This Row],[Order Frequency]]</f>
        <v>27.945</v>
      </c>
      <c r="S836" t="str">
        <f>IF(Orders[[#This Row],[Order Frequency]]&gt;4, "More than 4", IF(AND(Orders[[#This Row],[Order Frequency]]&lt;=4,Orders[[#This Row],[Order Frequency]]&gt;=2), "Between 4 and 2", "Less than 2"))</f>
        <v>Less than 2</v>
      </c>
      <c r="T836" t="str">
        <f>IF(Orders[[#This Row],[Frequency Group]]="less than 2", "Low Value", IF(Orders[[#This Row],[Frequency Group]]="between 4 and 2", "Medium Value", "High Value"))</f>
        <v>Low Value</v>
      </c>
      <c r="U836" t="str">
        <f>IF(Orders[[#This Row],[Sales]]&lt;50, "$0-50", IF(AND(Orders[[#This Row],[Sales]]&gt;=50,Orders[[#This Row],[Sales]]&lt;=100), "$50-100", IF(AND(Orders[[#This Row],[Sales]]&gt;100,Orders[[#This Row],[Sales]]&lt;=150), "$101-150", "$150+")))</f>
        <v>$0-50</v>
      </c>
      <c r="V836" t="str">
        <f>IF(Orders[[#This Row],[Sales]]&gt;MEDIAN(M:M), "High Price", "Low Price")</f>
        <v>Low Price</v>
      </c>
      <c r="W836" t="str">
        <f>IF(Orders[[#This Row],[Quantity]]&gt;MEDIAN(E:E), "High Volume", "Low Volume")</f>
        <v>Low Volume</v>
      </c>
      <c r="X836" t="str">
        <f>Orders[[#This Row],[Sales Tier]] &amp; "-" &amp; Orders[[#This Row],[Quantity Tier]]</f>
        <v>Low Price-Low Volume</v>
      </c>
      <c r="Y836" t="str">
        <f>TEXT(Orders[[#This Row],[Order Date]], "mmmm")</f>
        <v>March</v>
      </c>
      <c r="Z83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36" t="str">
        <f>Orders[[#This Row],[Coffee Type Name]] &amp; "-" &amp; Orders[[#This Row],[Roast Type Name]]</f>
        <v>Excelsa-Dark</v>
      </c>
      <c r="AB83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837" spans="1:28" x14ac:dyDescent="0.25">
      <c r="A837" s="2" t="s">
        <v>1584</v>
      </c>
      <c r="B837" s="4">
        <v>44398</v>
      </c>
      <c r="C837" s="2" t="s">
        <v>1585</v>
      </c>
      <c r="D837" t="s">
        <v>6144</v>
      </c>
      <c r="E837" s="2">
        <v>5</v>
      </c>
      <c r="F837" s="2" t="str">
        <f>_xlfn.XLOOKUP(C837,customers!$A$1:$A$1001,customers!$B$1:$B$1001,,0)</f>
        <v>Emlynne Laird</v>
      </c>
      <c r="G837" s="2" t="str">
        <f>IF(_xlfn.XLOOKUP(C837,customers!$A$1:$A$1001,customers!$C$1:$C$1001,,0)=0,"",_xlfn.XLOOKUP(C837,customers!$A$1:$A$1001,customers!$C$1:$C$1001,,0))</f>
        <v>elaird5e@bing.com</v>
      </c>
      <c r="H837" s="2" t="str">
        <f>_xlfn.XLOOKUP(C837,customers!$A$1:$A$1001,customers!$G$1:$G$1001,,0)</f>
        <v>United States</v>
      </c>
      <c r="I837" t="str">
        <f>INDEX(products!$A$1:$G$49, MATCH(orders!$D196,products!$A$1:$A243,0), MATCH(orders!I$1,products!$A$1:$G$1,0))</f>
        <v>Exc</v>
      </c>
      <c r="J837" t="str">
        <f>INDEX(products!$A$1:$G$49, MATCH(orders!$D196,products!$A$1:$A243,0), MATCH(orders!J$1,products!$A$1:$G$1,0))</f>
        <v>D</v>
      </c>
      <c r="K837" s="5">
        <f>INDEX(products!$A$1:$G$49, MATCH(orders!$D196,products!$A$1:$A243,0), MATCH(orders!K$1,products!$A$1:$G$1,0))</f>
        <v>0.5</v>
      </c>
      <c r="L837" s="6">
        <f>INDEX(products!$A$1:$G$49, MATCH(orders!$D196,products!$A$1:$A243,0), MATCH(orders!L$1,products!$A$1:$G$1,0))</f>
        <v>7.29</v>
      </c>
      <c r="M837" s="6">
        <f t="shared" si="39"/>
        <v>36.450000000000003</v>
      </c>
      <c r="N837" t="str">
        <f t="shared" si="40"/>
        <v>Excelsa</v>
      </c>
      <c r="O837" t="str">
        <f t="shared" si="41"/>
        <v>Dark</v>
      </c>
      <c r="P837" t="str">
        <f>_xlfn.XLOOKUP(Orders[[#This Row],[Customer ID]],customers!$A$1:$A$1001,customers!$I$1:$I$1001,,0)</f>
        <v>No</v>
      </c>
      <c r="Q837">
        <f>COUNTIF(Orders[Order ID],Orders[[#This Row],[Order ID]])</f>
        <v>1</v>
      </c>
      <c r="R837" s="10">
        <f>SUMIF(Orders[Order ID], Orders[[#This Row],[Order ID]],Orders[Sales])/Orders[[#This Row],[Order Frequency]]</f>
        <v>36.450000000000003</v>
      </c>
      <c r="S837" t="str">
        <f>IF(Orders[[#This Row],[Order Frequency]]&gt;4, "More than 4", IF(AND(Orders[[#This Row],[Order Frequency]]&lt;=4,Orders[[#This Row],[Order Frequency]]&gt;=2), "Between 4 and 2", "Less than 2"))</f>
        <v>Less than 2</v>
      </c>
      <c r="T837" t="str">
        <f>IF(Orders[[#This Row],[Frequency Group]]="less than 2", "Low Value", IF(Orders[[#This Row],[Frequency Group]]="between 4 and 2", "Medium Value", "High Value"))</f>
        <v>Low Value</v>
      </c>
      <c r="U837" t="str">
        <f>IF(Orders[[#This Row],[Sales]]&lt;50, "$0-50", IF(AND(Orders[[#This Row],[Sales]]&gt;=50,Orders[[#This Row],[Sales]]&lt;=100), "$50-100", IF(AND(Orders[[#This Row],[Sales]]&gt;100,Orders[[#This Row],[Sales]]&lt;=150), "$101-150", "$150+")))</f>
        <v>$0-50</v>
      </c>
      <c r="V837" t="str">
        <f>IF(Orders[[#This Row],[Sales]]&gt;MEDIAN(M:M), "High Price", "Low Price")</f>
        <v>High Price</v>
      </c>
      <c r="W837" t="str">
        <f>IF(Orders[[#This Row],[Quantity]]&gt;MEDIAN(E:E), "High Volume", "Low Volume")</f>
        <v>High Volume</v>
      </c>
      <c r="X837" t="str">
        <f>Orders[[#This Row],[Sales Tier]] &amp; "-" &amp; Orders[[#This Row],[Quantity Tier]]</f>
        <v>High Price-High Volume</v>
      </c>
      <c r="Y837" t="str">
        <f>TEXT(Orders[[#This Row],[Order Date]], "mmmm")</f>
        <v>July</v>
      </c>
      <c r="Z83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837" t="str">
        <f>Orders[[#This Row],[Coffee Type Name]] &amp; "-" &amp; Orders[[#This Row],[Roast Type Name]]</f>
        <v>Excelsa-Dark</v>
      </c>
      <c r="AB83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838" spans="1:28" x14ac:dyDescent="0.25">
      <c r="A838" s="2" t="s">
        <v>2798</v>
      </c>
      <c r="B838" s="4">
        <v>44203</v>
      </c>
      <c r="C838" s="2" t="s">
        <v>2799</v>
      </c>
      <c r="D838" t="s">
        <v>6170</v>
      </c>
      <c r="E838" s="2">
        <v>3</v>
      </c>
      <c r="F838" s="2" t="str">
        <f>_xlfn.XLOOKUP(C838,customers!$A$1:$A$1001,customers!$B$1:$B$1001,,0)</f>
        <v>Hamish Skeech</v>
      </c>
      <c r="G838" s="2" t="str">
        <f>IF(_xlfn.XLOOKUP(C838,customers!$A$1:$A$1001,customers!$C$1:$C$1001,,0)=0,"",_xlfn.XLOOKUP(C838,customers!$A$1:$A$1001,customers!$C$1:$C$1001,,0))</f>
        <v/>
      </c>
      <c r="H838" s="2" t="str">
        <f>_xlfn.XLOOKUP(C838,customers!$A$1:$A$1001,customers!$G$1:$G$1001,,0)</f>
        <v>Ireland</v>
      </c>
      <c r="I838" t="str">
        <f>INDEX(products!$A$1:$G$49, MATCH(orders!$D411,products!$A$1:$A458,0), MATCH(orders!I$1,products!$A$1:$G$1,0))</f>
        <v>Lib</v>
      </c>
      <c r="J838" t="str">
        <f>INDEX(products!$A$1:$G$49, MATCH(orders!$D411,products!$A$1:$A458,0), MATCH(orders!J$1,products!$A$1:$G$1,0))</f>
        <v>L</v>
      </c>
      <c r="K838" s="5">
        <f>INDEX(products!$A$1:$G$49, MATCH(orders!$D411,products!$A$1:$A458,0), MATCH(orders!K$1,products!$A$1:$G$1,0))</f>
        <v>1</v>
      </c>
      <c r="L838" s="6">
        <f>INDEX(products!$A$1:$G$49, MATCH(orders!$D411,products!$A$1:$A458,0), MATCH(orders!L$1,products!$A$1:$G$1,0))</f>
        <v>15.85</v>
      </c>
      <c r="M838" s="6">
        <f t="shared" si="39"/>
        <v>47.55</v>
      </c>
      <c r="N838" t="str">
        <f t="shared" si="40"/>
        <v>Liberica</v>
      </c>
      <c r="O838" t="str">
        <f t="shared" si="41"/>
        <v>Light</v>
      </c>
      <c r="P838" t="str">
        <f>_xlfn.XLOOKUP(Orders[[#This Row],[Customer ID]],customers!$A$1:$A$1001,customers!$I$1:$I$1001,,0)</f>
        <v>Yes</v>
      </c>
      <c r="Q838">
        <f>COUNTIF(Orders[Order ID],Orders[[#This Row],[Order ID]])</f>
        <v>1</v>
      </c>
      <c r="R838" s="10">
        <f>SUMIF(Orders[Order ID], Orders[[#This Row],[Order ID]],Orders[Sales])/Orders[[#This Row],[Order Frequency]]</f>
        <v>47.55</v>
      </c>
      <c r="S838" t="str">
        <f>IF(Orders[[#This Row],[Order Frequency]]&gt;4, "More than 4", IF(AND(Orders[[#This Row],[Order Frequency]]&lt;=4,Orders[[#This Row],[Order Frequency]]&gt;=2), "Between 4 and 2", "Less than 2"))</f>
        <v>Less than 2</v>
      </c>
      <c r="T838" t="str">
        <f>IF(Orders[[#This Row],[Frequency Group]]="less than 2", "Low Value", IF(Orders[[#This Row],[Frequency Group]]="between 4 and 2", "Medium Value", "High Value"))</f>
        <v>Low Value</v>
      </c>
      <c r="U838" t="str">
        <f>IF(Orders[[#This Row],[Sales]]&lt;50, "$0-50", IF(AND(Orders[[#This Row],[Sales]]&gt;=50,Orders[[#This Row],[Sales]]&lt;=100), "$50-100", IF(AND(Orders[[#This Row],[Sales]]&gt;100,Orders[[#This Row],[Sales]]&lt;=150), "$101-150", "$150+")))</f>
        <v>$0-50</v>
      </c>
      <c r="V838" t="str">
        <f>IF(Orders[[#This Row],[Sales]]&gt;MEDIAN(M:M), "High Price", "Low Price")</f>
        <v>High Price</v>
      </c>
      <c r="W838" t="str">
        <f>IF(Orders[[#This Row],[Quantity]]&gt;MEDIAN(E:E), "High Volume", "Low Volume")</f>
        <v>Low Volume</v>
      </c>
      <c r="X838" t="str">
        <f>Orders[[#This Row],[Sales Tier]] &amp; "-" &amp; Orders[[#This Row],[Quantity Tier]]</f>
        <v>High Price-Low Volume</v>
      </c>
      <c r="Y838" t="str">
        <f>TEXT(Orders[[#This Row],[Order Date]], "mmmm")</f>
        <v>January</v>
      </c>
      <c r="Z83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38" t="str">
        <f>Orders[[#This Row],[Coffee Type Name]] &amp; "-" &amp; Orders[[#This Row],[Roast Type Name]]</f>
        <v>Liberica-Light</v>
      </c>
      <c r="AB83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839" spans="1:28" x14ac:dyDescent="0.25">
      <c r="A839" s="2" t="s">
        <v>5216</v>
      </c>
      <c r="B839" s="4">
        <v>44486</v>
      </c>
      <c r="C839" s="2" t="s">
        <v>5217</v>
      </c>
      <c r="D839" t="s">
        <v>6154</v>
      </c>
      <c r="E839" s="2">
        <v>4</v>
      </c>
      <c r="F839" s="2" t="str">
        <f>_xlfn.XLOOKUP(C839,customers!$A$1:$A$1001,customers!$B$1:$B$1001,,0)</f>
        <v>Frans Habbergham</v>
      </c>
      <c r="G839" s="2" t="str">
        <f>IF(_xlfn.XLOOKUP(C839,customers!$A$1:$A$1001,customers!$C$1:$C$1001,,0)=0,"",_xlfn.XLOOKUP(C839,customers!$A$1:$A$1001,customers!$C$1:$C$1001,,0))</f>
        <v>fhabberghamn8@discovery.com</v>
      </c>
      <c r="H839" s="2" t="str">
        <f>_xlfn.XLOOKUP(C839,customers!$A$1:$A$1001,customers!$G$1:$G$1001,,0)</f>
        <v>United States</v>
      </c>
      <c r="I839" t="str">
        <f>INDEX(products!$A$1:$G$49, MATCH(orders!$D838,products!$A$1:$A885,0), MATCH(orders!I$1,products!$A$1:$G$1,0))</f>
        <v>Ara</v>
      </c>
      <c r="J839" t="str">
        <f>INDEX(products!$A$1:$G$49, MATCH(orders!$D838,products!$A$1:$A885,0), MATCH(orders!J$1,products!$A$1:$G$1,0))</f>
        <v>D</v>
      </c>
      <c r="K839" s="5">
        <f>INDEX(products!$A$1:$G$49, MATCH(orders!$D838,products!$A$1:$A885,0), MATCH(orders!K$1,products!$A$1:$G$1,0))</f>
        <v>0.2</v>
      </c>
      <c r="L839" s="6">
        <f>INDEX(products!$A$1:$G$49, MATCH(orders!$D838,products!$A$1:$A885,0), MATCH(orders!L$1,products!$A$1:$G$1,0))</f>
        <v>2.9849999999999999</v>
      </c>
      <c r="M839" s="6">
        <f t="shared" si="39"/>
        <v>11.94</v>
      </c>
      <c r="N839" t="str">
        <f t="shared" si="40"/>
        <v>Arabica</v>
      </c>
      <c r="O839" t="str">
        <f t="shared" si="41"/>
        <v>Dark</v>
      </c>
      <c r="P839" t="str">
        <f>_xlfn.XLOOKUP(Orders[[#This Row],[Customer ID]],customers!$A$1:$A$1001,customers!$I$1:$I$1001,,0)</f>
        <v>No</v>
      </c>
      <c r="Q839">
        <f>COUNTIF(Orders[Order ID],Orders[[#This Row],[Order ID]])</f>
        <v>1</v>
      </c>
      <c r="R839" s="10">
        <f>SUMIF(Orders[Order ID], Orders[[#This Row],[Order ID]],Orders[Sales])/Orders[[#This Row],[Order Frequency]]</f>
        <v>11.94</v>
      </c>
      <c r="S839" t="str">
        <f>IF(Orders[[#This Row],[Order Frequency]]&gt;4, "More than 4", IF(AND(Orders[[#This Row],[Order Frequency]]&lt;=4,Orders[[#This Row],[Order Frequency]]&gt;=2), "Between 4 and 2", "Less than 2"))</f>
        <v>Less than 2</v>
      </c>
      <c r="T839" t="str">
        <f>IF(Orders[[#This Row],[Frequency Group]]="less than 2", "Low Value", IF(Orders[[#This Row],[Frequency Group]]="between 4 and 2", "Medium Value", "High Value"))</f>
        <v>Low Value</v>
      </c>
      <c r="U839" t="str">
        <f>IF(Orders[[#This Row],[Sales]]&lt;50, "$0-50", IF(AND(Orders[[#This Row],[Sales]]&gt;=50,Orders[[#This Row],[Sales]]&lt;=100), "$50-100", IF(AND(Orders[[#This Row],[Sales]]&gt;100,Orders[[#This Row],[Sales]]&lt;=150), "$101-150", "$150+")))</f>
        <v>$0-50</v>
      </c>
      <c r="V839" t="str">
        <f>IF(Orders[[#This Row],[Sales]]&gt;MEDIAN(M:M), "High Price", "Low Price")</f>
        <v>Low Price</v>
      </c>
      <c r="W839" t="str">
        <f>IF(Orders[[#This Row],[Quantity]]&gt;MEDIAN(E:E), "High Volume", "Low Volume")</f>
        <v>Low Volume</v>
      </c>
      <c r="X839" t="str">
        <f>Orders[[#This Row],[Sales Tier]] &amp; "-" &amp; Orders[[#This Row],[Quantity Tier]]</f>
        <v>Low Price-Low Volume</v>
      </c>
      <c r="Y839" t="str">
        <f>TEXT(Orders[[#This Row],[Order Date]], "mmmm")</f>
        <v>October</v>
      </c>
      <c r="Z83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839" t="str">
        <f>Orders[[#This Row],[Coffee Type Name]] &amp; "-" &amp; Orders[[#This Row],[Roast Type Name]]</f>
        <v>Arabica-Dark</v>
      </c>
      <c r="AB83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40" spans="1:28" x14ac:dyDescent="0.25">
      <c r="A840" s="2" t="s">
        <v>3665</v>
      </c>
      <c r="B840" s="4">
        <v>43669</v>
      </c>
      <c r="C840" s="2" t="s">
        <v>3666</v>
      </c>
      <c r="D840" t="s">
        <v>6145</v>
      </c>
      <c r="E840" s="2">
        <v>6</v>
      </c>
      <c r="F840" s="2" t="str">
        <f>_xlfn.XLOOKUP(C840,customers!$A$1:$A$1001,customers!$B$1:$B$1001,,0)</f>
        <v>Brendan Grece</v>
      </c>
      <c r="G840" s="2" t="str">
        <f>IF(_xlfn.XLOOKUP(C840,customers!$A$1:$A$1001,customers!$C$1:$C$1001,,0)=0,"",_xlfn.XLOOKUP(C840,customers!$A$1:$A$1001,customers!$C$1:$C$1001,,0))</f>
        <v>bgrecefm@naver.com</v>
      </c>
      <c r="H840" s="2" t="str">
        <f>_xlfn.XLOOKUP(C840,customers!$A$1:$A$1001,customers!$G$1:$G$1001,,0)</f>
        <v>United Kingdom</v>
      </c>
      <c r="I840" t="str">
        <f>INDEX(products!$A$1:$G$49, MATCH(orders!$D564,products!$A$1:$A611,0), MATCH(orders!I$1,products!$A$1:$G$1,0))</f>
        <v>Lib</v>
      </c>
      <c r="J840" t="str">
        <f>INDEX(products!$A$1:$G$49, MATCH(orders!$D564,products!$A$1:$A611,0), MATCH(orders!J$1,products!$A$1:$G$1,0))</f>
        <v>L</v>
      </c>
      <c r="K840" s="5">
        <f>INDEX(products!$A$1:$G$49, MATCH(orders!$D564,products!$A$1:$A611,0), MATCH(orders!K$1,products!$A$1:$G$1,0))</f>
        <v>0.2</v>
      </c>
      <c r="L840" s="6">
        <f>INDEX(products!$A$1:$G$49, MATCH(orders!$D564,products!$A$1:$A611,0), MATCH(orders!L$1,products!$A$1:$G$1,0))</f>
        <v>4.7549999999999999</v>
      </c>
      <c r="M840" s="6">
        <f t="shared" si="39"/>
        <v>28.53</v>
      </c>
      <c r="N840" t="str">
        <f t="shared" si="40"/>
        <v>Liberica</v>
      </c>
      <c r="O840" t="str">
        <f t="shared" si="41"/>
        <v>Light</v>
      </c>
      <c r="P840" t="str">
        <f>_xlfn.XLOOKUP(Orders[[#This Row],[Customer ID]],customers!$A$1:$A$1001,customers!$I$1:$I$1001,,0)</f>
        <v>No</v>
      </c>
      <c r="Q840">
        <f>COUNTIF(Orders[Order ID],Orders[[#This Row],[Order ID]])</f>
        <v>1</v>
      </c>
      <c r="R840" s="10">
        <f>SUMIF(Orders[Order ID], Orders[[#This Row],[Order ID]],Orders[Sales])/Orders[[#This Row],[Order Frequency]]</f>
        <v>28.53</v>
      </c>
      <c r="S840" t="str">
        <f>IF(Orders[[#This Row],[Order Frequency]]&gt;4, "More than 4", IF(AND(Orders[[#This Row],[Order Frequency]]&lt;=4,Orders[[#This Row],[Order Frequency]]&gt;=2), "Between 4 and 2", "Less than 2"))</f>
        <v>Less than 2</v>
      </c>
      <c r="T840" t="str">
        <f>IF(Orders[[#This Row],[Frequency Group]]="less than 2", "Low Value", IF(Orders[[#This Row],[Frequency Group]]="between 4 and 2", "Medium Value", "High Value"))</f>
        <v>Low Value</v>
      </c>
      <c r="U840" t="str">
        <f>IF(Orders[[#This Row],[Sales]]&lt;50, "$0-50", IF(AND(Orders[[#This Row],[Sales]]&gt;=50,Orders[[#This Row],[Sales]]&lt;=100), "$50-100", IF(AND(Orders[[#This Row],[Sales]]&gt;100,Orders[[#This Row],[Sales]]&lt;=150), "$101-150", "$150+")))</f>
        <v>$0-50</v>
      </c>
      <c r="V840" t="str">
        <f>IF(Orders[[#This Row],[Sales]]&gt;MEDIAN(M:M), "High Price", "Low Price")</f>
        <v>Low Price</v>
      </c>
      <c r="W840" t="str">
        <f>IF(Orders[[#This Row],[Quantity]]&gt;MEDIAN(E:E), "High Volume", "Low Volume")</f>
        <v>High Volume</v>
      </c>
      <c r="X840" t="str">
        <f>Orders[[#This Row],[Sales Tier]] &amp; "-" &amp; Orders[[#This Row],[Quantity Tier]]</f>
        <v>Low Price-High Volume</v>
      </c>
      <c r="Y840" t="str">
        <f>TEXT(Orders[[#This Row],[Order Date]], "mmmm")</f>
        <v>July</v>
      </c>
      <c r="Z84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840" t="str">
        <f>Orders[[#This Row],[Coffee Type Name]] &amp; "-" &amp; Orders[[#This Row],[Roast Type Name]]</f>
        <v>Liberica-Light</v>
      </c>
      <c r="AB84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841" spans="1:28" x14ac:dyDescent="0.25">
      <c r="A841" s="2" t="s">
        <v>1866</v>
      </c>
      <c r="B841" s="4">
        <v>44702</v>
      </c>
      <c r="C841" s="2" t="s">
        <v>1867</v>
      </c>
      <c r="D841" t="s">
        <v>6181</v>
      </c>
      <c r="E841" s="2">
        <v>4</v>
      </c>
      <c r="F841" s="2" t="str">
        <f>_xlfn.XLOOKUP(C841,customers!$A$1:$A$1001,customers!$B$1:$B$1001,,0)</f>
        <v>Effie Yurkov</v>
      </c>
      <c r="G841" s="2" t="str">
        <f>IF(_xlfn.XLOOKUP(C841,customers!$A$1:$A$1001,customers!$C$1:$C$1001,,0)=0,"",_xlfn.XLOOKUP(C841,customers!$A$1:$A$1001,customers!$C$1:$C$1001,,0))</f>
        <v>eyurkov6s@hud.gov</v>
      </c>
      <c r="H841" s="2" t="str">
        <f>_xlfn.XLOOKUP(C841,customers!$A$1:$A$1001,customers!$G$1:$G$1001,,0)</f>
        <v>United States</v>
      </c>
      <c r="I841" t="str">
        <f>INDEX(products!$A$1:$G$49, MATCH(orders!$D246,products!$A$1:$A293,0), MATCH(orders!I$1,products!$A$1:$G$1,0))</f>
        <v>Lib</v>
      </c>
      <c r="J841" t="str">
        <f>INDEX(products!$A$1:$G$49, MATCH(orders!$D246,products!$A$1:$A293,0), MATCH(orders!J$1,products!$A$1:$G$1,0))</f>
        <v>M</v>
      </c>
      <c r="K841" s="5">
        <f>INDEX(products!$A$1:$G$49, MATCH(orders!$D246,products!$A$1:$A293,0), MATCH(orders!K$1,products!$A$1:$G$1,0))</f>
        <v>2.5</v>
      </c>
      <c r="L841" s="6">
        <f>INDEX(products!$A$1:$G$49, MATCH(orders!$D246,products!$A$1:$A293,0), MATCH(orders!L$1,products!$A$1:$G$1,0))</f>
        <v>33.464999999999996</v>
      </c>
      <c r="M841" s="6">
        <f t="shared" si="39"/>
        <v>133.85999999999999</v>
      </c>
      <c r="N841" t="str">
        <f t="shared" si="40"/>
        <v>Liberica</v>
      </c>
      <c r="O841" t="str">
        <f t="shared" si="41"/>
        <v>Medium</v>
      </c>
      <c r="P841" t="str">
        <f>_xlfn.XLOOKUP(Orders[[#This Row],[Customer ID]],customers!$A$1:$A$1001,customers!$I$1:$I$1001,,0)</f>
        <v>No</v>
      </c>
      <c r="Q841">
        <f>COUNTIF(Orders[Order ID],Orders[[#This Row],[Order ID]])</f>
        <v>1</v>
      </c>
      <c r="R841" s="10">
        <f>SUMIF(Orders[Order ID], Orders[[#This Row],[Order ID]],Orders[Sales])/Orders[[#This Row],[Order Frequency]]</f>
        <v>133.85999999999999</v>
      </c>
      <c r="S841" t="str">
        <f>IF(Orders[[#This Row],[Order Frequency]]&gt;4, "More than 4", IF(AND(Orders[[#This Row],[Order Frequency]]&lt;=4,Orders[[#This Row],[Order Frequency]]&gt;=2), "Between 4 and 2", "Less than 2"))</f>
        <v>Less than 2</v>
      </c>
      <c r="T841" t="str">
        <f>IF(Orders[[#This Row],[Frequency Group]]="less than 2", "Low Value", IF(Orders[[#This Row],[Frequency Group]]="between 4 and 2", "Medium Value", "High Value"))</f>
        <v>Low Value</v>
      </c>
      <c r="U841" t="str">
        <f>IF(Orders[[#This Row],[Sales]]&lt;50, "$0-50", IF(AND(Orders[[#This Row],[Sales]]&gt;=50,Orders[[#This Row],[Sales]]&lt;=100), "$50-100", IF(AND(Orders[[#This Row],[Sales]]&gt;100,Orders[[#This Row],[Sales]]&lt;=150), "$101-150", "$150+")))</f>
        <v>$101-150</v>
      </c>
      <c r="V841" t="str">
        <f>IF(Orders[[#This Row],[Sales]]&gt;MEDIAN(M:M), "High Price", "Low Price")</f>
        <v>High Price</v>
      </c>
      <c r="W841" t="str">
        <f>IF(Orders[[#This Row],[Quantity]]&gt;MEDIAN(E:E), "High Volume", "Low Volume")</f>
        <v>Low Volume</v>
      </c>
      <c r="X841" t="str">
        <f>Orders[[#This Row],[Sales Tier]] &amp; "-" &amp; Orders[[#This Row],[Quantity Tier]]</f>
        <v>High Price-Low Volume</v>
      </c>
      <c r="Y841" t="str">
        <f>TEXT(Orders[[#This Row],[Order Date]], "mmmm")</f>
        <v>May</v>
      </c>
      <c r="Z84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841" t="str">
        <f>Orders[[#This Row],[Coffee Type Name]] &amp; "-" &amp; Orders[[#This Row],[Roast Type Name]]</f>
        <v>Liberica-Medium</v>
      </c>
      <c r="AB84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842" spans="1:28" x14ac:dyDescent="0.25">
      <c r="A842" s="2" t="s">
        <v>3447</v>
      </c>
      <c r="B842" s="4">
        <v>44129</v>
      </c>
      <c r="C842" s="2" t="s">
        <v>3448</v>
      </c>
      <c r="D842" t="s">
        <v>6165</v>
      </c>
      <c r="E842" s="2">
        <v>1</v>
      </c>
      <c r="F842" s="2" t="str">
        <f>_xlfn.XLOOKUP(C842,customers!$A$1:$A$1001,customers!$B$1:$B$1001,,0)</f>
        <v>Berty Beelby</v>
      </c>
      <c r="G842" s="2" t="str">
        <f>IF(_xlfn.XLOOKUP(C842,customers!$A$1:$A$1001,customers!$C$1:$C$1001,,0)=0,"",_xlfn.XLOOKUP(C842,customers!$A$1:$A$1001,customers!$C$1:$C$1001,,0))</f>
        <v>bbeelbyej@rediff.com</v>
      </c>
      <c r="H842" s="2" t="str">
        <f>_xlfn.XLOOKUP(C842,customers!$A$1:$A$1001,customers!$G$1:$G$1001,,0)</f>
        <v>Ireland</v>
      </c>
      <c r="I842" t="str">
        <f>INDEX(products!$A$1:$G$49, MATCH(orders!$D525,products!$A$1:$A572,0), MATCH(orders!I$1,products!$A$1:$G$1,0))</f>
        <v>Lib</v>
      </c>
      <c r="J842" t="str">
        <f>INDEX(products!$A$1:$G$49, MATCH(orders!$D525,products!$A$1:$A572,0), MATCH(orders!J$1,products!$A$1:$G$1,0))</f>
        <v>D</v>
      </c>
      <c r="K842" s="5">
        <f>INDEX(products!$A$1:$G$49, MATCH(orders!$D525,products!$A$1:$A572,0), MATCH(orders!K$1,products!$A$1:$G$1,0))</f>
        <v>2.5</v>
      </c>
      <c r="L842" s="6">
        <f>INDEX(products!$A$1:$G$49, MATCH(orders!$D525,products!$A$1:$A572,0), MATCH(orders!L$1,products!$A$1:$G$1,0))</f>
        <v>29.784999999999997</v>
      </c>
      <c r="M842" s="6">
        <f t="shared" si="39"/>
        <v>29.784999999999997</v>
      </c>
      <c r="N842" t="str">
        <f t="shared" si="40"/>
        <v>Liberica</v>
      </c>
      <c r="O842" t="str">
        <f t="shared" si="41"/>
        <v>Dark</v>
      </c>
      <c r="P842" t="str">
        <f>_xlfn.XLOOKUP(Orders[[#This Row],[Customer ID]],customers!$A$1:$A$1001,customers!$I$1:$I$1001,,0)</f>
        <v>No</v>
      </c>
      <c r="Q842">
        <f>COUNTIF(Orders[Order ID],Orders[[#This Row],[Order ID]])</f>
        <v>1</v>
      </c>
      <c r="R842" s="10">
        <f>SUMIF(Orders[Order ID], Orders[[#This Row],[Order ID]],Orders[Sales])/Orders[[#This Row],[Order Frequency]]</f>
        <v>29.784999999999997</v>
      </c>
      <c r="S842" t="str">
        <f>IF(Orders[[#This Row],[Order Frequency]]&gt;4, "More than 4", IF(AND(Orders[[#This Row],[Order Frequency]]&lt;=4,Orders[[#This Row],[Order Frequency]]&gt;=2), "Between 4 and 2", "Less than 2"))</f>
        <v>Less than 2</v>
      </c>
      <c r="T842" t="str">
        <f>IF(Orders[[#This Row],[Frequency Group]]="less than 2", "Low Value", IF(Orders[[#This Row],[Frequency Group]]="between 4 and 2", "Medium Value", "High Value"))</f>
        <v>Low Value</v>
      </c>
      <c r="U842" t="str">
        <f>IF(Orders[[#This Row],[Sales]]&lt;50, "$0-50", IF(AND(Orders[[#This Row],[Sales]]&gt;=50,Orders[[#This Row],[Sales]]&lt;=100), "$50-100", IF(AND(Orders[[#This Row],[Sales]]&gt;100,Orders[[#This Row],[Sales]]&lt;=150), "$101-150", "$150+")))</f>
        <v>$0-50</v>
      </c>
      <c r="V842" t="str">
        <f>IF(Orders[[#This Row],[Sales]]&gt;MEDIAN(M:M), "High Price", "Low Price")</f>
        <v>Low Price</v>
      </c>
      <c r="W842" t="str">
        <f>IF(Orders[[#This Row],[Quantity]]&gt;MEDIAN(E:E), "High Volume", "Low Volume")</f>
        <v>Low Volume</v>
      </c>
      <c r="X842" t="str">
        <f>Orders[[#This Row],[Sales Tier]] &amp; "-" &amp; Orders[[#This Row],[Quantity Tier]]</f>
        <v>Low Price-Low Volume</v>
      </c>
      <c r="Y842" t="str">
        <f>TEXT(Orders[[#This Row],[Order Date]], "mmmm")</f>
        <v>October</v>
      </c>
      <c r="Z84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842" t="str">
        <f>Orders[[#This Row],[Coffee Type Name]] &amp; "-" &amp; Orders[[#This Row],[Roast Type Name]]</f>
        <v>Liberica-Dark</v>
      </c>
      <c r="AB84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43" spans="1:28" x14ac:dyDescent="0.25">
      <c r="A843" s="2" t="s">
        <v>1233</v>
      </c>
      <c r="B843" s="4">
        <v>44043</v>
      </c>
      <c r="C843" s="2" t="s">
        <v>1234</v>
      </c>
      <c r="D843" t="s">
        <v>6182</v>
      </c>
      <c r="E843" s="2">
        <v>5</v>
      </c>
      <c r="F843" s="2" t="str">
        <f>_xlfn.XLOOKUP(C843,customers!$A$1:$A$1001,customers!$B$1:$B$1001,,0)</f>
        <v>Osbert Robins</v>
      </c>
      <c r="G843" s="2" t="str">
        <f>IF(_xlfn.XLOOKUP(C843,customers!$A$1:$A$1001,customers!$C$1:$C$1001,,0)=0,"",_xlfn.XLOOKUP(C843,customers!$A$1:$A$1001,customers!$C$1:$C$1001,,0))</f>
        <v>orobins3o@salon.com</v>
      </c>
      <c r="H843" s="2" t="str">
        <f>_xlfn.XLOOKUP(C843,customers!$A$1:$A$1001,customers!$G$1:$G$1001,,0)</f>
        <v>United States</v>
      </c>
      <c r="I843" t="str">
        <f>INDEX(products!$A$1:$G$49, MATCH(orders!$D134,products!$A$1:$A181,0), MATCH(orders!I$1,products!$A$1:$G$1,0))</f>
        <v>Ara</v>
      </c>
      <c r="J843" t="str">
        <f>INDEX(products!$A$1:$G$49, MATCH(orders!$D134,products!$A$1:$A181,0), MATCH(orders!J$1,products!$A$1:$G$1,0))</f>
        <v>L</v>
      </c>
      <c r="K843" s="5">
        <f>INDEX(products!$A$1:$G$49, MATCH(orders!$D134,products!$A$1:$A181,0), MATCH(orders!K$1,products!$A$1:$G$1,0))</f>
        <v>2.5</v>
      </c>
      <c r="L843" s="6">
        <f>INDEX(products!$A$1:$G$49, MATCH(orders!$D134,products!$A$1:$A181,0), MATCH(orders!L$1,products!$A$1:$G$1,0))</f>
        <v>29.784999999999997</v>
      </c>
      <c r="M843" s="6">
        <f t="shared" si="39"/>
        <v>148.92499999999998</v>
      </c>
      <c r="N843" t="str">
        <f t="shared" si="40"/>
        <v>Arabica</v>
      </c>
      <c r="O843" t="str">
        <f t="shared" si="41"/>
        <v>Light</v>
      </c>
      <c r="P843" t="str">
        <f>_xlfn.XLOOKUP(Orders[[#This Row],[Customer ID]],customers!$A$1:$A$1001,customers!$I$1:$I$1001,,0)</f>
        <v>Yes</v>
      </c>
      <c r="Q843">
        <f>COUNTIF(Orders[Order ID],Orders[[#This Row],[Order ID]])</f>
        <v>1</v>
      </c>
      <c r="R843" s="10">
        <f>SUMIF(Orders[Order ID], Orders[[#This Row],[Order ID]],Orders[Sales])/Orders[[#This Row],[Order Frequency]]</f>
        <v>148.92499999999998</v>
      </c>
      <c r="S843" t="str">
        <f>IF(Orders[[#This Row],[Order Frequency]]&gt;4, "More than 4", IF(AND(Orders[[#This Row],[Order Frequency]]&lt;=4,Orders[[#This Row],[Order Frequency]]&gt;=2), "Between 4 and 2", "Less than 2"))</f>
        <v>Less than 2</v>
      </c>
      <c r="T843" t="str">
        <f>IF(Orders[[#This Row],[Frequency Group]]="less than 2", "Low Value", IF(Orders[[#This Row],[Frequency Group]]="between 4 and 2", "Medium Value", "High Value"))</f>
        <v>Low Value</v>
      </c>
      <c r="U843" t="str">
        <f>IF(Orders[[#This Row],[Sales]]&lt;50, "$0-50", IF(AND(Orders[[#This Row],[Sales]]&gt;=50,Orders[[#This Row],[Sales]]&lt;=100), "$50-100", IF(AND(Orders[[#This Row],[Sales]]&gt;100,Orders[[#This Row],[Sales]]&lt;=150), "$101-150", "$150+")))</f>
        <v>$101-150</v>
      </c>
      <c r="V843" t="str">
        <f>IF(Orders[[#This Row],[Sales]]&gt;MEDIAN(M:M), "High Price", "Low Price")</f>
        <v>High Price</v>
      </c>
      <c r="W843" t="str">
        <f>IF(Orders[[#This Row],[Quantity]]&gt;MEDIAN(E:E), "High Volume", "Low Volume")</f>
        <v>High Volume</v>
      </c>
      <c r="X843" t="str">
        <f>Orders[[#This Row],[Sales Tier]] &amp; "-" &amp; Orders[[#This Row],[Quantity Tier]]</f>
        <v>High Price-High Volume</v>
      </c>
      <c r="Y843" t="str">
        <f>TEXT(Orders[[#This Row],[Order Date]], "mmmm")</f>
        <v>July</v>
      </c>
      <c r="Z84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843" t="str">
        <f>Orders[[#This Row],[Coffee Type Name]] &amp; "-" &amp; Orders[[#This Row],[Roast Type Name]]</f>
        <v>Arabica-Light</v>
      </c>
      <c r="AB84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844" spans="1:28" x14ac:dyDescent="0.25">
      <c r="A844" s="2" t="s">
        <v>5262</v>
      </c>
      <c r="B844" s="4">
        <v>44476</v>
      </c>
      <c r="C844" s="2" t="s">
        <v>5263</v>
      </c>
      <c r="D844" t="s">
        <v>6158</v>
      </c>
      <c r="E844" s="2">
        <v>6</v>
      </c>
      <c r="F844" s="2" t="str">
        <f>_xlfn.XLOOKUP(C844,customers!$A$1:$A$1001,customers!$B$1:$B$1001,,0)</f>
        <v>Adelheid Gladhill</v>
      </c>
      <c r="G844" s="2" t="str">
        <f>IF(_xlfn.XLOOKUP(C844,customers!$A$1:$A$1001,customers!$C$1:$C$1001,,0)=0,"",_xlfn.XLOOKUP(C844,customers!$A$1:$A$1001,customers!$C$1:$C$1001,,0))</f>
        <v>agladhillng@stanford.edu</v>
      </c>
      <c r="H844" s="2" t="str">
        <f>_xlfn.XLOOKUP(C844,customers!$A$1:$A$1001,customers!$G$1:$G$1001,,0)</f>
        <v>United States</v>
      </c>
      <c r="I844" t="str">
        <f>INDEX(products!$A$1:$G$49, MATCH(orders!$D846,products!$A$1:$A893,0), MATCH(orders!I$1,products!$A$1:$G$1,0))</f>
        <v>Ara</v>
      </c>
      <c r="J844" t="str">
        <f>INDEX(products!$A$1:$G$49, MATCH(orders!$D846,products!$A$1:$A893,0), MATCH(orders!J$1,products!$A$1:$G$1,0))</f>
        <v>D</v>
      </c>
      <c r="K844" s="5">
        <f>INDEX(products!$A$1:$G$49, MATCH(orders!$D846,products!$A$1:$A893,0), MATCH(orders!K$1,products!$A$1:$G$1,0))</f>
        <v>0.5</v>
      </c>
      <c r="L844" s="6">
        <f>INDEX(products!$A$1:$G$49, MATCH(orders!$D846,products!$A$1:$A893,0), MATCH(orders!L$1,products!$A$1:$G$1,0))</f>
        <v>5.97</v>
      </c>
      <c r="M844" s="6">
        <f t="shared" si="39"/>
        <v>35.82</v>
      </c>
      <c r="N844" t="str">
        <f t="shared" si="40"/>
        <v>Arabica</v>
      </c>
      <c r="O844" t="str">
        <f t="shared" si="41"/>
        <v>Dark</v>
      </c>
      <c r="P844" t="str">
        <f>_xlfn.XLOOKUP(Orders[[#This Row],[Customer ID]],customers!$A$1:$A$1001,customers!$I$1:$I$1001,,0)</f>
        <v>Yes</v>
      </c>
      <c r="Q844">
        <f>COUNTIF(Orders[Order ID],Orders[[#This Row],[Order ID]])</f>
        <v>1</v>
      </c>
      <c r="R844" s="10">
        <f>SUMIF(Orders[Order ID], Orders[[#This Row],[Order ID]],Orders[Sales])/Orders[[#This Row],[Order Frequency]]</f>
        <v>35.82</v>
      </c>
      <c r="S844" t="str">
        <f>IF(Orders[[#This Row],[Order Frequency]]&gt;4, "More than 4", IF(AND(Orders[[#This Row],[Order Frequency]]&lt;=4,Orders[[#This Row],[Order Frequency]]&gt;=2), "Between 4 and 2", "Less than 2"))</f>
        <v>Less than 2</v>
      </c>
      <c r="T844" t="str">
        <f>IF(Orders[[#This Row],[Frequency Group]]="less than 2", "Low Value", IF(Orders[[#This Row],[Frequency Group]]="between 4 and 2", "Medium Value", "High Value"))</f>
        <v>Low Value</v>
      </c>
      <c r="U844" t="str">
        <f>IF(Orders[[#This Row],[Sales]]&lt;50, "$0-50", IF(AND(Orders[[#This Row],[Sales]]&gt;=50,Orders[[#This Row],[Sales]]&lt;=100), "$50-100", IF(AND(Orders[[#This Row],[Sales]]&gt;100,Orders[[#This Row],[Sales]]&lt;=150), "$101-150", "$150+")))</f>
        <v>$0-50</v>
      </c>
      <c r="V844" t="str">
        <f>IF(Orders[[#This Row],[Sales]]&gt;MEDIAN(M:M), "High Price", "Low Price")</f>
        <v>High Price</v>
      </c>
      <c r="W844" t="str">
        <f>IF(Orders[[#This Row],[Quantity]]&gt;MEDIAN(E:E), "High Volume", "Low Volume")</f>
        <v>High Volume</v>
      </c>
      <c r="X844" t="str">
        <f>Orders[[#This Row],[Sales Tier]] &amp; "-" &amp; Orders[[#This Row],[Quantity Tier]]</f>
        <v>High Price-High Volume</v>
      </c>
      <c r="Y844" t="str">
        <f>TEXT(Orders[[#This Row],[Order Date]], "mmmm")</f>
        <v>October</v>
      </c>
      <c r="Z84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844" t="str">
        <f>Orders[[#This Row],[Coffee Type Name]] &amp; "-" &amp; Orders[[#This Row],[Roast Type Name]]</f>
        <v>Arabica-Dark</v>
      </c>
      <c r="AB84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45" spans="1:28" x14ac:dyDescent="0.25">
      <c r="A845" s="2" t="s">
        <v>5096</v>
      </c>
      <c r="B845" s="4">
        <v>44200</v>
      </c>
      <c r="C845" s="2" t="s">
        <v>5097</v>
      </c>
      <c r="D845" t="s">
        <v>6146</v>
      </c>
      <c r="E845" s="2">
        <v>6</v>
      </c>
      <c r="F845" s="2" t="str">
        <f>_xlfn.XLOOKUP(C845,customers!$A$1:$A$1001,customers!$B$1:$B$1001,,0)</f>
        <v>Lenci Haggerstone</v>
      </c>
      <c r="G845" s="2" t="str">
        <f>IF(_xlfn.XLOOKUP(C845,customers!$A$1:$A$1001,customers!$C$1:$C$1001,,0)=0,"",_xlfn.XLOOKUP(C845,customers!$A$1:$A$1001,customers!$C$1:$C$1001,,0))</f>
        <v>lhaggerstonemn@independent.co.uk</v>
      </c>
      <c r="H845" s="2" t="str">
        <f>_xlfn.XLOOKUP(C845,customers!$A$1:$A$1001,customers!$G$1:$G$1001,,0)</f>
        <v>United States</v>
      </c>
      <c r="I845" t="str">
        <f>INDEX(products!$A$1:$G$49, MATCH(orders!$D817,products!$A$1:$A864,0), MATCH(orders!I$1,products!$A$1:$G$1,0))</f>
        <v>Rob</v>
      </c>
      <c r="J845" t="str">
        <f>INDEX(products!$A$1:$G$49, MATCH(orders!$D817,products!$A$1:$A864,0), MATCH(orders!J$1,products!$A$1:$G$1,0))</f>
        <v>M</v>
      </c>
      <c r="K845" s="5">
        <f>INDEX(products!$A$1:$G$49, MATCH(orders!$D817,products!$A$1:$A864,0), MATCH(orders!K$1,products!$A$1:$G$1,0))</f>
        <v>0.5</v>
      </c>
      <c r="L845" s="6">
        <f>INDEX(products!$A$1:$G$49, MATCH(orders!$D817,products!$A$1:$A864,0), MATCH(orders!L$1,products!$A$1:$G$1,0))</f>
        <v>5.97</v>
      </c>
      <c r="M845" s="6">
        <f t="shared" si="39"/>
        <v>35.82</v>
      </c>
      <c r="N845" t="str">
        <f t="shared" si="40"/>
        <v>Robusta</v>
      </c>
      <c r="O845" t="str">
        <f t="shared" si="41"/>
        <v>Medium</v>
      </c>
      <c r="P845" t="str">
        <f>_xlfn.XLOOKUP(Orders[[#This Row],[Customer ID]],customers!$A$1:$A$1001,customers!$I$1:$I$1001,,0)</f>
        <v>No</v>
      </c>
      <c r="Q845">
        <f>COUNTIF(Orders[Order ID],Orders[[#This Row],[Order ID]])</f>
        <v>1</v>
      </c>
      <c r="R845" s="10">
        <f>SUMIF(Orders[Order ID], Orders[[#This Row],[Order ID]],Orders[Sales])/Orders[[#This Row],[Order Frequency]]</f>
        <v>35.82</v>
      </c>
      <c r="S845" t="str">
        <f>IF(Orders[[#This Row],[Order Frequency]]&gt;4, "More than 4", IF(AND(Orders[[#This Row],[Order Frequency]]&lt;=4,Orders[[#This Row],[Order Frequency]]&gt;=2), "Between 4 and 2", "Less than 2"))</f>
        <v>Less than 2</v>
      </c>
      <c r="T845" t="str">
        <f>IF(Orders[[#This Row],[Frequency Group]]="less than 2", "Low Value", IF(Orders[[#This Row],[Frequency Group]]="between 4 and 2", "Medium Value", "High Value"))</f>
        <v>Low Value</v>
      </c>
      <c r="U845" t="str">
        <f>IF(Orders[[#This Row],[Sales]]&lt;50, "$0-50", IF(AND(Orders[[#This Row],[Sales]]&gt;=50,Orders[[#This Row],[Sales]]&lt;=100), "$50-100", IF(AND(Orders[[#This Row],[Sales]]&gt;100,Orders[[#This Row],[Sales]]&lt;=150), "$101-150", "$150+")))</f>
        <v>$0-50</v>
      </c>
      <c r="V845" t="str">
        <f>IF(Orders[[#This Row],[Sales]]&gt;MEDIAN(M:M), "High Price", "Low Price")</f>
        <v>High Price</v>
      </c>
      <c r="W845" t="str">
        <f>IF(Orders[[#This Row],[Quantity]]&gt;MEDIAN(E:E), "High Volume", "Low Volume")</f>
        <v>High Volume</v>
      </c>
      <c r="X845" t="str">
        <f>Orders[[#This Row],[Sales Tier]] &amp; "-" &amp; Orders[[#This Row],[Quantity Tier]]</f>
        <v>High Price-High Volume</v>
      </c>
      <c r="Y845" t="str">
        <f>TEXT(Orders[[#This Row],[Order Date]], "mmmm")</f>
        <v>January</v>
      </c>
      <c r="Z84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45" t="str">
        <f>Orders[[#This Row],[Coffee Type Name]] &amp; "-" &amp; Orders[[#This Row],[Roast Type Name]]</f>
        <v>Robusta-Medium</v>
      </c>
      <c r="AB84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846" spans="1:28" x14ac:dyDescent="0.25">
      <c r="A846" s="2" t="s">
        <v>5090</v>
      </c>
      <c r="B846" s="4">
        <v>43573</v>
      </c>
      <c r="C846" s="2" t="s">
        <v>5091</v>
      </c>
      <c r="D846" t="s">
        <v>6184</v>
      </c>
      <c r="E846" s="2">
        <v>2</v>
      </c>
      <c r="F846" s="2" t="str">
        <f>_xlfn.XLOOKUP(C846,customers!$A$1:$A$1001,customers!$B$1:$B$1001,,0)</f>
        <v>Silvanus Enefer</v>
      </c>
      <c r="G846" s="2" t="str">
        <f>IF(_xlfn.XLOOKUP(C846,customers!$A$1:$A$1001,customers!$C$1:$C$1001,,0)=0,"",_xlfn.XLOOKUP(C846,customers!$A$1:$A$1001,customers!$C$1:$C$1001,,0))</f>
        <v>senefermm@blog.com</v>
      </c>
      <c r="H846" s="2" t="str">
        <f>_xlfn.XLOOKUP(C846,customers!$A$1:$A$1001,customers!$G$1:$G$1001,,0)</f>
        <v>United States</v>
      </c>
      <c r="I846" t="str">
        <f>INDEX(products!$A$1:$G$49, MATCH(orders!$D816,products!$A$1:$A863,0), MATCH(orders!I$1,products!$A$1:$G$1,0))</f>
        <v>Exc</v>
      </c>
      <c r="J846" t="str">
        <f>INDEX(products!$A$1:$G$49, MATCH(orders!$D816,products!$A$1:$A863,0), MATCH(orders!J$1,products!$A$1:$G$1,0))</f>
        <v>L</v>
      </c>
      <c r="K846" s="5">
        <f>INDEX(products!$A$1:$G$49, MATCH(orders!$D816,products!$A$1:$A863,0), MATCH(orders!K$1,products!$A$1:$G$1,0))</f>
        <v>0.2</v>
      </c>
      <c r="L846" s="6">
        <f>INDEX(products!$A$1:$G$49, MATCH(orders!$D816,products!$A$1:$A863,0), MATCH(orders!L$1,products!$A$1:$G$1,0))</f>
        <v>4.4550000000000001</v>
      </c>
      <c r="M846" s="6">
        <f t="shared" si="39"/>
        <v>8.91</v>
      </c>
      <c r="N846" t="str">
        <f t="shared" si="40"/>
        <v>Excelsa</v>
      </c>
      <c r="O846" t="str">
        <f t="shared" si="41"/>
        <v>Light</v>
      </c>
      <c r="P846" t="str">
        <f>_xlfn.XLOOKUP(Orders[[#This Row],[Customer ID]],customers!$A$1:$A$1001,customers!$I$1:$I$1001,,0)</f>
        <v>No</v>
      </c>
      <c r="Q846">
        <f>COUNTIF(Orders[Order ID],Orders[[#This Row],[Order ID]])</f>
        <v>1</v>
      </c>
      <c r="R846" s="10">
        <f>SUMIF(Orders[Order ID], Orders[[#This Row],[Order ID]],Orders[Sales])/Orders[[#This Row],[Order Frequency]]</f>
        <v>8.91</v>
      </c>
      <c r="S846" t="str">
        <f>IF(Orders[[#This Row],[Order Frequency]]&gt;4, "More than 4", IF(AND(Orders[[#This Row],[Order Frequency]]&lt;=4,Orders[[#This Row],[Order Frequency]]&gt;=2), "Between 4 and 2", "Less than 2"))</f>
        <v>Less than 2</v>
      </c>
      <c r="T846" t="str">
        <f>IF(Orders[[#This Row],[Frequency Group]]="less than 2", "Low Value", IF(Orders[[#This Row],[Frequency Group]]="between 4 and 2", "Medium Value", "High Value"))</f>
        <v>Low Value</v>
      </c>
      <c r="U846" t="str">
        <f>IF(Orders[[#This Row],[Sales]]&lt;50, "$0-50", IF(AND(Orders[[#This Row],[Sales]]&gt;=50,Orders[[#This Row],[Sales]]&lt;=100), "$50-100", IF(AND(Orders[[#This Row],[Sales]]&gt;100,Orders[[#This Row],[Sales]]&lt;=150), "$101-150", "$150+")))</f>
        <v>$0-50</v>
      </c>
      <c r="V846" t="str">
        <f>IF(Orders[[#This Row],[Sales]]&gt;MEDIAN(M:M), "High Price", "Low Price")</f>
        <v>Low Price</v>
      </c>
      <c r="W846" t="str">
        <f>IF(Orders[[#This Row],[Quantity]]&gt;MEDIAN(E:E), "High Volume", "Low Volume")</f>
        <v>Low Volume</v>
      </c>
      <c r="X846" t="str">
        <f>Orders[[#This Row],[Sales Tier]] &amp; "-" &amp; Orders[[#This Row],[Quantity Tier]]</f>
        <v>Low Price-Low Volume</v>
      </c>
      <c r="Y846" t="str">
        <f>TEXT(Orders[[#This Row],[Order Date]], "mmmm")</f>
        <v>April</v>
      </c>
      <c r="Z84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846" t="str">
        <f>Orders[[#This Row],[Coffee Type Name]] &amp; "-" &amp; Orders[[#This Row],[Roast Type Name]]</f>
        <v>Excelsa-Light</v>
      </c>
      <c r="AB84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847" spans="1:28" x14ac:dyDescent="0.25">
      <c r="A847" s="2" t="s">
        <v>2627</v>
      </c>
      <c r="B847" s="4">
        <v>43690</v>
      </c>
      <c r="C847" s="2" t="s">
        <v>2628</v>
      </c>
      <c r="D847" t="s">
        <v>6173</v>
      </c>
      <c r="E847" s="2">
        <v>6</v>
      </c>
      <c r="F847" s="2" t="str">
        <f>_xlfn.XLOOKUP(C847,customers!$A$1:$A$1001,customers!$B$1:$B$1001,,0)</f>
        <v>Ashbey Tomaszewski</v>
      </c>
      <c r="G847" s="2" t="str">
        <f>IF(_xlfn.XLOOKUP(C847,customers!$A$1:$A$1001,customers!$C$1:$C$1001,,0)=0,"",_xlfn.XLOOKUP(C847,customers!$A$1:$A$1001,customers!$C$1:$C$1001,,0))</f>
        <v>atomaszewskiaj@answers.com</v>
      </c>
      <c r="H847" s="2" t="str">
        <f>_xlfn.XLOOKUP(C847,customers!$A$1:$A$1001,customers!$G$1:$G$1001,,0)</f>
        <v>United Kingdom</v>
      </c>
      <c r="I847" t="str">
        <f>INDEX(products!$A$1:$G$49, MATCH(orders!$D381,products!$A$1:$A428,0), MATCH(orders!I$1,products!$A$1:$G$1,0))</f>
        <v>Rob</v>
      </c>
      <c r="J847" t="str">
        <f>INDEX(products!$A$1:$G$49, MATCH(orders!$D381,products!$A$1:$A428,0), MATCH(orders!J$1,products!$A$1:$G$1,0))</f>
        <v>L</v>
      </c>
      <c r="K847" s="5">
        <f>INDEX(products!$A$1:$G$49, MATCH(orders!$D381,products!$A$1:$A428,0), MATCH(orders!K$1,products!$A$1:$G$1,0))</f>
        <v>0.5</v>
      </c>
      <c r="L847" s="6">
        <f>INDEX(products!$A$1:$G$49, MATCH(orders!$D381,products!$A$1:$A428,0), MATCH(orders!L$1,products!$A$1:$G$1,0))</f>
        <v>7.169999999999999</v>
      </c>
      <c r="M847" s="6">
        <f t="shared" si="39"/>
        <v>43.019999999999996</v>
      </c>
      <c r="N847" t="str">
        <f t="shared" si="40"/>
        <v>Robusta</v>
      </c>
      <c r="O847" t="str">
        <f t="shared" si="41"/>
        <v>Light</v>
      </c>
      <c r="P847" t="str">
        <f>_xlfn.XLOOKUP(Orders[[#This Row],[Customer ID]],customers!$A$1:$A$1001,customers!$I$1:$I$1001,,0)</f>
        <v>Yes</v>
      </c>
      <c r="Q847">
        <f>COUNTIF(Orders[Order ID],Orders[[#This Row],[Order ID]])</f>
        <v>1</v>
      </c>
      <c r="R847" s="10">
        <f>SUMIF(Orders[Order ID], Orders[[#This Row],[Order ID]],Orders[Sales])/Orders[[#This Row],[Order Frequency]]</f>
        <v>43.019999999999996</v>
      </c>
      <c r="S847" t="str">
        <f>IF(Orders[[#This Row],[Order Frequency]]&gt;4, "More than 4", IF(AND(Orders[[#This Row],[Order Frequency]]&lt;=4,Orders[[#This Row],[Order Frequency]]&gt;=2), "Between 4 and 2", "Less than 2"))</f>
        <v>Less than 2</v>
      </c>
      <c r="T847" t="str">
        <f>IF(Orders[[#This Row],[Frequency Group]]="less than 2", "Low Value", IF(Orders[[#This Row],[Frequency Group]]="between 4 and 2", "Medium Value", "High Value"))</f>
        <v>Low Value</v>
      </c>
      <c r="U847" t="str">
        <f>IF(Orders[[#This Row],[Sales]]&lt;50, "$0-50", IF(AND(Orders[[#This Row],[Sales]]&gt;=50,Orders[[#This Row],[Sales]]&lt;=100), "$50-100", IF(AND(Orders[[#This Row],[Sales]]&gt;100,Orders[[#This Row],[Sales]]&lt;=150), "$101-150", "$150+")))</f>
        <v>$0-50</v>
      </c>
      <c r="V847" t="str">
        <f>IF(Orders[[#This Row],[Sales]]&gt;MEDIAN(M:M), "High Price", "Low Price")</f>
        <v>High Price</v>
      </c>
      <c r="W847" t="str">
        <f>IF(Orders[[#This Row],[Quantity]]&gt;MEDIAN(E:E), "High Volume", "Low Volume")</f>
        <v>High Volume</v>
      </c>
      <c r="X847" t="str">
        <f>Orders[[#This Row],[Sales Tier]] &amp; "-" &amp; Orders[[#This Row],[Quantity Tier]]</f>
        <v>High Price-High Volume</v>
      </c>
      <c r="Y847" t="str">
        <f>TEXT(Orders[[#This Row],[Order Date]], "mmmm")</f>
        <v>August</v>
      </c>
      <c r="Z84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847" t="str">
        <f>Orders[[#This Row],[Coffee Type Name]] &amp; "-" &amp; Orders[[#This Row],[Roast Type Name]]</f>
        <v>Robusta-Light</v>
      </c>
      <c r="AB84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848" spans="1:28" x14ac:dyDescent="0.25">
      <c r="A848" s="2" t="s">
        <v>1328</v>
      </c>
      <c r="B848" s="4">
        <v>44108</v>
      </c>
      <c r="C848" s="2" t="s">
        <v>1329</v>
      </c>
      <c r="D848" t="s">
        <v>6175</v>
      </c>
      <c r="E848" s="2">
        <v>2</v>
      </c>
      <c r="F848" s="2" t="str">
        <f>_xlfn.XLOOKUP(C848,customers!$A$1:$A$1001,customers!$B$1:$B$1001,,0)</f>
        <v>Gerard Pirdy</v>
      </c>
      <c r="G848" s="2" t="str">
        <f>IF(_xlfn.XLOOKUP(C848,customers!$A$1:$A$1001,customers!$C$1:$C$1001,,0)=0,"",_xlfn.XLOOKUP(C848,customers!$A$1:$A$1001,customers!$C$1:$C$1001,,0))</f>
        <v/>
      </c>
      <c r="H848" s="2" t="str">
        <f>_xlfn.XLOOKUP(C848,customers!$A$1:$A$1001,customers!$G$1:$G$1001,,0)</f>
        <v>United States</v>
      </c>
      <c r="I848" t="str">
        <f>INDEX(products!$A$1:$G$49, MATCH(orders!$D151,products!$A$1:$A198,0), MATCH(orders!I$1,products!$A$1:$G$1,0))</f>
        <v>Ara</v>
      </c>
      <c r="J848" t="str">
        <f>INDEX(products!$A$1:$G$49, MATCH(orders!$D151,products!$A$1:$A198,0), MATCH(orders!J$1,products!$A$1:$G$1,0))</f>
        <v>M</v>
      </c>
      <c r="K848" s="5">
        <f>INDEX(products!$A$1:$G$49, MATCH(orders!$D151,products!$A$1:$A198,0), MATCH(orders!K$1,products!$A$1:$G$1,0))</f>
        <v>2.5</v>
      </c>
      <c r="L848" s="6">
        <f>INDEX(products!$A$1:$G$49, MATCH(orders!$D151,products!$A$1:$A198,0), MATCH(orders!L$1,products!$A$1:$G$1,0))</f>
        <v>25.874999999999996</v>
      </c>
      <c r="M848" s="6">
        <f t="shared" si="39"/>
        <v>51.749999999999993</v>
      </c>
      <c r="N848" t="str">
        <f t="shared" si="40"/>
        <v>Arabica</v>
      </c>
      <c r="O848" t="str">
        <f t="shared" si="41"/>
        <v>Medium</v>
      </c>
      <c r="P848" t="str">
        <f>_xlfn.XLOOKUP(Orders[[#This Row],[Customer ID]],customers!$A$1:$A$1001,customers!$I$1:$I$1001,,0)</f>
        <v>Yes</v>
      </c>
      <c r="Q848">
        <f>COUNTIF(Orders[Order ID],Orders[[#This Row],[Order ID]])</f>
        <v>1</v>
      </c>
      <c r="R848" s="10">
        <f>SUMIF(Orders[Order ID], Orders[[#This Row],[Order ID]],Orders[Sales])/Orders[[#This Row],[Order Frequency]]</f>
        <v>51.749999999999993</v>
      </c>
      <c r="S848" t="str">
        <f>IF(Orders[[#This Row],[Order Frequency]]&gt;4, "More than 4", IF(AND(Orders[[#This Row],[Order Frequency]]&lt;=4,Orders[[#This Row],[Order Frequency]]&gt;=2), "Between 4 and 2", "Less than 2"))</f>
        <v>Less than 2</v>
      </c>
      <c r="T848" t="str">
        <f>IF(Orders[[#This Row],[Frequency Group]]="less than 2", "Low Value", IF(Orders[[#This Row],[Frequency Group]]="between 4 and 2", "Medium Value", "High Value"))</f>
        <v>Low Value</v>
      </c>
      <c r="U848" t="str">
        <f>IF(Orders[[#This Row],[Sales]]&lt;50, "$0-50", IF(AND(Orders[[#This Row],[Sales]]&gt;=50,Orders[[#This Row],[Sales]]&lt;=100), "$50-100", IF(AND(Orders[[#This Row],[Sales]]&gt;100,Orders[[#This Row],[Sales]]&lt;=150), "$101-150", "$150+")))</f>
        <v>$50-100</v>
      </c>
      <c r="V848" t="str">
        <f>IF(Orders[[#This Row],[Sales]]&gt;MEDIAN(M:M), "High Price", "Low Price")</f>
        <v>High Price</v>
      </c>
      <c r="W848" t="str">
        <f>IF(Orders[[#This Row],[Quantity]]&gt;MEDIAN(E:E), "High Volume", "Low Volume")</f>
        <v>Low Volume</v>
      </c>
      <c r="X848" t="str">
        <f>Orders[[#This Row],[Sales Tier]] &amp; "-" &amp; Orders[[#This Row],[Quantity Tier]]</f>
        <v>High Price-Low Volume</v>
      </c>
      <c r="Y848" t="str">
        <f>TEXT(Orders[[#This Row],[Order Date]], "mmmm")</f>
        <v>October</v>
      </c>
      <c r="Z84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848" t="str">
        <f>Orders[[#This Row],[Coffee Type Name]] &amp; "-" &amp; Orders[[#This Row],[Roast Type Name]]</f>
        <v>Arabica-Medium</v>
      </c>
      <c r="AB84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49" spans="1:28" x14ac:dyDescent="0.25">
      <c r="A849" s="2" t="s">
        <v>1980</v>
      </c>
      <c r="B849" s="4">
        <v>44683</v>
      </c>
      <c r="C849" s="2" t="s">
        <v>1981</v>
      </c>
      <c r="D849" t="s">
        <v>6179</v>
      </c>
      <c r="E849" s="2">
        <v>5</v>
      </c>
      <c r="F849" s="2" t="str">
        <f>_xlfn.XLOOKUP(C849,customers!$A$1:$A$1001,customers!$B$1:$B$1001,,0)</f>
        <v>Arabella Fransewich</v>
      </c>
      <c r="G849" s="2" t="str">
        <f>IF(_xlfn.XLOOKUP(C849,customers!$A$1:$A$1001,customers!$C$1:$C$1001,,0)=0,"",_xlfn.XLOOKUP(C849,customers!$A$1:$A$1001,customers!$C$1:$C$1001,,0))</f>
        <v/>
      </c>
      <c r="H849" s="2" t="str">
        <f>_xlfn.XLOOKUP(C849,customers!$A$1:$A$1001,customers!$G$1:$G$1001,,0)</f>
        <v>Ireland</v>
      </c>
      <c r="I849" t="str">
        <f>INDEX(products!$A$1:$G$49, MATCH(orders!$D266,products!$A$1:$A313,0), MATCH(orders!I$1,products!$A$1:$G$1,0))</f>
        <v>Rob</v>
      </c>
      <c r="J849" t="str">
        <f>INDEX(products!$A$1:$G$49, MATCH(orders!$D266,products!$A$1:$A313,0), MATCH(orders!J$1,products!$A$1:$G$1,0))</f>
        <v>L</v>
      </c>
      <c r="K849" s="5">
        <f>INDEX(products!$A$1:$G$49, MATCH(orders!$D266,products!$A$1:$A313,0), MATCH(orders!K$1,products!$A$1:$G$1,0))</f>
        <v>1</v>
      </c>
      <c r="L849" s="6">
        <f>INDEX(products!$A$1:$G$49, MATCH(orders!$D266,products!$A$1:$A313,0), MATCH(orders!L$1,products!$A$1:$G$1,0))</f>
        <v>11.95</v>
      </c>
      <c r="M849" s="6">
        <f t="shared" si="39"/>
        <v>59.75</v>
      </c>
      <c r="N849" t="str">
        <f t="shared" si="40"/>
        <v>Robusta</v>
      </c>
      <c r="O849" t="str">
        <f t="shared" si="41"/>
        <v>Light</v>
      </c>
      <c r="P849" t="str">
        <f>_xlfn.XLOOKUP(Orders[[#This Row],[Customer ID]],customers!$A$1:$A$1001,customers!$I$1:$I$1001,,0)</f>
        <v>Yes</v>
      </c>
      <c r="Q849">
        <f>COUNTIF(Orders[Order ID],Orders[[#This Row],[Order ID]])</f>
        <v>1</v>
      </c>
      <c r="R849" s="10">
        <f>SUMIF(Orders[Order ID], Orders[[#This Row],[Order ID]],Orders[Sales])/Orders[[#This Row],[Order Frequency]]</f>
        <v>59.75</v>
      </c>
      <c r="S849" t="str">
        <f>IF(Orders[[#This Row],[Order Frequency]]&gt;4, "More than 4", IF(AND(Orders[[#This Row],[Order Frequency]]&lt;=4,Orders[[#This Row],[Order Frequency]]&gt;=2), "Between 4 and 2", "Less than 2"))</f>
        <v>Less than 2</v>
      </c>
      <c r="T849" t="str">
        <f>IF(Orders[[#This Row],[Frequency Group]]="less than 2", "Low Value", IF(Orders[[#This Row],[Frequency Group]]="between 4 and 2", "Medium Value", "High Value"))</f>
        <v>Low Value</v>
      </c>
      <c r="U849" t="str">
        <f>IF(Orders[[#This Row],[Sales]]&lt;50, "$0-50", IF(AND(Orders[[#This Row],[Sales]]&gt;=50,Orders[[#This Row],[Sales]]&lt;=100), "$50-100", IF(AND(Orders[[#This Row],[Sales]]&gt;100,Orders[[#This Row],[Sales]]&lt;=150), "$101-150", "$150+")))</f>
        <v>$50-100</v>
      </c>
      <c r="V849" t="str">
        <f>IF(Orders[[#This Row],[Sales]]&gt;MEDIAN(M:M), "High Price", "Low Price")</f>
        <v>High Price</v>
      </c>
      <c r="W849" t="str">
        <f>IF(Orders[[#This Row],[Quantity]]&gt;MEDIAN(E:E), "High Volume", "Low Volume")</f>
        <v>High Volume</v>
      </c>
      <c r="X849" t="str">
        <f>Orders[[#This Row],[Sales Tier]] &amp; "-" &amp; Orders[[#This Row],[Quantity Tier]]</f>
        <v>High Price-High Volume</v>
      </c>
      <c r="Y849" t="str">
        <f>TEXT(Orders[[#This Row],[Order Date]], "mmmm")</f>
        <v>May</v>
      </c>
      <c r="Z84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849" t="str">
        <f>Orders[[#This Row],[Coffee Type Name]] &amp; "-" &amp; Orders[[#This Row],[Roast Type Name]]</f>
        <v>Robusta-Light</v>
      </c>
      <c r="AB84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850" spans="1:28" x14ac:dyDescent="0.25">
      <c r="A850" s="2" t="s">
        <v>1065</v>
      </c>
      <c r="B850" s="4">
        <v>44750</v>
      </c>
      <c r="C850" s="2" t="s">
        <v>1066</v>
      </c>
      <c r="D850" t="s">
        <v>6174</v>
      </c>
      <c r="E850" s="2">
        <v>4</v>
      </c>
      <c r="F850" s="2" t="str">
        <f>_xlfn.XLOOKUP(C850,customers!$A$1:$A$1001,customers!$B$1:$B$1001,,0)</f>
        <v>Bram Revel</v>
      </c>
      <c r="G850" s="2" t="str">
        <f>IF(_xlfn.XLOOKUP(C850,customers!$A$1:$A$1001,customers!$C$1:$C$1001,,0)=0,"",_xlfn.XLOOKUP(C850,customers!$A$1:$A$1001,customers!$C$1:$C$1001,,0))</f>
        <v>brevel2v@fastcompany.com</v>
      </c>
      <c r="H850" s="2" t="str">
        <f>_xlfn.XLOOKUP(C850,customers!$A$1:$A$1001,customers!$G$1:$G$1001,,0)</f>
        <v>United States</v>
      </c>
      <c r="I850" t="str">
        <f>INDEX(products!$A$1:$G$49, MATCH(orders!$D105,products!$A$1:$A152,0), MATCH(orders!I$1,products!$A$1:$G$1,0))</f>
        <v>Rob</v>
      </c>
      <c r="J850" t="str">
        <f>INDEX(products!$A$1:$G$49, MATCH(orders!$D105,products!$A$1:$A152,0), MATCH(orders!J$1,products!$A$1:$G$1,0))</f>
        <v>M</v>
      </c>
      <c r="K850" s="5">
        <f>INDEX(products!$A$1:$G$49, MATCH(orders!$D105,products!$A$1:$A152,0), MATCH(orders!K$1,products!$A$1:$G$1,0))</f>
        <v>0.2</v>
      </c>
      <c r="L850" s="6">
        <f>INDEX(products!$A$1:$G$49, MATCH(orders!$D105,products!$A$1:$A152,0), MATCH(orders!L$1,products!$A$1:$G$1,0))</f>
        <v>2.9849999999999999</v>
      </c>
      <c r="M850" s="6">
        <f t="shared" si="39"/>
        <v>11.94</v>
      </c>
      <c r="N850" t="str">
        <f t="shared" si="40"/>
        <v>Robusta</v>
      </c>
      <c r="O850" t="str">
        <f t="shared" si="41"/>
        <v>Medium</v>
      </c>
      <c r="P850" t="str">
        <f>_xlfn.XLOOKUP(Orders[[#This Row],[Customer ID]],customers!$A$1:$A$1001,customers!$I$1:$I$1001,,0)</f>
        <v>No</v>
      </c>
      <c r="Q850">
        <f>COUNTIF(Orders[Order ID],Orders[[#This Row],[Order ID]])</f>
        <v>1</v>
      </c>
      <c r="R850" s="10">
        <f>SUMIF(Orders[Order ID], Orders[[#This Row],[Order ID]],Orders[Sales])/Orders[[#This Row],[Order Frequency]]</f>
        <v>11.94</v>
      </c>
      <c r="S850" t="str">
        <f>IF(Orders[[#This Row],[Order Frequency]]&gt;4, "More than 4", IF(AND(Orders[[#This Row],[Order Frequency]]&lt;=4,Orders[[#This Row],[Order Frequency]]&gt;=2), "Between 4 and 2", "Less than 2"))</f>
        <v>Less than 2</v>
      </c>
      <c r="T850" t="str">
        <f>IF(Orders[[#This Row],[Frequency Group]]="less than 2", "Low Value", IF(Orders[[#This Row],[Frequency Group]]="between 4 and 2", "Medium Value", "High Value"))</f>
        <v>Low Value</v>
      </c>
      <c r="U850" t="str">
        <f>IF(Orders[[#This Row],[Sales]]&lt;50, "$0-50", IF(AND(Orders[[#This Row],[Sales]]&gt;=50,Orders[[#This Row],[Sales]]&lt;=100), "$50-100", IF(AND(Orders[[#This Row],[Sales]]&gt;100,Orders[[#This Row],[Sales]]&lt;=150), "$101-150", "$150+")))</f>
        <v>$0-50</v>
      </c>
      <c r="V850" t="str">
        <f>IF(Orders[[#This Row],[Sales]]&gt;MEDIAN(M:M), "High Price", "Low Price")</f>
        <v>Low Price</v>
      </c>
      <c r="W850" t="str">
        <f>IF(Orders[[#This Row],[Quantity]]&gt;MEDIAN(E:E), "High Volume", "Low Volume")</f>
        <v>Low Volume</v>
      </c>
      <c r="X850" t="str">
        <f>Orders[[#This Row],[Sales Tier]] &amp; "-" &amp; Orders[[#This Row],[Quantity Tier]]</f>
        <v>Low Price-Low Volume</v>
      </c>
      <c r="Y850" t="str">
        <f>TEXT(Orders[[#This Row],[Order Date]], "mmmm")</f>
        <v>July</v>
      </c>
      <c r="Z85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850" t="str">
        <f>Orders[[#This Row],[Coffee Type Name]] &amp; "-" &amp; Orders[[#This Row],[Roast Type Name]]</f>
        <v>Robusta-Medium</v>
      </c>
      <c r="AB85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851" spans="1:28" x14ac:dyDescent="0.25">
      <c r="A851" s="2" t="s">
        <v>643</v>
      </c>
      <c r="B851" s="4">
        <v>43746</v>
      </c>
      <c r="C851" s="2" t="s">
        <v>644</v>
      </c>
      <c r="D851" t="s">
        <v>6152</v>
      </c>
      <c r="E851" s="2">
        <v>5</v>
      </c>
      <c r="F851" s="2" t="str">
        <f>_xlfn.XLOOKUP(C851,customers!$A$1:$A$1001,customers!$B$1:$B$1001,,0)</f>
        <v>Vivie Danneil</v>
      </c>
      <c r="G851" s="2" t="str">
        <f>IF(_xlfn.XLOOKUP(C851,customers!$A$1:$A$1001,customers!$C$1:$C$1001,,0)=0,"",_xlfn.XLOOKUP(C851,customers!$A$1:$A$1001,customers!$C$1:$C$1001,,0))</f>
        <v>vdanneilr@mtv.com</v>
      </c>
      <c r="H851" s="2" t="str">
        <f>_xlfn.XLOOKUP(C851,customers!$A$1:$A$1001,customers!$G$1:$G$1001,,0)</f>
        <v>Ireland</v>
      </c>
      <c r="I851" t="str">
        <f>INDEX(products!$A$1:$G$49, MATCH(orders!$D29,products!$A$1:$A76,0), MATCH(orders!I$1,products!$A$1:$G$1,0))</f>
        <v>Ara</v>
      </c>
      <c r="J851" t="str">
        <f>INDEX(products!$A$1:$G$49, MATCH(orders!$D29,products!$A$1:$A76,0), MATCH(orders!J$1,products!$A$1:$G$1,0))</f>
        <v>M</v>
      </c>
      <c r="K851" s="5">
        <f>INDEX(products!$A$1:$G$49, MATCH(orders!$D29,products!$A$1:$A76,0), MATCH(orders!K$1,products!$A$1:$G$1,0))</f>
        <v>0.2</v>
      </c>
      <c r="L851" s="6">
        <f>INDEX(products!$A$1:$G$49, MATCH(orders!$D29,products!$A$1:$A76,0), MATCH(orders!L$1,products!$A$1:$G$1,0))</f>
        <v>3.375</v>
      </c>
      <c r="M851" s="6">
        <f t="shared" si="39"/>
        <v>16.875</v>
      </c>
      <c r="N851" t="str">
        <f t="shared" si="40"/>
        <v>Arabica</v>
      </c>
      <c r="O851" t="str">
        <f t="shared" si="41"/>
        <v>Medium</v>
      </c>
      <c r="P851" t="str">
        <f>_xlfn.XLOOKUP(Orders[[#This Row],[Customer ID]],customers!$A$1:$A$1001,customers!$I$1:$I$1001,,0)</f>
        <v>No</v>
      </c>
      <c r="Q851">
        <f>COUNTIF(Orders[Order ID],Orders[[#This Row],[Order ID]])</f>
        <v>1</v>
      </c>
      <c r="R851" s="10">
        <f>SUMIF(Orders[Order ID], Orders[[#This Row],[Order ID]],Orders[Sales])/Orders[[#This Row],[Order Frequency]]</f>
        <v>16.875</v>
      </c>
      <c r="S851" t="str">
        <f>IF(Orders[[#This Row],[Order Frequency]]&gt;4, "More than 4", IF(AND(Orders[[#This Row],[Order Frequency]]&lt;=4,Orders[[#This Row],[Order Frequency]]&gt;=2), "Between 4 and 2", "Less than 2"))</f>
        <v>Less than 2</v>
      </c>
      <c r="T851" t="str">
        <f>IF(Orders[[#This Row],[Frequency Group]]="less than 2", "Low Value", IF(Orders[[#This Row],[Frequency Group]]="between 4 and 2", "Medium Value", "High Value"))</f>
        <v>Low Value</v>
      </c>
      <c r="U851" t="str">
        <f>IF(Orders[[#This Row],[Sales]]&lt;50, "$0-50", IF(AND(Orders[[#This Row],[Sales]]&gt;=50,Orders[[#This Row],[Sales]]&lt;=100), "$50-100", IF(AND(Orders[[#This Row],[Sales]]&gt;100,Orders[[#This Row],[Sales]]&lt;=150), "$101-150", "$150+")))</f>
        <v>$0-50</v>
      </c>
      <c r="V851" t="str">
        <f>IF(Orders[[#This Row],[Sales]]&gt;MEDIAN(M:M), "High Price", "Low Price")</f>
        <v>Low Price</v>
      </c>
      <c r="W851" t="str">
        <f>IF(Orders[[#This Row],[Quantity]]&gt;MEDIAN(E:E), "High Volume", "Low Volume")</f>
        <v>High Volume</v>
      </c>
      <c r="X851" t="str">
        <f>Orders[[#This Row],[Sales Tier]] &amp; "-" &amp; Orders[[#This Row],[Quantity Tier]]</f>
        <v>Low Price-High Volume</v>
      </c>
      <c r="Y851" t="str">
        <f>TEXT(Orders[[#This Row],[Order Date]], "mmmm")</f>
        <v>October</v>
      </c>
      <c r="Z85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851" t="str">
        <f>Orders[[#This Row],[Coffee Type Name]] &amp; "-" &amp; Orders[[#This Row],[Roast Type Name]]</f>
        <v>Arabica-Medium</v>
      </c>
      <c r="AB85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52" spans="1:28" x14ac:dyDescent="0.25">
      <c r="A852" s="2" t="s">
        <v>4955</v>
      </c>
      <c r="B852" s="4">
        <v>44613</v>
      </c>
      <c r="C852" s="2" t="s">
        <v>4956</v>
      </c>
      <c r="D852" t="s">
        <v>6180</v>
      </c>
      <c r="E852" s="2">
        <v>3</v>
      </c>
      <c r="F852" s="2" t="str">
        <f>_xlfn.XLOOKUP(C852,customers!$A$1:$A$1001,customers!$B$1:$B$1001,,0)</f>
        <v>Silvan McShea</v>
      </c>
      <c r="G852" s="2" t="str">
        <f>IF(_xlfn.XLOOKUP(C852,customers!$A$1:$A$1001,customers!$C$1:$C$1001,,0)=0,"",_xlfn.XLOOKUP(C852,customers!$A$1:$A$1001,customers!$C$1:$C$1001,,0))</f>
        <v>smcshealy@photobucket.com</v>
      </c>
      <c r="H852" s="2" t="str">
        <f>_xlfn.XLOOKUP(C852,customers!$A$1:$A$1001,customers!$G$1:$G$1001,,0)</f>
        <v>United States</v>
      </c>
      <c r="I852" t="str">
        <f>INDEX(products!$A$1:$G$49, MATCH(orders!$D792,products!$A$1:$A839,0), MATCH(orders!I$1,products!$A$1:$G$1,0))</f>
        <v>Ara</v>
      </c>
      <c r="J852" t="str">
        <f>INDEX(products!$A$1:$G$49, MATCH(orders!$D792,products!$A$1:$A839,0), MATCH(orders!J$1,products!$A$1:$G$1,0))</f>
        <v>L</v>
      </c>
      <c r="K852" s="5">
        <f>INDEX(products!$A$1:$G$49, MATCH(orders!$D792,products!$A$1:$A839,0), MATCH(orders!K$1,products!$A$1:$G$1,0))</f>
        <v>0.5</v>
      </c>
      <c r="L852" s="6">
        <f>INDEX(products!$A$1:$G$49, MATCH(orders!$D792,products!$A$1:$A839,0), MATCH(orders!L$1,products!$A$1:$G$1,0))</f>
        <v>7.77</v>
      </c>
      <c r="M852" s="6">
        <f t="shared" si="39"/>
        <v>23.31</v>
      </c>
      <c r="N852" t="str">
        <f t="shared" si="40"/>
        <v>Arabica</v>
      </c>
      <c r="O852" t="str">
        <f t="shared" si="41"/>
        <v>Light</v>
      </c>
      <c r="P852" t="str">
        <f>_xlfn.XLOOKUP(Orders[[#This Row],[Customer ID]],customers!$A$1:$A$1001,customers!$I$1:$I$1001,,0)</f>
        <v>No</v>
      </c>
      <c r="Q852">
        <f>COUNTIF(Orders[Order ID],Orders[[#This Row],[Order ID]])</f>
        <v>1</v>
      </c>
      <c r="R852" s="10">
        <f>SUMIF(Orders[Order ID], Orders[[#This Row],[Order ID]],Orders[Sales])/Orders[[#This Row],[Order Frequency]]</f>
        <v>23.31</v>
      </c>
      <c r="S852" t="str">
        <f>IF(Orders[[#This Row],[Order Frequency]]&gt;4, "More than 4", IF(AND(Orders[[#This Row],[Order Frequency]]&lt;=4,Orders[[#This Row],[Order Frequency]]&gt;=2), "Between 4 and 2", "Less than 2"))</f>
        <v>Less than 2</v>
      </c>
      <c r="T852" t="str">
        <f>IF(Orders[[#This Row],[Frequency Group]]="less than 2", "Low Value", IF(Orders[[#This Row],[Frequency Group]]="between 4 and 2", "Medium Value", "High Value"))</f>
        <v>Low Value</v>
      </c>
      <c r="U852" t="str">
        <f>IF(Orders[[#This Row],[Sales]]&lt;50, "$0-50", IF(AND(Orders[[#This Row],[Sales]]&gt;=50,Orders[[#This Row],[Sales]]&lt;=100), "$50-100", IF(AND(Orders[[#This Row],[Sales]]&gt;100,Orders[[#This Row],[Sales]]&lt;=150), "$101-150", "$150+")))</f>
        <v>$0-50</v>
      </c>
      <c r="V852" t="str">
        <f>IF(Orders[[#This Row],[Sales]]&gt;MEDIAN(M:M), "High Price", "Low Price")</f>
        <v>Low Price</v>
      </c>
      <c r="W852" t="str">
        <f>IF(Orders[[#This Row],[Quantity]]&gt;MEDIAN(E:E), "High Volume", "Low Volume")</f>
        <v>Low Volume</v>
      </c>
      <c r="X852" t="str">
        <f>Orders[[#This Row],[Sales Tier]] &amp; "-" &amp; Orders[[#This Row],[Quantity Tier]]</f>
        <v>Low Price-Low Volume</v>
      </c>
      <c r="Y852" t="str">
        <f>TEXT(Orders[[#This Row],[Order Date]], "mmmm")</f>
        <v>February</v>
      </c>
      <c r="Z85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52" t="str">
        <f>Orders[[#This Row],[Coffee Type Name]] &amp; "-" &amp; Orders[[#This Row],[Roast Type Name]]</f>
        <v>Arabica-Light</v>
      </c>
      <c r="AB85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853" spans="1:28" x14ac:dyDescent="0.25">
      <c r="A853" s="2" t="s">
        <v>2142</v>
      </c>
      <c r="B853" s="4">
        <v>44275</v>
      </c>
      <c r="C853" s="2" t="s">
        <v>2143</v>
      </c>
      <c r="D853" t="s">
        <v>6158</v>
      </c>
      <c r="E853" s="2">
        <v>5</v>
      </c>
      <c r="F853" s="2" t="str">
        <f>_xlfn.XLOOKUP(C853,customers!$A$1:$A$1001,customers!$B$1:$B$1001,,0)</f>
        <v>Cassie Pinkerton</v>
      </c>
      <c r="G853" s="2" t="str">
        <f>IF(_xlfn.XLOOKUP(C853,customers!$A$1:$A$1001,customers!$C$1:$C$1001,,0)=0,"",_xlfn.XLOOKUP(C853,customers!$A$1:$A$1001,customers!$C$1:$C$1001,,0))</f>
        <v>cpinkerton85@upenn.edu</v>
      </c>
      <c r="H853" s="2" t="str">
        <f>_xlfn.XLOOKUP(C853,customers!$A$1:$A$1001,customers!$G$1:$G$1001,,0)</f>
        <v>United States</v>
      </c>
      <c r="I853" t="str">
        <f>INDEX(products!$A$1:$G$49, MATCH(orders!$D295,products!$A$1:$A342,0), MATCH(orders!I$1,products!$A$1:$G$1,0))</f>
        <v>Ara</v>
      </c>
      <c r="J853" t="str">
        <f>INDEX(products!$A$1:$G$49, MATCH(orders!$D295,products!$A$1:$A342,0), MATCH(orders!J$1,products!$A$1:$G$1,0))</f>
        <v>D</v>
      </c>
      <c r="K853" s="5">
        <f>INDEX(products!$A$1:$G$49, MATCH(orders!$D295,products!$A$1:$A342,0), MATCH(orders!K$1,products!$A$1:$G$1,0))</f>
        <v>0.5</v>
      </c>
      <c r="L853" s="6">
        <f>INDEX(products!$A$1:$G$49, MATCH(orders!$D295,products!$A$1:$A342,0), MATCH(orders!L$1,products!$A$1:$G$1,0))</f>
        <v>5.97</v>
      </c>
      <c r="M853" s="6">
        <f t="shared" si="39"/>
        <v>29.849999999999998</v>
      </c>
      <c r="N853" t="str">
        <f t="shared" si="40"/>
        <v>Arabica</v>
      </c>
      <c r="O853" t="str">
        <f t="shared" si="41"/>
        <v>Dark</v>
      </c>
      <c r="P853" t="str">
        <f>_xlfn.XLOOKUP(Orders[[#This Row],[Customer ID]],customers!$A$1:$A$1001,customers!$I$1:$I$1001,,0)</f>
        <v>No</v>
      </c>
      <c r="Q853">
        <f>COUNTIF(Orders[Order ID],Orders[[#This Row],[Order ID]])</f>
        <v>1</v>
      </c>
      <c r="R853" s="10">
        <f>SUMIF(Orders[Order ID], Orders[[#This Row],[Order ID]],Orders[Sales])/Orders[[#This Row],[Order Frequency]]</f>
        <v>29.849999999999998</v>
      </c>
      <c r="S853" t="str">
        <f>IF(Orders[[#This Row],[Order Frequency]]&gt;4, "More than 4", IF(AND(Orders[[#This Row],[Order Frequency]]&lt;=4,Orders[[#This Row],[Order Frequency]]&gt;=2), "Between 4 and 2", "Less than 2"))</f>
        <v>Less than 2</v>
      </c>
      <c r="T853" t="str">
        <f>IF(Orders[[#This Row],[Frequency Group]]="less than 2", "Low Value", IF(Orders[[#This Row],[Frequency Group]]="between 4 and 2", "Medium Value", "High Value"))</f>
        <v>Low Value</v>
      </c>
      <c r="U853" t="str">
        <f>IF(Orders[[#This Row],[Sales]]&lt;50, "$0-50", IF(AND(Orders[[#This Row],[Sales]]&gt;=50,Orders[[#This Row],[Sales]]&lt;=100), "$50-100", IF(AND(Orders[[#This Row],[Sales]]&gt;100,Orders[[#This Row],[Sales]]&lt;=150), "$101-150", "$150+")))</f>
        <v>$0-50</v>
      </c>
      <c r="V853" t="str">
        <f>IF(Orders[[#This Row],[Sales]]&gt;MEDIAN(M:M), "High Price", "Low Price")</f>
        <v>High Price</v>
      </c>
      <c r="W853" t="str">
        <f>IF(Orders[[#This Row],[Quantity]]&gt;MEDIAN(E:E), "High Volume", "Low Volume")</f>
        <v>High Volume</v>
      </c>
      <c r="X853" t="str">
        <f>Orders[[#This Row],[Sales Tier]] &amp; "-" &amp; Orders[[#This Row],[Quantity Tier]]</f>
        <v>High Price-High Volume</v>
      </c>
      <c r="Y853" t="str">
        <f>TEXT(Orders[[#This Row],[Order Date]], "mmmm")</f>
        <v>March</v>
      </c>
      <c r="Z85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53" t="str">
        <f>Orders[[#This Row],[Coffee Type Name]] &amp; "-" &amp; Orders[[#This Row],[Roast Type Name]]</f>
        <v>Arabica-Dark</v>
      </c>
      <c r="AB85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854" spans="1:28" x14ac:dyDescent="0.25">
      <c r="A854" s="2" t="s">
        <v>5246</v>
      </c>
      <c r="B854" s="4">
        <v>44755</v>
      </c>
      <c r="C854" s="2" t="s">
        <v>5247</v>
      </c>
      <c r="D854" t="s">
        <v>6159</v>
      </c>
      <c r="E854" s="2">
        <v>1</v>
      </c>
      <c r="F854" s="2" t="str">
        <f>_xlfn.XLOOKUP(C854,customers!$A$1:$A$1001,customers!$B$1:$B$1001,,0)</f>
        <v>Trumaine Tewelson</v>
      </c>
      <c r="G854" s="2" t="str">
        <f>IF(_xlfn.XLOOKUP(C854,customers!$A$1:$A$1001,customers!$C$1:$C$1001,,0)=0,"",_xlfn.XLOOKUP(C854,customers!$A$1:$A$1001,customers!$C$1:$C$1001,,0))</f>
        <v>ttewelsonnd@cdbaby.com</v>
      </c>
      <c r="H854" s="2" t="str">
        <f>_xlfn.XLOOKUP(C854,customers!$A$1:$A$1001,customers!$G$1:$G$1001,,0)</f>
        <v>United States</v>
      </c>
      <c r="I854" t="str">
        <f>INDEX(products!$A$1:$G$49, MATCH(orders!$D843,products!$A$1:$A890,0), MATCH(orders!I$1,products!$A$1:$G$1,0))</f>
        <v>Lib</v>
      </c>
      <c r="J854" t="str">
        <f>INDEX(products!$A$1:$G$49, MATCH(orders!$D843,products!$A$1:$A890,0), MATCH(orders!J$1,products!$A$1:$G$1,0))</f>
        <v>M</v>
      </c>
      <c r="K854" s="5">
        <f>INDEX(products!$A$1:$G$49, MATCH(orders!$D843,products!$A$1:$A890,0), MATCH(orders!K$1,products!$A$1:$G$1,0))</f>
        <v>0.2</v>
      </c>
      <c r="L854" s="6">
        <f>INDEX(products!$A$1:$G$49, MATCH(orders!$D843,products!$A$1:$A890,0), MATCH(orders!L$1,products!$A$1:$G$1,0))</f>
        <v>4.3650000000000002</v>
      </c>
      <c r="M854" s="6">
        <f t="shared" si="39"/>
        <v>4.3650000000000002</v>
      </c>
      <c r="N854" t="str">
        <f t="shared" si="40"/>
        <v>Liberica</v>
      </c>
      <c r="O854" t="str">
        <f t="shared" si="41"/>
        <v>Medium</v>
      </c>
      <c r="P854" t="str">
        <f>_xlfn.XLOOKUP(Orders[[#This Row],[Customer ID]],customers!$A$1:$A$1001,customers!$I$1:$I$1001,,0)</f>
        <v>No</v>
      </c>
      <c r="Q854">
        <f>COUNTIF(Orders[Order ID],Orders[[#This Row],[Order ID]])</f>
        <v>1</v>
      </c>
      <c r="R854" s="10">
        <f>SUMIF(Orders[Order ID], Orders[[#This Row],[Order ID]],Orders[Sales])/Orders[[#This Row],[Order Frequency]]</f>
        <v>4.3650000000000002</v>
      </c>
      <c r="S854" t="str">
        <f>IF(Orders[[#This Row],[Order Frequency]]&gt;4, "More than 4", IF(AND(Orders[[#This Row],[Order Frequency]]&lt;=4,Orders[[#This Row],[Order Frequency]]&gt;=2), "Between 4 and 2", "Less than 2"))</f>
        <v>Less than 2</v>
      </c>
      <c r="T854" t="str">
        <f>IF(Orders[[#This Row],[Frequency Group]]="less than 2", "Low Value", IF(Orders[[#This Row],[Frequency Group]]="between 4 and 2", "Medium Value", "High Value"))</f>
        <v>Low Value</v>
      </c>
      <c r="U854" t="str">
        <f>IF(Orders[[#This Row],[Sales]]&lt;50, "$0-50", IF(AND(Orders[[#This Row],[Sales]]&gt;=50,Orders[[#This Row],[Sales]]&lt;=100), "$50-100", IF(AND(Orders[[#This Row],[Sales]]&gt;100,Orders[[#This Row],[Sales]]&lt;=150), "$101-150", "$150+")))</f>
        <v>$0-50</v>
      </c>
      <c r="V854" t="str">
        <f>IF(Orders[[#This Row],[Sales]]&gt;MEDIAN(M:M), "High Price", "Low Price")</f>
        <v>Low Price</v>
      </c>
      <c r="W854" t="str">
        <f>IF(Orders[[#This Row],[Quantity]]&gt;MEDIAN(E:E), "High Volume", "Low Volume")</f>
        <v>Low Volume</v>
      </c>
      <c r="X854" t="str">
        <f>Orders[[#This Row],[Sales Tier]] &amp; "-" &amp; Orders[[#This Row],[Quantity Tier]]</f>
        <v>Low Price-Low Volume</v>
      </c>
      <c r="Y854" t="str">
        <f>TEXT(Orders[[#This Row],[Order Date]], "mmmm")</f>
        <v>July</v>
      </c>
      <c r="Z85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854" t="str">
        <f>Orders[[#This Row],[Coffee Type Name]] &amp; "-" &amp; Orders[[#This Row],[Roast Type Name]]</f>
        <v>Liberica-Medium</v>
      </c>
      <c r="AB85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855" spans="1:28" x14ac:dyDescent="0.25">
      <c r="A855" s="2" t="s">
        <v>2009</v>
      </c>
      <c r="B855" s="4">
        <v>44333</v>
      </c>
      <c r="C855" s="2" t="s">
        <v>2010</v>
      </c>
      <c r="D855" t="s">
        <v>6154</v>
      </c>
      <c r="E855" s="2">
        <v>2</v>
      </c>
      <c r="F855" s="2" t="str">
        <f>_xlfn.XLOOKUP(C855,customers!$A$1:$A$1001,customers!$B$1:$B$1001,,0)</f>
        <v>Monica Fearon</v>
      </c>
      <c r="G855" s="2" t="str">
        <f>IF(_xlfn.XLOOKUP(C855,customers!$A$1:$A$1001,customers!$C$1:$C$1001,,0)=0,"",_xlfn.XLOOKUP(C855,customers!$A$1:$A$1001,customers!$C$1:$C$1001,,0))</f>
        <v>mfearon7h@reverbnation.com</v>
      </c>
      <c r="H855" s="2" t="str">
        <f>_xlfn.XLOOKUP(C855,customers!$A$1:$A$1001,customers!$G$1:$G$1001,,0)</f>
        <v>United States</v>
      </c>
      <c r="I855" t="str">
        <f>INDEX(products!$A$1:$G$49, MATCH(orders!$D271,products!$A$1:$A318,0), MATCH(orders!I$1,products!$A$1:$G$1,0))</f>
        <v>Ara</v>
      </c>
      <c r="J855" t="str">
        <f>INDEX(products!$A$1:$G$49, MATCH(orders!$D271,products!$A$1:$A318,0), MATCH(orders!J$1,products!$A$1:$G$1,0))</f>
        <v>D</v>
      </c>
      <c r="K855" s="5">
        <f>INDEX(products!$A$1:$G$49, MATCH(orders!$D271,products!$A$1:$A318,0), MATCH(orders!K$1,products!$A$1:$G$1,0))</f>
        <v>0.2</v>
      </c>
      <c r="L855" s="6">
        <f>INDEX(products!$A$1:$G$49, MATCH(orders!$D271,products!$A$1:$A318,0), MATCH(orders!L$1,products!$A$1:$G$1,0))</f>
        <v>2.9849999999999999</v>
      </c>
      <c r="M855" s="6">
        <f t="shared" si="39"/>
        <v>5.97</v>
      </c>
      <c r="N855" t="str">
        <f t="shared" si="40"/>
        <v>Arabica</v>
      </c>
      <c r="O855" t="str">
        <f t="shared" si="41"/>
        <v>Dark</v>
      </c>
      <c r="P855" t="str">
        <f>_xlfn.XLOOKUP(Orders[[#This Row],[Customer ID]],customers!$A$1:$A$1001,customers!$I$1:$I$1001,,0)</f>
        <v>No</v>
      </c>
      <c r="Q855">
        <f>COUNTIF(Orders[Order ID],Orders[[#This Row],[Order ID]])</f>
        <v>1</v>
      </c>
      <c r="R855" s="10">
        <f>SUMIF(Orders[Order ID], Orders[[#This Row],[Order ID]],Orders[Sales])/Orders[[#This Row],[Order Frequency]]</f>
        <v>5.97</v>
      </c>
      <c r="S855" t="str">
        <f>IF(Orders[[#This Row],[Order Frequency]]&gt;4, "More than 4", IF(AND(Orders[[#This Row],[Order Frequency]]&lt;=4,Orders[[#This Row],[Order Frequency]]&gt;=2), "Between 4 and 2", "Less than 2"))</f>
        <v>Less than 2</v>
      </c>
      <c r="T855" t="str">
        <f>IF(Orders[[#This Row],[Frequency Group]]="less than 2", "Low Value", IF(Orders[[#This Row],[Frequency Group]]="between 4 and 2", "Medium Value", "High Value"))</f>
        <v>Low Value</v>
      </c>
      <c r="U855" t="str">
        <f>IF(Orders[[#This Row],[Sales]]&lt;50, "$0-50", IF(AND(Orders[[#This Row],[Sales]]&gt;=50,Orders[[#This Row],[Sales]]&lt;=100), "$50-100", IF(AND(Orders[[#This Row],[Sales]]&gt;100,Orders[[#This Row],[Sales]]&lt;=150), "$101-150", "$150+")))</f>
        <v>$0-50</v>
      </c>
      <c r="V855" t="str">
        <f>IF(Orders[[#This Row],[Sales]]&gt;MEDIAN(M:M), "High Price", "Low Price")</f>
        <v>Low Price</v>
      </c>
      <c r="W855" t="str">
        <f>IF(Orders[[#This Row],[Quantity]]&gt;MEDIAN(E:E), "High Volume", "Low Volume")</f>
        <v>Low Volume</v>
      </c>
      <c r="X855" t="str">
        <f>Orders[[#This Row],[Sales Tier]] &amp; "-" &amp; Orders[[#This Row],[Quantity Tier]]</f>
        <v>Low Price-Low Volume</v>
      </c>
      <c r="Y855" t="str">
        <f>TEXT(Orders[[#This Row],[Order Date]], "mmmm")</f>
        <v>May</v>
      </c>
      <c r="Z85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855" t="str">
        <f>Orders[[#This Row],[Coffee Type Name]] &amp; "-" &amp; Orders[[#This Row],[Roast Type Name]]</f>
        <v>Arabica-Dark</v>
      </c>
      <c r="AB85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856" spans="1:28" x14ac:dyDescent="0.25">
      <c r="A856" s="2" t="s">
        <v>3537</v>
      </c>
      <c r="B856" s="4">
        <v>44488</v>
      </c>
      <c r="C856" s="2" t="s">
        <v>3538</v>
      </c>
      <c r="D856" t="s">
        <v>6172</v>
      </c>
      <c r="E856" s="2">
        <v>5</v>
      </c>
      <c r="F856" s="2" t="str">
        <f>_xlfn.XLOOKUP(C856,customers!$A$1:$A$1001,customers!$B$1:$B$1001,,0)</f>
        <v>Birgit Domange</v>
      </c>
      <c r="G856" s="2" t="str">
        <f>IF(_xlfn.XLOOKUP(C856,customers!$A$1:$A$1001,customers!$C$1:$C$1001,,0)=0,"",_xlfn.XLOOKUP(C856,customers!$A$1:$A$1001,customers!$C$1:$C$1001,,0))</f>
        <v>bdomangeez@yahoo.co.jp</v>
      </c>
      <c r="H856" s="2" t="str">
        <f>_xlfn.XLOOKUP(C856,customers!$A$1:$A$1001,customers!$G$1:$G$1001,,0)</f>
        <v>United States</v>
      </c>
      <c r="I856" t="str">
        <f>INDEX(products!$A$1:$G$49, MATCH(orders!$D541,products!$A$1:$A588,0), MATCH(orders!I$1,products!$A$1:$G$1,0))</f>
        <v>Rob</v>
      </c>
      <c r="J856" t="str">
        <f>INDEX(products!$A$1:$G$49, MATCH(orders!$D541,products!$A$1:$A588,0), MATCH(orders!J$1,products!$A$1:$G$1,0))</f>
        <v>D</v>
      </c>
      <c r="K856" s="5">
        <f>INDEX(products!$A$1:$G$49, MATCH(orders!$D541,products!$A$1:$A588,0), MATCH(orders!K$1,products!$A$1:$G$1,0))</f>
        <v>0.5</v>
      </c>
      <c r="L856" s="6">
        <f>INDEX(products!$A$1:$G$49, MATCH(orders!$D541,products!$A$1:$A588,0), MATCH(orders!L$1,products!$A$1:$G$1,0))</f>
        <v>5.3699999999999992</v>
      </c>
      <c r="M856" s="6">
        <f t="shared" si="39"/>
        <v>26.849999999999994</v>
      </c>
      <c r="N856" t="str">
        <f t="shared" si="40"/>
        <v>Robusta</v>
      </c>
      <c r="O856" t="str">
        <f t="shared" si="41"/>
        <v>Dark</v>
      </c>
      <c r="P856" t="str">
        <f>_xlfn.XLOOKUP(Orders[[#This Row],[Customer ID]],customers!$A$1:$A$1001,customers!$I$1:$I$1001,,0)</f>
        <v>No</v>
      </c>
      <c r="Q856">
        <f>COUNTIF(Orders[Order ID],Orders[[#This Row],[Order ID]])</f>
        <v>1</v>
      </c>
      <c r="R856" s="10">
        <f>SUMIF(Orders[Order ID], Orders[[#This Row],[Order ID]],Orders[Sales])/Orders[[#This Row],[Order Frequency]]</f>
        <v>26.849999999999994</v>
      </c>
      <c r="S856" t="str">
        <f>IF(Orders[[#This Row],[Order Frequency]]&gt;4, "More than 4", IF(AND(Orders[[#This Row],[Order Frequency]]&lt;=4,Orders[[#This Row],[Order Frequency]]&gt;=2), "Between 4 and 2", "Less than 2"))</f>
        <v>Less than 2</v>
      </c>
      <c r="T856" t="str">
        <f>IF(Orders[[#This Row],[Frequency Group]]="less than 2", "Low Value", IF(Orders[[#This Row],[Frequency Group]]="between 4 and 2", "Medium Value", "High Value"))</f>
        <v>Low Value</v>
      </c>
      <c r="U856" t="str">
        <f>IF(Orders[[#This Row],[Sales]]&lt;50, "$0-50", IF(AND(Orders[[#This Row],[Sales]]&gt;=50,Orders[[#This Row],[Sales]]&lt;=100), "$50-100", IF(AND(Orders[[#This Row],[Sales]]&gt;100,Orders[[#This Row],[Sales]]&lt;=150), "$101-150", "$150+")))</f>
        <v>$0-50</v>
      </c>
      <c r="V856" t="str">
        <f>IF(Orders[[#This Row],[Sales]]&gt;MEDIAN(M:M), "High Price", "Low Price")</f>
        <v>Low Price</v>
      </c>
      <c r="W856" t="str">
        <f>IF(Orders[[#This Row],[Quantity]]&gt;MEDIAN(E:E), "High Volume", "Low Volume")</f>
        <v>High Volume</v>
      </c>
      <c r="X856" t="str">
        <f>Orders[[#This Row],[Sales Tier]] &amp; "-" &amp; Orders[[#This Row],[Quantity Tier]]</f>
        <v>Low Price-High Volume</v>
      </c>
      <c r="Y856" t="str">
        <f>TEXT(Orders[[#This Row],[Order Date]], "mmmm")</f>
        <v>October</v>
      </c>
      <c r="Z85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856" t="str">
        <f>Orders[[#This Row],[Coffee Type Name]] &amp; "-" &amp; Orders[[#This Row],[Roast Type Name]]</f>
        <v>Robusta-Dark</v>
      </c>
      <c r="AB85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57" spans="1:28" x14ac:dyDescent="0.25">
      <c r="A857" s="2" t="s">
        <v>2694</v>
      </c>
      <c r="B857" s="4">
        <v>44133</v>
      </c>
      <c r="C857" s="2" t="s">
        <v>2695</v>
      </c>
      <c r="D857" t="s">
        <v>6157</v>
      </c>
      <c r="E857" s="2">
        <v>2</v>
      </c>
      <c r="F857" s="2" t="str">
        <f>_xlfn.XLOOKUP(C857,customers!$A$1:$A$1001,customers!$B$1:$B$1001,,0)</f>
        <v>Itch Norquoy</v>
      </c>
      <c r="G857" s="2" t="str">
        <f>IF(_xlfn.XLOOKUP(C857,customers!$A$1:$A$1001,customers!$C$1:$C$1001,,0)=0,"",_xlfn.XLOOKUP(C857,customers!$A$1:$A$1001,customers!$C$1:$C$1001,,0))</f>
        <v>inorquoyav@businessweek.com</v>
      </c>
      <c r="H857" s="2" t="str">
        <f>_xlfn.XLOOKUP(C857,customers!$A$1:$A$1001,customers!$G$1:$G$1001,,0)</f>
        <v>United States</v>
      </c>
      <c r="I857" t="str">
        <f>INDEX(products!$A$1:$G$49, MATCH(orders!$D393,products!$A$1:$A440,0), MATCH(orders!I$1,products!$A$1:$G$1,0))</f>
        <v>Ara</v>
      </c>
      <c r="J857" t="str">
        <f>INDEX(products!$A$1:$G$49, MATCH(orders!$D393,products!$A$1:$A440,0), MATCH(orders!J$1,products!$A$1:$G$1,0))</f>
        <v>M</v>
      </c>
      <c r="K857" s="5">
        <f>INDEX(products!$A$1:$G$49, MATCH(orders!$D393,products!$A$1:$A440,0), MATCH(orders!K$1,products!$A$1:$G$1,0))</f>
        <v>0.5</v>
      </c>
      <c r="L857" s="6">
        <f>INDEX(products!$A$1:$G$49, MATCH(orders!$D393,products!$A$1:$A440,0), MATCH(orders!L$1,products!$A$1:$G$1,0))</f>
        <v>6.75</v>
      </c>
      <c r="M857" s="6">
        <f t="shared" si="39"/>
        <v>13.5</v>
      </c>
      <c r="N857" t="str">
        <f t="shared" si="40"/>
        <v>Arabica</v>
      </c>
      <c r="O857" t="str">
        <f t="shared" si="41"/>
        <v>Medium</v>
      </c>
      <c r="P857" t="str">
        <f>_xlfn.XLOOKUP(Orders[[#This Row],[Customer ID]],customers!$A$1:$A$1001,customers!$I$1:$I$1001,,0)</f>
        <v>No</v>
      </c>
      <c r="Q857">
        <f>COUNTIF(Orders[Order ID],Orders[[#This Row],[Order ID]])</f>
        <v>1</v>
      </c>
      <c r="R857" s="10">
        <f>SUMIF(Orders[Order ID], Orders[[#This Row],[Order ID]],Orders[Sales])/Orders[[#This Row],[Order Frequency]]</f>
        <v>13.5</v>
      </c>
      <c r="S857" t="str">
        <f>IF(Orders[[#This Row],[Order Frequency]]&gt;4, "More than 4", IF(AND(Orders[[#This Row],[Order Frequency]]&lt;=4,Orders[[#This Row],[Order Frequency]]&gt;=2), "Between 4 and 2", "Less than 2"))</f>
        <v>Less than 2</v>
      </c>
      <c r="T857" t="str">
        <f>IF(Orders[[#This Row],[Frequency Group]]="less than 2", "Low Value", IF(Orders[[#This Row],[Frequency Group]]="between 4 and 2", "Medium Value", "High Value"))</f>
        <v>Low Value</v>
      </c>
      <c r="U857" t="str">
        <f>IF(Orders[[#This Row],[Sales]]&lt;50, "$0-50", IF(AND(Orders[[#This Row],[Sales]]&gt;=50,Orders[[#This Row],[Sales]]&lt;=100), "$50-100", IF(AND(Orders[[#This Row],[Sales]]&gt;100,Orders[[#This Row],[Sales]]&lt;=150), "$101-150", "$150+")))</f>
        <v>$0-50</v>
      </c>
      <c r="V857" t="str">
        <f>IF(Orders[[#This Row],[Sales]]&gt;MEDIAN(M:M), "High Price", "Low Price")</f>
        <v>Low Price</v>
      </c>
      <c r="W857" t="str">
        <f>IF(Orders[[#This Row],[Quantity]]&gt;MEDIAN(E:E), "High Volume", "Low Volume")</f>
        <v>Low Volume</v>
      </c>
      <c r="X857" t="str">
        <f>Orders[[#This Row],[Sales Tier]] &amp; "-" &amp; Orders[[#This Row],[Quantity Tier]]</f>
        <v>Low Price-Low Volume</v>
      </c>
      <c r="Y857" t="str">
        <f>TEXT(Orders[[#This Row],[Order Date]], "mmmm")</f>
        <v>October</v>
      </c>
      <c r="Z85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857" t="str">
        <f>Orders[[#This Row],[Coffee Type Name]] &amp; "-" &amp; Orders[[#This Row],[Roast Type Name]]</f>
        <v>Arabica-Medium</v>
      </c>
      <c r="AB85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58" spans="1:28" x14ac:dyDescent="0.25">
      <c r="A858" s="2" t="s">
        <v>1134</v>
      </c>
      <c r="B858" s="4">
        <v>43693</v>
      </c>
      <c r="C858" s="2" t="s">
        <v>1135</v>
      </c>
      <c r="D858" t="s">
        <v>6170</v>
      </c>
      <c r="E858" s="2">
        <v>1</v>
      </c>
      <c r="F858" s="2" t="str">
        <f>_xlfn.XLOOKUP(C858,customers!$A$1:$A$1001,customers!$B$1:$B$1001,,0)</f>
        <v>Ingeberg Mulliner</v>
      </c>
      <c r="G858" s="2" t="str">
        <f>IF(_xlfn.XLOOKUP(C858,customers!$A$1:$A$1001,customers!$C$1:$C$1001,,0)=0,"",_xlfn.XLOOKUP(C858,customers!$A$1:$A$1001,customers!$C$1:$C$1001,,0))</f>
        <v>imulliner37@pinterest.com</v>
      </c>
      <c r="H858" s="2" t="str">
        <f>_xlfn.XLOOKUP(C858,customers!$A$1:$A$1001,customers!$G$1:$G$1001,,0)</f>
        <v>United Kingdom</v>
      </c>
      <c r="I858" t="str">
        <f>INDEX(products!$A$1:$G$49, MATCH(orders!$D117,products!$A$1:$A164,0), MATCH(orders!I$1,products!$A$1:$G$1,0))</f>
        <v>Lib</v>
      </c>
      <c r="J858" t="str">
        <f>INDEX(products!$A$1:$G$49, MATCH(orders!$D117,products!$A$1:$A164,0), MATCH(orders!J$1,products!$A$1:$G$1,0))</f>
        <v>L</v>
      </c>
      <c r="K858" s="5">
        <f>INDEX(products!$A$1:$G$49, MATCH(orders!$D117,products!$A$1:$A164,0), MATCH(orders!K$1,products!$A$1:$G$1,0))</f>
        <v>1</v>
      </c>
      <c r="L858" s="6">
        <f>INDEX(products!$A$1:$G$49, MATCH(orders!$D117,products!$A$1:$A164,0), MATCH(orders!L$1,products!$A$1:$G$1,0))</f>
        <v>15.85</v>
      </c>
      <c r="M858" s="6">
        <f t="shared" si="39"/>
        <v>15.85</v>
      </c>
      <c r="N858" t="str">
        <f t="shared" si="40"/>
        <v>Liberica</v>
      </c>
      <c r="O858" t="str">
        <f t="shared" si="41"/>
        <v>Light</v>
      </c>
      <c r="P858" t="str">
        <f>_xlfn.XLOOKUP(Orders[[#This Row],[Customer ID]],customers!$A$1:$A$1001,customers!$I$1:$I$1001,,0)</f>
        <v>No</v>
      </c>
      <c r="Q858">
        <f>COUNTIF(Orders[Order ID],Orders[[#This Row],[Order ID]])</f>
        <v>1</v>
      </c>
      <c r="R858" s="10">
        <f>SUMIF(Orders[Order ID], Orders[[#This Row],[Order ID]],Orders[Sales])/Orders[[#This Row],[Order Frequency]]</f>
        <v>15.85</v>
      </c>
      <c r="S858" t="str">
        <f>IF(Orders[[#This Row],[Order Frequency]]&gt;4, "More than 4", IF(AND(Orders[[#This Row],[Order Frequency]]&lt;=4,Orders[[#This Row],[Order Frequency]]&gt;=2), "Between 4 and 2", "Less than 2"))</f>
        <v>Less than 2</v>
      </c>
      <c r="T858" t="str">
        <f>IF(Orders[[#This Row],[Frequency Group]]="less than 2", "Low Value", IF(Orders[[#This Row],[Frequency Group]]="between 4 and 2", "Medium Value", "High Value"))</f>
        <v>Low Value</v>
      </c>
      <c r="U858" t="str">
        <f>IF(Orders[[#This Row],[Sales]]&lt;50, "$0-50", IF(AND(Orders[[#This Row],[Sales]]&gt;=50,Orders[[#This Row],[Sales]]&lt;=100), "$50-100", IF(AND(Orders[[#This Row],[Sales]]&gt;100,Orders[[#This Row],[Sales]]&lt;=150), "$101-150", "$150+")))</f>
        <v>$0-50</v>
      </c>
      <c r="V858" t="str">
        <f>IF(Orders[[#This Row],[Sales]]&gt;MEDIAN(M:M), "High Price", "Low Price")</f>
        <v>Low Price</v>
      </c>
      <c r="W858" t="str">
        <f>IF(Orders[[#This Row],[Quantity]]&gt;MEDIAN(E:E), "High Volume", "Low Volume")</f>
        <v>Low Volume</v>
      </c>
      <c r="X858" t="str">
        <f>Orders[[#This Row],[Sales Tier]] &amp; "-" &amp; Orders[[#This Row],[Quantity Tier]]</f>
        <v>Low Price-Low Volume</v>
      </c>
      <c r="Y858" t="str">
        <f>TEXT(Orders[[#This Row],[Order Date]], "mmmm")</f>
        <v>August</v>
      </c>
      <c r="Z85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858" t="str">
        <f>Orders[[#This Row],[Coffee Type Name]] &amp; "-" &amp; Orders[[#This Row],[Roast Type Name]]</f>
        <v>Liberica-Light</v>
      </c>
      <c r="AB85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859" spans="1:28" x14ac:dyDescent="0.25">
      <c r="A859" s="2" t="s">
        <v>1544</v>
      </c>
      <c r="B859" s="4">
        <v>44633</v>
      </c>
      <c r="C859" s="2" t="s">
        <v>1545</v>
      </c>
      <c r="D859" t="s">
        <v>6160</v>
      </c>
      <c r="E859" s="2">
        <v>5</v>
      </c>
      <c r="F859" s="2" t="str">
        <f>_xlfn.XLOOKUP(C859,customers!$A$1:$A$1001,customers!$B$1:$B$1001,,0)</f>
        <v>Lawrence Pratt</v>
      </c>
      <c r="G859" s="2" t="str">
        <f>IF(_xlfn.XLOOKUP(C859,customers!$A$1:$A$1001,customers!$C$1:$C$1001,,0)=0,"",_xlfn.XLOOKUP(C859,customers!$A$1:$A$1001,customers!$C$1:$C$1001,,0))</f>
        <v>lpratt57@netvibes.com</v>
      </c>
      <c r="H859" s="2" t="str">
        <f>_xlfn.XLOOKUP(C859,customers!$A$1:$A$1001,customers!$G$1:$G$1001,,0)</f>
        <v>United States</v>
      </c>
      <c r="I859" t="str">
        <f>INDEX(products!$A$1:$G$49, MATCH(orders!$D189,products!$A$1:$A236,0), MATCH(orders!I$1,products!$A$1:$G$1,0))</f>
        <v>Lib</v>
      </c>
      <c r="J859" t="str">
        <f>INDEX(products!$A$1:$G$49, MATCH(orders!$D189,products!$A$1:$A236,0), MATCH(orders!J$1,products!$A$1:$G$1,0))</f>
        <v>M</v>
      </c>
      <c r="K859" s="5">
        <f>INDEX(products!$A$1:$G$49, MATCH(orders!$D189,products!$A$1:$A236,0), MATCH(orders!K$1,products!$A$1:$G$1,0))</f>
        <v>0.5</v>
      </c>
      <c r="L859" s="6">
        <f>INDEX(products!$A$1:$G$49, MATCH(orders!$D189,products!$A$1:$A236,0), MATCH(orders!L$1,products!$A$1:$G$1,0))</f>
        <v>8.73</v>
      </c>
      <c r="M859" s="6">
        <f t="shared" si="39"/>
        <v>43.650000000000006</v>
      </c>
      <c r="N859" t="str">
        <f t="shared" si="40"/>
        <v>Liberica</v>
      </c>
      <c r="O859" t="str">
        <f t="shared" si="41"/>
        <v>Medium</v>
      </c>
      <c r="P859" t="str">
        <f>_xlfn.XLOOKUP(Orders[[#This Row],[Customer ID]],customers!$A$1:$A$1001,customers!$I$1:$I$1001,,0)</f>
        <v>Yes</v>
      </c>
      <c r="Q859">
        <f>COUNTIF(Orders[Order ID],Orders[[#This Row],[Order ID]])</f>
        <v>1</v>
      </c>
      <c r="R859" s="10">
        <f>SUMIF(Orders[Order ID], Orders[[#This Row],[Order ID]],Orders[Sales])/Orders[[#This Row],[Order Frequency]]</f>
        <v>43.650000000000006</v>
      </c>
      <c r="S859" t="str">
        <f>IF(Orders[[#This Row],[Order Frequency]]&gt;4, "More than 4", IF(AND(Orders[[#This Row],[Order Frequency]]&lt;=4,Orders[[#This Row],[Order Frequency]]&gt;=2), "Between 4 and 2", "Less than 2"))</f>
        <v>Less than 2</v>
      </c>
      <c r="T859" t="str">
        <f>IF(Orders[[#This Row],[Frequency Group]]="less than 2", "Low Value", IF(Orders[[#This Row],[Frequency Group]]="between 4 and 2", "Medium Value", "High Value"))</f>
        <v>Low Value</v>
      </c>
      <c r="U859" t="str">
        <f>IF(Orders[[#This Row],[Sales]]&lt;50, "$0-50", IF(AND(Orders[[#This Row],[Sales]]&gt;=50,Orders[[#This Row],[Sales]]&lt;=100), "$50-100", IF(AND(Orders[[#This Row],[Sales]]&gt;100,Orders[[#This Row],[Sales]]&lt;=150), "$101-150", "$150+")))</f>
        <v>$0-50</v>
      </c>
      <c r="V859" t="str">
        <f>IF(Orders[[#This Row],[Sales]]&gt;MEDIAN(M:M), "High Price", "Low Price")</f>
        <v>High Price</v>
      </c>
      <c r="W859" t="str">
        <f>IF(Orders[[#This Row],[Quantity]]&gt;MEDIAN(E:E), "High Volume", "Low Volume")</f>
        <v>High Volume</v>
      </c>
      <c r="X859" t="str">
        <f>Orders[[#This Row],[Sales Tier]] &amp; "-" &amp; Orders[[#This Row],[Quantity Tier]]</f>
        <v>High Price-High Volume</v>
      </c>
      <c r="Y859" t="str">
        <f>TEXT(Orders[[#This Row],[Order Date]], "mmmm")</f>
        <v>March</v>
      </c>
      <c r="Z85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59" t="str">
        <f>Orders[[#This Row],[Coffee Type Name]] &amp; "-" &amp; Orders[[#This Row],[Roast Type Name]]</f>
        <v>Liberica-Medium</v>
      </c>
      <c r="AB85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860" spans="1:28" x14ac:dyDescent="0.25">
      <c r="A860" s="2" t="s">
        <v>5489</v>
      </c>
      <c r="B860" s="4">
        <v>43941</v>
      </c>
      <c r="C860" s="2" t="s">
        <v>5490</v>
      </c>
      <c r="D860" t="s">
        <v>6172</v>
      </c>
      <c r="E860" s="2">
        <v>1</v>
      </c>
      <c r="F860" s="2" t="str">
        <f>_xlfn.XLOOKUP(C860,customers!$A$1:$A$1001,customers!$B$1:$B$1001,,0)</f>
        <v>Delainey Kiddy</v>
      </c>
      <c r="G860" s="2" t="str">
        <f>IF(_xlfn.XLOOKUP(C860,customers!$A$1:$A$1001,customers!$C$1:$C$1001,,0)=0,"",_xlfn.XLOOKUP(C860,customers!$A$1:$A$1001,customers!$C$1:$C$1001,,0))</f>
        <v>dkiddyok@fda.gov</v>
      </c>
      <c r="H860" s="2" t="str">
        <f>_xlfn.XLOOKUP(C860,customers!$A$1:$A$1001,customers!$G$1:$G$1001,,0)</f>
        <v>United States</v>
      </c>
      <c r="I860" t="str">
        <f>INDEX(products!$A$1:$G$49, MATCH(orders!$D886,products!$A$1:$A933,0), MATCH(orders!I$1,products!$A$1:$G$1,0))</f>
        <v>Rob</v>
      </c>
      <c r="J860" t="str">
        <f>INDEX(products!$A$1:$G$49, MATCH(orders!$D886,products!$A$1:$A933,0), MATCH(orders!J$1,products!$A$1:$G$1,0))</f>
        <v>D</v>
      </c>
      <c r="K860" s="5">
        <f>INDEX(products!$A$1:$G$49, MATCH(orders!$D886,products!$A$1:$A933,0), MATCH(orders!K$1,products!$A$1:$G$1,0))</f>
        <v>0.5</v>
      </c>
      <c r="L860" s="6">
        <f>INDEX(products!$A$1:$G$49, MATCH(orders!$D886,products!$A$1:$A933,0), MATCH(orders!L$1,products!$A$1:$G$1,0))</f>
        <v>5.3699999999999992</v>
      </c>
      <c r="M860" s="6">
        <f t="shared" si="39"/>
        <v>5.3699999999999992</v>
      </c>
      <c r="N860" t="str">
        <f t="shared" si="40"/>
        <v>Robusta</v>
      </c>
      <c r="O860" t="str">
        <f t="shared" si="41"/>
        <v>Dark</v>
      </c>
      <c r="P860" t="str">
        <f>_xlfn.XLOOKUP(Orders[[#This Row],[Customer ID]],customers!$A$1:$A$1001,customers!$I$1:$I$1001,,0)</f>
        <v>Yes</v>
      </c>
      <c r="Q860">
        <f>COUNTIF(Orders[Order ID],Orders[[#This Row],[Order ID]])</f>
        <v>1</v>
      </c>
      <c r="R860" s="10">
        <f>SUMIF(Orders[Order ID], Orders[[#This Row],[Order ID]],Orders[Sales])/Orders[[#This Row],[Order Frequency]]</f>
        <v>5.3699999999999992</v>
      </c>
      <c r="S860" t="str">
        <f>IF(Orders[[#This Row],[Order Frequency]]&gt;4, "More than 4", IF(AND(Orders[[#This Row],[Order Frequency]]&lt;=4,Orders[[#This Row],[Order Frequency]]&gt;=2), "Between 4 and 2", "Less than 2"))</f>
        <v>Less than 2</v>
      </c>
      <c r="T860" t="str">
        <f>IF(Orders[[#This Row],[Frequency Group]]="less than 2", "Low Value", IF(Orders[[#This Row],[Frequency Group]]="between 4 and 2", "Medium Value", "High Value"))</f>
        <v>Low Value</v>
      </c>
      <c r="U860" t="str">
        <f>IF(Orders[[#This Row],[Sales]]&lt;50, "$0-50", IF(AND(Orders[[#This Row],[Sales]]&gt;=50,Orders[[#This Row],[Sales]]&lt;=100), "$50-100", IF(AND(Orders[[#This Row],[Sales]]&gt;100,Orders[[#This Row],[Sales]]&lt;=150), "$101-150", "$150+")))</f>
        <v>$0-50</v>
      </c>
      <c r="V860" t="str">
        <f>IF(Orders[[#This Row],[Sales]]&gt;MEDIAN(M:M), "High Price", "Low Price")</f>
        <v>Low Price</v>
      </c>
      <c r="W860" t="str">
        <f>IF(Orders[[#This Row],[Quantity]]&gt;MEDIAN(E:E), "High Volume", "Low Volume")</f>
        <v>Low Volume</v>
      </c>
      <c r="X860" t="str">
        <f>Orders[[#This Row],[Sales Tier]] &amp; "-" &amp; Orders[[#This Row],[Quantity Tier]]</f>
        <v>Low Price-Low Volume</v>
      </c>
      <c r="Y860" t="str">
        <f>TEXT(Orders[[#This Row],[Order Date]], "mmmm")</f>
        <v>April</v>
      </c>
      <c r="Z86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860" t="str">
        <f>Orders[[#This Row],[Coffee Type Name]] &amp; "-" &amp; Orders[[#This Row],[Roast Type Name]]</f>
        <v>Robusta-Dark</v>
      </c>
      <c r="AB86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861" spans="1:28" x14ac:dyDescent="0.25">
      <c r="A861" s="2" t="s">
        <v>5321</v>
      </c>
      <c r="B861" s="4">
        <v>43632</v>
      </c>
      <c r="C861" s="2" t="s">
        <v>5322</v>
      </c>
      <c r="D861" t="s">
        <v>6165</v>
      </c>
      <c r="E861" s="2">
        <v>3</v>
      </c>
      <c r="F861" s="2" t="str">
        <f>_xlfn.XLOOKUP(C861,customers!$A$1:$A$1001,customers!$B$1:$B$1001,,0)</f>
        <v>Devan Crownshaw</v>
      </c>
      <c r="G861" s="2" t="str">
        <f>IF(_xlfn.XLOOKUP(C861,customers!$A$1:$A$1001,customers!$C$1:$C$1001,,0)=0,"",_xlfn.XLOOKUP(C861,customers!$A$1:$A$1001,customers!$C$1:$C$1001,,0))</f>
        <v>dcrownshawnr@photobucket.com</v>
      </c>
      <c r="H861" s="2" t="str">
        <f>_xlfn.XLOOKUP(C861,customers!$A$1:$A$1001,customers!$G$1:$G$1001,,0)</f>
        <v>United States</v>
      </c>
      <c r="I861" t="str">
        <f>INDEX(products!$A$1:$G$49, MATCH(orders!$D857,products!$A$1:$A904,0), MATCH(orders!I$1,products!$A$1:$G$1,0))</f>
        <v>Lib</v>
      </c>
      <c r="J861" t="str">
        <f>INDEX(products!$A$1:$G$49, MATCH(orders!$D857,products!$A$1:$A904,0), MATCH(orders!J$1,products!$A$1:$G$1,0))</f>
        <v>D</v>
      </c>
      <c r="K861" s="5">
        <f>INDEX(products!$A$1:$G$49, MATCH(orders!$D857,products!$A$1:$A904,0), MATCH(orders!K$1,products!$A$1:$G$1,0))</f>
        <v>2.5</v>
      </c>
      <c r="L861" s="6">
        <f>INDEX(products!$A$1:$G$49, MATCH(orders!$D857,products!$A$1:$A904,0), MATCH(orders!L$1,products!$A$1:$G$1,0))</f>
        <v>29.784999999999997</v>
      </c>
      <c r="M861" s="6">
        <f t="shared" si="39"/>
        <v>89.35499999999999</v>
      </c>
      <c r="N861" t="str">
        <f t="shared" si="40"/>
        <v>Liberica</v>
      </c>
      <c r="O861" t="str">
        <f t="shared" si="41"/>
        <v>Dark</v>
      </c>
      <c r="P861" t="str">
        <f>_xlfn.XLOOKUP(Orders[[#This Row],[Customer ID]],customers!$A$1:$A$1001,customers!$I$1:$I$1001,,0)</f>
        <v>No</v>
      </c>
      <c r="Q861">
        <f>COUNTIF(Orders[Order ID],Orders[[#This Row],[Order ID]])</f>
        <v>1</v>
      </c>
      <c r="R861" s="10">
        <f>SUMIF(Orders[Order ID], Orders[[#This Row],[Order ID]],Orders[Sales])/Orders[[#This Row],[Order Frequency]]</f>
        <v>89.35499999999999</v>
      </c>
      <c r="S861" t="str">
        <f>IF(Orders[[#This Row],[Order Frequency]]&gt;4, "More than 4", IF(AND(Orders[[#This Row],[Order Frequency]]&lt;=4,Orders[[#This Row],[Order Frequency]]&gt;=2), "Between 4 and 2", "Less than 2"))</f>
        <v>Less than 2</v>
      </c>
      <c r="T861" t="str">
        <f>IF(Orders[[#This Row],[Frequency Group]]="less than 2", "Low Value", IF(Orders[[#This Row],[Frequency Group]]="between 4 and 2", "Medium Value", "High Value"))</f>
        <v>Low Value</v>
      </c>
      <c r="U861" t="str">
        <f>IF(Orders[[#This Row],[Sales]]&lt;50, "$0-50", IF(AND(Orders[[#This Row],[Sales]]&gt;=50,Orders[[#This Row],[Sales]]&lt;=100), "$50-100", IF(AND(Orders[[#This Row],[Sales]]&gt;100,Orders[[#This Row],[Sales]]&lt;=150), "$101-150", "$150+")))</f>
        <v>$50-100</v>
      </c>
      <c r="V861" t="str">
        <f>IF(Orders[[#This Row],[Sales]]&gt;MEDIAN(M:M), "High Price", "Low Price")</f>
        <v>High Price</v>
      </c>
      <c r="W861" t="str">
        <f>IF(Orders[[#This Row],[Quantity]]&gt;MEDIAN(E:E), "High Volume", "Low Volume")</f>
        <v>Low Volume</v>
      </c>
      <c r="X861" t="str">
        <f>Orders[[#This Row],[Sales Tier]] &amp; "-" &amp; Orders[[#This Row],[Quantity Tier]]</f>
        <v>High Price-Low Volume</v>
      </c>
      <c r="Y861" t="str">
        <f>TEXT(Orders[[#This Row],[Order Date]], "mmmm")</f>
        <v>June</v>
      </c>
      <c r="Z86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861" t="str">
        <f>Orders[[#This Row],[Coffee Type Name]] &amp; "-" &amp; Orders[[#This Row],[Roast Type Name]]</f>
        <v>Liberica-Dark</v>
      </c>
      <c r="AB86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862" spans="1:28" x14ac:dyDescent="0.25">
      <c r="A862" s="2" t="s">
        <v>5687</v>
      </c>
      <c r="B862" s="4">
        <v>44181</v>
      </c>
      <c r="C862" s="2" t="s">
        <v>5688</v>
      </c>
      <c r="D862" t="s">
        <v>6163</v>
      </c>
      <c r="E862" s="2">
        <v>5</v>
      </c>
      <c r="F862" s="2" t="str">
        <f>_xlfn.XLOOKUP(C862,customers!$A$1:$A$1001,customers!$B$1:$B$1001,,0)</f>
        <v>Quintina Heavyside</v>
      </c>
      <c r="G862" s="2" t="str">
        <f>IF(_xlfn.XLOOKUP(C862,customers!$A$1:$A$1001,customers!$C$1:$C$1001,,0)=0,"",_xlfn.XLOOKUP(C862,customers!$A$1:$A$1001,customers!$C$1:$C$1001,,0))</f>
        <v>qheavysidepj@unc.edu</v>
      </c>
      <c r="H862" s="2" t="str">
        <f>_xlfn.XLOOKUP(C862,customers!$A$1:$A$1001,customers!$G$1:$G$1001,,0)</f>
        <v>United States</v>
      </c>
      <c r="I862" t="str">
        <f>INDEX(products!$A$1:$G$49, MATCH(orders!$D921,products!$A$1:$A968,0), MATCH(orders!I$1,products!$A$1:$G$1,0))</f>
        <v>Rob</v>
      </c>
      <c r="J862" t="str">
        <f>INDEX(products!$A$1:$G$49, MATCH(orders!$D921,products!$A$1:$A968,0), MATCH(orders!J$1,products!$A$1:$G$1,0))</f>
        <v>D</v>
      </c>
      <c r="K862" s="5">
        <f>INDEX(products!$A$1:$G$49, MATCH(orders!$D921,products!$A$1:$A968,0), MATCH(orders!K$1,products!$A$1:$G$1,0))</f>
        <v>0.2</v>
      </c>
      <c r="L862" s="6">
        <f>INDEX(products!$A$1:$G$49, MATCH(orders!$D921,products!$A$1:$A968,0), MATCH(orders!L$1,products!$A$1:$G$1,0))</f>
        <v>2.6849999999999996</v>
      </c>
      <c r="M862" s="6">
        <f t="shared" si="39"/>
        <v>13.424999999999997</v>
      </c>
      <c r="N862" t="str">
        <f t="shared" si="40"/>
        <v>Robusta</v>
      </c>
      <c r="O862" t="str">
        <f t="shared" si="41"/>
        <v>Dark</v>
      </c>
      <c r="P862" t="str">
        <f>_xlfn.XLOOKUP(Orders[[#This Row],[Customer ID]],customers!$A$1:$A$1001,customers!$I$1:$I$1001,,0)</f>
        <v>Yes</v>
      </c>
      <c r="Q862">
        <f>COUNTIF(Orders[Order ID],Orders[[#This Row],[Order ID]])</f>
        <v>1</v>
      </c>
      <c r="R862" s="10">
        <f>SUMIF(Orders[Order ID], Orders[[#This Row],[Order ID]],Orders[Sales])/Orders[[#This Row],[Order Frequency]]</f>
        <v>13.424999999999997</v>
      </c>
      <c r="S862" t="str">
        <f>IF(Orders[[#This Row],[Order Frequency]]&gt;4, "More than 4", IF(AND(Orders[[#This Row],[Order Frequency]]&lt;=4,Orders[[#This Row],[Order Frequency]]&gt;=2), "Between 4 and 2", "Less than 2"))</f>
        <v>Less than 2</v>
      </c>
      <c r="T862" t="str">
        <f>IF(Orders[[#This Row],[Frequency Group]]="less than 2", "Low Value", IF(Orders[[#This Row],[Frequency Group]]="between 4 and 2", "Medium Value", "High Value"))</f>
        <v>Low Value</v>
      </c>
      <c r="U862" t="str">
        <f>IF(Orders[[#This Row],[Sales]]&lt;50, "$0-50", IF(AND(Orders[[#This Row],[Sales]]&gt;=50,Orders[[#This Row],[Sales]]&lt;=100), "$50-100", IF(AND(Orders[[#This Row],[Sales]]&gt;100,Orders[[#This Row],[Sales]]&lt;=150), "$101-150", "$150+")))</f>
        <v>$0-50</v>
      </c>
      <c r="V862" t="str">
        <f>IF(Orders[[#This Row],[Sales]]&gt;MEDIAN(M:M), "High Price", "Low Price")</f>
        <v>Low Price</v>
      </c>
      <c r="W862" t="str">
        <f>IF(Orders[[#This Row],[Quantity]]&gt;MEDIAN(E:E), "High Volume", "Low Volume")</f>
        <v>High Volume</v>
      </c>
      <c r="X862" t="str">
        <f>Orders[[#This Row],[Sales Tier]] &amp; "-" &amp; Orders[[#This Row],[Quantity Tier]]</f>
        <v>Low Price-High Volume</v>
      </c>
      <c r="Y862" t="str">
        <f>TEXT(Orders[[#This Row],[Order Date]], "mmmm")</f>
        <v>December</v>
      </c>
      <c r="Z86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862" t="str">
        <f>Orders[[#This Row],[Coffee Type Name]] &amp; "-" &amp; Orders[[#This Row],[Roast Type Name]]</f>
        <v>Robusta-Dark</v>
      </c>
      <c r="AB86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863" spans="1:28" x14ac:dyDescent="0.25">
      <c r="A863" s="2" t="s">
        <v>5816</v>
      </c>
      <c r="B863" s="4">
        <v>44464</v>
      </c>
      <c r="C863" s="2" t="s">
        <v>5817</v>
      </c>
      <c r="D863" t="s">
        <v>6179</v>
      </c>
      <c r="E863" s="2">
        <v>3</v>
      </c>
      <c r="F863" s="2" t="str">
        <f>_xlfn.XLOOKUP(C863,customers!$A$1:$A$1001,customers!$B$1:$B$1001,,0)</f>
        <v>Vernor Pawsey</v>
      </c>
      <c r="G863" s="2" t="str">
        <f>IF(_xlfn.XLOOKUP(C863,customers!$A$1:$A$1001,customers!$C$1:$C$1001,,0)=0,"",_xlfn.XLOOKUP(C863,customers!$A$1:$A$1001,customers!$C$1:$C$1001,,0))</f>
        <v>vpawseyq6@tiny.cc</v>
      </c>
      <c r="H863" s="2" t="str">
        <f>_xlfn.XLOOKUP(C863,customers!$A$1:$A$1001,customers!$G$1:$G$1001,,0)</f>
        <v>United States</v>
      </c>
      <c r="I863" t="str">
        <f>INDEX(products!$A$1:$G$49, MATCH(orders!$D944,products!$A$1:$A991,0), MATCH(orders!I$1,products!$A$1:$G$1,0))</f>
        <v>Rob</v>
      </c>
      <c r="J863" t="str">
        <f>INDEX(products!$A$1:$G$49, MATCH(orders!$D944,products!$A$1:$A991,0), MATCH(orders!J$1,products!$A$1:$G$1,0))</f>
        <v>L</v>
      </c>
      <c r="K863" s="5">
        <f>INDEX(products!$A$1:$G$49, MATCH(orders!$D944,products!$A$1:$A991,0), MATCH(orders!K$1,products!$A$1:$G$1,0))</f>
        <v>1</v>
      </c>
      <c r="L863" s="6">
        <f>INDEX(products!$A$1:$G$49, MATCH(orders!$D944,products!$A$1:$A991,0), MATCH(orders!L$1,products!$A$1:$G$1,0))</f>
        <v>11.95</v>
      </c>
      <c r="M863" s="6">
        <f t="shared" si="39"/>
        <v>35.849999999999994</v>
      </c>
      <c r="N863" t="str">
        <f t="shared" si="40"/>
        <v>Robusta</v>
      </c>
      <c r="O863" t="str">
        <f t="shared" si="41"/>
        <v>Light</v>
      </c>
      <c r="P863" t="str">
        <f>_xlfn.XLOOKUP(Orders[[#This Row],[Customer ID]],customers!$A$1:$A$1001,customers!$I$1:$I$1001,,0)</f>
        <v>No</v>
      </c>
      <c r="Q863">
        <f>COUNTIF(Orders[Order ID],Orders[[#This Row],[Order ID]])</f>
        <v>1</v>
      </c>
      <c r="R863" s="10">
        <f>SUMIF(Orders[Order ID], Orders[[#This Row],[Order ID]],Orders[Sales])/Orders[[#This Row],[Order Frequency]]</f>
        <v>35.849999999999994</v>
      </c>
      <c r="S863" t="str">
        <f>IF(Orders[[#This Row],[Order Frequency]]&gt;4, "More than 4", IF(AND(Orders[[#This Row],[Order Frequency]]&lt;=4,Orders[[#This Row],[Order Frequency]]&gt;=2), "Between 4 and 2", "Less than 2"))</f>
        <v>Less than 2</v>
      </c>
      <c r="T863" t="str">
        <f>IF(Orders[[#This Row],[Frequency Group]]="less than 2", "Low Value", IF(Orders[[#This Row],[Frequency Group]]="between 4 and 2", "Medium Value", "High Value"))</f>
        <v>Low Value</v>
      </c>
      <c r="U863" t="str">
        <f>IF(Orders[[#This Row],[Sales]]&lt;50, "$0-50", IF(AND(Orders[[#This Row],[Sales]]&gt;=50,Orders[[#This Row],[Sales]]&lt;=100), "$50-100", IF(AND(Orders[[#This Row],[Sales]]&gt;100,Orders[[#This Row],[Sales]]&lt;=150), "$101-150", "$150+")))</f>
        <v>$0-50</v>
      </c>
      <c r="V863" t="str">
        <f>IF(Orders[[#This Row],[Sales]]&gt;MEDIAN(M:M), "High Price", "Low Price")</f>
        <v>High Price</v>
      </c>
      <c r="W863" t="str">
        <f>IF(Orders[[#This Row],[Quantity]]&gt;MEDIAN(E:E), "High Volume", "Low Volume")</f>
        <v>Low Volume</v>
      </c>
      <c r="X863" t="str">
        <f>Orders[[#This Row],[Sales Tier]] &amp; "-" &amp; Orders[[#This Row],[Quantity Tier]]</f>
        <v>High Price-Low Volume</v>
      </c>
      <c r="Y863" t="str">
        <f>TEXT(Orders[[#This Row],[Order Date]], "mmmm")</f>
        <v>September</v>
      </c>
      <c r="Z86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863" t="str">
        <f>Orders[[#This Row],[Coffee Type Name]] &amp; "-" &amp; Orders[[#This Row],[Roast Type Name]]</f>
        <v>Robusta-Light</v>
      </c>
      <c r="AB86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64" spans="1:28" x14ac:dyDescent="0.25">
      <c r="A864" s="2" t="s">
        <v>3700</v>
      </c>
      <c r="B864" s="4">
        <v>44526</v>
      </c>
      <c r="C864" s="2" t="s">
        <v>3701</v>
      </c>
      <c r="D864" t="s">
        <v>6145</v>
      </c>
      <c r="E864" s="2">
        <v>4</v>
      </c>
      <c r="F864" s="2" t="str">
        <f>_xlfn.XLOOKUP(C864,customers!$A$1:$A$1001,customers!$B$1:$B$1001,,0)</f>
        <v>Claiborne Mottram</v>
      </c>
      <c r="G864" s="2" t="str">
        <f>IF(_xlfn.XLOOKUP(C864,customers!$A$1:$A$1001,customers!$C$1:$C$1001,,0)=0,"",_xlfn.XLOOKUP(C864,customers!$A$1:$A$1001,customers!$C$1:$C$1001,,0))</f>
        <v>cmottramfs@harvard.edu</v>
      </c>
      <c r="H864" s="2" t="str">
        <f>_xlfn.XLOOKUP(C864,customers!$A$1:$A$1001,customers!$G$1:$G$1001,,0)</f>
        <v>United States</v>
      </c>
      <c r="I864" t="str">
        <f>INDEX(products!$A$1:$G$49, MATCH(orders!$D570,products!$A$1:$A617,0), MATCH(orders!I$1,products!$A$1:$G$1,0))</f>
        <v>Lib</v>
      </c>
      <c r="J864" t="str">
        <f>INDEX(products!$A$1:$G$49, MATCH(orders!$D570,products!$A$1:$A617,0), MATCH(orders!J$1,products!$A$1:$G$1,0))</f>
        <v>L</v>
      </c>
      <c r="K864" s="5">
        <f>INDEX(products!$A$1:$G$49, MATCH(orders!$D570,products!$A$1:$A617,0), MATCH(orders!K$1,products!$A$1:$G$1,0))</f>
        <v>0.2</v>
      </c>
      <c r="L864" s="6">
        <f>INDEX(products!$A$1:$G$49, MATCH(orders!$D570,products!$A$1:$A617,0), MATCH(orders!L$1,products!$A$1:$G$1,0))</f>
        <v>4.7549999999999999</v>
      </c>
      <c r="M864" s="6">
        <f t="shared" si="39"/>
        <v>19.02</v>
      </c>
      <c r="N864" t="str">
        <f t="shared" si="40"/>
        <v>Liberica</v>
      </c>
      <c r="O864" t="str">
        <f t="shared" si="41"/>
        <v>Light</v>
      </c>
      <c r="P864" t="str">
        <f>_xlfn.XLOOKUP(Orders[[#This Row],[Customer ID]],customers!$A$1:$A$1001,customers!$I$1:$I$1001,,0)</f>
        <v>Yes</v>
      </c>
      <c r="Q864">
        <f>COUNTIF(Orders[Order ID],Orders[[#This Row],[Order ID]])</f>
        <v>1</v>
      </c>
      <c r="R864" s="10">
        <f>SUMIF(Orders[Order ID], Orders[[#This Row],[Order ID]],Orders[Sales])/Orders[[#This Row],[Order Frequency]]</f>
        <v>19.02</v>
      </c>
      <c r="S864" t="str">
        <f>IF(Orders[[#This Row],[Order Frequency]]&gt;4, "More than 4", IF(AND(Orders[[#This Row],[Order Frequency]]&lt;=4,Orders[[#This Row],[Order Frequency]]&gt;=2), "Between 4 and 2", "Less than 2"))</f>
        <v>Less than 2</v>
      </c>
      <c r="T864" t="str">
        <f>IF(Orders[[#This Row],[Frequency Group]]="less than 2", "Low Value", IF(Orders[[#This Row],[Frequency Group]]="between 4 and 2", "Medium Value", "High Value"))</f>
        <v>Low Value</v>
      </c>
      <c r="U864" t="str">
        <f>IF(Orders[[#This Row],[Sales]]&lt;50, "$0-50", IF(AND(Orders[[#This Row],[Sales]]&gt;=50,Orders[[#This Row],[Sales]]&lt;=100), "$50-100", IF(AND(Orders[[#This Row],[Sales]]&gt;100,Orders[[#This Row],[Sales]]&lt;=150), "$101-150", "$150+")))</f>
        <v>$0-50</v>
      </c>
      <c r="V864" t="str">
        <f>IF(Orders[[#This Row],[Sales]]&gt;MEDIAN(M:M), "High Price", "Low Price")</f>
        <v>Low Price</v>
      </c>
      <c r="W864" t="str">
        <f>IF(Orders[[#This Row],[Quantity]]&gt;MEDIAN(E:E), "High Volume", "Low Volume")</f>
        <v>Low Volume</v>
      </c>
      <c r="X864" t="str">
        <f>Orders[[#This Row],[Sales Tier]] &amp; "-" &amp; Orders[[#This Row],[Quantity Tier]]</f>
        <v>Low Price-Low Volume</v>
      </c>
      <c r="Y864" t="str">
        <f>TEXT(Orders[[#This Row],[Order Date]], "mmmm")</f>
        <v>November</v>
      </c>
      <c r="Z86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864" t="str">
        <f>Orders[[#This Row],[Coffee Type Name]] &amp; "-" &amp; Orders[[#This Row],[Roast Type Name]]</f>
        <v>Liberica-Light</v>
      </c>
      <c r="AB86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65" spans="1:28" x14ac:dyDescent="0.25">
      <c r="A865" s="2" t="s">
        <v>2187</v>
      </c>
      <c r="B865" s="4">
        <v>44102</v>
      </c>
      <c r="C865" s="2" t="s">
        <v>2188</v>
      </c>
      <c r="D865" t="s">
        <v>6150</v>
      </c>
      <c r="E865" s="2">
        <v>4</v>
      </c>
      <c r="F865" s="2" t="str">
        <f>_xlfn.XLOOKUP(C865,customers!$A$1:$A$1001,customers!$B$1:$B$1001,,0)</f>
        <v>Trescha Jedrachowicz</v>
      </c>
      <c r="G865" s="2" t="str">
        <f>IF(_xlfn.XLOOKUP(C865,customers!$A$1:$A$1001,customers!$C$1:$C$1001,,0)=0,"",_xlfn.XLOOKUP(C865,customers!$A$1:$A$1001,customers!$C$1:$C$1001,,0))</f>
        <v>tjedrachowicz8d@acquirethisname.com</v>
      </c>
      <c r="H865" s="2" t="str">
        <f>_xlfn.XLOOKUP(C865,customers!$A$1:$A$1001,customers!$G$1:$G$1001,,0)</f>
        <v>United States</v>
      </c>
      <c r="I865" t="str">
        <f>INDEX(products!$A$1:$G$49, MATCH(orders!$D303,products!$A$1:$A350,0), MATCH(orders!I$1,products!$A$1:$G$1,0))</f>
        <v>Lib</v>
      </c>
      <c r="J865" t="str">
        <f>INDEX(products!$A$1:$G$49, MATCH(orders!$D303,products!$A$1:$A350,0), MATCH(orders!J$1,products!$A$1:$G$1,0))</f>
        <v>D</v>
      </c>
      <c r="K865" s="5">
        <f>INDEX(products!$A$1:$G$49, MATCH(orders!$D303,products!$A$1:$A350,0), MATCH(orders!K$1,products!$A$1:$G$1,0))</f>
        <v>0.2</v>
      </c>
      <c r="L865" s="6">
        <f>INDEX(products!$A$1:$G$49, MATCH(orders!$D303,products!$A$1:$A350,0), MATCH(orders!L$1,products!$A$1:$G$1,0))</f>
        <v>3.8849999999999998</v>
      </c>
      <c r="M865" s="6">
        <f t="shared" si="39"/>
        <v>15.54</v>
      </c>
      <c r="N865" t="str">
        <f t="shared" si="40"/>
        <v>Liberica</v>
      </c>
      <c r="O865" t="str">
        <f t="shared" si="41"/>
        <v>Dark</v>
      </c>
      <c r="P865" t="str">
        <f>_xlfn.XLOOKUP(Orders[[#This Row],[Customer ID]],customers!$A$1:$A$1001,customers!$I$1:$I$1001,,0)</f>
        <v>Yes</v>
      </c>
      <c r="Q865">
        <f>COUNTIF(Orders[Order ID],Orders[[#This Row],[Order ID]])</f>
        <v>1</v>
      </c>
      <c r="R865" s="10">
        <f>SUMIF(Orders[Order ID], Orders[[#This Row],[Order ID]],Orders[Sales])/Orders[[#This Row],[Order Frequency]]</f>
        <v>15.54</v>
      </c>
      <c r="S865" t="str">
        <f>IF(Orders[[#This Row],[Order Frequency]]&gt;4, "More than 4", IF(AND(Orders[[#This Row],[Order Frequency]]&lt;=4,Orders[[#This Row],[Order Frequency]]&gt;=2), "Between 4 and 2", "Less than 2"))</f>
        <v>Less than 2</v>
      </c>
      <c r="T865" t="str">
        <f>IF(Orders[[#This Row],[Frequency Group]]="less than 2", "Low Value", IF(Orders[[#This Row],[Frequency Group]]="between 4 and 2", "Medium Value", "High Value"))</f>
        <v>Low Value</v>
      </c>
      <c r="U865" t="str">
        <f>IF(Orders[[#This Row],[Sales]]&lt;50, "$0-50", IF(AND(Orders[[#This Row],[Sales]]&gt;=50,Orders[[#This Row],[Sales]]&lt;=100), "$50-100", IF(AND(Orders[[#This Row],[Sales]]&gt;100,Orders[[#This Row],[Sales]]&lt;=150), "$101-150", "$150+")))</f>
        <v>$0-50</v>
      </c>
      <c r="V865" t="str">
        <f>IF(Orders[[#This Row],[Sales]]&gt;MEDIAN(M:M), "High Price", "Low Price")</f>
        <v>Low Price</v>
      </c>
      <c r="W865" t="str">
        <f>IF(Orders[[#This Row],[Quantity]]&gt;MEDIAN(E:E), "High Volume", "Low Volume")</f>
        <v>Low Volume</v>
      </c>
      <c r="X865" t="str">
        <f>Orders[[#This Row],[Sales Tier]] &amp; "-" &amp; Orders[[#This Row],[Quantity Tier]]</f>
        <v>Low Price-Low Volume</v>
      </c>
      <c r="Y865" t="str">
        <f>TEXT(Orders[[#This Row],[Order Date]], "mmmm")</f>
        <v>September</v>
      </c>
      <c r="Z86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865" t="str">
        <f>Orders[[#This Row],[Coffee Type Name]] &amp; "-" &amp; Orders[[#This Row],[Roast Type Name]]</f>
        <v>Liberica-Dark</v>
      </c>
      <c r="AB86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66" spans="1:28" x14ac:dyDescent="0.25">
      <c r="A866" s="2" t="s">
        <v>5844</v>
      </c>
      <c r="B866" s="4">
        <v>44294</v>
      </c>
      <c r="C866" s="2" t="s">
        <v>5845</v>
      </c>
      <c r="D866" t="s">
        <v>6155</v>
      </c>
      <c r="E866" s="2">
        <v>1</v>
      </c>
      <c r="F866" s="2" t="str">
        <f>_xlfn.XLOOKUP(C866,customers!$A$1:$A$1001,customers!$B$1:$B$1001,,0)</f>
        <v>Rickie Faltin</v>
      </c>
      <c r="G866" s="2" t="str">
        <f>IF(_xlfn.XLOOKUP(C866,customers!$A$1:$A$1001,customers!$C$1:$C$1001,,0)=0,"",_xlfn.XLOOKUP(C866,customers!$A$1:$A$1001,customers!$C$1:$C$1001,,0))</f>
        <v>rfaltinqb@topsy.com</v>
      </c>
      <c r="H866" s="2" t="str">
        <f>_xlfn.XLOOKUP(C866,customers!$A$1:$A$1001,customers!$G$1:$G$1001,,0)</f>
        <v>Ireland</v>
      </c>
      <c r="I866" t="str">
        <f>INDEX(products!$A$1:$G$49, MATCH(orders!$D949,products!$A$1:$A996,0), MATCH(orders!I$1,products!$A$1:$G$1,0))</f>
        <v>Ara</v>
      </c>
      <c r="J866" t="str">
        <f>INDEX(products!$A$1:$G$49, MATCH(orders!$D949,products!$A$1:$A996,0), MATCH(orders!J$1,products!$A$1:$G$1,0))</f>
        <v>M</v>
      </c>
      <c r="K866" s="5">
        <f>INDEX(products!$A$1:$G$49, MATCH(orders!$D949,products!$A$1:$A996,0), MATCH(orders!K$1,products!$A$1:$G$1,0))</f>
        <v>1</v>
      </c>
      <c r="L866" s="6">
        <f>INDEX(products!$A$1:$G$49, MATCH(orders!$D949,products!$A$1:$A996,0), MATCH(orders!L$1,products!$A$1:$G$1,0))</f>
        <v>11.25</v>
      </c>
      <c r="M866" s="6">
        <f t="shared" si="39"/>
        <v>11.25</v>
      </c>
      <c r="N866" t="str">
        <f t="shared" si="40"/>
        <v>Arabica</v>
      </c>
      <c r="O866" t="str">
        <f t="shared" si="41"/>
        <v>Medium</v>
      </c>
      <c r="P866" t="str">
        <f>_xlfn.XLOOKUP(Orders[[#This Row],[Customer ID]],customers!$A$1:$A$1001,customers!$I$1:$I$1001,,0)</f>
        <v>No</v>
      </c>
      <c r="Q866">
        <f>COUNTIF(Orders[Order ID],Orders[[#This Row],[Order ID]])</f>
        <v>1</v>
      </c>
      <c r="R866" s="10">
        <f>SUMIF(Orders[Order ID], Orders[[#This Row],[Order ID]],Orders[Sales])/Orders[[#This Row],[Order Frequency]]</f>
        <v>11.25</v>
      </c>
      <c r="S866" t="str">
        <f>IF(Orders[[#This Row],[Order Frequency]]&gt;4, "More than 4", IF(AND(Orders[[#This Row],[Order Frequency]]&lt;=4,Orders[[#This Row],[Order Frequency]]&gt;=2), "Between 4 and 2", "Less than 2"))</f>
        <v>Less than 2</v>
      </c>
      <c r="T866" t="str">
        <f>IF(Orders[[#This Row],[Frequency Group]]="less than 2", "Low Value", IF(Orders[[#This Row],[Frequency Group]]="between 4 and 2", "Medium Value", "High Value"))</f>
        <v>Low Value</v>
      </c>
      <c r="U866" t="str">
        <f>IF(Orders[[#This Row],[Sales]]&lt;50, "$0-50", IF(AND(Orders[[#This Row],[Sales]]&gt;=50,Orders[[#This Row],[Sales]]&lt;=100), "$50-100", IF(AND(Orders[[#This Row],[Sales]]&gt;100,Orders[[#This Row],[Sales]]&lt;=150), "$101-150", "$150+")))</f>
        <v>$0-50</v>
      </c>
      <c r="V866" t="str">
        <f>IF(Orders[[#This Row],[Sales]]&gt;MEDIAN(M:M), "High Price", "Low Price")</f>
        <v>Low Price</v>
      </c>
      <c r="W866" t="str">
        <f>IF(Orders[[#This Row],[Quantity]]&gt;MEDIAN(E:E), "High Volume", "Low Volume")</f>
        <v>Low Volume</v>
      </c>
      <c r="X866" t="str">
        <f>Orders[[#This Row],[Sales Tier]] &amp; "-" &amp; Orders[[#This Row],[Quantity Tier]]</f>
        <v>Low Price-Low Volume</v>
      </c>
      <c r="Y866" t="str">
        <f>TEXT(Orders[[#This Row],[Order Date]], "mmmm")</f>
        <v>April</v>
      </c>
      <c r="Z86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866" t="str">
        <f>Orders[[#This Row],[Coffee Type Name]] &amp; "-" &amp; Orders[[#This Row],[Roast Type Name]]</f>
        <v>Arabica-Medium</v>
      </c>
      <c r="AB86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867" spans="1:28" x14ac:dyDescent="0.25">
      <c r="A867" s="2" t="s">
        <v>4229</v>
      </c>
      <c r="B867" s="4">
        <v>44364</v>
      </c>
      <c r="C867" s="2" t="s">
        <v>4230</v>
      </c>
      <c r="D867" t="s">
        <v>6165</v>
      </c>
      <c r="E867" s="2">
        <v>5</v>
      </c>
      <c r="F867" s="2" t="str">
        <f>_xlfn.XLOOKUP(C867,customers!$A$1:$A$1001,customers!$B$1:$B$1001,,0)</f>
        <v>Shermy Moseby</v>
      </c>
      <c r="G867" s="2" t="str">
        <f>IF(_xlfn.XLOOKUP(C867,customers!$A$1:$A$1001,customers!$C$1:$C$1001,,0)=0,"",_xlfn.XLOOKUP(C867,customers!$A$1:$A$1001,customers!$C$1:$C$1001,,0))</f>
        <v>smosebyie@stanford.edu</v>
      </c>
      <c r="H867" s="2" t="str">
        <f>_xlfn.XLOOKUP(C867,customers!$A$1:$A$1001,customers!$G$1:$G$1001,,0)</f>
        <v>United States</v>
      </c>
      <c r="I867" t="str">
        <f>INDEX(products!$A$1:$G$49, MATCH(orders!$D664,products!$A$1:$A711,0), MATCH(orders!I$1,products!$A$1:$G$1,0))</f>
        <v>Lib</v>
      </c>
      <c r="J867" t="str">
        <f>INDEX(products!$A$1:$G$49, MATCH(orders!$D664,products!$A$1:$A711,0), MATCH(orders!J$1,products!$A$1:$G$1,0))</f>
        <v>D</v>
      </c>
      <c r="K867" s="5">
        <f>INDEX(products!$A$1:$G$49, MATCH(orders!$D664,products!$A$1:$A711,0), MATCH(orders!K$1,products!$A$1:$G$1,0))</f>
        <v>2.5</v>
      </c>
      <c r="L867" s="6">
        <f>INDEX(products!$A$1:$G$49, MATCH(orders!$D664,products!$A$1:$A711,0), MATCH(orders!L$1,products!$A$1:$G$1,0))</f>
        <v>29.784999999999997</v>
      </c>
      <c r="M867" s="6">
        <f t="shared" si="39"/>
        <v>148.92499999999998</v>
      </c>
      <c r="N867" t="str">
        <f t="shared" si="40"/>
        <v>Liberica</v>
      </c>
      <c r="O867" t="str">
        <f t="shared" si="41"/>
        <v>Dark</v>
      </c>
      <c r="P867" t="str">
        <f>_xlfn.XLOOKUP(Orders[[#This Row],[Customer ID]],customers!$A$1:$A$1001,customers!$I$1:$I$1001,,0)</f>
        <v>No</v>
      </c>
      <c r="Q867">
        <f>COUNTIF(Orders[Order ID],Orders[[#This Row],[Order ID]])</f>
        <v>1</v>
      </c>
      <c r="R867" s="10">
        <f>SUMIF(Orders[Order ID], Orders[[#This Row],[Order ID]],Orders[Sales])/Orders[[#This Row],[Order Frequency]]</f>
        <v>148.92499999999998</v>
      </c>
      <c r="S867" t="str">
        <f>IF(Orders[[#This Row],[Order Frequency]]&gt;4, "More than 4", IF(AND(Orders[[#This Row],[Order Frequency]]&lt;=4,Orders[[#This Row],[Order Frequency]]&gt;=2), "Between 4 and 2", "Less than 2"))</f>
        <v>Less than 2</v>
      </c>
      <c r="T867" t="str">
        <f>IF(Orders[[#This Row],[Frequency Group]]="less than 2", "Low Value", IF(Orders[[#This Row],[Frequency Group]]="between 4 and 2", "Medium Value", "High Value"))</f>
        <v>Low Value</v>
      </c>
      <c r="U867" t="str">
        <f>IF(Orders[[#This Row],[Sales]]&lt;50, "$0-50", IF(AND(Orders[[#This Row],[Sales]]&gt;=50,Orders[[#This Row],[Sales]]&lt;=100), "$50-100", IF(AND(Orders[[#This Row],[Sales]]&gt;100,Orders[[#This Row],[Sales]]&lt;=150), "$101-150", "$150+")))</f>
        <v>$101-150</v>
      </c>
      <c r="V867" t="str">
        <f>IF(Orders[[#This Row],[Sales]]&gt;MEDIAN(M:M), "High Price", "Low Price")</f>
        <v>High Price</v>
      </c>
      <c r="W867" t="str">
        <f>IF(Orders[[#This Row],[Quantity]]&gt;MEDIAN(E:E), "High Volume", "Low Volume")</f>
        <v>High Volume</v>
      </c>
      <c r="X867" t="str">
        <f>Orders[[#This Row],[Sales Tier]] &amp; "-" &amp; Orders[[#This Row],[Quantity Tier]]</f>
        <v>High Price-High Volume</v>
      </c>
      <c r="Y867" t="str">
        <f>TEXT(Orders[[#This Row],[Order Date]], "mmmm")</f>
        <v>June</v>
      </c>
      <c r="Z86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867" t="str">
        <f>Orders[[#This Row],[Coffee Type Name]] &amp; "-" &amp; Orders[[#This Row],[Roast Type Name]]</f>
        <v>Liberica-Dark</v>
      </c>
      <c r="AB86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868" spans="1:28" x14ac:dyDescent="0.25">
      <c r="A868" s="2" t="s">
        <v>4429</v>
      </c>
      <c r="B868" s="4">
        <v>44547</v>
      </c>
      <c r="C868" s="2" t="s">
        <v>4430</v>
      </c>
      <c r="D868" t="s">
        <v>6157</v>
      </c>
      <c r="E868" s="2">
        <v>3</v>
      </c>
      <c r="F868" s="2" t="str">
        <f>_xlfn.XLOOKUP(C868,customers!$A$1:$A$1001,customers!$B$1:$B$1001,,0)</f>
        <v>Myrle Dearden</v>
      </c>
      <c r="G868" s="2" t="str">
        <f>IF(_xlfn.XLOOKUP(C868,customers!$A$1:$A$1001,customers!$C$1:$C$1001,,0)=0,"",_xlfn.XLOOKUP(C868,customers!$A$1:$A$1001,customers!$C$1:$C$1001,,0))</f>
        <v/>
      </c>
      <c r="H868" s="2" t="str">
        <f>_xlfn.XLOOKUP(C868,customers!$A$1:$A$1001,customers!$G$1:$G$1001,,0)</f>
        <v>Ireland</v>
      </c>
      <c r="I868" t="str">
        <f>INDEX(products!$A$1:$G$49, MATCH(orders!$D699,products!$A$1:$A746,0), MATCH(orders!I$1,products!$A$1:$G$1,0))</f>
        <v>Ara</v>
      </c>
      <c r="J868" t="str">
        <f>INDEX(products!$A$1:$G$49, MATCH(orders!$D699,products!$A$1:$A746,0), MATCH(orders!J$1,products!$A$1:$G$1,0))</f>
        <v>M</v>
      </c>
      <c r="K868" s="5">
        <f>INDEX(products!$A$1:$G$49, MATCH(orders!$D699,products!$A$1:$A746,0), MATCH(orders!K$1,products!$A$1:$G$1,0))</f>
        <v>0.5</v>
      </c>
      <c r="L868" s="6">
        <f>INDEX(products!$A$1:$G$49, MATCH(orders!$D699,products!$A$1:$A746,0), MATCH(orders!L$1,products!$A$1:$G$1,0))</f>
        <v>6.75</v>
      </c>
      <c r="M868" s="6">
        <f t="shared" si="39"/>
        <v>20.25</v>
      </c>
      <c r="N868" t="str">
        <f t="shared" si="40"/>
        <v>Arabica</v>
      </c>
      <c r="O868" t="str">
        <f t="shared" si="41"/>
        <v>Medium</v>
      </c>
      <c r="P868" t="str">
        <f>_xlfn.XLOOKUP(Orders[[#This Row],[Customer ID]],customers!$A$1:$A$1001,customers!$I$1:$I$1001,,0)</f>
        <v>No</v>
      </c>
      <c r="Q868">
        <f>COUNTIF(Orders[Order ID],Orders[[#This Row],[Order ID]])</f>
        <v>1</v>
      </c>
      <c r="R868" s="10">
        <f>SUMIF(Orders[Order ID], Orders[[#This Row],[Order ID]],Orders[Sales])/Orders[[#This Row],[Order Frequency]]</f>
        <v>20.25</v>
      </c>
      <c r="S868" t="str">
        <f>IF(Orders[[#This Row],[Order Frequency]]&gt;4, "More than 4", IF(AND(Orders[[#This Row],[Order Frequency]]&lt;=4,Orders[[#This Row],[Order Frequency]]&gt;=2), "Between 4 and 2", "Less than 2"))</f>
        <v>Less than 2</v>
      </c>
      <c r="T868" t="str">
        <f>IF(Orders[[#This Row],[Frequency Group]]="less than 2", "Low Value", IF(Orders[[#This Row],[Frequency Group]]="between 4 and 2", "Medium Value", "High Value"))</f>
        <v>Low Value</v>
      </c>
      <c r="U868" t="str">
        <f>IF(Orders[[#This Row],[Sales]]&lt;50, "$0-50", IF(AND(Orders[[#This Row],[Sales]]&gt;=50,Orders[[#This Row],[Sales]]&lt;=100), "$50-100", IF(AND(Orders[[#This Row],[Sales]]&gt;100,Orders[[#This Row],[Sales]]&lt;=150), "$101-150", "$150+")))</f>
        <v>$0-50</v>
      </c>
      <c r="V868" t="str">
        <f>IF(Orders[[#This Row],[Sales]]&gt;MEDIAN(M:M), "High Price", "Low Price")</f>
        <v>Low Price</v>
      </c>
      <c r="W868" t="str">
        <f>IF(Orders[[#This Row],[Quantity]]&gt;MEDIAN(E:E), "High Volume", "Low Volume")</f>
        <v>Low Volume</v>
      </c>
      <c r="X868" t="str">
        <f>Orders[[#This Row],[Sales Tier]] &amp; "-" &amp; Orders[[#This Row],[Quantity Tier]]</f>
        <v>Low Price-Low Volume</v>
      </c>
      <c r="Y868" t="str">
        <f>TEXT(Orders[[#This Row],[Order Date]], "mmmm")</f>
        <v>December</v>
      </c>
      <c r="Z86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868" t="str">
        <f>Orders[[#This Row],[Coffee Type Name]] &amp; "-" &amp; Orders[[#This Row],[Roast Type Name]]</f>
        <v>Arabica-Medium</v>
      </c>
      <c r="AB86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869" spans="1:28" x14ac:dyDescent="0.25">
      <c r="A869" s="2" t="s">
        <v>1742</v>
      </c>
      <c r="B869" s="4">
        <v>44090</v>
      </c>
      <c r="C869" s="2" t="s">
        <v>1743</v>
      </c>
      <c r="D869" t="s">
        <v>6169</v>
      </c>
      <c r="E869" s="2">
        <v>3</v>
      </c>
      <c r="F869" s="2" t="str">
        <f>_xlfn.XLOOKUP(C869,customers!$A$1:$A$1001,customers!$B$1:$B$1001,,0)</f>
        <v>Waneta Edinborough</v>
      </c>
      <c r="G869" s="2" t="str">
        <f>IF(_xlfn.XLOOKUP(C869,customers!$A$1:$A$1001,customers!$C$1:$C$1001,,0)=0,"",_xlfn.XLOOKUP(C869,customers!$A$1:$A$1001,customers!$C$1:$C$1001,,0))</f>
        <v>wedinborough66@github.io</v>
      </c>
      <c r="H869" s="2" t="str">
        <f>_xlfn.XLOOKUP(C869,customers!$A$1:$A$1001,customers!$G$1:$G$1001,,0)</f>
        <v>United States</v>
      </c>
      <c r="I869" t="str">
        <f>INDEX(products!$A$1:$G$49, MATCH(orders!$D224,products!$A$1:$A271,0), MATCH(orders!I$1,products!$A$1:$G$1,0))</f>
        <v>Lib</v>
      </c>
      <c r="J869" t="str">
        <f>INDEX(products!$A$1:$G$49, MATCH(orders!$D224,products!$A$1:$A271,0), MATCH(orders!J$1,products!$A$1:$G$1,0))</f>
        <v>D</v>
      </c>
      <c r="K869" s="5">
        <f>INDEX(products!$A$1:$G$49, MATCH(orders!$D224,products!$A$1:$A271,0), MATCH(orders!K$1,products!$A$1:$G$1,0))</f>
        <v>0.5</v>
      </c>
      <c r="L869" s="6">
        <f>INDEX(products!$A$1:$G$49, MATCH(orders!$D224,products!$A$1:$A271,0), MATCH(orders!L$1,products!$A$1:$G$1,0))</f>
        <v>7.77</v>
      </c>
      <c r="M869" s="6">
        <f t="shared" si="39"/>
        <v>23.31</v>
      </c>
      <c r="N869" t="str">
        <f t="shared" si="40"/>
        <v>Liberica</v>
      </c>
      <c r="O869" t="str">
        <f t="shared" si="41"/>
        <v>Dark</v>
      </c>
      <c r="P869" t="str">
        <f>_xlfn.XLOOKUP(Orders[[#This Row],[Customer ID]],customers!$A$1:$A$1001,customers!$I$1:$I$1001,,0)</f>
        <v>No</v>
      </c>
      <c r="Q869">
        <f>COUNTIF(Orders[Order ID],Orders[[#This Row],[Order ID]])</f>
        <v>1</v>
      </c>
      <c r="R869" s="10">
        <f>SUMIF(Orders[Order ID], Orders[[#This Row],[Order ID]],Orders[Sales])/Orders[[#This Row],[Order Frequency]]</f>
        <v>23.31</v>
      </c>
      <c r="S869" t="str">
        <f>IF(Orders[[#This Row],[Order Frequency]]&gt;4, "More than 4", IF(AND(Orders[[#This Row],[Order Frequency]]&lt;=4,Orders[[#This Row],[Order Frequency]]&gt;=2), "Between 4 and 2", "Less than 2"))</f>
        <v>Less than 2</v>
      </c>
      <c r="T869" t="str">
        <f>IF(Orders[[#This Row],[Frequency Group]]="less than 2", "Low Value", IF(Orders[[#This Row],[Frequency Group]]="between 4 and 2", "Medium Value", "High Value"))</f>
        <v>Low Value</v>
      </c>
      <c r="U869" t="str">
        <f>IF(Orders[[#This Row],[Sales]]&lt;50, "$0-50", IF(AND(Orders[[#This Row],[Sales]]&gt;=50,Orders[[#This Row],[Sales]]&lt;=100), "$50-100", IF(AND(Orders[[#This Row],[Sales]]&gt;100,Orders[[#This Row],[Sales]]&lt;=150), "$101-150", "$150+")))</f>
        <v>$0-50</v>
      </c>
      <c r="V869" t="str">
        <f>IF(Orders[[#This Row],[Sales]]&gt;MEDIAN(M:M), "High Price", "Low Price")</f>
        <v>Low Price</v>
      </c>
      <c r="W869" t="str">
        <f>IF(Orders[[#This Row],[Quantity]]&gt;MEDIAN(E:E), "High Volume", "Low Volume")</f>
        <v>Low Volume</v>
      </c>
      <c r="X869" t="str">
        <f>Orders[[#This Row],[Sales Tier]] &amp; "-" &amp; Orders[[#This Row],[Quantity Tier]]</f>
        <v>Low Price-Low Volume</v>
      </c>
      <c r="Y869" t="str">
        <f>TEXT(Orders[[#This Row],[Order Date]], "mmmm")</f>
        <v>September</v>
      </c>
      <c r="Z86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869" t="str">
        <f>Orders[[#This Row],[Coffee Type Name]] &amp; "-" &amp; Orders[[#This Row],[Roast Type Name]]</f>
        <v>Liberica-Dark</v>
      </c>
      <c r="AB86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70" spans="1:28" x14ac:dyDescent="0.25">
      <c r="A870" s="2" t="s">
        <v>2792</v>
      </c>
      <c r="B870" s="4">
        <v>44659</v>
      </c>
      <c r="C870" s="2" t="s">
        <v>2793</v>
      </c>
      <c r="D870" t="s">
        <v>6175</v>
      </c>
      <c r="E870" s="2">
        <v>2</v>
      </c>
      <c r="F870" s="2" t="str">
        <f>_xlfn.XLOOKUP(C870,customers!$A$1:$A$1001,customers!$B$1:$B$1001,,0)</f>
        <v>Felice Miell</v>
      </c>
      <c r="G870" s="2" t="str">
        <f>IF(_xlfn.XLOOKUP(C870,customers!$A$1:$A$1001,customers!$C$1:$C$1001,,0)=0,"",_xlfn.XLOOKUP(C870,customers!$A$1:$A$1001,customers!$C$1:$C$1001,,0))</f>
        <v>fmiellbc@spiegel.de</v>
      </c>
      <c r="H870" s="2" t="str">
        <f>_xlfn.XLOOKUP(C870,customers!$A$1:$A$1001,customers!$G$1:$G$1001,,0)</f>
        <v>United States</v>
      </c>
      <c r="I870" t="str">
        <f>INDEX(products!$A$1:$G$49, MATCH(orders!$D410,products!$A$1:$A457,0), MATCH(orders!I$1,products!$A$1:$G$1,0))</f>
        <v>Ara</v>
      </c>
      <c r="J870" t="str">
        <f>INDEX(products!$A$1:$G$49, MATCH(orders!$D410,products!$A$1:$A457,0), MATCH(orders!J$1,products!$A$1:$G$1,0))</f>
        <v>M</v>
      </c>
      <c r="K870" s="5">
        <f>INDEX(products!$A$1:$G$49, MATCH(orders!$D410,products!$A$1:$A457,0), MATCH(orders!K$1,products!$A$1:$G$1,0))</f>
        <v>2.5</v>
      </c>
      <c r="L870" s="6">
        <f>INDEX(products!$A$1:$G$49, MATCH(orders!$D410,products!$A$1:$A457,0), MATCH(orders!L$1,products!$A$1:$G$1,0))</f>
        <v>25.874999999999996</v>
      </c>
      <c r="M870" s="6">
        <f t="shared" si="39"/>
        <v>51.749999999999993</v>
      </c>
      <c r="N870" t="str">
        <f t="shared" si="40"/>
        <v>Arabica</v>
      </c>
      <c r="O870" t="str">
        <f t="shared" si="41"/>
        <v>Medium</v>
      </c>
      <c r="P870" t="str">
        <f>_xlfn.XLOOKUP(Orders[[#This Row],[Customer ID]],customers!$A$1:$A$1001,customers!$I$1:$I$1001,,0)</f>
        <v>Yes</v>
      </c>
      <c r="Q870">
        <f>COUNTIF(Orders[Order ID],Orders[[#This Row],[Order ID]])</f>
        <v>1</v>
      </c>
      <c r="R870" s="10">
        <f>SUMIF(Orders[Order ID], Orders[[#This Row],[Order ID]],Orders[Sales])/Orders[[#This Row],[Order Frequency]]</f>
        <v>51.749999999999993</v>
      </c>
      <c r="S870" t="str">
        <f>IF(Orders[[#This Row],[Order Frequency]]&gt;4, "More than 4", IF(AND(Orders[[#This Row],[Order Frequency]]&lt;=4,Orders[[#This Row],[Order Frequency]]&gt;=2), "Between 4 and 2", "Less than 2"))</f>
        <v>Less than 2</v>
      </c>
      <c r="T870" t="str">
        <f>IF(Orders[[#This Row],[Frequency Group]]="less than 2", "Low Value", IF(Orders[[#This Row],[Frequency Group]]="between 4 and 2", "Medium Value", "High Value"))</f>
        <v>Low Value</v>
      </c>
      <c r="U870" t="str">
        <f>IF(Orders[[#This Row],[Sales]]&lt;50, "$0-50", IF(AND(Orders[[#This Row],[Sales]]&gt;=50,Orders[[#This Row],[Sales]]&lt;=100), "$50-100", IF(AND(Orders[[#This Row],[Sales]]&gt;100,Orders[[#This Row],[Sales]]&lt;=150), "$101-150", "$150+")))</f>
        <v>$50-100</v>
      </c>
      <c r="V870" t="str">
        <f>IF(Orders[[#This Row],[Sales]]&gt;MEDIAN(M:M), "High Price", "Low Price")</f>
        <v>High Price</v>
      </c>
      <c r="W870" t="str">
        <f>IF(Orders[[#This Row],[Quantity]]&gt;MEDIAN(E:E), "High Volume", "Low Volume")</f>
        <v>Low Volume</v>
      </c>
      <c r="X870" t="str">
        <f>Orders[[#This Row],[Sales Tier]] &amp; "-" &amp; Orders[[#This Row],[Quantity Tier]]</f>
        <v>High Price-Low Volume</v>
      </c>
      <c r="Y870" t="str">
        <f>TEXT(Orders[[#This Row],[Order Date]], "mmmm")</f>
        <v>April</v>
      </c>
      <c r="Z87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870" t="str">
        <f>Orders[[#This Row],[Coffee Type Name]] &amp; "-" &amp; Orders[[#This Row],[Roast Type Name]]</f>
        <v>Arabica-Medium</v>
      </c>
      <c r="AB87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871" spans="1:28" x14ac:dyDescent="0.25">
      <c r="A871" s="2" t="s">
        <v>913</v>
      </c>
      <c r="B871" s="4">
        <v>44400</v>
      </c>
      <c r="C871" s="2" t="s">
        <v>914</v>
      </c>
      <c r="D871" t="s">
        <v>6177</v>
      </c>
      <c r="E871" s="2">
        <v>6</v>
      </c>
      <c r="F871" s="2" t="str">
        <f>_xlfn.XLOOKUP(C871,customers!$A$1:$A$1001,customers!$B$1:$B$1001,,0)</f>
        <v>Kipper Boorn</v>
      </c>
      <c r="G871" s="2" t="str">
        <f>IF(_xlfn.XLOOKUP(C871,customers!$A$1:$A$1001,customers!$C$1:$C$1001,,0)=0,"",_xlfn.XLOOKUP(C871,customers!$A$1:$A$1001,customers!$C$1:$C$1001,,0))</f>
        <v>kboorn23@ezinearticles.com</v>
      </c>
      <c r="H871" s="2" t="str">
        <f>_xlfn.XLOOKUP(C871,customers!$A$1:$A$1001,customers!$G$1:$G$1001,,0)</f>
        <v>Ireland</v>
      </c>
      <c r="I871" t="str">
        <f>INDEX(products!$A$1:$G$49, MATCH(orders!$D77,products!$A$1:$A124,0), MATCH(orders!I$1,products!$A$1:$G$1,0))</f>
        <v>Rob</v>
      </c>
      <c r="J871" t="str">
        <f>INDEX(products!$A$1:$G$49, MATCH(orders!$D77,products!$A$1:$A124,0), MATCH(orders!J$1,products!$A$1:$G$1,0))</f>
        <v>D</v>
      </c>
      <c r="K871" s="5">
        <f>INDEX(products!$A$1:$G$49, MATCH(orders!$D77,products!$A$1:$A124,0), MATCH(orders!K$1,products!$A$1:$G$1,0))</f>
        <v>1</v>
      </c>
      <c r="L871" s="6">
        <f>INDEX(products!$A$1:$G$49, MATCH(orders!$D77,products!$A$1:$A124,0), MATCH(orders!L$1,products!$A$1:$G$1,0))</f>
        <v>8.9499999999999993</v>
      </c>
      <c r="M871" s="6">
        <f t="shared" si="39"/>
        <v>53.699999999999996</v>
      </c>
      <c r="N871" t="str">
        <f t="shared" si="40"/>
        <v>Robusta</v>
      </c>
      <c r="O871" t="str">
        <f t="shared" si="41"/>
        <v>Dark</v>
      </c>
      <c r="P871" t="str">
        <f>_xlfn.XLOOKUP(Orders[[#This Row],[Customer ID]],customers!$A$1:$A$1001,customers!$I$1:$I$1001,,0)</f>
        <v>Yes</v>
      </c>
      <c r="Q871">
        <f>COUNTIF(Orders[Order ID],Orders[[#This Row],[Order ID]])</f>
        <v>1</v>
      </c>
      <c r="R871" s="10">
        <f>SUMIF(Orders[Order ID], Orders[[#This Row],[Order ID]],Orders[Sales])/Orders[[#This Row],[Order Frequency]]</f>
        <v>53.699999999999996</v>
      </c>
      <c r="S871" t="str">
        <f>IF(Orders[[#This Row],[Order Frequency]]&gt;4, "More than 4", IF(AND(Orders[[#This Row],[Order Frequency]]&lt;=4,Orders[[#This Row],[Order Frequency]]&gt;=2), "Between 4 and 2", "Less than 2"))</f>
        <v>Less than 2</v>
      </c>
      <c r="T871" t="str">
        <f>IF(Orders[[#This Row],[Frequency Group]]="less than 2", "Low Value", IF(Orders[[#This Row],[Frequency Group]]="between 4 and 2", "Medium Value", "High Value"))</f>
        <v>Low Value</v>
      </c>
      <c r="U871" t="str">
        <f>IF(Orders[[#This Row],[Sales]]&lt;50, "$0-50", IF(AND(Orders[[#This Row],[Sales]]&gt;=50,Orders[[#This Row],[Sales]]&lt;=100), "$50-100", IF(AND(Orders[[#This Row],[Sales]]&gt;100,Orders[[#This Row],[Sales]]&lt;=150), "$101-150", "$150+")))</f>
        <v>$50-100</v>
      </c>
      <c r="V871" t="str">
        <f>IF(Orders[[#This Row],[Sales]]&gt;MEDIAN(M:M), "High Price", "Low Price")</f>
        <v>High Price</v>
      </c>
      <c r="W871" t="str">
        <f>IF(Orders[[#This Row],[Quantity]]&gt;MEDIAN(E:E), "High Volume", "Low Volume")</f>
        <v>High Volume</v>
      </c>
      <c r="X871" t="str">
        <f>Orders[[#This Row],[Sales Tier]] &amp; "-" &amp; Orders[[#This Row],[Quantity Tier]]</f>
        <v>High Price-High Volume</v>
      </c>
      <c r="Y871" t="str">
        <f>TEXT(Orders[[#This Row],[Order Date]], "mmmm")</f>
        <v>July</v>
      </c>
      <c r="Z87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871" t="str">
        <f>Orders[[#This Row],[Coffee Type Name]] &amp; "-" &amp; Orders[[#This Row],[Roast Type Name]]</f>
        <v>Robusta-Dark</v>
      </c>
      <c r="AB87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872" spans="1:28" x14ac:dyDescent="0.25">
      <c r="A872" s="2" t="s">
        <v>4303</v>
      </c>
      <c r="B872" s="4">
        <v>44263</v>
      </c>
      <c r="C872" s="2" t="s">
        <v>4304</v>
      </c>
      <c r="D872" t="s">
        <v>6165</v>
      </c>
      <c r="E872" s="2">
        <v>4</v>
      </c>
      <c r="F872" s="2" t="str">
        <f>_xlfn.XLOOKUP(C872,customers!$A$1:$A$1001,customers!$B$1:$B$1001,,0)</f>
        <v>Terri Lyford</v>
      </c>
      <c r="G872" s="2" t="str">
        <f>IF(_xlfn.XLOOKUP(C872,customers!$A$1:$A$1001,customers!$C$1:$C$1001,,0)=0,"",_xlfn.XLOOKUP(C872,customers!$A$1:$A$1001,customers!$C$1:$C$1001,,0))</f>
        <v/>
      </c>
      <c r="H872" s="2" t="str">
        <f>_xlfn.XLOOKUP(C872,customers!$A$1:$A$1001,customers!$G$1:$G$1001,,0)</f>
        <v>United States</v>
      </c>
      <c r="I872" t="str">
        <f>INDEX(products!$A$1:$G$49, MATCH(orders!$D677,products!$A$1:$A724,0), MATCH(orders!I$1,products!$A$1:$G$1,0))</f>
        <v>Lib</v>
      </c>
      <c r="J872" t="str">
        <f>INDEX(products!$A$1:$G$49, MATCH(orders!$D677,products!$A$1:$A724,0), MATCH(orders!J$1,products!$A$1:$G$1,0))</f>
        <v>D</v>
      </c>
      <c r="K872" s="5">
        <f>INDEX(products!$A$1:$G$49, MATCH(orders!$D677,products!$A$1:$A724,0), MATCH(orders!K$1,products!$A$1:$G$1,0))</f>
        <v>2.5</v>
      </c>
      <c r="L872" s="6">
        <f>INDEX(products!$A$1:$G$49, MATCH(orders!$D677,products!$A$1:$A724,0), MATCH(orders!L$1,products!$A$1:$G$1,0))</f>
        <v>29.784999999999997</v>
      </c>
      <c r="M872" s="6">
        <f t="shared" si="39"/>
        <v>119.13999999999999</v>
      </c>
      <c r="N872" t="str">
        <f t="shared" si="40"/>
        <v>Liberica</v>
      </c>
      <c r="O872" t="str">
        <f t="shared" si="41"/>
        <v>Dark</v>
      </c>
      <c r="P872" t="str">
        <f>_xlfn.XLOOKUP(Orders[[#This Row],[Customer ID]],customers!$A$1:$A$1001,customers!$I$1:$I$1001,,0)</f>
        <v>Yes</v>
      </c>
      <c r="Q872">
        <f>COUNTIF(Orders[Order ID],Orders[[#This Row],[Order ID]])</f>
        <v>1</v>
      </c>
      <c r="R872" s="10">
        <f>SUMIF(Orders[Order ID], Orders[[#This Row],[Order ID]],Orders[Sales])/Orders[[#This Row],[Order Frequency]]</f>
        <v>119.13999999999999</v>
      </c>
      <c r="S872" t="str">
        <f>IF(Orders[[#This Row],[Order Frequency]]&gt;4, "More than 4", IF(AND(Orders[[#This Row],[Order Frequency]]&lt;=4,Orders[[#This Row],[Order Frequency]]&gt;=2), "Between 4 and 2", "Less than 2"))</f>
        <v>Less than 2</v>
      </c>
      <c r="T872" t="str">
        <f>IF(Orders[[#This Row],[Frequency Group]]="less than 2", "Low Value", IF(Orders[[#This Row],[Frequency Group]]="between 4 and 2", "Medium Value", "High Value"))</f>
        <v>Low Value</v>
      </c>
      <c r="U872" t="str">
        <f>IF(Orders[[#This Row],[Sales]]&lt;50, "$0-50", IF(AND(Orders[[#This Row],[Sales]]&gt;=50,Orders[[#This Row],[Sales]]&lt;=100), "$50-100", IF(AND(Orders[[#This Row],[Sales]]&gt;100,Orders[[#This Row],[Sales]]&lt;=150), "$101-150", "$150+")))</f>
        <v>$101-150</v>
      </c>
      <c r="V872" t="str">
        <f>IF(Orders[[#This Row],[Sales]]&gt;MEDIAN(M:M), "High Price", "Low Price")</f>
        <v>High Price</v>
      </c>
      <c r="W872" t="str">
        <f>IF(Orders[[#This Row],[Quantity]]&gt;MEDIAN(E:E), "High Volume", "Low Volume")</f>
        <v>Low Volume</v>
      </c>
      <c r="X872" t="str">
        <f>Orders[[#This Row],[Sales Tier]] &amp; "-" &amp; Orders[[#This Row],[Quantity Tier]]</f>
        <v>High Price-Low Volume</v>
      </c>
      <c r="Y872" t="str">
        <f>TEXT(Orders[[#This Row],[Order Date]], "mmmm")</f>
        <v>March</v>
      </c>
      <c r="Z87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72" t="str">
        <f>Orders[[#This Row],[Coffee Type Name]] &amp; "-" &amp; Orders[[#This Row],[Roast Type Name]]</f>
        <v>Liberica-Dark</v>
      </c>
      <c r="AB87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873" spans="1:28" x14ac:dyDescent="0.25">
      <c r="A873" s="2" t="s">
        <v>1632</v>
      </c>
      <c r="B873" s="4">
        <v>44608</v>
      </c>
      <c r="C873" s="2" t="s">
        <v>1633</v>
      </c>
      <c r="D873" t="s">
        <v>6145</v>
      </c>
      <c r="E873" s="2">
        <v>1</v>
      </c>
      <c r="F873" s="2" t="str">
        <f>_xlfn.XLOOKUP(C873,customers!$A$1:$A$1001,customers!$B$1:$B$1001,,0)</f>
        <v>Vanna Le - Count</v>
      </c>
      <c r="G873" s="2" t="str">
        <f>IF(_xlfn.XLOOKUP(C873,customers!$A$1:$A$1001,customers!$C$1:$C$1001,,0)=0,"",_xlfn.XLOOKUP(C873,customers!$A$1:$A$1001,customers!$C$1:$C$1001,,0))</f>
        <v>vle5n@disqus.com</v>
      </c>
      <c r="H873" s="2" t="str">
        <f>_xlfn.XLOOKUP(C873,customers!$A$1:$A$1001,customers!$G$1:$G$1001,,0)</f>
        <v>United States</v>
      </c>
      <c r="I873" t="str">
        <f>INDEX(products!$A$1:$G$49, MATCH(orders!$D205,products!$A$1:$A252,0), MATCH(orders!I$1,products!$A$1:$G$1,0))</f>
        <v>Lib</v>
      </c>
      <c r="J873" t="str">
        <f>INDEX(products!$A$1:$G$49, MATCH(orders!$D205,products!$A$1:$A252,0), MATCH(orders!J$1,products!$A$1:$G$1,0))</f>
        <v>L</v>
      </c>
      <c r="K873" s="5">
        <f>INDEX(products!$A$1:$G$49, MATCH(orders!$D205,products!$A$1:$A252,0), MATCH(orders!K$1,products!$A$1:$G$1,0))</f>
        <v>0.2</v>
      </c>
      <c r="L873" s="6">
        <f>INDEX(products!$A$1:$G$49, MATCH(orders!$D205,products!$A$1:$A252,0), MATCH(orders!L$1,products!$A$1:$G$1,0))</f>
        <v>4.7549999999999999</v>
      </c>
      <c r="M873" s="6">
        <f t="shared" si="39"/>
        <v>4.7549999999999999</v>
      </c>
      <c r="N873" t="str">
        <f t="shared" si="40"/>
        <v>Liberica</v>
      </c>
      <c r="O873" t="str">
        <f t="shared" si="41"/>
        <v>Light</v>
      </c>
      <c r="P873" t="str">
        <f>_xlfn.XLOOKUP(Orders[[#This Row],[Customer ID]],customers!$A$1:$A$1001,customers!$I$1:$I$1001,,0)</f>
        <v>No</v>
      </c>
      <c r="Q873">
        <f>COUNTIF(Orders[Order ID],Orders[[#This Row],[Order ID]])</f>
        <v>1</v>
      </c>
      <c r="R873" s="10">
        <f>SUMIF(Orders[Order ID], Orders[[#This Row],[Order ID]],Orders[Sales])/Orders[[#This Row],[Order Frequency]]</f>
        <v>4.7549999999999999</v>
      </c>
      <c r="S873" t="str">
        <f>IF(Orders[[#This Row],[Order Frequency]]&gt;4, "More than 4", IF(AND(Orders[[#This Row],[Order Frequency]]&lt;=4,Orders[[#This Row],[Order Frequency]]&gt;=2), "Between 4 and 2", "Less than 2"))</f>
        <v>Less than 2</v>
      </c>
      <c r="T873" t="str">
        <f>IF(Orders[[#This Row],[Frequency Group]]="less than 2", "Low Value", IF(Orders[[#This Row],[Frequency Group]]="between 4 and 2", "Medium Value", "High Value"))</f>
        <v>Low Value</v>
      </c>
      <c r="U873" t="str">
        <f>IF(Orders[[#This Row],[Sales]]&lt;50, "$0-50", IF(AND(Orders[[#This Row],[Sales]]&gt;=50,Orders[[#This Row],[Sales]]&lt;=100), "$50-100", IF(AND(Orders[[#This Row],[Sales]]&gt;100,Orders[[#This Row],[Sales]]&lt;=150), "$101-150", "$150+")))</f>
        <v>$0-50</v>
      </c>
      <c r="V873" t="str">
        <f>IF(Orders[[#This Row],[Sales]]&gt;MEDIAN(M:M), "High Price", "Low Price")</f>
        <v>Low Price</v>
      </c>
      <c r="W873" t="str">
        <f>IF(Orders[[#This Row],[Quantity]]&gt;MEDIAN(E:E), "High Volume", "Low Volume")</f>
        <v>Low Volume</v>
      </c>
      <c r="X873" t="str">
        <f>Orders[[#This Row],[Sales Tier]] &amp; "-" &amp; Orders[[#This Row],[Quantity Tier]]</f>
        <v>Low Price-Low Volume</v>
      </c>
      <c r="Y873" t="str">
        <f>TEXT(Orders[[#This Row],[Order Date]], "mmmm")</f>
        <v>February</v>
      </c>
      <c r="Z87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73" t="str">
        <f>Orders[[#This Row],[Coffee Type Name]] &amp; "-" &amp; Orders[[#This Row],[Roast Type Name]]</f>
        <v>Liberica-Light</v>
      </c>
      <c r="AB87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874" spans="1:28" x14ac:dyDescent="0.25">
      <c r="A874" s="2" t="s">
        <v>4163</v>
      </c>
      <c r="B874" s="4">
        <v>43507</v>
      </c>
      <c r="C874" s="2" t="s">
        <v>4164</v>
      </c>
      <c r="D874" t="s">
        <v>6172</v>
      </c>
      <c r="E874" s="2">
        <v>1</v>
      </c>
      <c r="F874" s="2" t="str">
        <f>_xlfn.XLOOKUP(C874,customers!$A$1:$A$1001,customers!$B$1:$B$1001,,0)</f>
        <v>Cecily Stebbings</v>
      </c>
      <c r="G874" s="2" t="str">
        <f>IF(_xlfn.XLOOKUP(C874,customers!$A$1:$A$1001,customers!$C$1:$C$1001,,0)=0,"",_xlfn.XLOOKUP(C874,customers!$A$1:$A$1001,customers!$C$1:$C$1001,,0))</f>
        <v>cstebbingsi2@drupal.org</v>
      </c>
      <c r="H874" s="2" t="str">
        <f>_xlfn.XLOOKUP(C874,customers!$A$1:$A$1001,customers!$G$1:$G$1001,,0)</f>
        <v>United States</v>
      </c>
      <c r="I874" t="str">
        <f>INDEX(products!$A$1:$G$49, MATCH(orders!$D652,products!$A$1:$A699,0), MATCH(orders!I$1,products!$A$1:$G$1,0))</f>
        <v>Rob</v>
      </c>
      <c r="J874" t="str">
        <f>INDEX(products!$A$1:$G$49, MATCH(orders!$D652,products!$A$1:$A699,0), MATCH(orders!J$1,products!$A$1:$G$1,0))</f>
        <v>D</v>
      </c>
      <c r="K874" s="5">
        <f>INDEX(products!$A$1:$G$49, MATCH(orders!$D652,products!$A$1:$A699,0), MATCH(orders!K$1,products!$A$1:$G$1,0))</f>
        <v>0.5</v>
      </c>
      <c r="L874" s="6">
        <f>INDEX(products!$A$1:$G$49, MATCH(orders!$D652,products!$A$1:$A699,0), MATCH(orders!L$1,products!$A$1:$G$1,0))</f>
        <v>5.3699999999999992</v>
      </c>
      <c r="M874" s="6">
        <f t="shared" si="39"/>
        <v>5.3699999999999992</v>
      </c>
      <c r="N874" t="str">
        <f t="shared" si="40"/>
        <v>Robusta</v>
      </c>
      <c r="O874" t="str">
        <f t="shared" si="41"/>
        <v>Dark</v>
      </c>
      <c r="P874" t="str">
        <f>_xlfn.XLOOKUP(Orders[[#This Row],[Customer ID]],customers!$A$1:$A$1001,customers!$I$1:$I$1001,,0)</f>
        <v>Yes</v>
      </c>
      <c r="Q874">
        <f>COUNTIF(Orders[Order ID],Orders[[#This Row],[Order ID]])</f>
        <v>1</v>
      </c>
      <c r="R874" s="10">
        <f>SUMIF(Orders[Order ID], Orders[[#This Row],[Order ID]],Orders[Sales])/Orders[[#This Row],[Order Frequency]]</f>
        <v>5.3699999999999992</v>
      </c>
      <c r="S874" t="str">
        <f>IF(Orders[[#This Row],[Order Frequency]]&gt;4, "More than 4", IF(AND(Orders[[#This Row],[Order Frequency]]&lt;=4,Orders[[#This Row],[Order Frequency]]&gt;=2), "Between 4 and 2", "Less than 2"))</f>
        <v>Less than 2</v>
      </c>
      <c r="T874" t="str">
        <f>IF(Orders[[#This Row],[Frequency Group]]="less than 2", "Low Value", IF(Orders[[#This Row],[Frequency Group]]="between 4 and 2", "Medium Value", "High Value"))</f>
        <v>Low Value</v>
      </c>
      <c r="U874" t="str">
        <f>IF(Orders[[#This Row],[Sales]]&lt;50, "$0-50", IF(AND(Orders[[#This Row],[Sales]]&gt;=50,Orders[[#This Row],[Sales]]&lt;=100), "$50-100", IF(AND(Orders[[#This Row],[Sales]]&gt;100,Orders[[#This Row],[Sales]]&lt;=150), "$101-150", "$150+")))</f>
        <v>$0-50</v>
      </c>
      <c r="V874" t="str">
        <f>IF(Orders[[#This Row],[Sales]]&gt;MEDIAN(M:M), "High Price", "Low Price")</f>
        <v>Low Price</v>
      </c>
      <c r="W874" t="str">
        <f>IF(Orders[[#This Row],[Quantity]]&gt;MEDIAN(E:E), "High Volume", "Low Volume")</f>
        <v>Low Volume</v>
      </c>
      <c r="X874" t="str">
        <f>Orders[[#This Row],[Sales Tier]] &amp; "-" &amp; Orders[[#This Row],[Quantity Tier]]</f>
        <v>Low Price-Low Volume</v>
      </c>
      <c r="Y874" t="str">
        <f>TEXT(Orders[[#This Row],[Order Date]], "mmmm")</f>
        <v>February</v>
      </c>
      <c r="Z87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74" t="str">
        <f>Orders[[#This Row],[Coffee Type Name]] &amp; "-" &amp; Orders[[#This Row],[Roast Type Name]]</f>
        <v>Robusta-Dark</v>
      </c>
      <c r="AB87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875" spans="1:28" x14ac:dyDescent="0.25">
      <c r="A875" s="2" t="s">
        <v>4348</v>
      </c>
      <c r="B875" s="4">
        <v>43941</v>
      </c>
      <c r="C875" s="2" t="s">
        <v>4349</v>
      </c>
      <c r="D875" t="s">
        <v>6169</v>
      </c>
      <c r="E875" s="2">
        <v>6</v>
      </c>
      <c r="F875" s="2" t="str">
        <f>_xlfn.XLOOKUP(C875,customers!$A$1:$A$1001,customers!$B$1:$B$1001,,0)</f>
        <v>Theo Jacobovitz</v>
      </c>
      <c r="G875" s="2" t="str">
        <f>IF(_xlfn.XLOOKUP(C875,customers!$A$1:$A$1001,customers!$C$1:$C$1001,,0)=0,"",_xlfn.XLOOKUP(C875,customers!$A$1:$A$1001,customers!$C$1:$C$1001,,0))</f>
        <v>tjacobovitziz@cbc.ca</v>
      </c>
      <c r="H875" s="2" t="str">
        <f>_xlfn.XLOOKUP(C875,customers!$A$1:$A$1001,customers!$G$1:$G$1001,,0)</f>
        <v>United States</v>
      </c>
      <c r="I875" t="str">
        <f>INDEX(products!$A$1:$G$49, MATCH(orders!$D685,products!$A$1:$A732,0), MATCH(orders!I$1,products!$A$1:$G$1,0))</f>
        <v>Lib</v>
      </c>
      <c r="J875" t="str">
        <f>INDEX(products!$A$1:$G$49, MATCH(orders!$D685,products!$A$1:$A732,0), MATCH(orders!J$1,products!$A$1:$G$1,0))</f>
        <v>D</v>
      </c>
      <c r="K875" s="5">
        <f>INDEX(products!$A$1:$G$49, MATCH(orders!$D685,products!$A$1:$A732,0), MATCH(orders!K$1,products!$A$1:$G$1,0))</f>
        <v>0.5</v>
      </c>
      <c r="L875" s="6">
        <f>INDEX(products!$A$1:$G$49, MATCH(orders!$D685,products!$A$1:$A732,0), MATCH(orders!L$1,products!$A$1:$G$1,0))</f>
        <v>7.77</v>
      </c>
      <c r="M875" s="6">
        <f t="shared" si="39"/>
        <v>46.62</v>
      </c>
      <c r="N875" t="str">
        <f t="shared" si="40"/>
        <v>Liberica</v>
      </c>
      <c r="O875" t="str">
        <f t="shared" si="41"/>
        <v>Dark</v>
      </c>
      <c r="P875" t="str">
        <f>_xlfn.XLOOKUP(Orders[[#This Row],[Customer ID]],customers!$A$1:$A$1001,customers!$I$1:$I$1001,,0)</f>
        <v>No</v>
      </c>
      <c r="Q875">
        <f>COUNTIF(Orders[Order ID],Orders[[#This Row],[Order ID]])</f>
        <v>1</v>
      </c>
      <c r="R875" s="10">
        <f>SUMIF(Orders[Order ID], Orders[[#This Row],[Order ID]],Orders[Sales])/Orders[[#This Row],[Order Frequency]]</f>
        <v>46.62</v>
      </c>
      <c r="S875" t="str">
        <f>IF(Orders[[#This Row],[Order Frequency]]&gt;4, "More than 4", IF(AND(Orders[[#This Row],[Order Frequency]]&lt;=4,Orders[[#This Row],[Order Frequency]]&gt;=2), "Between 4 and 2", "Less than 2"))</f>
        <v>Less than 2</v>
      </c>
      <c r="T875" t="str">
        <f>IF(Orders[[#This Row],[Frequency Group]]="less than 2", "Low Value", IF(Orders[[#This Row],[Frequency Group]]="between 4 and 2", "Medium Value", "High Value"))</f>
        <v>Low Value</v>
      </c>
      <c r="U875" t="str">
        <f>IF(Orders[[#This Row],[Sales]]&lt;50, "$0-50", IF(AND(Orders[[#This Row],[Sales]]&gt;=50,Orders[[#This Row],[Sales]]&lt;=100), "$50-100", IF(AND(Orders[[#This Row],[Sales]]&gt;100,Orders[[#This Row],[Sales]]&lt;=150), "$101-150", "$150+")))</f>
        <v>$0-50</v>
      </c>
      <c r="V875" t="str">
        <f>IF(Orders[[#This Row],[Sales]]&gt;MEDIAN(M:M), "High Price", "Low Price")</f>
        <v>High Price</v>
      </c>
      <c r="W875" t="str">
        <f>IF(Orders[[#This Row],[Quantity]]&gt;MEDIAN(E:E), "High Volume", "Low Volume")</f>
        <v>High Volume</v>
      </c>
      <c r="X875" t="str">
        <f>Orders[[#This Row],[Sales Tier]] &amp; "-" &amp; Orders[[#This Row],[Quantity Tier]]</f>
        <v>High Price-High Volume</v>
      </c>
      <c r="Y875" t="str">
        <f>TEXT(Orders[[#This Row],[Order Date]], "mmmm")</f>
        <v>April</v>
      </c>
      <c r="Z87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875" t="str">
        <f>Orders[[#This Row],[Coffee Type Name]] &amp; "-" &amp; Orders[[#This Row],[Roast Type Name]]</f>
        <v>Liberica-Dark</v>
      </c>
      <c r="AB87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876" spans="1:28" x14ac:dyDescent="0.25">
      <c r="A876" s="2" t="s">
        <v>2855</v>
      </c>
      <c r="B876" s="4">
        <v>43866</v>
      </c>
      <c r="C876" s="2" t="s">
        <v>2586</v>
      </c>
      <c r="D876" t="s">
        <v>6169</v>
      </c>
      <c r="E876" s="2">
        <v>4</v>
      </c>
      <c r="F876" s="2" t="str">
        <f>_xlfn.XLOOKUP(C876,customers!$A$1:$A$1001,customers!$B$1:$B$1001,,0)</f>
        <v>Terri Farra</v>
      </c>
      <c r="G876" s="2" t="str">
        <f>IF(_xlfn.XLOOKUP(C876,customers!$A$1:$A$1001,customers!$C$1:$C$1001,,0)=0,"",_xlfn.XLOOKUP(C876,customers!$A$1:$A$1001,customers!$C$1:$C$1001,,0))</f>
        <v>tfarraac@behance.net</v>
      </c>
      <c r="H876" s="2" t="str">
        <f>_xlfn.XLOOKUP(C876,customers!$A$1:$A$1001,customers!$G$1:$G$1001,,0)</f>
        <v>United States</v>
      </c>
      <c r="I876" t="str">
        <f>INDEX(products!$A$1:$G$49, MATCH(orders!$D422,products!$A$1:$A469,0), MATCH(orders!I$1,products!$A$1:$G$1,0))</f>
        <v>Lib</v>
      </c>
      <c r="J876" t="str">
        <f>INDEX(products!$A$1:$G$49, MATCH(orders!$D422,products!$A$1:$A469,0), MATCH(orders!J$1,products!$A$1:$G$1,0))</f>
        <v>D</v>
      </c>
      <c r="K876" s="5">
        <f>INDEX(products!$A$1:$G$49, MATCH(orders!$D422,products!$A$1:$A469,0), MATCH(orders!K$1,products!$A$1:$G$1,0))</f>
        <v>0.5</v>
      </c>
      <c r="L876" s="6">
        <f>INDEX(products!$A$1:$G$49, MATCH(orders!$D422,products!$A$1:$A469,0), MATCH(orders!L$1,products!$A$1:$G$1,0))</f>
        <v>7.77</v>
      </c>
      <c r="M876" s="6">
        <f t="shared" si="39"/>
        <v>31.08</v>
      </c>
      <c r="N876" t="str">
        <f t="shared" si="40"/>
        <v>Liberica</v>
      </c>
      <c r="O876" t="str">
        <f t="shared" si="41"/>
        <v>Dark</v>
      </c>
      <c r="P876" t="str">
        <f>_xlfn.XLOOKUP(Orders[[#This Row],[Customer ID]],customers!$A$1:$A$1001,customers!$I$1:$I$1001,,0)</f>
        <v>No</v>
      </c>
      <c r="Q876">
        <f>COUNTIF(Orders[Order ID],Orders[[#This Row],[Order ID]])</f>
        <v>2</v>
      </c>
      <c r="R876" s="10">
        <f>SUMIF(Orders[Order ID], Orders[[#This Row],[Order ID]],Orders[Sales])/Orders[[#This Row],[Order Frequency]]</f>
        <v>84.194999999999993</v>
      </c>
      <c r="S876" t="str">
        <f>IF(Orders[[#This Row],[Order Frequency]]&gt;4, "More than 4", IF(AND(Orders[[#This Row],[Order Frequency]]&lt;=4,Orders[[#This Row],[Order Frequency]]&gt;=2), "Between 4 and 2", "Less than 2"))</f>
        <v>Between 4 and 2</v>
      </c>
      <c r="T876" t="str">
        <f>IF(Orders[[#This Row],[Frequency Group]]="less than 2", "Low Value", IF(Orders[[#This Row],[Frequency Group]]="between 4 and 2", "Medium Value", "High Value"))</f>
        <v>Medium Value</v>
      </c>
      <c r="U876" t="str">
        <f>IF(Orders[[#This Row],[Sales]]&lt;50, "$0-50", IF(AND(Orders[[#This Row],[Sales]]&gt;=50,Orders[[#This Row],[Sales]]&lt;=100), "$50-100", IF(AND(Orders[[#This Row],[Sales]]&gt;100,Orders[[#This Row],[Sales]]&lt;=150), "$101-150", "$150+")))</f>
        <v>$0-50</v>
      </c>
      <c r="V876" t="str">
        <f>IF(Orders[[#This Row],[Sales]]&gt;MEDIAN(M:M), "High Price", "Low Price")</f>
        <v>High Price</v>
      </c>
      <c r="W876" t="str">
        <f>IF(Orders[[#This Row],[Quantity]]&gt;MEDIAN(E:E), "High Volume", "Low Volume")</f>
        <v>Low Volume</v>
      </c>
      <c r="X876" t="str">
        <f>Orders[[#This Row],[Sales Tier]] &amp; "-" &amp; Orders[[#This Row],[Quantity Tier]]</f>
        <v>High Price-Low Volume</v>
      </c>
      <c r="Y876" t="str">
        <f>TEXT(Orders[[#This Row],[Order Date]], "mmmm")</f>
        <v>February</v>
      </c>
      <c r="Z87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76" t="str">
        <f>Orders[[#This Row],[Coffee Type Name]] &amp; "-" &amp; Orders[[#This Row],[Roast Type Name]]</f>
        <v>Liberica-Dark</v>
      </c>
      <c r="AB87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877" spans="1:28" x14ac:dyDescent="0.25">
      <c r="A877" s="2" t="s">
        <v>2855</v>
      </c>
      <c r="B877" s="4">
        <v>43866</v>
      </c>
      <c r="C877" s="2" t="s">
        <v>2586</v>
      </c>
      <c r="D877" t="s">
        <v>6168</v>
      </c>
      <c r="E877" s="2">
        <v>6</v>
      </c>
      <c r="F877" s="2" t="str">
        <f>_xlfn.XLOOKUP(C877,customers!$A$1:$A$1001,customers!$B$1:$B$1001,,0)</f>
        <v>Terri Farra</v>
      </c>
      <c r="G877" s="2" t="str">
        <f>IF(_xlfn.XLOOKUP(C877,customers!$A$1:$A$1001,customers!$C$1:$C$1001,,0)=0,"",_xlfn.XLOOKUP(C877,customers!$A$1:$A$1001,customers!$C$1:$C$1001,,0))</f>
        <v>tfarraac@behance.net</v>
      </c>
      <c r="H877" s="2" t="str">
        <f>_xlfn.XLOOKUP(C877,customers!$A$1:$A$1001,customers!$G$1:$G$1001,,0)</f>
        <v>United States</v>
      </c>
      <c r="I877" t="str">
        <f>INDEX(products!$A$1:$G$49, MATCH(orders!$D423,products!$A$1:$A470,0), MATCH(orders!I$1,products!$A$1:$G$1,0))</f>
        <v>Ara</v>
      </c>
      <c r="J877" t="str">
        <f>INDEX(products!$A$1:$G$49, MATCH(orders!$D423,products!$A$1:$A470,0), MATCH(orders!J$1,products!$A$1:$G$1,0))</f>
        <v>D</v>
      </c>
      <c r="K877" s="5">
        <f>INDEX(products!$A$1:$G$49, MATCH(orders!$D423,products!$A$1:$A470,0), MATCH(orders!K$1,products!$A$1:$G$1,0))</f>
        <v>2.5</v>
      </c>
      <c r="L877" s="6">
        <f>INDEX(products!$A$1:$G$49, MATCH(orders!$D423,products!$A$1:$A470,0), MATCH(orders!L$1,products!$A$1:$G$1,0))</f>
        <v>22.884999999999998</v>
      </c>
      <c r="M877" s="6">
        <f t="shared" si="39"/>
        <v>137.31</v>
      </c>
      <c r="N877" t="str">
        <f t="shared" si="40"/>
        <v>Arabica</v>
      </c>
      <c r="O877" t="str">
        <f t="shared" si="41"/>
        <v>Dark</v>
      </c>
      <c r="P877" t="str">
        <f>_xlfn.XLOOKUP(Orders[[#This Row],[Customer ID]],customers!$A$1:$A$1001,customers!$I$1:$I$1001,,0)</f>
        <v>No</v>
      </c>
      <c r="Q877">
        <f>COUNTIF(Orders[Order ID],Orders[[#This Row],[Order ID]])</f>
        <v>2</v>
      </c>
      <c r="R877" s="10">
        <f>SUMIF(Orders[Order ID], Orders[[#This Row],[Order ID]],Orders[Sales])/Orders[[#This Row],[Order Frequency]]</f>
        <v>84.194999999999993</v>
      </c>
      <c r="S877" t="str">
        <f>IF(Orders[[#This Row],[Order Frequency]]&gt;4, "More than 4", IF(AND(Orders[[#This Row],[Order Frequency]]&lt;=4,Orders[[#This Row],[Order Frequency]]&gt;=2), "Between 4 and 2", "Less than 2"))</f>
        <v>Between 4 and 2</v>
      </c>
      <c r="T877" t="str">
        <f>IF(Orders[[#This Row],[Frequency Group]]="less than 2", "Low Value", IF(Orders[[#This Row],[Frequency Group]]="between 4 and 2", "Medium Value", "High Value"))</f>
        <v>Medium Value</v>
      </c>
      <c r="U877" t="str">
        <f>IF(Orders[[#This Row],[Sales]]&lt;50, "$0-50", IF(AND(Orders[[#This Row],[Sales]]&gt;=50,Orders[[#This Row],[Sales]]&lt;=100), "$50-100", IF(AND(Orders[[#This Row],[Sales]]&gt;100,Orders[[#This Row],[Sales]]&lt;=150), "$101-150", "$150+")))</f>
        <v>$101-150</v>
      </c>
      <c r="V877" t="str">
        <f>IF(Orders[[#This Row],[Sales]]&gt;MEDIAN(M:M), "High Price", "Low Price")</f>
        <v>High Price</v>
      </c>
      <c r="W877" t="str">
        <f>IF(Orders[[#This Row],[Quantity]]&gt;MEDIAN(E:E), "High Volume", "Low Volume")</f>
        <v>High Volume</v>
      </c>
      <c r="X877" t="str">
        <f>Orders[[#This Row],[Sales Tier]] &amp; "-" &amp; Orders[[#This Row],[Quantity Tier]]</f>
        <v>High Price-High Volume</v>
      </c>
      <c r="Y877" t="str">
        <f>TEXT(Orders[[#This Row],[Order Date]], "mmmm")</f>
        <v>February</v>
      </c>
      <c r="Z87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77" t="str">
        <f>Orders[[#This Row],[Coffee Type Name]] &amp; "-" &amp; Orders[[#This Row],[Roast Type Name]]</f>
        <v>Arabica-Dark</v>
      </c>
      <c r="AB87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878" spans="1:28" x14ac:dyDescent="0.25">
      <c r="A878" s="2" t="s">
        <v>661</v>
      </c>
      <c r="B878" s="4">
        <v>44464</v>
      </c>
      <c r="C878" s="2" t="s">
        <v>662</v>
      </c>
      <c r="D878" t="s">
        <v>6159</v>
      </c>
      <c r="E878" s="2">
        <v>5</v>
      </c>
      <c r="F878" s="2" t="str">
        <f>_xlfn.XLOOKUP(C878,customers!$A$1:$A$1001,customers!$B$1:$B$1001,,0)</f>
        <v>Adrian Swaine</v>
      </c>
      <c r="G878" s="2" t="str">
        <f>IF(_xlfn.XLOOKUP(C878,customers!$A$1:$A$1001,customers!$C$1:$C$1001,,0)=0,"",_xlfn.XLOOKUP(C878,customers!$A$1:$A$1001,customers!$C$1:$C$1001,,0))</f>
        <v/>
      </c>
      <c r="H878" s="2" t="str">
        <f>_xlfn.XLOOKUP(C878,customers!$A$1:$A$1001,customers!$G$1:$G$1001,,0)</f>
        <v>United States</v>
      </c>
      <c r="I878" t="str">
        <f>INDEX(products!$A$1:$G$49, MATCH(orders!$D32,products!$A$1:$A79,0), MATCH(orders!I$1,products!$A$1:$G$1,0))</f>
        <v>Lib</v>
      </c>
      <c r="J878" t="str">
        <f>INDEX(products!$A$1:$G$49, MATCH(orders!$D32,products!$A$1:$A79,0), MATCH(orders!J$1,products!$A$1:$G$1,0))</f>
        <v>M</v>
      </c>
      <c r="K878" s="5">
        <f>INDEX(products!$A$1:$G$49, MATCH(orders!$D32,products!$A$1:$A79,0), MATCH(orders!K$1,products!$A$1:$G$1,0))</f>
        <v>0.2</v>
      </c>
      <c r="L878" s="6">
        <f>INDEX(products!$A$1:$G$49, MATCH(orders!$D32,products!$A$1:$A79,0), MATCH(orders!L$1,products!$A$1:$G$1,0))</f>
        <v>4.3650000000000002</v>
      </c>
      <c r="M878" s="6">
        <f t="shared" si="39"/>
        <v>21.825000000000003</v>
      </c>
      <c r="N878" t="str">
        <f t="shared" si="40"/>
        <v>Liberica</v>
      </c>
      <c r="O878" t="str">
        <f t="shared" si="41"/>
        <v>Medium</v>
      </c>
      <c r="P878" t="str">
        <f>_xlfn.XLOOKUP(Orders[[#This Row],[Customer ID]],customers!$A$1:$A$1001,customers!$I$1:$I$1001,,0)</f>
        <v>No</v>
      </c>
      <c r="Q878">
        <f>COUNTIF(Orders[Order ID],Orders[[#This Row],[Order ID]])</f>
        <v>3</v>
      </c>
      <c r="R878" s="10">
        <f>SUMIF(Orders[Order ID], Orders[[#This Row],[Order ID]],Orders[Sales])/Orders[[#This Row],[Order Frequency]]</f>
        <v>36.675000000000004</v>
      </c>
      <c r="S878" t="str">
        <f>IF(Orders[[#This Row],[Order Frequency]]&gt;4, "More than 4", IF(AND(Orders[[#This Row],[Order Frequency]]&lt;=4,Orders[[#This Row],[Order Frequency]]&gt;=2), "Between 4 and 2", "Less than 2"))</f>
        <v>Between 4 and 2</v>
      </c>
      <c r="T878" t="str">
        <f>IF(Orders[[#This Row],[Frequency Group]]="less than 2", "Low Value", IF(Orders[[#This Row],[Frequency Group]]="between 4 and 2", "Medium Value", "High Value"))</f>
        <v>Medium Value</v>
      </c>
      <c r="U878" t="str">
        <f>IF(Orders[[#This Row],[Sales]]&lt;50, "$0-50", IF(AND(Orders[[#This Row],[Sales]]&gt;=50,Orders[[#This Row],[Sales]]&lt;=100), "$50-100", IF(AND(Orders[[#This Row],[Sales]]&gt;100,Orders[[#This Row],[Sales]]&lt;=150), "$101-150", "$150+")))</f>
        <v>$0-50</v>
      </c>
      <c r="V878" t="str">
        <f>IF(Orders[[#This Row],[Sales]]&gt;MEDIAN(M:M), "High Price", "Low Price")</f>
        <v>Low Price</v>
      </c>
      <c r="W878" t="str">
        <f>IF(Orders[[#This Row],[Quantity]]&gt;MEDIAN(E:E), "High Volume", "Low Volume")</f>
        <v>High Volume</v>
      </c>
      <c r="X878" t="str">
        <f>Orders[[#This Row],[Sales Tier]] &amp; "-" &amp; Orders[[#This Row],[Quantity Tier]]</f>
        <v>Low Price-High Volume</v>
      </c>
      <c r="Y878" t="str">
        <f>TEXT(Orders[[#This Row],[Order Date]], "mmmm")</f>
        <v>September</v>
      </c>
      <c r="Z87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878" t="str">
        <f>Orders[[#This Row],[Coffee Type Name]] &amp; "-" &amp; Orders[[#This Row],[Roast Type Name]]</f>
        <v>Liberica-Medium</v>
      </c>
      <c r="AB87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79" spans="1:28" x14ac:dyDescent="0.25">
      <c r="A879" s="2" t="s">
        <v>661</v>
      </c>
      <c r="B879" s="4">
        <v>44464</v>
      </c>
      <c r="C879" s="2" t="s">
        <v>662</v>
      </c>
      <c r="D879" t="s">
        <v>6158</v>
      </c>
      <c r="E879" s="2">
        <v>6</v>
      </c>
      <c r="F879" s="2" t="str">
        <f>_xlfn.XLOOKUP(C879,customers!$A$1:$A$1001,customers!$B$1:$B$1001,,0)</f>
        <v>Adrian Swaine</v>
      </c>
      <c r="G879" s="2" t="str">
        <f>IF(_xlfn.XLOOKUP(C879,customers!$A$1:$A$1001,customers!$C$1:$C$1001,,0)=0,"",_xlfn.XLOOKUP(C879,customers!$A$1:$A$1001,customers!$C$1:$C$1001,,0))</f>
        <v/>
      </c>
      <c r="H879" s="2" t="str">
        <f>_xlfn.XLOOKUP(C879,customers!$A$1:$A$1001,customers!$G$1:$G$1001,,0)</f>
        <v>United States</v>
      </c>
      <c r="I879" t="str">
        <f>INDEX(products!$A$1:$G$49, MATCH(orders!$D33,products!$A$1:$A80,0), MATCH(orders!I$1,products!$A$1:$G$1,0))</f>
        <v>Ara</v>
      </c>
      <c r="J879" t="str">
        <f>INDEX(products!$A$1:$G$49, MATCH(orders!$D33,products!$A$1:$A80,0), MATCH(orders!J$1,products!$A$1:$G$1,0))</f>
        <v>D</v>
      </c>
      <c r="K879" s="5">
        <f>INDEX(products!$A$1:$G$49, MATCH(orders!$D33,products!$A$1:$A80,0), MATCH(orders!K$1,products!$A$1:$G$1,0))</f>
        <v>0.5</v>
      </c>
      <c r="L879" s="6">
        <f>INDEX(products!$A$1:$G$49, MATCH(orders!$D33,products!$A$1:$A80,0), MATCH(orders!L$1,products!$A$1:$G$1,0))</f>
        <v>5.97</v>
      </c>
      <c r="M879" s="6">
        <f t="shared" si="39"/>
        <v>35.82</v>
      </c>
      <c r="N879" t="str">
        <f t="shared" si="40"/>
        <v>Arabica</v>
      </c>
      <c r="O879" t="str">
        <f t="shared" si="41"/>
        <v>Dark</v>
      </c>
      <c r="P879" t="str">
        <f>_xlfn.XLOOKUP(Orders[[#This Row],[Customer ID]],customers!$A$1:$A$1001,customers!$I$1:$I$1001,,0)</f>
        <v>No</v>
      </c>
      <c r="Q879">
        <f>COUNTIF(Orders[Order ID],Orders[[#This Row],[Order ID]])</f>
        <v>3</v>
      </c>
      <c r="R879" s="10">
        <f>SUMIF(Orders[Order ID], Orders[[#This Row],[Order ID]],Orders[Sales])/Orders[[#This Row],[Order Frequency]]</f>
        <v>36.675000000000004</v>
      </c>
      <c r="S879" t="str">
        <f>IF(Orders[[#This Row],[Order Frequency]]&gt;4, "More than 4", IF(AND(Orders[[#This Row],[Order Frequency]]&lt;=4,Orders[[#This Row],[Order Frequency]]&gt;=2), "Between 4 and 2", "Less than 2"))</f>
        <v>Between 4 and 2</v>
      </c>
      <c r="T879" t="str">
        <f>IF(Orders[[#This Row],[Frequency Group]]="less than 2", "Low Value", IF(Orders[[#This Row],[Frequency Group]]="between 4 and 2", "Medium Value", "High Value"))</f>
        <v>Medium Value</v>
      </c>
      <c r="U879" t="str">
        <f>IF(Orders[[#This Row],[Sales]]&lt;50, "$0-50", IF(AND(Orders[[#This Row],[Sales]]&gt;=50,Orders[[#This Row],[Sales]]&lt;=100), "$50-100", IF(AND(Orders[[#This Row],[Sales]]&gt;100,Orders[[#This Row],[Sales]]&lt;=150), "$101-150", "$150+")))</f>
        <v>$0-50</v>
      </c>
      <c r="V879" t="str">
        <f>IF(Orders[[#This Row],[Sales]]&gt;MEDIAN(M:M), "High Price", "Low Price")</f>
        <v>High Price</v>
      </c>
      <c r="W879" t="str">
        <f>IF(Orders[[#This Row],[Quantity]]&gt;MEDIAN(E:E), "High Volume", "Low Volume")</f>
        <v>High Volume</v>
      </c>
      <c r="X879" t="str">
        <f>Orders[[#This Row],[Sales Tier]] &amp; "-" &amp; Orders[[#This Row],[Quantity Tier]]</f>
        <v>High Price-High Volume</v>
      </c>
      <c r="Y879" t="str">
        <f>TEXT(Orders[[#This Row],[Order Date]], "mmmm")</f>
        <v>September</v>
      </c>
      <c r="Z87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879" t="str">
        <f>Orders[[#This Row],[Coffee Type Name]] &amp; "-" &amp; Orders[[#This Row],[Roast Type Name]]</f>
        <v>Arabica-Dark</v>
      </c>
      <c r="AB87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80" spans="1:28" x14ac:dyDescent="0.25">
      <c r="A880" s="2" t="s">
        <v>661</v>
      </c>
      <c r="B880" s="4">
        <v>44464</v>
      </c>
      <c r="C880" s="2" t="s">
        <v>662</v>
      </c>
      <c r="D880" t="s">
        <v>6160</v>
      </c>
      <c r="E880" s="2">
        <v>6</v>
      </c>
      <c r="F880" s="2" t="str">
        <f>_xlfn.XLOOKUP(C880,customers!$A$1:$A$1001,customers!$B$1:$B$1001,,0)</f>
        <v>Adrian Swaine</v>
      </c>
      <c r="G880" s="2" t="str">
        <f>IF(_xlfn.XLOOKUP(C880,customers!$A$1:$A$1001,customers!$C$1:$C$1001,,0)=0,"",_xlfn.XLOOKUP(C880,customers!$A$1:$A$1001,customers!$C$1:$C$1001,,0))</f>
        <v/>
      </c>
      <c r="H880" s="2" t="str">
        <f>_xlfn.XLOOKUP(C880,customers!$A$1:$A$1001,customers!$G$1:$G$1001,,0)</f>
        <v>United States</v>
      </c>
      <c r="I880" t="str">
        <f>INDEX(products!$A$1:$G$49, MATCH(orders!$D34,products!$A$1:$A81,0), MATCH(orders!I$1,products!$A$1:$G$1,0))</f>
        <v>Lib</v>
      </c>
      <c r="J880" t="str">
        <f>INDEX(products!$A$1:$G$49, MATCH(orders!$D34,products!$A$1:$A81,0), MATCH(orders!J$1,products!$A$1:$G$1,0))</f>
        <v>M</v>
      </c>
      <c r="K880" s="5">
        <f>INDEX(products!$A$1:$G$49, MATCH(orders!$D34,products!$A$1:$A81,0), MATCH(orders!K$1,products!$A$1:$G$1,0))</f>
        <v>0.5</v>
      </c>
      <c r="L880" s="6">
        <f>INDEX(products!$A$1:$G$49, MATCH(orders!$D34,products!$A$1:$A81,0), MATCH(orders!L$1,products!$A$1:$G$1,0))</f>
        <v>8.73</v>
      </c>
      <c r="M880" s="6">
        <f t="shared" si="39"/>
        <v>52.38</v>
      </c>
      <c r="N880" t="str">
        <f t="shared" si="40"/>
        <v>Liberica</v>
      </c>
      <c r="O880" t="str">
        <f t="shared" si="41"/>
        <v>Medium</v>
      </c>
      <c r="P880" t="str">
        <f>_xlfn.XLOOKUP(Orders[[#This Row],[Customer ID]],customers!$A$1:$A$1001,customers!$I$1:$I$1001,,0)</f>
        <v>No</v>
      </c>
      <c r="Q880">
        <f>COUNTIF(Orders[Order ID],Orders[[#This Row],[Order ID]])</f>
        <v>3</v>
      </c>
      <c r="R880" s="10">
        <f>SUMIF(Orders[Order ID], Orders[[#This Row],[Order ID]],Orders[Sales])/Orders[[#This Row],[Order Frequency]]</f>
        <v>36.675000000000004</v>
      </c>
      <c r="S880" t="str">
        <f>IF(Orders[[#This Row],[Order Frequency]]&gt;4, "More than 4", IF(AND(Orders[[#This Row],[Order Frequency]]&lt;=4,Orders[[#This Row],[Order Frequency]]&gt;=2), "Between 4 and 2", "Less than 2"))</f>
        <v>Between 4 and 2</v>
      </c>
      <c r="T880" t="str">
        <f>IF(Orders[[#This Row],[Frequency Group]]="less than 2", "Low Value", IF(Orders[[#This Row],[Frequency Group]]="between 4 and 2", "Medium Value", "High Value"))</f>
        <v>Medium Value</v>
      </c>
      <c r="U880" t="str">
        <f>IF(Orders[[#This Row],[Sales]]&lt;50, "$0-50", IF(AND(Orders[[#This Row],[Sales]]&gt;=50,Orders[[#This Row],[Sales]]&lt;=100), "$50-100", IF(AND(Orders[[#This Row],[Sales]]&gt;100,Orders[[#This Row],[Sales]]&lt;=150), "$101-150", "$150+")))</f>
        <v>$50-100</v>
      </c>
      <c r="V880" t="str">
        <f>IF(Orders[[#This Row],[Sales]]&gt;MEDIAN(M:M), "High Price", "Low Price")</f>
        <v>High Price</v>
      </c>
      <c r="W880" t="str">
        <f>IF(Orders[[#This Row],[Quantity]]&gt;MEDIAN(E:E), "High Volume", "Low Volume")</f>
        <v>High Volume</v>
      </c>
      <c r="X880" t="str">
        <f>Orders[[#This Row],[Sales Tier]] &amp; "-" &amp; Orders[[#This Row],[Quantity Tier]]</f>
        <v>High Price-High Volume</v>
      </c>
      <c r="Y880" t="str">
        <f>TEXT(Orders[[#This Row],[Order Date]], "mmmm")</f>
        <v>September</v>
      </c>
      <c r="Z88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880" t="str">
        <f>Orders[[#This Row],[Coffee Type Name]] &amp; "-" &amp; Orders[[#This Row],[Roast Type Name]]</f>
        <v>Liberica-Medium</v>
      </c>
      <c r="AB88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81" spans="1:28" x14ac:dyDescent="0.25">
      <c r="A881" s="2" t="s">
        <v>1470</v>
      </c>
      <c r="B881" s="4">
        <v>43813</v>
      </c>
      <c r="C881" s="2" t="s">
        <v>1471</v>
      </c>
      <c r="D881" t="s">
        <v>6148</v>
      </c>
      <c r="E881" s="2">
        <v>6</v>
      </c>
      <c r="F881" s="2" t="str">
        <f>_xlfn.XLOOKUP(C881,customers!$A$1:$A$1001,customers!$B$1:$B$1001,,0)</f>
        <v>Elysee Sketch</v>
      </c>
      <c r="G881" s="2" t="str">
        <f>IF(_xlfn.XLOOKUP(C881,customers!$A$1:$A$1001,customers!$C$1:$C$1001,,0)=0,"",_xlfn.XLOOKUP(C881,customers!$A$1:$A$1001,customers!$C$1:$C$1001,,0))</f>
        <v/>
      </c>
      <c r="H881" s="2" t="str">
        <f>_xlfn.XLOOKUP(C881,customers!$A$1:$A$1001,customers!$G$1:$G$1001,,0)</f>
        <v>United States</v>
      </c>
      <c r="I881" t="str">
        <f>INDEX(products!$A$1:$G$49, MATCH(orders!$D176,products!$A$1:$A223,0), MATCH(orders!I$1,products!$A$1:$G$1,0))</f>
        <v>Exc</v>
      </c>
      <c r="J881" t="str">
        <f>INDEX(products!$A$1:$G$49, MATCH(orders!$D176,products!$A$1:$A223,0), MATCH(orders!J$1,products!$A$1:$G$1,0))</f>
        <v>L</v>
      </c>
      <c r="K881" s="5">
        <f>INDEX(products!$A$1:$G$49, MATCH(orders!$D176,products!$A$1:$A223,0), MATCH(orders!K$1,products!$A$1:$G$1,0))</f>
        <v>2.5</v>
      </c>
      <c r="L881" s="6">
        <f>INDEX(products!$A$1:$G$49, MATCH(orders!$D176,products!$A$1:$A223,0), MATCH(orders!L$1,products!$A$1:$G$1,0))</f>
        <v>34.154999999999994</v>
      </c>
      <c r="M881" s="6">
        <f t="shared" si="39"/>
        <v>204.92999999999995</v>
      </c>
      <c r="N881" t="str">
        <f t="shared" si="40"/>
        <v>Excelsa</v>
      </c>
      <c r="O881" t="str">
        <f t="shared" si="41"/>
        <v>Light</v>
      </c>
      <c r="P881" t="str">
        <f>_xlfn.XLOOKUP(Orders[[#This Row],[Customer ID]],customers!$A$1:$A$1001,customers!$I$1:$I$1001,,0)</f>
        <v>Yes</v>
      </c>
      <c r="Q881">
        <f>COUNTIF(Orders[Order ID],Orders[[#This Row],[Order ID]])</f>
        <v>1</v>
      </c>
      <c r="R881" s="10">
        <f>SUMIF(Orders[Order ID], Orders[[#This Row],[Order ID]],Orders[Sales])/Orders[[#This Row],[Order Frequency]]</f>
        <v>204.92999999999995</v>
      </c>
      <c r="S881" t="str">
        <f>IF(Orders[[#This Row],[Order Frequency]]&gt;4, "More than 4", IF(AND(Orders[[#This Row],[Order Frequency]]&lt;=4,Orders[[#This Row],[Order Frequency]]&gt;=2), "Between 4 and 2", "Less than 2"))</f>
        <v>Less than 2</v>
      </c>
      <c r="T881" t="str">
        <f>IF(Orders[[#This Row],[Frequency Group]]="less than 2", "Low Value", IF(Orders[[#This Row],[Frequency Group]]="between 4 and 2", "Medium Value", "High Value"))</f>
        <v>Low Value</v>
      </c>
      <c r="U881" t="str">
        <f>IF(Orders[[#This Row],[Sales]]&lt;50, "$0-50", IF(AND(Orders[[#This Row],[Sales]]&gt;=50,Orders[[#This Row],[Sales]]&lt;=100), "$50-100", IF(AND(Orders[[#This Row],[Sales]]&gt;100,Orders[[#This Row],[Sales]]&lt;=150), "$101-150", "$150+")))</f>
        <v>$150+</v>
      </c>
      <c r="V881" t="str">
        <f>IF(Orders[[#This Row],[Sales]]&gt;MEDIAN(M:M), "High Price", "Low Price")</f>
        <v>High Price</v>
      </c>
      <c r="W881" t="str">
        <f>IF(Orders[[#This Row],[Quantity]]&gt;MEDIAN(E:E), "High Volume", "Low Volume")</f>
        <v>High Volume</v>
      </c>
      <c r="X881" t="str">
        <f>Orders[[#This Row],[Sales Tier]] &amp; "-" &amp; Orders[[#This Row],[Quantity Tier]]</f>
        <v>High Price-High Volume</v>
      </c>
      <c r="Y881" t="str">
        <f>TEXT(Orders[[#This Row],[Order Date]], "mmmm")</f>
        <v>December</v>
      </c>
      <c r="Z88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881" t="str">
        <f>Orders[[#This Row],[Coffee Type Name]] &amp; "-" &amp; Orders[[#This Row],[Roast Type Name]]</f>
        <v>Excelsa-Light</v>
      </c>
      <c r="AB88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882" spans="1:28" x14ac:dyDescent="0.25">
      <c r="A882" s="2" t="s">
        <v>5407</v>
      </c>
      <c r="B882" s="4">
        <v>44460</v>
      </c>
      <c r="C882" s="2" t="s">
        <v>5408</v>
      </c>
      <c r="D882" t="s">
        <v>6144</v>
      </c>
      <c r="E882" s="2">
        <v>1</v>
      </c>
      <c r="F882" s="2" t="str">
        <f>_xlfn.XLOOKUP(C882,customers!$A$1:$A$1001,customers!$B$1:$B$1001,,0)</f>
        <v>Filip Antcliffe</v>
      </c>
      <c r="G882" s="2" t="str">
        <f>IF(_xlfn.XLOOKUP(C882,customers!$A$1:$A$1001,customers!$C$1:$C$1001,,0)=0,"",_xlfn.XLOOKUP(C882,customers!$A$1:$A$1001,customers!$C$1:$C$1001,,0))</f>
        <v>fantcliffeo6@amazon.co.jp</v>
      </c>
      <c r="H882" s="2" t="str">
        <f>_xlfn.XLOOKUP(C882,customers!$A$1:$A$1001,customers!$G$1:$G$1001,,0)</f>
        <v>Ireland</v>
      </c>
      <c r="I882" t="str">
        <f>INDEX(products!$A$1:$G$49, MATCH(orders!$D872,products!$A$1:$A919,0), MATCH(orders!I$1,products!$A$1:$G$1,0))</f>
        <v>Exc</v>
      </c>
      <c r="J882" t="str">
        <f>INDEX(products!$A$1:$G$49, MATCH(orders!$D872,products!$A$1:$A919,0), MATCH(orders!J$1,products!$A$1:$G$1,0))</f>
        <v>D</v>
      </c>
      <c r="K882" s="5">
        <f>INDEX(products!$A$1:$G$49, MATCH(orders!$D872,products!$A$1:$A919,0), MATCH(orders!K$1,products!$A$1:$G$1,0))</f>
        <v>0.5</v>
      </c>
      <c r="L882" s="6">
        <f>INDEX(products!$A$1:$G$49, MATCH(orders!$D872,products!$A$1:$A919,0), MATCH(orders!L$1,products!$A$1:$G$1,0))</f>
        <v>7.29</v>
      </c>
      <c r="M882" s="6">
        <f t="shared" si="39"/>
        <v>7.29</v>
      </c>
      <c r="N882" t="str">
        <f t="shared" si="40"/>
        <v>Excelsa</v>
      </c>
      <c r="O882" t="str">
        <f t="shared" si="41"/>
        <v>Dark</v>
      </c>
      <c r="P882" t="str">
        <f>_xlfn.XLOOKUP(Orders[[#This Row],[Customer ID]],customers!$A$1:$A$1001,customers!$I$1:$I$1001,,0)</f>
        <v>Yes</v>
      </c>
      <c r="Q882">
        <f>COUNTIF(Orders[Order ID],Orders[[#This Row],[Order ID]])</f>
        <v>1</v>
      </c>
      <c r="R882" s="10">
        <f>SUMIF(Orders[Order ID], Orders[[#This Row],[Order ID]],Orders[Sales])/Orders[[#This Row],[Order Frequency]]</f>
        <v>7.29</v>
      </c>
      <c r="S882" t="str">
        <f>IF(Orders[[#This Row],[Order Frequency]]&gt;4, "More than 4", IF(AND(Orders[[#This Row],[Order Frequency]]&lt;=4,Orders[[#This Row],[Order Frequency]]&gt;=2), "Between 4 and 2", "Less than 2"))</f>
        <v>Less than 2</v>
      </c>
      <c r="T882" t="str">
        <f>IF(Orders[[#This Row],[Frequency Group]]="less than 2", "Low Value", IF(Orders[[#This Row],[Frequency Group]]="between 4 and 2", "Medium Value", "High Value"))</f>
        <v>Low Value</v>
      </c>
      <c r="U882" t="str">
        <f>IF(Orders[[#This Row],[Sales]]&lt;50, "$0-50", IF(AND(Orders[[#This Row],[Sales]]&gt;=50,Orders[[#This Row],[Sales]]&lt;=100), "$50-100", IF(AND(Orders[[#This Row],[Sales]]&gt;100,Orders[[#This Row],[Sales]]&lt;=150), "$101-150", "$150+")))</f>
        <v>$0-50</v>
      </c>
      <c r="V882" t="str">
        <f>IF(Orders[[#This Row],[Sales]]&gt;MEDIAN(M:M), "High Price", "Low Price")</f>
        <v>Low Price</v>
      </c>
      <c r="W882" t="str">
        <f>IF(Orders[[#This Row],[Quantity]]&gt;MEDIAN(E:E), "High Volume", "Low Volume")</f>
        <v>Low Volume</v>
      </c>
      <c r="X882" t="str">
        <f>Orders[[#This Row],[Sales Tier]] &amp; "-" &amp; Orders[[#This Row],[Quantity Tier]]</f>
        <v>Low Price-Low Volume</v>
      </c>
      <c r="Y882" t="str">
        <f>TEXT(Orders[[#This Row],[Order Date]], "mmmm")</f>
        <v>September</v>
      </c>
      <c r="Z88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882" t="str">
        <f>Orders[[#This Row],[Coffee Type Name]] &amp; "-" &amp; Orders[[#This Row],[Roast Type Name]]</f>
        <v>Excelsa-Dark</v>
      </c>
      <c r="AB88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83" spans="1:28" x14ac:dyDescent="0.25">
      <c r="A883" s="2" t="s">
        <v>4123</v>
      </c>
      <c r="B883" s="4">
        <v>44011</v>
      </c>
      <c r="C883" s="2" t="s">
        <v>4124</v>
      </c>
      <c r="D883" t="s">
        <v>6148</v>
      </c>
      <c r="E883" s="2">
        <v>3</v>
      </c>
      <c r="F883" s="2" t="str">
        <f>_xlfn.XLOOKUP(C883,customers!$A$1:$A$1001,customers!$B$1:$B$1001,,0)</f>
        <v>Courtney Pallant</v>
      </c>
      <c r="G883" s="2" t="str">
        <f>IF(_xlfn.XLOOKUP(C883,customers!$A$1:$A$1001,customers!$C$1:$C$1001,,0)=0,"",_xlfn.XLOOKUP(C883,customers!$A$1:$A$1001,customers!$C$1:$C$1001,,0))</f>
        <v>cpallanthv@typepad.com</v>
      </c>
      <c r="H883" s="2" t="str">
        <f>_xlfn.XLOOKUP(C883,customers!$A$1:$A$1001,customers!$G$1:$G$1001,,0)</f>
        <v>United States</v>
      </c>
      <c r="I883" t="str">
        <f>INDEX(products!$A$1:$G$49, MATCH(orders!$D645,products!$A$1:$A692,0), MATCH(orders!I$1,products!$A$1:$G$1,0))</f>
        <v>Exc</v>
      </c>
      <c r="J883" t="str">
        <f>INDEX(products!$A$1:$G$49, MATCH(orders!$D645,products!$A$1:$A692,0), MATCH(orders!J$1,products!$A$1:$G$1,0))</f>
        <v>L</v>
      </c>
      <c r="K883" s="5">
        <f>INDEX(products!$A$1:$G$49, MATCH(orders!$D645,products!$A$1:$A692,0), MATCH(orders!K$1,products!$A$1:$G$1,0))</f>
        <v>2.5</v>
      </c>
      <c r="L883" s="6">
        <f>INDEX(products!$A$1:$G$49, MATCH(orders!$D645,products!$A$1:$A692,0), MATCH(orders!L$1,products!$A$1:$G$1,0))</f>
        <v>34.154999999999994</v>
      </c>
      <c r="M883" s="6">
        <f t="shared" si="39"/>
        <v>102.46499999999997</v>
      </c>
      <c r="N883" t="str">
        <f t="shared" si="40"/>
        <v>Excelsa</v>
      </c>
      <c r="O883" t="str">
        <f t="shared" si="41"/>
        <v>Light</v>
      </c>
      <c r="P883" t="str">
        <f>_xlfn.XLOOKUP(Orders[[#This Row],[Customer ID]],customers!$A$1:$A$1001,customers!$I$1:$I$1001,,0)</f>
        <v>Yes</v>
      </c>
      <c r="Q883">
        <f>COUNTIF(Orders[Order ID],Orders[[#This Row],[Order ID]])</f>
        <v>1</v>
      </c>
      <c r="R883" s="10">
        <f>SUMIF(Orders[Order ID], Orders[[#This Row],[Order ID]],Orders[Sales])/Orders[[#This Row],[Order Frequency]]</f>
        <v>102.46499999999997</v>
      </c>
      <c r="S883" t="str">
        <f>IF(Orders[[#This Row],[Order Frequency]]&gt;4, "More than 4", IF(AND(Orders[[#This Row],[Order Frequency]]&lt;=4,Orders[[#This Row],[Order Frequency]]&gt;=2), "Between 4 and 2", "Less than 2"))</f>
        <v>Less than 2</v>
      </c>
      <c r="T883" t="str">
        <f>IF(Orders[[#This Row],[Frequency Group]]="less than 2", "Low Value", IF(Orders[[#This Row],[Frequency Group]]="between 4 and 2", "Medium Value", "High Value"))</f>
        <v>Low Value</v>
      </c>
      <c r="U883" t="str">
        <f>IF(Orders[[#This Row],[Sales]]&lt;50, "$0-50", IF(AND(Orders[[#This Row],[Sales]]&gt;=50,Orders[[#This Row],[Sales]]&lt;=100), "$50-100", IF(AND(Orders[[#This Row],[Sales]]&gt;100,Orders[[#This Row],[Sales]]&lt;=150), "$101-150", "$150+")))</f>
        <v>$101-150</v>
      </c>
      <c r="V883" t="str">
        <f>IF(Orders[[#This Row],[Sales]]&gt;MEDIAN(M:M), "High Price", "Low Price")</f>
        <v>High Price</v>
      </c>
      <c r="W883" t="str">
        <f>IF(Orders[[#This Row],[Quantity]]&gt;MEDIAN(E:E), "High Volume", "Low Volume")</f>
        <v>Low Volume</v>
      </c>
      <c r="X883" t="str">
        <f>Orders[[#This Row],[Sales Tier]] &amp; "-" &amp; Orders[[#This Row],[Quantity Tier]]</f>
        <v>High Price-Low Volume</v>
      </c>
      <c r="Y883" t="str">
        <f>TEXT(Orders[[#This Row],[Order Date]], "mmmm")</f>
        <v>June</v>
      </c>
      <c r="Z88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883" t="str">
        <f>Orders[[#This Row],[Coffee Type Name]] &amp; "-" &amp; Orders[[#This Row],[Roast Type Name]]</f>
        <v>Excelsa-Light</v>
      </c>
      <c r="AB88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884" spans="1:28" x14ac:dyDescent="0.25">
      <c r="A884" s="2" t="s">
        <v>1222</v>
      </c>
      <c r="B884" s="4">
        <v>44624</v>
      </c>
      <c r="C884" s="2" t="s">
        <v>1223</v>
      </c>
      <c r="D884" t="s">
        <v>6182</v>
      </c>
      <c r="E884" s="2">
        <v>5</v>
      </c>
      <c r="F884" s="2" t="str">
        <f>_xlfn.XLOOKUP(C884,customers!$A$1:$A$1001,customers!$B$1:$B$1001,,0)</f>
        <v>Bidget Tremellier</v>
      </c>
      <c r="G884" s="2" t="str">
        <f>IF(_xlfn.XLOOKUP(C884,customers!$A$1:$A$1001,customers!$C$1:$C$1001,,0)=0,"",_xlfn.XLOOKUP(C884,customers!$A$1:$A$1001,customers!$C$1:$C$1001,,0))</f>
        <v/>
      </c>
      <c r="H884" s="2" t="str">
        <f>_xlfn.XLOOKUP(C884,customers!$A$1:$A$1001,customers!$G$1:$G$1001,,0)</f>
        <v>Ireland</v>
      </c>
      <c r="I884" t="str">
        <f>INDEX(products!$A$1:$G$49, MATCH(orders!$D132,products!$A$1:$A179,0), MATCH(orders!I$1,products!$A$1:$G$1,0))</f>
        <v>Ara</v>
      </c>
      <c r="J884" t="str">
        <f>INDEX(products!$A$1:$G$49, MATCH(orders!$D132,products!$A$1:$A179,0), MATCH(orders!J$1,products!$A$1:$G$1,0))</f>
        <v>L</v>
      </c>
      <c r="K884" s="5">
        <f>INDEX(products!$A$1:$G$49, MATCH(orders!$D132,products!$A$1:$A179,0), MATCH(orders!K$1,products!$A$1:$G$1,0))</f>
        <v>2.5</v>
      </c>
      <c r="L884" s="6">
        <f>INDEX(products!$A$1:$G$49, MATCH(orders!$D132,products!$A$1:$A179,0), MATCH(orders!L$1,products!$A$1:$G$1,0))</f>
        <v>29.784999999999997</v>
      </c>
      <c r="M884" s="6">
        <f t="shared" si="39"/>
        <v>148.92499999999998</v>
      </c>
      <c r="N884" t="str">
        <f t="shared" si="40"/>
        <v>Arabica</v>
      </c>
      <c r="O884" t="str">
        <f t="shared" si="41"/>
        <v>Light</v>
      </c>
      <c r="P884" t="str">
        <f>_xlfn.XLOOKUP(Orders[[#This Row],[Customer ID]],customers!$A$1:$A$1001,customers!$I$1:$I$1001,,0)</f>
        <v>Yes</v>
      </c>
      <c r="Q884">
        <f>COUNTIF(Orders[Order ID],Orders[[#This Row],[Order ID]])</f>
        <v>1</v>
      </c>
      <c r="R884" s="10">
        <f>SUMIF(Orders[Order ID], Orders[[#This Row],[Order ID]],Orders[Sales])/Orders[[#This Row],[Order Frequency]]</f>
        <v>148.92499999999998</v>
      </c>
      <c r="S884" t="str">
        <f>IF(Orders[[#This Row],[Order Frequency]]&gt;4, "More than 4", IF(AND(Orders[[#This Row],[Order Frequency]]&lt;=4,Orders[[#This Row],[Order Frequency]]&gt;=2), "Between 4 and 2", "Less than 2"))</f>
        <v>Less than 2</v>
      </c>
      <c r="T884" t="str">
        <f>IF(Orders[[#This Row],[Frequency Group]]="less than 2", "Low Value", IF(Orders[[#This Row],[Frequency Group]]="between 4 and 2", "Medium Value", "High Value"))</f>
        <v>Low Value</v>
      </c>
      <c r="U884" t="str">
        <f>IF(Orders[[#This Row],[Sales]]&lt;50, "$0-50", IF(AND(Orders[[#This Row],[Sales]]&gt;=50,Orders[[#This Row],[Sales]]&lt;=100), "$50-100", IF(AND(Orders[[#This Row],[Sales]]&gt;100,Orders[[#This Row],[Sales]]&lt;=150), "$101-150", "$150+")))</f>
        <v>$101-150</v>
      </c>
      <c r="V884" t="str">
        <f>IF(Orders[[#This Row],[Sales]]&gt;MEDIAN(M:M), "High Price", "Low Price")</f>
        <v>High Price</v>
      </c>
      <c r="W884" t="str">
        <f>IF(Orders[[#This Row],[Quantity]]&gt;MEDIAN(E:E), "High Volume", "Low Volume")</f>
        <v>High Volume</v>
      </c>
      <c r="X884" t="str">
        <f>Orders[[#This Row],[Sales Tier]] &amp; "-" &amp; Orders[[#This Row],[Quantity Tier]]</f>
        <v>High Price-High Volume</v>
      </c>
      <c r="Y884" t="str">
        <f>TEXT(Orders[[#This Row],[Order Date]], "mmmm")</f>
        <v>March</v>
      </c>
      <c r="Z88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84" t="str">
        <f>Orders[[#This Row],[Coffee Type Name]] &amp; "-" &amp; Orders[[#This Row],[Roast Type Name]]</f>
        <v>Arabica-Light</v>
      </c>
      <c r="AB88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885" spans="1:28" x14ac:dyDescent="0.25">
      <c r="A885" s="2" t="s">
        <v>936</v>
      </c>
      <c r="B885" s="4">
        <v>44633</v>
      </c>
      <c r="C885" s="2" t="s">
        <v>937</v>
      </c>
      <c r="D885" t="s">
        <v>6179</v>
      </c>
      <c r="E885" s="2">
        <v>4</v>
      </c>
      <c r="F885" s="2" t="str">
        <f>_xlfn.XLOOKUP(C885,customers!$A$1:$A$1001,customers!$B$1:$B$1001,,0)</f>
        <v>Cletis Giacomazzo</v>
      </c>
      <c r="G885" s="2" t="str">
        <f>IF(_xlfn.XLOOKUP(C885,customers!$A$1:$A$1001,customers!$C$1:$C$1001,,0)=0,"",_xlfn.XLOOKUP(C885,customers!$A$1:$A$1001,customers!$C$1:$C$1001,,0))</f>
        <v>cgiacomazzo27@jigsy.com</v>
      </c>
      <c r="H885" s="2" t="str">
        <f>_xlfn.XLOOKUP(C885,customers!$A$1:$A$1001,customers!$G$1:$G$1001,,0)</f>
        <v>United States</v>
      </c>
      <c r="I885" t="str">
        <f>INDEX(products!$A$1:$G$49, MATCH(orders!$D81,products!$A$1:$A128,0), MATCH(orders!I$1,products!$A$1:$G$1,0))</f>
        <v>Rob</v>
      </c>
      <c r="J885" t="str">
        <f>INDEX(products!$A$1:$G$49, MATCH(orders!$D81,products!$A$1:$A128,0), MATCH(orders!J$1,products!$A$1:$G$1,0))</f>
        <v>L</v>
      </c>
      <c r="K885" s="5">
        <f>INDEX(products!$A$1:$G$49, MATCH(orders!$D81,products!$A$1:$A128,0), MATCH(orders!K$1,products!$A$1:$G$1,0))</f>
        <v>1</v>
      </c>
      <c r="L885" s="6">
        <f>INDEX(products!$A$1:$G$49, MATCH(orders!$D81,products!$A$1:$A128,0), MATCH(orders!L$1,products!$A$1:$G$1,0))</f>
        <v>11.95</v>
      </c>
      <c r="M885" s="6">
        <f t="shared" si="39"/>
        <v>47.8</v>
      </c>
      <c r="N885" t="str">
        <f t="shared" si="40"/>
        <v>Robusta</v>
      </c>
      <c r="O885" t="str">
        <f t="shared" si="41"/>
        <v>Light</v>
      </c>
      <c r="P885" t="str">
        <f>_xlfn.XLOOKUP(Orders[[#This Row],[Customer ID]],customers!$A$1:$A$1001,customers!$I$1:$I$1001,,0)</f>
        <v>No</v>
      </c>
      <c r="Q885">
        <f>COUNTIF(Orders[Order ID],Orders[[#This Row],[Order ID]])</f>
        <v>1</v>
      </c>
      <c r="R885" s="10">
        <f>SUMIF(Orders[Order ID], Orders[[#This Row],[Order ID]],Orders[Sales])/Orders[[#This Row],[Order Frequency]]</f>
        <v>47.8</v>
      </c>
      <c r="S885" t="str">
        <f>IF(Orders[[#This Row],[Order Frequency]]&gt;4, "More than 4", IF(AND(Orders[[#This Row],[Order Frequency]]&lt;=4,Orders[[#This Row],[Order Frequency]]&gt;=2), "Between 4 and 2", "Less than 2"))</f>
        <v>Less than 2</v>
      </c>
      <c r="T885" t="str">
        <f>IF(Orders[[#This Row],[Frequency Group]]="less than 2", "Low Value", IF(Orders[[#This Row],[Frequency Group]]="between 4 and 2", "Medium Value", "High Value"))</f>
        <v>Low Value</v>
      </c>
      <c r="U885" t="str">
        <f>IF(Orders[[#This Row],[Sales]]&lt;50, "$0-50", IF(AND(Orders[[#This Row],[Sales]]&gt;=50,Orders[[#This Row],[Sales]]&lt;=100), "$50-100", IF(AND(Orders[[#This Row],[Sales]]&gt;100,Orders[[#This Row],[Sales]]&lt;=150), "$101-150", "$150+")))</f>
        <v>$0-50</v>
      </c>
      <c r="V885" t="str">
        <f>IF(Orders[[#This Row],[Sales]]&gt;MEDIAN(M:M), "High Price", "Low Price")</f>
        <v>High Price</v>
      </c>
      <c r="W885" t="str">
        <f>IF(Orders[[#This Row],[Quantity]]&gt;MEDIAN(E:E), "High Volume", "Low Volume")</f>
        <v>Low Volume</v>
      </c>
      <c r="X885" t="str">
        <f>Orders[[#This Row],[Sales Tier]] &amp; "-" &amp; Orders[[#This Row],[Quantity Tier]]</f>
        <v>High Price-Low Volume</v>
      </c>
      <c r="Y885" t="str">
        <f>TEXT(Orders[[#This Row],[Order Date]], "mmmm")</f>
        <v>March</v>
      </c>
      <c r="Z88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85" t="str">
        <f>Orders[[#This Row],[Coffee Type Name]] &amp; "-" &amp; Orders[[#This Row],[Roast Type Name]]</f>
        <v>Robusta-Light</v>
      </c>
      <c r="AB88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886" spans="1:28" x14ac:dyDescent="0.25">
      <c r="A886" s="2" t="s">
        <v>2951</v>
      </c>
      <c r="B886" s="4">
        <v>44213</v>
      </c>
      <c r="C886" s="2" t="s">
        <v>2952</v>
      </c>
      <c r="D886" t="s">
        <v>6165</v>
      </c>
      <c r="E886" s="2">
        <v>1</v>
      </c>
      <c r="F886" s="2" t="str">
        <f>_xlfn.XLOOKUP(C886,customers!$A$1:$A$1001,customers!$B$1:$B$1001,,0)</f>
        <v>Willabella Abramski</v>
      </c>
      <c r="G886" s="2" t="str">
        <f>IF(_xlfn.XLOOKUP(C886,customers!$A$1:$A$1001,customers!$C$1:$C$1001,,0)=0,"",_xlfn.XLOOKUP(C886,customers!$A$1:$A$1001,customers!$C$1:$C$1001,,0))</f>
        <v/>
      </c>
      <c r="H886" s="2" t="str">
        <f>_xlfn.XLOOKUP(C886,customers!$A$1:$A$1001,customers!$G$1:$G$1001,,0)</f>
        <v>United States</v>
      </c>
      <c r="I886" t="str">
        <f>INDEX(products!$A$1:$G$49, MATCH(orders!$D439,products!$A$1:$A486,0), MATCH(orders!I$1,products!$A$1:$G$1,0))</f>
        <v>Lib</v>
      </c>
      <c r="J886" t="str">
        <f>INDEX(products!$A$1:$G$49, MATCH(orders!$D439,products!$A$1:$A486,0), MATCH(orders!J$1,products!$A$1:$G$1,0))</f>
        <v>D</v>
      </c>
      <c r="K886" s="5">
        <f>INDEX(products!$A$1:$G$49, MATCH(orders!$D439,products!$A$1:$A486,0), MATCH(orders!K$1,products!$A$1:$G$1,0))</f>
        <v>2.5</v>
      </c>
      <c r="L886" s="6">
        <f>INDEX(products!$A$1:$G$49, MATCH(orders!$D439,products!$A$1:$A486,0), MATCH(orders!L$1,products!$A$1:$G$1,0))</f>
        <v>29.784999999999997</v>
      </c>
      <c r="M886" s="6">
        <f t="shared" si="39"/>
        <v>29.784999999999997</v>
      </c>
      <c r="N886" t="str">
        <f t="shared" si="40"/>
        <v>Liberica</v>
      </c>
      <c r="O886" t="str">
        <f t="shared" si="41"/>
        <v>Dark</v>
      </c>
      <c r="P886" t="str">
        <f>_xlfn.XLOOKUP(Orders[[#This Row],[Customer ID]],customers!$A$1:$A$1001,customers!$I$1:$I$1001,,0)</f>
        <v>No</v>
      </c>
      <c r="Q886">
        <f>COUNTIF(Orders[Order ID],Orders[[#This Row],[Order ID]])</f>
        <v>1</v>
      </c>
      <c r="R886" s="10">
        <f>SUMIF(Orders[Order ID], Orders[[#This Row],[Order ID]],Orders[Sales])/Orders[[#This Row],[Order Frequency]]</f>
        <v>29.784999999999997</v>
      </c>
      <c r="S886" t="str">
        <f>IF(Orders[[#This Row],[Order Frequency]]&gt;4, "More than 4", IF(AND(Orders[[#This Row],[Order Frequency]]&lt;=4,Orders[[#This Row],[Order Frequency]]&gt;=2), "Between 4 and 2", "Less than 2"))</f>
        <v>Less than 2</v>
      </c>
      <c r="T886" t="str">
        <f>IF(Orders[[#This Row],[Frequency Group]]="less than 2", "Low Value", IF(Orders[[#This Row],[Frequency Group]]="between 4 and 2", "Medium Value", "High Value"))</f>
        <v>Low Value</v>
      </c>
      <c r="U886" t="str">
        <f>IF(Orders[[#This Row],[Sales]]&lt;50, "$0-50", IF(AND(Orders[[#This Row],[Sales]]&gt;=50,Orders[[#This Row],[Sales]]&lt;=100), "$50-100", IF(AND(Orders[[#This Row],[Sales]]&gt;100,Orders[[#This Row],[Sales]]&lt;=150), "$101-150", "$150+")))</f>
        <v>$0-50</v>
      </c>
      <c r="V886" t="str">
        <f>IF(Orders[[#This Row],[Sales]]&gt;MEDIAN(M:M), "High Price", "Low Price")</f>
        <v>Low Price</v>
      </c>
      <c r="W886" t="str">
        <f>IF(Orders[[#This Row],[Quantity]]&gt;MEDIAN(E:E), "High Volume", "Low Volume")</f>
        <v>Low Volume</v>
      </c>
      <c r="X886" t="str">
        <f>Orders[[#This Row],[Sales Tier]] &amp; "-" &amp; Orders[[#This Row],[Quantity Tier]]</f>
        <v>Low Price-Low Volume</v>
      </c>
      <c r="Y886" t="str">
        <f>TEXT(Orders[[#This Row],[Order Date]], "mmmm")</f>
        <v>January</v>
      </c>
      <c r="Z88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86" t="str">
        <f>Orders[[#This Row],[Coffee Type Name]] &amp; "-" &amp; Orders[[#This Row],[Roast Type Name]]</f>
        <v>Liberica-Dark</v>
      </c>
      <c r="AB88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887" spans="1:28" x14ac:dyDescent="0.25">
      <c r="A887" s="2" t="s">
        <v>4705</v>
      </c>
      <c r="B887" s="4">
        <v>43741</v>
      </c>
      <c r="C887" s="2" t="s">
        <v>4706</v>
      </c>
      <c r="D887" t="s">
        <v>6155</v>
      </c>
      <c r="E887" s="2">
        <v>3</v>
      </c>
      <c r="F887" s="2" t="str">
        <f>_xlfn.XLOOKUP(C887,customers!$A$1:$A$1001,customers!$B$1:$B$1001,,0)</f>
        <v>Hussein Olliff</v>
      </c>
      <c r="G887" s="2" t="str">
        <f>IF(_xlfn.XLOOKUP(C887,customers!$A$1:$A$1001,customers!$C$1:$C$1001,,0)=0,"",_xlfn.XLOOKUP(C887,customers!$A$1:$A$1001,customers!$C$1:$C$1001,,0))</f>
        <v>holliffkq@sciencedirect.com</v>
      </c>
      <c r="H887" s="2" t="str">
        <f>_xlfn.XLOOKUP(C887,customers!$A$1:$A$1001,customers!$G$1:$G$1001,,0)</f>
        <v>Ireland</v>
      </c>
      <c r="I887" t="str">
        <f>INDEX(products!$A$1:$G$49, MATCH(orders!$D748,products!$A$1:$A795,0), MATCH(orders!I$1,products!$A$1:$G$1,0))</f>
        <v>Ara</v>
      </c>
      <c r="J887" t="str">
        <f>INDEX(products!$A$1:$G$49, MATCH(orders!$D748,products!$A$1:$A795,0), MATCH(orders!J$1,products!$A$1:$G$1,0))</f>
        <v>M</v>
      </c>
      <c r="K887" s="5">
        <f>INDEX(products!$A$1:$G$49, MATCH(orders!$D748,products!$A$1:$A795,0), MATCH(orders!K$1,products!$A$1:$G$1,0))</f>
        <v>1</v>
      </c>
      <c r="L887" s="6">
        <f>INDEX(products!$A$1:$G$49, MATCH(orders!$D748,products!$A$1:$A795,0), MATCH(orders!L$1,products!$A$1:$G$1,0))</f>
        <v>11.25</v>
      </c>
      <c r="M887" s="6">
        <f t="shared" si="39"/>
        <v>33.75</v>
      </c>
      <c r="N887" t="str">
        <f t="shared" si="40"/>
        <v>Arabica</v>
      </c>
      <c r="O887" t="str">
        <f t="shared" si="41"/>
        <v>Medium</v>
      </c>
      <c r="P887" t="str">
        <f>_xlfn.XLOOKUP(Orders[[#This Row],[Customer ID]],customers!$A$1:$A$1001,customers!$I$1:$I$1001,,0)</f>
        <v>No</v>
      </c>
      <c r="Q887">
        <f>COUNTIF(Orders[Order ID],Orders[[#This Row],[Order ID]])</f>
        <v>1</v>
      </c>
      <c r="R887" s="10">
        <f>SUMIF(Orders[Order ID], Orders[[#This Row],[Order ID]],Orders[Sales])/Orders[[#This Row],[Order Frequency]]</f>
        <v>33.75</v>
      </c>
      <c r="S887" t="str">
        <f>IF(Orders[[#This Row],[Order Frequency]]&gt;4, "More than 4", IF(AND(Orders[[#This Row],[Order Frequency]]&lt;=4,Orders[[#This Row],[Order Frequency]]&gt;=2), "Between 4 and 2", "Less than 2"))</f>
        <v>Less than 2</v>
      </c>
      <c r="T887" t="str">
        <f>IF(Orders[[#This Row],[Frequency Group]]="less than 2", "Low Value", IF(Orders[[#This Row],[Frequency Group]]="between 4 and 2", "Medium Value", "High Value"))</f>
        <v>Low Value</v>
      </c>
      <c r="U887" t="str">
        <f>IF(Orders[[#This Row],[Sales]]&lt;50, "$0-50", IF(AND(Orders[[#This Row],[Sales]]&gt;=50,Orders[[#This Row],[Sales]]&lt;=100), "$50-100", IF(AND(Orders[[#This Row],[Sales]]&gt;100,Orders[[#This Row],[Sales]]&lt;=150), "$101-150", "$150+")))</f>
        <v>$0-50</v>
      </c>
      <c r="V887" t="str">
        <f>IF(Orders[[#This Row],[Sales]]&gt;MEDIAN(M:M), "High Price", "Low Price")</f>
        <v>High Price</v>
      </c>
      <c r="W887" t="str">
        <f>IF(Orders[[#This Row],[Quantity]]&gt;MEDIAN(E:E), "High Volume", "Low Volume")</f>
        <v>Low Volume</v>
      </c>
      <c r="X887" t="str">
        <f>Orders[[#This Row],[Sales Tier]] &amp; "-" &amp; Orders[[#This Row],[Quantity Tier]]</f>
        <v>High Price-Low Volume</v>
      </c>
      <c r="Y887" t="str">
        <f>TEXT(Orders[[#This Row],[Order Date]], "mmmm")</f>
        <v>October</v>
      </c>
      <c r="Z88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887" t="str">
        <f>Orders[[#This Row],[Coffee Type Name]] &amp; "-" &amp; Orders[[#This Row],[Roast Type Name]]</f>
        <v>Arabica-Medium</v>
      </c>
      <c r="AB88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88" spans="1:28" x14ac:dyDescent="0.25">
      <c r="A888" s="2" t="s">
        <v>3577</v>
      </c>
      <c r="B888" s="4">
        <v>44127</v>
      </c>
      <c r="C888" s="2" t="s">
        <v>3578</v>
      </c>
      <c r="D888" t="s">
        <v>6185</v>
      </c>
      <c r="E888" s="2">
        <v>3</v>
      </c>
      <c r="F888" s="2" t="str">
        <f>_xlfn.XLOOKUP(C888,customers!$A$1:$A$1001,customers!$B$1:$B$1001,,0)</f>
        <v>Dom Milella</v>
      </c>
      <c r="G888" s="2" t="str">
        <f>IF(_xlfn.XLOOKUP(C888,customers!$A$1:$A$1001,customers!$C$1:$C$1001,,0)=0,"",_xlfn.XLOOKUP(C888,customers!$A$1:$A$1001,customers!$C$1:$C$1001,,0))</f>
        <v/>
      </c>
      <c r="H888" s="2" t="str">
        <f>_xlfn.XLOOKUP(C888,customers!$A$1:$A$1001,customers!$G$1:$G$1001,,0)</f>
        <v>Ireland</v>
      </c>
      <c r="I888" t="str">
        <f>INDEX(products!$A$1:$G$49, MATCH(orders!$D548,products!$A$1:$A595,0), MATCH(orders!I$1,products!$A$1:$G$1,0))</f>
        <v>Exc</v>
      </c>
      <c r="J888" t="str">
        <f>INDEX(products!$A$1:$G$49, MATCH(orders!$D548,products!$A$1:$A595,0), MATCH(orders!J$1,products!$A$1:$G$1,0))</f>
        <v>D</v>
      </c>
      <c r="K888" s="5">
        <f>INDEX(products!$A$1:$G$49, MATCH(orders!$D548,products!$A$1:$A595,0), MATCH(orders!K$1,products!$A$1:$G$1,0))</f>
        <v>2.5</v>
      </c>
      <c r="L888" s="6">
        <f>INDEX(products!$A$1:$G$49, MATCH(orders!$D548,products!$A$1:$A595,0), MATCH(orders!L$1,products!$A$1:$G$1,0))</f>
        <v>27.945</v>
      </c>
      <c r="M888" s="6">
        <f t="shared" si="39"/>
        <v>83.835000000000008</v>
      </c>
      <c r="N888" t="str">
        <f t="shared" si="40"/>
        <v>Excelsa</v>
      </c>
      <c r="O888" t="str">
        <f t="shared" si="41"/>
        <v>Dark</v>
      </c>
      <c r="P888" t="str">
        <f>_xlfn.XLOOKUP(Orders[[#This Row],[Customer ID]],customers!$A$1:$A$1001,customers!$I$1:$I$1001,,0)</f>
        <v>No</v>
      </c>
      <c r="Q888">
        <f>COUNTIF(Orders[Order ID],Orders[[#This Row],[Order ID]])</f>
        <v>1</v>
      </c>
      <c r="R888" s="10">
        <f>SUMIF(Orders[Order ID], Orders[[#This Row],[Order ID]],Orders[Sales])/Orders[[#This Row],[Order Frequency]]</f>
        <v>83.835000000000008</v>
      </c>
      <c r="S888" t="str">
        <f>IF(Orders[[#This Row],[Order Frequency]]&gt;4, "More than 4", IF(AND(Orders[[#This Row],[Order Frequency]]&lt;=4,Orders[[#This Row],[Order Frequency]]&gt;=2), "Between 4 and 2", "Less than 2"))</f>
        <v>Less than 2</v>
      </c>
      <c r="T888" t="str">
        <f>IF(Orders[[#This Row],[Frequency Group]]="less than 2", "Low Value", IF(Orders[[#This Row],[Frequency Group]]="between 4 and 2", "Medium Value", "High Value"))</f>
        <v>Low Value</v>
      </c>
      <c r="U888" t="str">
        <f>IF(Orders[[#This Row],[Sales]]&lt;50, "$0-50", IF(AND(Orders[[#This Row],[Sales]]&gt;=50,Orders[[#This Row],[Sales]]&lt;=100), "$50-100", IF(AND(Orders[[#This Row],[Sales]]&gt;100,Orders[[#This Row],[Sales]]&lt;=150), "$101-150", "$150+")))</f>
        <v>$50-100</v>
      </c>
      <c r="V888" t="str">
        <f>IF(Orders[[#This Row],[Sales]]&gt;MEDIAN(M:M), "High Price", "Low Price")</f>
        <v>High Price</v>
      </c>
      <c r="W888" t="str">
        <f>IF(Orders[[#This Row],[Quantity]]&gt;MEDIAN(E:E), "High Volume", "Low Volume")</f>
        <v>Low Volume</v>
      </c>
      <c r="X888" t="str">
        <f>Orders[[#This Row],[Sales Tier]] &amp; "-" &amp; Orders[[#This Row],[Quantity Tier]]</f>
        <v>High Price-Low Volume</v>
      </c>
      <c r="Y888" t="str">
        <f>TEXT(Orders[[#This Row],[Order Date]], "mmmm")</f>
        <v>October</v>
      </c>
      <c r="Z88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888" t="str">
        <f>Orders[[#This Row],[Coffee Type Name]] &amp; "-" &amp; Orders[[#This Row],[Roast Type Name]]</f>
        <v>Excelsa-Dark</v>
      </c>
      <c r="AB88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89" spans="1:28" x14ac:dyDescent="0.25">
      <c r="A889" s="2" t="s">
        <v>2632</v>
      </c>
      <c r="B889" s="4">
        <v>44249</v>
      </c>
      <c r="C889" s="2" t="s">
        <v>2331</v>
      </c>
      <c r="D889" t="s">
        <v>6169</v>
      </c>
      <c r="E889" s="2">
        <v>3</v>
      </c>
      <c r="F889" s="2" t="str">
        <f>_xlfn.XLOOKUP(C889,customers!$A$1:$A$1001,customers!$B$1:$B$1001,,0)</f>
        <v>Flynn Antony</v>
      </c>
      <c r="G889" s="2" t="str">
        <f>IF(_xlfn.XLOOKUP(C889,customers!$A$1:$A$1001,customers!$C$1:$C$1001,,0)=0,"",_xlfn.XLOOKUP(C889,customers!$A$1:$A$1001,customers!$C$1:$C$1001,,0))</f>
        <v/>
      </c>
      <c r="H889" s="2" t="str">
        <f>_xlfn.XLOOKUP(C889,customers!$A$1:$A$1001,customers!$G$1:$G$1001,,0)</f>
        <v>United States</v>
      </c>
      <c r="I889" t="str">
        <f>INDEX(products!$A$1:$G$49, MATCH(orders!$D382,products!$A$1:$A429,0), MATCH(orders!I$1,products!$A$1:$G$1,0))</f>
        <v>Lib</v>
      </c>
      <c r="J889" t="str">
        <f>INDEX(products!$A$1:$G$49, MATCH(orders!$D382,products!$A$1:$A429,0), MATCH(orders!J$1,products!$A$1:$G$1,0))</f>
        <v>D</v>
      </c>
      <c r="K889" s="5">
        <f>INDEX(products!$A$1:$G$49, MATCH(orders!$D382,products!$A$1:$A429,0), MATCH(orders!K$1,products!$A$1:$G$1,0))</f>
        <v>0.5</v>
      </c>
      <c r="L889" s="6">
        <f>INDEX(products!$A$1:$G$49, MATCH(orders!$D382,products!$A$1:$A429,0), MATCH(orders!L$1,products!$A$1:$G$1,0))</f>
        <v>7.77</v>
      </c>
      <c r="M889" s="6">
        <f t="shared" si="39"/>
        <v>23.31</v>
      </c>
      <c r="N889" t="str">
        <f t="shared" si="40"/>
        <v>Liberica</v>
      </c>
      <c r="O889" t="str">
        <f t="shared" si="41"/>
        <v>Dark</v>
      </c>
      <c r="P889" t="str">
        <f>_xlfn.XLOOKUP(Orders[[#This Row],[Customer ID]],customers!$A$1:$A$1001,customers!$I$1:$I$1001,,0)</f>
        <v>No</v>
      </c>
      <c r="Q889">
        <f>COUNTIF(Orders[Order ID],Orders[[#This Row],[Order ID]])</f>
        <v>1</v>
      </c>
      <c r="R889" s="10">
        <f>SUMIF(Orders[Order ID], Orders[[#This Row],[Order ID]],Orders[Sales])/Orders[[#This Row],[Order Frequency]]</f>
        <v>23.31</v>
      </c>
      <c r="S889" t="str">
        <f>IF(Orders[[#This Row],[Order Frequency]]&gt;4, "More than 4", IF(AND(Orders[[#This Row],[Order Frequency]]&lt;=4,Orders[[#This Row],[Order Frequency]]&gt;=2), "Between 4 and 2", "Less than 2"))</f>
        <v>Less than 2</v>
      </c>
      <c r="T889" t="str">
        <f>IF(Orders[[#This Row],[Frequency Group]]="less than 2", "Low Value", IF(Orders[[#This Row],[Frequency Group]]="between 4 and 2", "Medium Value", "High Value"))</f>
        <v>Low Value</v>
      </c>
      <c r="U889" t="str">
        <f>IF(Orders[[#This Row],[Sales]]&lt;50, "$0-50", IF(AND(Orders[[#This Row],[Sales]]&gt;=50,Orders[[#This Row],[Sales]]&lt;=100), "$50-100", IF(AND(Orders[[#This Row],[Sales]]&gt;100,Orders[[#This Row],[Sales]]&lt;=150), "$101-150", "$150+")))</f>
        <v>$0-50</v>
      </c>
      <c r="V889" t="str">
        <f>IF(Orders[[#This Row],[Sales]]&gt;MEDIAN(M:M), "High Price", "Low Price")</f>
        <v>Low Price</v>
      </c>
      <c r="W889" t="str">
        <f>IF(Orders[[#This Row],[Quantity]]&gt;MEDIAN(E:E), "High Volume", "Low Volume")</f>
        <v>Low Volume</v>
      </c>
      <c r="X889" t="str">
        <f>Orders[[#This Row],[Sales Tier]] &amp; "-" &amp; Orders[[#This Row],[Quantity Tier]]</f>
        <v>Low Price-Low Volume</v>
      </c>
      <c r="Y889" t="str">
        <f>TEXT(Orders[[#This Row],[Order Date]], "mmmm")</f>
        <v>February</v>
      </c>
      <c r="Z88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89" t="str">
        <f>Orders[[#This Row],[Coffee Type Name]] &amp; "-" &amp; Orders[[#This Row],[Roast Type Name]]</f>
        <v>Liberica-Dark</v>
      </c>
      <c r="AB88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890" spans="1:28" x14ac:dyDescent="0.25">
      <c r="A890" s="2" t="s">
        <v>5030</v>
      </c>
      <c r="B890" s="4">
        <v>43955</v>
      </c>
      <c r="C890" s="2" t="s">
        <v>5031</v>
      </c>
      <c r="D890" t="s">
        <v>6166</v>
      </c>
      <c r="E890" s="2">
        <v>4</v>
      </c>
      <c r="F890" s="2" t="str">
        <f>_xlfn.XLOOKUP(C890,customers!$A$1:$A$1001,customers!$B$1:$B$1001,,0)</f>
        <v>Darn Penquet</v>
      </c>
      <c r="G890" s="2" t="str">
        <f>IF(_xlfn.XLOOKUP(C890,customers!$A$1:$A$1001,customers!$C$1:$C$1001,,0)=0,"",_xlfn.XLOOKUP(C890,customers!$A$1:$A$1001,customers!$C$1:$C$1001,,0))</f>
        <v>dpenquetmb@diigo.com</v>
      </c>
      <c r="H890" s="2" t="str">
        <f>_xlfn.XLOOKUP(C890,customers!$A$1:$A$1001,customers!$G$1:$G$1001,,0)</f>
        <v>United States</v>
      </c>
      <c r="I890" t="str">
        <f>INDEX(products!$A$1:$G$49, MATCH(orders!$D805,products!$A$1:$A852,0), MATCH(orders!I$1,products!$A$1:$G$1,0))</f>
        <v>Exc</v>
      </c>
      <c r="J890" t="str">
        <f>INDEX(products!$A$1:$G$49, MATCH(orders!$D805,products!$A$1:$A852,0), MATCH(orders!J$1,products!$A$1:$G$1,0))</f>
        <v>M</v>
      </c>
      <c r="K890" s="5">
        <f>INDEX(products!$A$1:$G$49, MATCH(orders!$D805,products!$A$1:$A852,0), MATCH(orders!K$1,products!$A$1:$G$1,0))</f>
        <v>2.5</v>
      </c>
      <c r="L890" s="6">
        <f>INDEX(products!$A$1:$G$49, MATCH(orders!$D805,products!$A$1:$A852,0), MATCH(orders!L$1,products!$A$1:$G$1,0))</f>
        <v>31.624999999999996</v>
      </c>
      <c r="M890" s="6">
        <f t="shared" si="39"/>
        <v>126.49999999999999</v>
      </c>
      <c r="N890" t="str">
        <f t="shared" si="40"/>
        <v>Excelsa</v>
      </c>
      <c r="O890" t="str">
        <f t="shared" si="41"/>
        <v>Medium</v>
      </c>
      <c r="P890" t="str">
        <f>_xlfn.XLOOKUP(Orders[[#This Row],[Customer ID]],customers!$A$1:$A$1001,customers!$I$1:$I$1001,,0)</f>
        <v>No</v>
      </c>
      <c r="Q890">
        <f>COUNTIF(Orders[Order ID],Orders[[#This Row],[Order ID]])</f>
        <v>1</v>
      </c>
      <c r="R890" s="10">
        <f>SUMIF(Orders[Order ID], Orders[[#This Row],[Order ID]],Orders[Sales])/Orders[[#This Row],[Order Frequency]]</f>
        <v>126.49999999999999</v>
      </c>
      <c r="S890" t="str">
        <f>IF(Orders[[#This Row],[Order Frequency]]&gt;4, "More than 4", IF(AND(Orders[[#This Row],[Order Frequency]]&lt;=4,Orders[[#This Row],[Order Frequency]]&gt;=2), "Between 4 and 2", "Less than 2"))</f>
        <v>Less than 2</v>
      </c>
      <c r="T890" t="str">
        <f>IF(Orders[[#This Row],[Frequency Group]]="less than 2", "Low Value", IF(Orders[[#This Row],[Frequency Group]]="between 4 and 2", "Medium Value", "High Value"))</f>
        <v>Low Value</v>
      </c>
      <c r="U890" t="str">
        <f>IF(Orders[[#This Row],[Sales]]&lt;50, "$0-50", IF(AND(Orders[[#This Row],[Sales]]&gt;=50,Orders[[#This Row],[Sales]]&lt;=100), "$50-100", IF(AND(Orders[[#This Row],[Sales]]&gt;100,Orders[[#This Row],[Sales]]&lt;=150), "$101-150", "$150+")))</f>
        <v>$101-150</v>
      </c>
      <c r="V890" t="str">
        <f>IF(Orders[[#This Row],[Sales]]&gt;MEDIAN(M:M), "High Price", "Low Price")</f>
        <v>High Price</v>
      </c>
      <c r="W890" t="str">
        <f>IF(Orders[[#This Row],[Quantity]]&gt;MEDIAN(E:E), "High Volume", "Low Volume")</f>
        <v>Low Volume</v>
      </c>
      <c r="X890" t="str">
        <f>Orders[[#This Row],[Sales Tier]] &amp; "-" &amp; Orders[[#This Row],[Quantity Tier]]</f>
        <v>High Price-Low Volume</v>
      </c>
      <c r="Y890" t="str">
        <f>TEXT(Orders[[#This Row],[Order Date]], "mmmm")</f>
        <v>May</v>
      </c>
      <c r="Z89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890" t="str">
        <f>Orders[[#This Row],[Coffee Type Name]] &amp; "-" &amp; Orders[[#This Row],[Roast Type Name]]</f>
        <v>Excelsa-Medium</v>
      </c>
      <c r="AB89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891" spans="1:28" x14ac:dyDescent="0.25">
      <c r="A891" s="2" t="s">
        <v>3367</v>
      </c>
      <c r="B891" s="4">
        <v>43785</v>
      </c>
      <c r="C891" s="2" t="s">
        <v>3368</v>
      </c>
      <c r="D891" t="s">
        <v>6147</v>
      </c>
      <c r="E891" s="2">
        <v>3</v>
      </c>
      <c r="F891" s="2" t="str">
        <f>_xlfn.XLOOKUP(C891,customers!$A$1:$A$1001,customers!$B$1:$B$1001,,0)</f>
        <v>Marja Urion</v>
      </c>
      <c r="G891" s="2" t="str">
        <f>IF(_xlfn.XLOOKUP(C891,customers!$A$1:$A$1001,customers!$C$1:$C$1001,,0)=0,"",_xlfn.XLOOKUP(C891,customers!$A$1:$A$1001,customers!$C$1:$C$1001,,0))</f>
        <v>murione5@alexa.com</v>
      </c>
      <c r="H891" s="2" t="str">
        <f>_xlfn.XLOOKUP(C891,customers!$A$1:$A$1001,customers!$G$1:$G$1001,,0)</f>
        <v>Ireland</v>
      </c>
      <c r="I891" t="str">
        <f>INDEX(products!$A$1:$G$49, MATCH(orders!$D511,products!$A$1:$A558,0), MATCH(orders!I$1,products!$A$1:$G$1,0))</f>
        <v>Ara</v>
      </c>
      <c r="J891" t="str">
        <f>INDEX(products!$A$1:$G$49, MATCH(orders!$D511,products!$A$1:$A558,0), MATCH(orders!J$1,products!$A$1:$G$1,0))</f>
        <v>D</v>
      </c>
      <c r="K891" s="5">
        <f>INDEX(products!$A$1:$G$49, MATCH(orders!$D511,products!$A$1:$A558,0), MATCH(orders!K$1,products!$A$1:$G$1,0))</f>
        <v>1</v>
      </c>
      <c r="L891" s="6">
        <f>INDEX(products!$A$1:$G$49, MATCH(orders!$D511,products!$A$1:$A558,0), MATCH(orders!L$1,products!$A$1:$G$1,0))</f>
        <v>9.9499999999999993</v>
      </c>
      <c r="M891" s="6">
        <f t="shared" si="39"/>
        <v>29.849999999999998</v>
      </c>
      <c r="N891" t="str">
        <f t="shared" si="40"/>
        <v>Arabica</v>
      </c>
      <c r="O891" t="str">
        <f t="shared" si="41"/>
        <v>Dark</v>
      </c>
      <c r="P891" t="str">
        <f>_xlfn.XLOOKUP(Orders[[#This Row],[Customer ID]],customers!$A$1:$A$1001,customers!$I$1:$I$1001,,0)</f>
        <v>Yes</v>
      </c>
      <c r="Q891">
        <f>COUNTIF(Orders[Order ID],Orders[[#This Row],[Order ID]])</f>
        <v>1</v>
      </c>
      <c r="R891" s="10">
        <f>SUMIF(Orders[Order ID], Orders[[#This Row],[Order ID]],Orders[Sales])/Orders[[#This Row],[Order Frequency]]</f>
        <v>29.849999999999998</v>
      </c>
      <c r="S891" t="str">
        <f>IF(Orders[[#This Row],[Order Frequency]]&gt;4, "More than 4", IF(AND(Orders[[#This Row],[Order Frequency]]&lt;=4,Orders[[#This Row],[Order Frequency]]&gt;=2), "Between 4 and 2", "Less than 2"))</f>
        <v>Less than 2</v>
      </c>
      <c r="T891" t="str">
        <f>IF(Orders[[#This Row],[Frequency Group]]="less than 2", "Low Value", IF(Orders[[#This Row],[Frequency Group]]="between 4 and 2", "Medium Value", "High Value"))</f>
        <v>Low Value</v>
      </c>
      <c r="U891" t="str">
        <f>IF(Orders[[#This Row],[Sales]]&lt;50, "$0-50", IF(AND(Orders[[#This Row],[Sales]]&gt;=50,Orders[[#This Row],[Sales]]&lt;=100), "$50-100", IF(AND(Orders[[#This Row],[Sales]]&gt;100,Orders[[#This Row],[Sales]]&lt;=150), "$101-150", "$150+")))</f>
        <v>$0-50</v>
      </c>
      <c r="V891" t="str">
        <f>IF(Orders[[#This Row],[Sales]]&gt;MEDIAN(M:M), "High Price", "Low Price")</f>
        <v>High Price</v>
      </c>
      <c r="W891" t="str">
        <f>IF(Orders[[#This Row],[Quantity]]&gt;MEDIAN(E:E), "High Volume", "Low Volume")</f>
        <v>Low Volume</v>
      </c>
      <c r="X891" t="str">
        <f>Orders[[#This Row],[Sales Tier]] &amp; "-" &amp; Orders[[#This Row],[Quantity Tier]]</f>
        <v>High Price-Low Volume</v>
      </c>
      <c r="Y891" t="str">
        <f>TEXT(Orders[[#This Row],[Order Date]], "mmmm")</f>
        <v>November</v>
      </c>
      <c r="Z89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891" t="str">
        <f>Orders[[#This Row],[Coffee Type Name]] &amp; "-" &amp; Orders[[#This Row],[Roast Type Name]]</f>
        <v>Arabica-Dark</v>
      </c>
      <c r="AB89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92" spans="1:28" x14ac:dyDescent="0.25">
      <c r="A892" s="2" t="s">
        <v>6053</v>
      </c>
      <c r="B892" s="4">
        <v>44214</v>
      </c>
      <c r="C892" s="2" t="s">
        <v>6054</v>
      </c>
      <c r="D892" t="s">
        <v>6166</v>
      </c>
      <c r="E892" s="2">
        <v>1</v>
      </c>
      <c r="F892" s="2" t="str">
        <f>_xlfn.XLOOKUP(C892,customers!$A$1:$A$1001,customers!$B$1:$B$1001,,0)</f>
        <v>Ramon Cheak</v>
      </c>
      <c r="G892" s="2" t="str">
        <f>IF(_xlfn.XLOOKUP(C892,customers!$A$1:$A$1001,customers!$C$1:$C$1001,,0)=0,"",_xlfn.XLOOKUP(C892,customers!$A$1:$A$1001,customers!$C$1:$C$1001,,0))</f>
        <v>rcheakrc@tripadvisor.com</v>
      </c>
      <c r="H892" s="2" t="str">
        <f>_xlfn.XLOOKUP(C892,customers!$A$1:$A$1001,customers!$G$1:$G$1001,,0)</f>
        <v>Ireland</v>
      </c>
      <c r="I892" t="str">
        <f>INDEX(products!$A$1:$G$49, MATCH(orders!$D986,products!$A$1:$A1033,0), MATCH(orders!I$1,products!$A$1:$G$1,0))</f>
        <v>Exc</v>
      </c>
      <c r="J892" t="str">
        <f>INDEX(products!$A$1:$G$49, MATCH(orders!$D986,products!$A$1:$A1033,0), MATCH(orders!J$1,products!$A$1:$G$1,0))</f>
        <v>M</v>
      </c>
      <c r="K892" s="5">
        <f>INDEX(products!$A$1:$G$49, MATCH(orders!$D986,products!$A$1:$A1033,0), MATCH(orders!K$1,products!$A$1:$G$1,0))</f>
        <v>2.5</v>
      </c>
      <c r="L892" s="6">
        <f>INDEX(products!$A$1:$G$49, MATCH(orders!$D986,products!$A$1:$A1033,0), MATCH(orders!L$1,products!$A$1:$G$1,0))</f>
        <v>31.624999999999996</v>
      </c>
      <c r="M892" s="6">
        <f t="shared" si="39"/>
        <v>31.624999999999996</v>
      </c>
      <c r="N892" t="str">
        <f t="shared" si="40"/>
        <v>Excelsa</v>
      </c>
      <c r="O892" t="str">
        <f t="shared" si="41"/>
        <v>Medium</v>
      </c>
      <c r="P892" t="str">
        <f>_xlfn.XLOOKUP(Orders[[#This Row],[Customer ID]],customers!$A$1:$A$1001,customers!$I$1:$I$1001,,0)</f>
        <v>Yes</v>
      </c>
      <c r="Q892">
        <f>COUNTIF(Orders[Order ID],Orders[[#This Row],[Order ID]])</f>
        <v>1</v>
      </c>
      <c r="R892" s="10">
        <f>SUMIF(Orders[Order ID], Orders[[#This Row],[Order ID]],Orders[Sales])/Orders[[#This Row],[Order Frequency]]</f>
        <v>31.624999999999996</v>
      </c>
      <c r="S892" t="str">
        <f>IF(Orders[[#This Row],[Order Frequency]]&gt;4, "More than 4", IF(AND(Orders[[#This Row],[Order Frequency]]&lt;=4,Orders[[#This Row],[Order Frequency]]&gt;=2), "Between 4 and 2", "Less than 2"))</f>
        <v>Less than 2</v>
      </c>
      <c r="T892" t="str">
        <f>IF(Orders[[#This Row],[Frequency Group]]="less than 2", "Low Value", IF(Orders[[#This Row],[Frequency Group]]="between 4 and 2", "Medium Value", "High Value"))</f>
        <v>Low Value</v>
      </c>
      <c r="U892" t="str">
        <f>IF(Orders[[#This Row],[Sales]]&lt;50, "$0-50", IF(AND(Orders[[#This Row],[Sales]]&gt;=50,Orders[[#This Row],[Sales]]&lt;=100), "$50-100", IF(AND(Orders[[#This Row],[Sales]]&gt;100,Orders[[#This Row],[Sales]]&lt;=150), "$101-150", "$150+")))</f>
        <v>$0-50</v>
      </c>
      <c r="V892" t="str">
        <f>IF(Orders[[#This Row],[Sales]]&gt;MEDIAN(M:M), "High Price", "Low Price")</f>
        <v>High Price</v>
      </c>
      <c r="W892" t="str">
        <f>IF(Orders[[#This Row],[Quantity]]&gt;MEDIAN(E:E), "High Volume", "Low Volume")</f>
        <v>Low Volume</v>
      </c>
      <c r="X892" t="str">
        <f>Orders[[#This Row],[Sales Tier]] &amp; "-" &amp; Orders[[#This Row],[Quantity Tier]]</f>
        <v>High Price-Low Volume</v>
      </c>
      <c r="Y892" t="str">
        <f>TEXT(Orders[[#This Row],[Order Date]], "mmmm")</f>
        <v>January</v>
      </c>
      <c r="Z89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92" t="str">
        <f>Orders[[#This Row],[Coffee Type Name]] &amp; "-" &amp; Orders[[#This Row],[Roast Type Name]]</f>
        <v>Excelsa-Medium</v>
      </c>
      <c r="AB89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893" spans="1:28" x14ac:dyDescent="0.25">
      <c r="A893" s="2" t="s">
        <v>2498</v>
      </c>
      <c r="B893" s="4">
        <v>44631</v>
      </c>
      <c r="C893" s="2" t="s">
        <v>2499</v>
      </c>
      <c r="D893" t="s">
        <v>6143</v>
      </c>
      <c r="E893" s="2">
        <v>4</v>
      </c>
      <c r="F893" s="2" t="str">
        <f>_xlfn.XLOOKUP(C893,customers!$A$1:$A$1001,customers!$B$1:$B$1001,,0)</f>
        <v>Willey Romao</v>
      </c>
      <c r="G893" s="2" t="str">
        <f>IF(_xlfn.XLOOKUP(C893,customers!$A$1:$A$1001,customers!$C$1:$C$1001,,0)=0,"",_xlfn.XLOOKUP(C893,customers!$A$1:$A$1001,customers!$C$1:$C$1001,,0))</f>
        <v>wromao9w@chronoengine.com</v>
      </c>
      <c r="H893" s="2" t="str">
        <f>_xlfn.XLOOKUP(C893,customers!$A$1:$A$1001,customers!$G$1:$G$1001,,0)</f>
        <v>United States</v>
      </c>
      <c r="I893" t="str">
        <f>INDEX(products!$A$1:$G$49, MATCH(orders!$D358,products!$A$1:$A405,0), MATCH(orders!I$1,products!$A$1:$G$1,0))</f>
        <v>Lib</v>
      </c>
      <c r="J893" t="str">
        <f>INDEX(products!$A$1:$G$49, MATCH(orders!$D358,products!$A$1:$A405,0), MATCH(orders!J$1,products!$A$1:$G$1,0))</f>
        <v>D</v>
      </c>
      <c r="K893" s="5">
        <f>INDEX(products!$A$1:$G$49, MATCH(orders!$D358,products!$A$1:$A405,0), MATCH(orders!K$1,products!$A$1:$G$1,0))</f>
        <v>1</v>
      </c>
      <c r="L893" s="6">
        <f>INDEX(products!$A$1:$G$49, MATCH(orders!$D358,products!$A$1:$A405,0), MATCH(orders!L$1,products!$A$1:$G$1,0))</f>
        <v>12.95</v>
      </c>
      <c r="M893" s="6">
        <f t="shared" si="39"/>
        <v>51.8</v>
      </c>
      <c r="N893" t="str">
        <f t="shared" si="40"/>
        <v>Liberica</v>
      </c>
      <c r="O893" t="str">
        <f t="shared" si="41"/>
        <v>Dark</v>
      </c>
      <c r="P893" t="str">
        <f>_xlfn.XLOOKUP(Orders[[#This Row],[Customer ID]],customers!$A$1:$A$1001,customers!$I$1:$I$1001,,0)</f>
        <v>Yes</v>
      </c>
      <c r="Q893">
        <f>COUNTIF(Orders[Order ID],Orders[[#This Row],[Order ID]])</f>
        <v>1</v>
      </c>
      <c r="R893" s="10">
        <f>SUMIF(Orders[Order ID], Orders[[#This Row],[Order ID]],Orders[Sales])/Orders[[#This Row],[Order Frequency]]</f>
        <v>51.8</v>
      </c>
      <c r="S893" t="str">
        <f>IF(Orders[[#This Row],[Order Frequency]]&gt;4, "More than 4", IF(AND(Orders[[#This Row],[Order Frequency]]&lt;=4,Orders[[#This Row],[Order Frequency]]&gt;=2), "Between 4 and 2", "Less than 2"))</f>
        <v>Less than 2</v>
      </c>
      <c r="T893" t="str">
        <f>IF(Orders[[#This Row],[Frequency Group]]="less than 2", "Low Value", IF(Orders[[#This Row],[Frequency Group]]="between 4 and 2", "Medium Value", "High Value"))</f>
        <v>Low Value</v>
      </c>
      <c r="U893" t="str">
        <f>IF(Orders[[#This Row],[Sales]]&lt;50, "$0-50", IF(AND(Orders[[#This Row],[Sales]]&gt;=50,Orders[[#This Row],[Sales]]&lt;=100), "$50-100", IF(AND(Orders[[#This Row],[Sales]]&gt;100,Orders[[#This Row],[Sales]]&lt;=150), "$101-150", "$150+")))</f>
        <v>$50-100</v>
      </c>
      <c r="V893" t="str">
        <f>IF(Orders[[#This Row],[Sales]]&gt;MEDIAN(M:M), "High Price", "Low Price")</f>
        <v>High Price</v>
      </c>
      <c r="W893" t="str">
        <f>IF(Orders[[#This Row],[Quantity]]&gt;MEDIAN(E:E), "High Volume", "Low Volume")</f>
        <v>Low Volume</v>
      </c>
      <c r="X893" t="str">
        <f>Orders[[#This Row],[Sales Tier]] &amp; "-" &amp; Orders[[#This Row],[Quantity Tier]]</f>
        <v>High Price-Low Volume</v>
      </c>
      <c r="Y893" t="str">
        <f>TEXT(Orders[[#This Row],[Order Date]], "mmmm")</f>
        <v>March</v>
      </c>
      <c r="Z89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93" t="str">
        <f>Orders[[#This Row],[Coffee Type Name]] &amp; "-" &amp; Orders[[#This Row],[Roast Type Name]]</f>
        <v>Liberica-Dark</v>
      </c>
      <c r="AB89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894" spans="1:28" x14ac:dyDescent="0.25">
      <c r="A894" s="2" t="s">
        <v>1299</v>
      </c>
      <c r="B894" s="4">
        <v>44265</v>
      </c>
      <c r="C894" s="2" t="s">
        <v>1300</v>
      </c>
      <c r="D894" t="s">
        <v>6148</v>
      </c>
      <c r="E894" s="2">
        <v>2</v>
      </c>
      <c r="F894" s="2" t="str">
        <f>_xlfn.XLOOKUP(C894,customers!$A$1:$A$1001,customers!$B$1:$B$1001,,0)</f>
        <v>Winn Keyse</v>
      </c>
      <c r="G894" s="2" t="str">
        <f>IF(_xlfn.XLOOKUP(C894,customers!$A$1:$A$1001,customers!$C$1:$C$1001,,0)=0,"",_xlfn.XLOOKUP(C894,customers!$A$1:$A$1001,customers!$C$1:$C$1001,,0))</f>
        <v>wkeyse40@apple.com</v>
      </c>
      <c r="H894" s="2" t="str">
        <f>_xlfn.XLOOKUP(C894,customers!$A$1:$A$1001,customers!$G$1:$G$1001,,0)</f>
        <v>United States</v>
      </c>
      <c r="I894" t="str">
        <f>INDEX(products!$A$1:$G$49, MATCH(orders!$D146,products!$A$1:$A193,0), MATCH(orders!I$1,products!$A$1:$G$1,0))</f>
        <v>Exc</v>
      </c>
      <c r="J894" t="str">
        <f>INDEX(products!$A$1:$G$49, MATCH(orders!$D146,products!$A$1:$A193,0), MATCH(orders!J$1,products!$A$1:$G$1,0))</f>
        <v>L</v>
      </c>
      <c r="K894" s="5">
        <f>INDEX(products!$A$1:$G$49, MATCH(orders!$D146,products!$A$1:$A193,0), MATCH(orders!K$1,products!$A$1:$G$1,0))</f>
        <v>2.5</v>
      </c>
      <c r="L894" s="6">
        <f>INDEX(products!$A$1:$G$49, MATCH(orders!$D146,products!$A$1:$A193,0), MATCH(orders!L$1,products!$A$1:$G$1,0))</f>
        <v>34.154999999999994</v>
      </c>
      <c r="M894" s="6">
        <f t="shared" si="39"/>
        <v>68.309999999999988</v>
      </c>
      <c r="N894" t="str">
        <f t="shared" si="40"/>
        <v>Excelsa</v>
      </c>
      <c r="O894" t="str">
        <f t="shared" si="41"/>
        <v>Light</v>
      </c>
      <c r="P894" t="str">
        <f>_xlfn.XLOOKUP(Orders[[#This Row],[Customer ID]],customers!$A$1:$A$1001,customers!$I$1:$I$1001,,0)</f>
        <v>Yes</v>
      </c>
      <c r="Q894">
        <f>COUNTIF(Orders[Order ID],Orders[[#This Row],[Order ID]])</f>
        <v>1</v>
      </c>
      <c r="R894" s="10">
        <f>SUMIF(Orders[Order ID], Orders[[#This Row],[Order ID]],Orders[Sales])/Orders[[#This Row],[Order Frequency]]</f>
        <v>68.309999999999988</v>
      </c>
      <c r="S894" t="str">
        <f>IF(Orders[[#This Row],[Order Frequency]]&gt;4, "More than 4", IF(AND(Orders[[#This Row],[Order Frequency]]&lt;=4,Orders[[#This Row],[Order Frequency]]&gt;=2), "Between 4 and 2", "Less than 2"))</f>
        <v>Less than 2</v>
      </c>
      <c r="T894" t="str">
        <f>IF(Orders[[#This Row],[Frequency Group]]="less than 2", "Low Value", IF(Orders[[#This Row],[Frequency Group]]="between 4 and 2", "Medium Value", "High Value"))</f>
        <v>Low Value</v>
      </c>
      <c r="U894" t="str">
        <f>IF(Orders[[#This Row],[Sales]]&lt;50, "$0-50", IF(AND(Orders[[#This Row],[Sales]]&gt;=50,Orders[[#This Row],[Sales]]&lt;=100), "$50-100", IF(AND(Orders[[#This Row],[Sales]]&gt;100,Orders[[#This Row],[Sales]]&lt;=150), "$101-150", "$150+")))</f>
        <v>$50-100</v>
      </c>
      <c r="V894" t="str">
        <f>IF(Orders[[#This Row],[Sales]]&gt;MEDIAN(M:M), "High Price", "Low Price")</f>
        <v>High Price</v>
      </c>
      <c r="W894" t="str">
        <f>IF(Orders[[#This Row],[Quantity]]&gt;MEDIAN(E:E), "High Volume", "Low Volume")</f>
        <v>Low Volume</v>
      </c>
      <c r="X894" t="str">
        <f>Orders[[#This Row],[Sales Tier]] &amp; "-" &amp; Orders[[#This Row],[Quantity Tier]]</f>
        <v>High Price-Low Volume</v>
      </c>
      <c r="Y894" t="str">
        <f>TEXT(Orders[[#This Row],[Order Date]], "mmmm")</f>
        <v>March</v>
      </c>
      <c r="Z89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94" t="str">
        <f>Orders[[#This Row],[Coffee Type Name]] &amp; "-" &amp; Orders[[#This Row],[Roast Type Name]]</f>
        <v>Excelsa-Light</v>
      </c>
      <c r="AB89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895" spans="1:28" x14ac:dyDescent="0.25">
      <c r="A895" s="2" t="s">
        <v>2369</v>
      </c>
      <c r="B895" s="4">
        <v>43712</v>
      </c>
      <c r="C895" s="2" t="s">
        <v>2370</v>
      </c>
      <c r="D895" t="s">
        <v>6146</v>
      </c>
      <c r="E895" s="2">
        <v>4</v>
      </c>
      <c r="F895" s="2" t="str">
        <f>_xlfn.XLOOKUP(C895,customers!$A$1:$A$1001,customers!$B$1:$B$1001,,0)</f>
        <v>Vivyan Ceely</v>
      </c>
      <c r="G895" s="2" t="str">
        <f>IF(_xlfn.XLOOKUP(C895,customers!$A$1:$A$1001,customers!$C$1:$C$1001,,0)=0,"",_xlfn.XLOOKUP(C895,customers!$A$1:$A$1001,customers!$C$1:$C$1001,,0))</f>
        <v>vceely99@auda.org.au</v>
      </c>
      <c r="H895" s="2" t="str">
        <f>_xlfn.XLOOKUP(C895,customers!$A$1:$A$1001,customers!$G$1:$G$1001,,0)</f>
        <v>United States</v>
      </c>
      <c r="I895" t="str">
        <f>INDEX(products!$A$1:$G$49, MATCH(orders!$D335,products!$A$1:$A382,0), MATCH(orders!I$1,products!$A$1:$G$1,0))</f>
        <v>Rob</v>
      </c>
      <c r="J895" t="str">
        <f>INDEX(products!$A$1:$G$49, MATCH(orders!$D335,products!$A$1:$A382,0), MATCH(orders!J$1,products!$A$1:$G$1,0))</f>
        <v>M</v>
      </c>
      <c r="K895" s="5">
        <f>INDEX(products!$A$1:$G$49, MATCH(orders!$D335,products!$A$1:$A382,0), MATCH(orders!K$1,products!$A$1:$G$1,0))</f>
        <v>0.5</v>
      </c>
      <c r="L895" s="6">
        <f>INDEX(products!$A$1:$G$49, MATCH(orders!$D335,products!$A$1:$A382,0), MATCH(orders!L$1,products!$A$1:$G$1,0))</f>
        <v>5.97</v>
      </c>
      <c r="M895" s="6">
        <f t="shared" si="39"/>
        <v>23.88</v>
      </c>
      <c r="N895" t="str">
        <f t="shared" si="40"/>
        <v>Robusta</v>
      </c>
      <c r="O895" t="str">
        <f t="shared" si="41"/>
        <v>Medium</v>
      </c>
      <c r="P895" t="str">
        <f>_xlfn.XLOOKUP(Orders[[#This Row],[Customer ID]],customers!$A$1:$A$1001,customers!$I$1:$I$1001,,0)</f>
        <v>Yes</v>
      </c>
      <c r="Q895">
        <f>COUNTIF(Orders[Order ID],Orders[[#This Row],[Order ID]])</f>
        <v>1</v>
      </c>
      <c r="R895" s="10">
        <f>SUMIF(Orders[Order ID], Orders[[#This Row],[Order ID]],Orders[Sales])/Orders[[#This Row],[Order Frequency]]</f>
        <v>23.88</v>
      </c>
      <c r="S895" t="str">
        <f>IF(Orders[[#This Row],[Order Frequency]]&gt;4, "More than 4", IF(AND(Orders[[#This Row],[Order Frequency]]&lt;=4,Orders[[#This Row],[Order Frequency]]&gt;=2), "Between 4 and 2", "Less than 2"))</f>
        <v>Less than 2</v>
      </c>
      <c r="T895" t="str">
        <f>IF(Orders[[#This Row],[Frequency Group]]="less than 2", "Low Value", IF(Orders[[#This Row],[Frequency Group]]="between 4 and 2", "Medium Value", "High Value"))</f>
        <v>Low Value</v>
      </c>
      <c r="U895" t="str">
        <f>IF(Orders[[#This Row],[Sales]]&lt;50, "$0-50", IF(AND(Orders[[#This Row],[Sales]]&gt;=50,Orders[[#This Row],[Sales]]&lt;=100), "$50-100", IF(AND(Orders[[#This Row],[Sales]]&gt;100,Orders[[#This Row],[Sales]]&lt;=150), "$101-150", "$150+")))</f>
        <v>$0-50</v>
      </c>
      <c r="V895" t="str">
        <f>IF(Orders[[#This Row],[Sales]]&gt;MEDIAN(M:M), "High Price", "Low Price")</f>
        <v>Low Price</v>
      </c>
      <c r="W895" t="str">
        <f>IF(Orders[[#This Row],[Quantity]]&gt;MEDIAN(E:E), "High Volume", "Low Volume")</f>
        <v>Low Volume</v>
      </c>
      <c r="X895" t="str">
        <f>Orders[[#This Row],[Sales Tier]] &amp; "-" &amp; Orders[[#This Row],[Quantity Tier]]</f>
        <v>Low Price-Low Volume</v>
      </c>
      <c r="Y895" t="str">
        <f>TEXT(Orders[[#This Row],[Order Date]], "mmmm")</f>
        <v>September</v>
      </c>
      <c r="Z89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895" t="str">
        <f>Orders[[#This Row],[Coffee Type Name]] &amp; "-" &amp; Orders[[#This Row],[Roast Type Name]]</f>
        <v>Robusta-Medium</v>
      </c>
      <c r="AB89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96" spans="1:28" x14ac:dyDescent="0.25">
      <c r="A896" s="2" t="s">
        <v>872</v>
      </c>
      <c r="B896" s="4">
        <v>43754</v>
      </c>
      <c r="C896" s="2" t="s">
        <v>873</v>
      </c>
      <c r="D896" t="s">
        <v>6174</v>
      </c>
      <c r="E896" s="2">
        <v>1</v>
      </c>
      <c r="F896" s="2" t="str">
        <f>_xlfn.XLOOKUP(C896,customers!$A$1:$A$1001,customers!$B$1:$B$1001,,0)</f>
        <v>Hayward Goulter</v>
      </c>
      <c r="G896" s="2" t="str">
        <f>IF(_xlfn.XLOOKUP(C896,customers!$A$1:$A$1001,customers!$C$1:$C$1001,,0)=0,"",_xlfn.XLOOKUP(C896,customers!$A$1:$A$1001,customers!$C$1:$C$1001,,0))</f>
        <v>hgoulter1w@abc.net.au</v>
      </c>
      <c r="H896" s="2" t="str">
        <f>_xlfn.XLOOKUP(C896,customers!$A$1:$A$1001,customers!$G$1:$G$1001,,0)</f>
        <v>United States</v>
      </c>
      <c r="I896" t="str">
        <f>INDEX(products!$A$1:$G$49, MATCH(orders!$D70,products!$A$1:$A117,0), MATCH(orders!I$1,products!$A$1:$G$1,0))</f>
        <v>Rob</v>
      </c>
      <c r="J896" t="str">
        <f>INDEX(products!$A$1:$G$49, MATCH(orders!$D70,products!$A$1:$A117,0), MATCH(orders!J$1,products!$A$1:$G$1,0))</f>
        <v>M</v>
      </c>
      <c r="K896" s="5">
        <f>INDEX(products!$A$1:$G$49, MATCH(orders!$D70,products!$A$1:$A117,0), MATCH(orders!K$1,products!$A$1:$G$1,0))</f>
        <v>0.2</v>
      </c>
      <c r="L896" s="6">
        <f>INDEX(products!$A$1:$G$49, MATCH(orders!$D70,products!$A$1:$A117,0), MATCH(orders!L$1,products!$A$1:$G$1,0))</f>
        <v>2.9849999999999999</v>
      </c>
      <c r="M896" s="6">
        <f t="shared" si="39"/>
        <v>2.9849999999999999</v>
      </c>
      <c r="N896" t="str">
        <f t="shared" si="40"/>
        <v>Robusta</v>
      </c>
      <c r="O896" t="str">
        <f t="shared" si="41"/>
        <v>Medium</v>
      </c>
      <c r="P896" t="str">
        <f>_xlfn.XLOOKUP(Orders[[#This Row],[Customer ID]],customers!$A$1:$A$1001,customers!$I$1:$I$1001,,0)</f>
        <v>No</v>
      </c>
      <c r="Q896">
        <f>COUNTIF(Orders[Order ID],Orders[[#This Row],[Order ID]])</f>
        <v>1</v>
      </c>
      <c r="R896" s="10">
        <f>SUMIF(Orders[Order ID], Orders[[#This Row],[Order ID]],Orders[Sales])/Orders[[#This Row],[Order Frequency]]</f>
        <v>2.9849999999999999</v>
      </c>
      <c r="S896" t="str">
        <f>IF(Orders[[#This Row],[Order Frequency]]&gt;4, "More than 4", IF(AND(Orders[[#This Row],[Order Frequency]]&lt;=4,Orders[[#This Row],[Order Frequency]]&gt;=2), "Between 4 and 2", "Less than 2"))</f>
        <v>Less than 2</v>
      </c>
      <c r="T896" t="str">
        <f>IF(Orders[[#This Row],[Frequency Group]]="less than 2", "Low Value", IF(Orders[[#This Row],[Frequency Group]]="between 4 and 2", "Medium Value", "High Value"))</f>
        <v>Low Value</v>
      </c>
      <c r="U896" t="str">
        <f>IF(Orders[[#This Row],[Sales]]&lt;50, "$0-50", IF(AND(Orders[[#This Row],[Sales]]&gt;=50,Orders[[#This Row],[Sales]]&lt;=100), "$50-100", IF(AND(Orders[[#This Row],[Sales]]&gt;100,Orders[[#This Row],[Sales]]&lt;=150), "$101-150", "$150+")))</f>
        <v>$0-50</v>
      </c>
      <c r="V896" t="str">
        <f>IF(Orders[[#This Row],[Sales]]&gt;MEDIAN(M:M), "High Price", "Low Price")</f>
        <v>Low Price</v>
      </c>
      <c r="W896" t="str">
        <f>IF(Orders[[#This Row],[Quantity]]&gt;MEDIAN(E:E), "High Volume", "Low Volume")</f>
        <v>Low Volume</v>
      </c>
      <c r="X896" t="str">
        <f>Orders[[#This Row],[Sales Tier]] &amp; "-" &amp; Orders[[#This Row],[Quantity Tier]]</f>
        <v>Low Price-Low Volume</v>
      </c>
      <c r="Y896" t="str">
        <f>TEXT(Orders[[#This Row],[Order Date]], "mmmm")</f>
        <v>October</v>
      </c>
      <c r="Z89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896" t="str">
        <f>Orders[[#This Row],[Coffee Type Name]] &amp; "-" &amp; Orders[[#This Row],[Roast Type Name]]</f>
        <v>Robusta-Medium</v>
      </c>
      <c r="AB89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97" spans="1:28" x14ac:dyDescent="0.25">
      <c r="A897" s="2" t="s">
        <v>827</v>
      </c>
      <c r="B897" s="4">
        <v>44252</v>
      </c>
      <c r="C897" s="2" t="s">
        <v>828</v>
      </c>
      <c r="D897" t="s">
        <v>6168</v>
      </c>
      <c r="E897" s="2">
        <v>5</v>
      </c>
      <c r="F897" s="2" t="str">
        <f>_xlfn.XLOOKUP(C897,customers!$A$1:$A$1001,customers!$B$1:$B$1001,,0)</f>
        <v>Correy Cottingham</v>
      </c>
      <c r="G897" s="2" t="str">
        <f>IF(_xlfn.XLOOKUP(C897,customers!$A$1:$A$1001,customers!$C$1:$C$1001,,0)=0,"",_xlfn.XLOOKUP(C897,customers!$A$1:$A$1001,customers!$C$1:$C$1001,,0))</f>
        <v>ccottingham1o@wikipedia.org</v>
      </c>
      <c r="H897" s="2" t="str">
        <f>_xlfn.XLOOKUP(C897,customers!$A$1:$A$1001,customers!$G$1:$G$1001,,0)</f>
        <v>United States</v>
      </c>
      <c r="I897" t="str">
        <f>INDEX(products!$A$1:$G$49, MATCH(orders!$D62,products!$A$1:$A109,0), MATCH(orders!I$1,products!$A$1:$G$1,0))</f>
        <v>Ara</v>
      </c>
      <c r="J897" t="str">
        <f>INDEX(products!$A$1:$G$49, MATCH(orders!$D62,products!$A$1:$A109,0), MATCH(orders!J$1,products!$A$1:$G$1,0))</f>
        <v>D</v>
      </c>
      <c r="K897" s="5">
        <f>INDEX(products!$A$1:$G$49, MATCH(orders!$D62,products!$A$1:$A109,0), MATCH(orders!K$1,products!$A$1:$G$1,0))</f>
        <v>2.5</v>
      </c>
      <c r="L897" s="6">
        <f>INDEX(products!$A$1:$G$49, MATCH(orders!$D62,products!$A$1:$A109,0), MATCH(orders!L$1,products!$A$1:$G$1,0))</f>
        <v>22.884999999999998</v>
      </c>
      <c r="M897" s="6">
        <f t="shared" si="39"/>
        <v>114.42499999999998</v>
      </c>
      <c r="N897" t="str">
        <f t="shared" si="40"/>
        <v>Arabica</v>
      </c>
      <c r="O897" t="str">
        <f t="shared" si="41"/>
        <v>Dark</v>
      </c>
      <c r="P897" t="str">
        <f>_xlfn.XLOOKUP(Orders[[#This Row],[Customer ID]],customers!$A$1:$A$1001,customers!$I$1:$I$1001,,0)</f>
        <v>No</v>
      </c>
      <c r="Q897">
        <f>COUNTIF(Orders[Order ID],Orders[[#This Row],[Order ID]])</f>
        <v>1</v>
      </c>
      <c r="R897" s="10">
        <f>SUMIF(Orders[Order ID], Orders[[#This Row],[Order ID]],Orders[Sales])/Orders[[#This Row],[Order Frequency]]</f>
        <v>114.42499999999998</v>
      </c>
      <c r="S897" t="str">
        <f>IF(Orders[[#This Row],[Order Frequency]]&gt;4, "More than 4", IF(AND(Orders[[#This Row],[Order Frequency]]&lt;=4,Orders[[#This Row],[Order Frequency]]&gt;=2), "Between 4 and 2", "Less than 2"))</f>
        <v>Less than 2</v>
      </c>
      <c r="T897" t="str">
        <f>IF(Orders[[#This Row],[Frequency Group]]="less than 2", "Low Value", IF(Orders[[#This Row],[Frequency Group]]="between 4 and 2", "Medium Value", "High Value"))</f>
        <v>Low Value</v>
      </c>
      <c r="U897" t="str">
        <f>IF(Orders[[#This Row],[Sales]]&lt;50, "$0-50", IF(AND(Orders[[#This Row],[Sales]]&gt;=50,Orders[[#This Row],[Sales]]&lt;=100), "$50-100", IF(AND(Orders[[#This Row],[Sales]]&gt;100,Orders[[#This Row],[Sales]]&lt;=150), "$101-150", "$150+")))</f>
        <v>$101-150</v>
      </c>
      <c r="V897" t="str">
        <f>IF(Orders[[#This Row],[Sales]]&gt;MEDIAN(M:M), "High Price", "Low Price")</f>
        <v>High Price</v>
      </c>
      <c r="W897" t="str">
        <f>IF(Orders[[#This Row],[Quantity]]&gt;MEDIAN(E:E), "High Volume", "Low Volume")</f>
        <v>High Volume</v>
      </c>
      <c r="X897" t="str">
        <f>Orders[[#This Row],[Sales Tier]] &amp; "-" &amp; Orders[[#This Row],[Quantity Tier]]</f>
        <v>High Price-High Volume</v>
      </c>
      <c r="Y897" t="str">
        <f>TEXT(Orders[[#This Row],[Order Date]], "mmmm")</f>
        <v>February</v>
      </c>
      <c r="Z89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97" t="str">
        <f>Orders[[#This Row],[Coffee Type Name]] &amp; "-" &amp; Orders[[#This Row],[Roast Type Name]]</f>
        <v>Arabica-Dark</v>
      </c>
      <c r="AB89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898" spans="1:28" x14ac:dyDescent="0.25">
      <c r="A898" s="2" t="s">
        <v>2127</v>
      </c>
      <c r="B898" s="4">
        <v>44497</v>
      </c>
      <c r="C898" s="2" t="s">
        <v>2128</v>
      </c>
      <c r="D898" t="s">
        <v>6147</v>
      </c>
      <c r="E898" s="2">
        <v>5</v>
      </c>
      <c r="F898" s="2" t="str">
        <f>_xlfn.XLOOKUP(C898,customers!$A$1:$A$1001,customers!$B$1:$B$1001,,0)</f>
        <v>Domeniga Duke</v>
      </c>
      <c r="G898" s="2" t="str">
        <f>IF(_xlfn.XLOOKUP(C898,customers!$A$1:$A$1001,customers!$C$1:$C$1001,,0)=0,"",_xlfn.XLOOKUP(C898,customers!$A$1:$A$1001,customers!$C$1:$C$1001,,0))</f>
        <v>dduke82@vkontakte.ru</v>
      </c>
      <c r="H898" s="2" t="str">
        <f>_xlfn.XLOOKUP(C898,customers!$A$1:$A$1001,customers!$G$1:$G$1001,,0)</f>
        <v>United States</v>
      </c>
      <c r="I898" t="str">
        <f>INDEX(products!$A$1:$G$49, MATCH(orders!$D292,products!$A$1:$A339,0), MATCH(orders!I$1,products!$A$1:$G$1,0))</f>
        <v>Ara</v>
      </c>
      <c r="J898" t="str">
        <f>INDEX(products!$A$1:$G$49, MATCH(orders!$D292,products!$A$1:$A339,0), MATCH(orders!J$1,products!$A$1:$G$1,0))</f>
        <v>D</v>
      </c>
      <c r="K898" s="5">
        <f>INDEX(products!$A$1:$G$49, MATCH(orders!$D292,products!$A$1:$A339,0), MATCH(orders!K$1,products!$A$1:$G$1,0))</f>
        <v>1</v>
      </c>
      <c r="L898" s="6">
        <f>INDEX(products!$A$1:$G$49, MATCH(orders!$D292,products!$A$1:$A339,0), MATCH(orders!L$1,products!$A$1:$G$1,0))</f>
        <v>9.9499999999999993</v>
      </c>
      <c r="M898" s="6">
        <f t="shared" ref="M898:M961" si="42">L898*E898</f>
        <v>49.75</v>
      </c>
      <c r="N898" t="str">
        <f t="shared" ref="N898:N961" si="43">IF(I898="Rob", "Robusta", IF(I898="Exc", "Excelsa", IF(I898="Ara","Arabica", IF(I898="Lib", "Liberica",""))))</f>
        <v>Arabica</v>
      </c>
      <c r="O898" t="str">
        <f t="shared" ref="O898:O961" si="44">IF(J898="M", "Medium", IF(J898="L", "Light", IF(J898="D", "Dark", "")))</f>
        <v>Dark</v>
      </c>
      <c r="P898" t="str">
        <f>_xlfn.XLOOKUP(Orders[[#This Row],[Customer ID]],customers!$A$1:$A$1001,customers!$I$1:$I$1001,,0)</f>
        <v>No</v>
      </c>
      <c r="Q898">
        <f>COUNTIF(Orders[Order ID],Orders[[#This Row],[Order ID]])</f>
        <v>1</v>
      </c>
      <c r="R898" s="10">
        <f>SUMIF(Orders[Order ID], Orders[[#This Row],[Order ID]],Orders[Sales])/Orders[[#This Row],[Order Frequency]]</f>
        <v>49.75</v>
      </c>
      <c r="S898" t="str">
        <f>IF(Orders[[#This Row],[Order Frequency]]&gt;4, "More than 4", IF(AND(Orders[[#This Row],[Order Frequency]]&lt;=4,Orders[[#This Row],[Order Frequency]]&gt;=2), "Between 4 and 2", "Less than 2"))</f>
        <v>Less than 2</v>
      </c>
      <c r="T898" t="str">
        <f>IF(Orders[[#This Row],[Frequency Group]]="less than 2", "Low Value", IF(Orders[[#This Row],[Frequency Group]]="between 4 and 2", "Medium Value", "High Value"))</f>
        <v>Low Value</v>
      </c>
      <c r="U898" t="str">
        <f>IF(Orders[[#This Row],[Sales]]&lt;50, "$0-50", IF(AND(Orders[[#This Row],[Sales]]&gt;=50,Orders[[#This Row],[Sales]]&lt;=100), "$50-100", IF(AND(Orders[[#This Row],[Sales]]&gt;100,Orders[[#This Row],[Sales]]&lt;=150), "$101-150", "$150+")))</f>
        <v>$0-50</v>
      </c>
      <c r="V898" t="str">
        <f>IF(Orders[[#This Row],[Sales]]&gt;MEDIAN(M:M), "High Price", "Low Price")</f>
        <v>High Price</v>
      </c>
      <c r="W898" t="str">
        <f>IF(Orders[[#This Row],[Quantity]]&gt;MEDIAN(E:E), "High Volume", "Low Volume")</f>
        <v>High Volume</v>
      </c>
      <c r="X898" t="str">
        <f>Orders[[#This Row],[Sales Tier]] &amp; "-" &amp; Orders[[#This Row],[Quantity Tier]]</f>
        <v>High Price-High Volume</v>
      </c>
      <c r="Y898" t="str">
        <f>TEXT(Orders[[#This Row],[Order Date]], "mmmm")</f>
        <v>October</v>
      </c>
      <c r="Z89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898" t="str">
        <f>Orders[[#This Row],[Coffee Type Name]] &amp; "-" &amp; Orders[[#This Row],[Roast Type Name]]</f>
        <v>Arabica-Dark</v>
      </c>
      <c r="AB89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899" spans="1:28" x14ac:dyDescent="0.25">
      <c r="A899" s="2" t="s">
        <v>6106</v>
      </c>
      <c r="B899" s="4">
        <v>44244</v>
      </c>
      <c r="C899" s="2" t="s">
        <v>6107</v>
      </c>
      <c r="D899" t="s">
        <v>6154</v>
      </c>
      <c r="E899" s="2">
        <v>3</v>
      </c>
      <c r="F899" s="2" t="str">
        <f>_xlfn.XLOOKUP(C899,customers!$A$1:$A$1001,customers!$B$1:$B$1001,,0)</f>
        <v>Catharine Scoines</v>
      </c>
      <c r="G899" s="2" t="str">
        <f>IF(_xlfn.XLOOKUP(C899,customers!$A$1:$A$1001,customers!$C$1:$C$1001,,0)=0,"",_xlfn.XLOOKUP(C899,customers!$A$1:$A$1001,customers!$C$1:$C$1001,,0))</f>
        <v/>
      </c>
      <c r="H899" s="2" t="str">
        <f>_xlfn.XLOOKUP(C899,customers!$A$1:$A$1001,customers!$G$1:$G$1001,,0)</f>
        <v>Ireland</v>
      </c>
      <c r="I899" t="str">
        <f>INDEX(products!$A$1:$G$49, MATCH(orders!$D996,products!$A$1:$A1043,0), MATCH(orders!I$1,products!$A$1:$G$1,0))</f>
        <v>Ara</v>
      </c>
      <c r="J899" t="str">
        <f>INDEX(products!$A$1:$G$49, MATCH(orders!$D996,products!$A$1:$A1043,0), MATCH(orders!J$1,products!$A$1:$G$1,0))</f>
        <v>D</v>
      </c>
      <c r="K899" s="5">
        <f>INDEX(products!$A$1:$G$49, MATCH(orders!$D996,products!$A$1:$A1043,0), MATCH(orders!K$1,products!$A$1:$G$1,0))</f>
        <v>0.2</v>
      </c>
      <c r="L899" s="6">
        <f>INDEX(products!$A$1:$G$49, MATCH(orders!$D996,products!$A$1:$A1043,0), MATCH(orders!L$1,products!$A$1:$G$1,0))</f>
        <v>2.9849999999999999</v>
      </c>
      <c r="M899" s="6">
        <f t="shared" si="42"/>
        <v>8.9550000000000001</v>
      </c>
      <c r="N899" t="str">
        <f t="shared" si="43"/>
        <v>Arabica</v>
      </c>
      <c r="O899" t="str">
        <f t="shared" si="44"/>
        <v>Dark</v>
      </c>
      <c r="P899" t="str">
        <f>_xlfn.XLOOKUP(Orders[[#This Row],[Customer ID]],customers!$A$1:$A$1001,customers!$I$1:$I$1001,,0)</f>
        <v>No</v>
      </c>
      <c r="Q899">
        <f>COUNTIF(Orders[Order ID],Orders[[#This Row],[Order ID]])</f>
        <v>1</v>
      </c>
      <c r="R899" s="10">
        <f>SUMIF(Orders[Order ID], Orders[[#This Row],[Order ID]],Orders[Sales])/Orders[[#This Row],[Order Frequency]]</f>
        <v>8.9550000000000001</v>
      </c>
      <c r="S899" t="str">
        <f>IF(Orders[[#This Row],[Order Frequency]]&gt;4, "More than 4", IF(AND(Orders[[#This Row],[Order Frequency]]&lt;=4,Orders[[#This Row],[Order Frequency]]&gt;=2), "Between 4 and 2", "Less than 2"))</f>
        <v>Less than 2</v>
      </c>
      <c r="T899" t="str">
        <f>IF(Orders[[#This Row],[Frequency Group]]="less than 2", "Low Value", IF(Orders[[#This Row],[Frequency Group]]="between 4 and 2", "Medium Value", "High Value"))</f>
        <v>Low Value</v>
      </c>
      <c r="U899" t="str">
        <f>IF(Orders[[#This Row],[Sales]]&lt;50, "$0-50", IF(AND(Orders[[#This Row],[Sales]]&gt;=50,Orders[[#This Row],[Sales]]&lt;=100), "$50-100", IF(AND(Orders[[#This Row],[Sales]]&gt;100,Orders[[#This Row],[Sales]]&lt;=150), "$101-150", "$150+")))</f>
        <v>$0-50</v>
      </c>
      <c r="V899" t="str">
        <f>IF(Orders[[#This Row],[Sales]]&gt;MEDIAN(M:M), "High Price", "Low Price")</f>
        <v>Low Price</v>
      </c>
      <c r="W899" t="str">
        <f>IF(Orders[[#This Row],[Quantity]]&gt;MEDIAN(E:E), "High Volume", "Low Volume")</f>
        <v>Low Volume</v>
      </c>
      <c r="X899" t="str">
        <f>Orders[[#This Row],[Sales Tier]] &amp; "-" &amp; Orders[[#This Row],[Quantity Tier]]</f>
        <v>Low Price-Low Volume</v>
      </c>
      <c r="Y899" t="str">
        <f>TEXT(Orders[[#This Row],[Order Date]], "mmmm")</f>
        <v>February</v>
      </c>
      <c r="Z89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899" t="str">
        <f>Orders[[#This Row],[Coffee Type Name]] &amp; "-" &amp; Orders[[#This Row],[Roast Type Name]]</f>
        <v>Arabica-Dark</v>
      </c>
      <c r="AB89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900" spans="1:28" x14ac:dyDescent="0.25">
      <c r="A900" s="2" t="s">
        <v>3599</v>
      </c>
      <c r="B900" s="4">
        <v>44176</v>
      </c>
      <c r="C900" s="2" t="s">
        <v>3600</v>
      </c>
      <c r="D900" t="s">
        <v>6150</v>
      </c>
      <c r="E900" s="2">
        <v>6</v>
      </c>
      <c r="F900" s="2" t="str">
        <f>_xlfn.XLOOKUP(C900,customers!$A$1:$A$1001,customers!$B$1:$B$1001,,0)</f>
        <v>Nick Brakespear</v>
      </c>
      <c r="G900" s="2" t="str">
        <f>IF(_xlfn.XLOOKUP(C900,customers!$A$1:$A$1001,customers!$C$1:$C$1001,,0)=0,"",_xlfn.XLOOKUP(C900,customers!$A$1:$A$1001,customers!$C$1:$C$1001,,0))</f>
        <v>nbrakespearfa@rediff.com</v>
      </c>
      <c r="H900" s="2" t="str">
        <f>_xlfn.XLOOKUP(C900,customers!$A$1:$A$1001,customers!$G$1:$G$1001,,0)</f>
        <v>United States</v>
      </c>
      <c r="I900" t="str">
        <f>INDEX(products!$A$1:$G$49, MATCH(orders!$D552,products!$A$1:$A599,0), MATCH(orders!I$1,products!$A$1:$G$1,0))</f>
        <v>Lib</v>
      </c>
      <c r="J900" t="str">
        <f>INDEX(products!$A$1:$G$49, MATCH(orders!$D552,products!$A$1:$A599,0), MATCH(orders!J$1,products!$A$1:$G$1,0))</f>
        <v>D</v>
      </c>
      <c r="K900" s="5">
        <f>INDEX(products!$A$1:$G$49, MATCH(orders!$D552,products!$A$1:$A599,0), MATCH(orders!K$1,products!$A$1:$G$1,0))</f>
        <v>0.2</v>
      </c>
      <c r="L900" s="6">
        <f>INDEX(products!$A$1:$G$49, MATCH(orders!$D552,products!$A$1:$A599,0), MATCH(orders!L$1,products!$A$1:$G$1,0))</f>
        <v>3.8849999999999998</v>
      </c>
      <c r="M900" s="6">
        <f t="shared" si="42"/>
        <v>23.31</v>
      </c>
      <c r="N900" t="str">
        <f t="shared" si="43"/>
        <v>Liberica</v>
      </c>
      <c r="O900" t="str">
        <f t="shared" si="44"/>
        <v>Dark</v>
      </c>
      <c r="P900" t="str">
        <f>_xlfn.XLOOKUP(Orders[[#This Row],[Customer ID]],customers!$A$1:$A$1001,customers!$I$1:$I$1001,,0)</f>
        <v>Yes</v>
      </c>
      <c r="Q900">
        <f>COUNTIF(Orders[Order ID],Orders[[#This Row],[Order ID]])</f>
        <v>1</v>
      </c>
      <c r="R900" s="10">
        <f>SUMIF(Orders[Order ID], Orders[[#This Row],[Order ID]],Orders[Sales])/Orders[[#This Row],[Order Frequency]]</f>
        <v>23.31</v>
      </c>
      <c r="S900" t="str">
        <f>IF(Orders[[#This Row],[Order Frequency]]&gt;4, "More than 4", IF(AND(Orders[[#This Row],[Order Frequency]]&lt;=4,Orders[[#This Row],[Order Frequency]]&gt;=2), "Between 4 and 2", "Less than 2"))</f>
        <v>Less than 2</v>
      </c>
      <c r="T900" t="str">
        <f>IF(Orders[[#This Row],[Frequency Group]]="less than 2", "Low Value", IF(Orders[[#This Row],[Frequency Group]]="between 4 and 2", "Medium Value", "High Value"))</f>
        <v>Low Value</v>
      </c>
      <c r="U900" t="str">
        <f>IF(Orders[[#This Row],[Sales]]&lt;50, "$0-50", IF(AND(Orders[[#This Row],[Sales]]&gt;=50,Orders[[#This Row],[Sales]]&lt;=100), "$50-100", IF(AND(Orders[[#This Row],[Sales]]&gt;100,Orders[[#This Row],[Sales]]&lt;=150), "$101-150", "$150+")))</f>
        <v>$0-50</v>
      </c>
      <c r="V900" t="str">
        <f>IF(Orders[[#This Row],[Sales]]&gt;MEDIAN(M:M), "High Price", "Low Price")</f>
        <v>Low Price</v>
      </c>
      <c r="W900" t="str">
        <f>IF(Orders[[#This Row],[Quantity]]&gt;MEDIAN(E:E), "High Volume", "Low Volume")</f>
        <v>High Volume</v>
      </c>
      <c r="X900" t="str">
        <f>Orders[[#This Row],[Sales Tier]] &amp; "-" &amp; Orders[[#This Row],[Quantity Tier]]</f>
        <v>Low Price-High Volume</v>
      </c>
      <c r="Y900" t="str">
        <f>TEXT(Orders[[#This Row],[Order Date]], "mmmm")</f>
        <v>December</v>
      </c>
      <c r="Z90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900" t="str">
        <f>Orders[[#This Row],[Coffee Type Name]] &amp; "-" &amp; Orders[[#This Row],[Roast Type Name]]</f>
        <v>Liberica-Dark</v>
      </c>
      <c r="AB90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901" spans="1:28" x14ac:dyDescent="0.25">
      <c r="A901" s="2" t="s">
        <v>3015</v>
      </c>
      <c r="B901" s="4">
        <v>44718</v>
      </c>
      <c r="C901" s="2" t="s">
        <v>3016</v>
      </c>
      <c r="D901" t="s">
        <v>6173</v>
      </c>
      <c r="E901" s="2">
        <v>1</v>
      </c>
      <c r="F901" s="2" t="str">
        <f>_xlfn.XLOOKUP(C901,customers!$A$1:$A$1001,customers!$B$1:$B$1001,,0)</f>
        <v>Pru Durban</v>
      </c>
      <c r="G901" s="2" t="str">
        <f>IF(_xlfn.XLOOKUP(C901,customers!$A$1:$A$1001,customers!$C$1:$C$1001,,0)=0,"",_xlfn.XLOOKUP(C901,customers!$A$1:$A$1001,customers!$C$1:$C$1001,,0))</f>
        <v>pdurbancg@symantec.com</v>
      </c>
      <c r="H901" s="2" t="str">
        <f>_xlfn.XLOOKUP(C901,customers!$A$1:$A$1001,customers!$G$1:$G$1001,,0)</f>
        <v>Ireland</v>
      </c>
      <c r="I901" t="str">
        <f>INDEX(products!$A$1:$G$49, MATCH(orders!$D450,products!$A$1:$A497,0), MATCH(orders!I$1,products!$A$1:$G$1,0))</f>
        <v>Rob</v>
      </c>
      <c r="J901" t="str">
        <f>INDEX(products!$A$1:$G$49, MATCH(orders!$D450,products!$A$1:$A497,0), MATCH(orders!J$1,products!$A$1:$G$1,0))</f>
        <v>L</v>
      </c>
      <c r="K901" s="5">
        <f>INDEX(products!$A$1:$G$49, MATCH(orders!$D450,products!$A$1:$A497,0), MATCH(orders!K$1,products!$A$1:$G$1,0))</f>
        <v>0.5</v>
      </c>
      <c r="L901" s="6">
        <f>INDEX(products!$A$1:$G$49, MATCH(orders!$D450,products!$A$1:$A497,0), MATCH(orders!L$1,products!$A$1:$G$1,0))</f>
        <v>7.169999999999999</v>
      </c>
      <c r="M901" s="6">
        <f t="shared" si="42"/>
        <v>7.169999999999999</v>
      </c>
      <c r="N901" t="str">
        <f t="shared" si="43"/>
        <v>Robusta</v>
      </c>
      <c r="O901" t="str">
        <f t="shared" si="44"/>
        <v>Light</v>
      </c>
      <c r="P901" t="str">
        <f>_xlfn.XLOOKUP(Orders[[#This Row],[Customer ID]],customers!$A$1:$A$1001,customers!$I$1:$I$1001,,0)</f>
        <v>No</v>
      </c>
      <c r="Q901">
        <f>COUNTIF(Orders[Order ID],Orders[[#This Row],[Order ID]])</f>
        <v>1</v>
      </c>
      <c r="R901" s="10">
        <f>SUMIF(Orders[Order ID], Orders[[#This Row],[Order ID]],Orders[Sales])/Orders[[#This Row],[Order Frequency]]</f>
        <v>7.169999999999999</v>
      </c>
      <c r="S901" t="str">
        <f>IF(Orders[[#This Row],[Order Frequency]]&gt;4, "More than 4", IF(AND(Orders[[#This Row],[Order Frequency]]&lt;=4,Orders[[#This Row],[Order Frequency]]&gt;=2), "Between 4 and 2", "Less than 2"))</f>
        <v>Less than 2</v>
      </c>
      <c r="T901" t="str">
        <f>IF(Orders[[#This Row],[Frequency Group]]="less than 2", "Low Value", IF(Orders[[#This Row],[Frequency Group]]="between 4 and 2", "Medium Value", "High Value"))</f>
        <v>Low Value</v>
      </c>
      <c r="U901" t="str">
        <f>IF(Orders[[#This Row],[Sales]]&lt;50, "$0-50", IF(AND(Orders[[#This Row],[Sales]]&gt;=50,Orders[[#This Row],[Sales]]&lt;=100), "$50-100", IF(AND(Orders[[#This Row],[Sales]]&gt;100,Orders[[#This Row],[Sales]]&lt;=150), "$101-150", "$150+")))</f>
        <v>$0-50</v>
      </c>
      <c r="V901" t="str">
        <f>IF(Orders[[#This Row],[Sales]]&gt;MEDIAN(M:M), "High Price", "Low Price")</f>
        <v>Low Price</v>
      </c>
      <c r="W901" t="str">
        <f>IF(Orders[[#This Row],[Quantity]]&gt;MEDIAN(E:E), "High Volume", "Low Volume")</f>
        <v>Low Volume</v>
      </c>
      <c r="X901" t="str">
        <f>Orders[[#This Row],[Sales Tier]] &amp; "-" &amp; Orders[[#This Row],[Quantity Tier]]</f>
        <v>Low Price-Low Volume</v>
      </c>
      <c r="Y901" t="str">
        <f>TEXT(Orders[[#This Row],[Order Date]], "mmmm")</f>
        <v>June</v>
      </c>
      <c r="Z90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901" t="str">
        <f>Orders[[#This Row],[Coffee Type Name]] &amp; "-" &amp; Orders[[#This Row],[Roast Type Name]]</f>
        <v>Robusta-Light</v>
      </c>
      <c r="AB90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902" spans="1:28" x14ac:dyDescent="0.25">
      <c r="A902" s="2" t="s">
        <v>5537</v>
      </c>
      <c r="B902" s="4">
        <v>43635</v>
      </c>
      <c r="C902" s="2" t="s">
        <v>5538</v>
      </c>
      <c r="D902" t="s">
        <v>6156</v>
      </c>
      <c r="E902" s="2">
        <v>5</v>
      </c>
      <c r="F902" s="2" t="str">
        <f>_xlfn.XLOOKUP(C902,customers!$A$1:$A$1001,customers!$B$1:$B$1001,,0)</f>
        <v>Patsy Vasilenko</v>
      </c>
      <c r="G902" s="2" t="str">
        <f>IF(_xlfn.XLOOKUP(C902,customers!$A$1:$A$1001,customers!$C$1:$C$1001,,0)=0,"",_xlfn.XLOOKUP(C902,customers!$A$1:$A$1001,customers!$C$1:$C$1001,,0))</f>
        <v>pvasilenkoos@addtoany.com</v>
      </c>
      <c r="H902" s="2" t="str">
        <f>_xlfn.XLOOKUP(C902,customers!$A$1:$A$1001,customers!$G$1:$G$1001,,0)</f>
        <v>United Kingdom</v>
      </c>
      <c r="I902" t="str">
        <f>INDEX(products!$A$1:$G$49, MATCH(orders!$D894,products!$A$1:$A941,0), MATCH(orders!I$1,products!$A$1:$G$1,0))</f>
        <v>Exc</v>
      </c>
      <c r="J902" t="str">
        <f>INDEX(products!$A$1:$G$49, MATCH(orders!$D894,products!$A$1:$A941,0), MATCH(orders!J$1,products!$A$1:$G$1,0))</f>
        <v>M</v>
      </c>
      <c r="K902" s="5">
        <f>INDEX(products!$A$1:$G$49, MATCH(orders!$D894,products!$A$1:$A941,0), MATCH(orders!K$1,products!$A$1:$G$1,0))</f>
        <v>0.2</v>
      </c>
      <c r="L902" s="6">
        <f>INDEX(products!$A$1:$G$49, MATCH(orders!$D894,products!$A$1:$A941,0), MATCH(orders!L$1,products!$A$1:$G$1,0))</f>
        <v>4.125</v>
      </c>
      <c r="M902" s="6">
        <f t="shared" si="42"/>
        <v>20.625</v>
      </c>
      <c r="N902" t="str">
        <f t="shared" si="43"/>
        <v>Excelsa</v>
      </c>
      <c r="O902" t="str">
        <f t="shared" si="44"/>
        <v>Medium</v>
      </c>
      <c r="P902" t="str">
        <f>_xlfn.XLOOKUP(Orders[[#This Row],[Customer ID]],customers!$A$1:$A$1001,customers!$I$1:$I$1001,,0)</f>
        <v>No</v>
      </c>
      <c r="Q902">
        <f>COUNTIF(Orders[Order ID],Orders[[#This Row],[Order ID]])</f>
        <v>1</v>
      </c>
      <c r="R902" s="10">
        <f>SUMIF(Orders[Order ID], Orders[[#This Row],[Order ID]],Orders[Sales])/Orders[[#This Row],[Order Frequency]]</f>
        <v>20.625</v>
      </c>
      <c r="S902" t="str">
        <f>IF(Orders[[#This Row],[Order Frequency]]&gt;4, "More than 4", IF(AND(Orders[[#This Row],[Order Frequency]]&lt;=4,Orders[[#This Row],[Order Frequency]]&gt;=2), "Between 4 and 2", "Less than 2"))</f>
        <v>Less than 2</v>
      </c>
      <c r="T902" t="str">
        <f>IF(Orders[[#This Row],[Frequency Group]]="less than 2", "Low Value", IF(Orders[[#This Row],[Frequency Group]]="between 4 and 2", "Medium Value", "High Value"))</f>
        <v>Low Value</v>
      </c>
      <c r="U902" t="str">
        <f>IF(Orders[[#This Row],[Sales]]&lt;50, "$0-50", IF(AND(Orders[[#This Row],[Sales]]&gt;=50,Orders[[#This Row],[Sales]]&lt;=100), "$50-100", IF(AND(Orders[[#This Row],[Sales]]&gt;100,Orders[[#This Row],[Sales]]&lt;=150), "$101-150", "$150+")))</f>
        <v>$0-50</v>
      </c>
      <c r="V902" t="str">
        <f>IF(Orders[[#This Row],[Sales]]&gt;MEDIAN(M:M), "High Price", "Low Price")</f>
        <v>Low Price</v>
      </c>
      <c r="W902" t="str">
        <f>IF(Orders[[#This Row],[Quantity]]&gt;MEDIAN(E:E), "High Volume", "Low Volume")</f>
        <v>High Volume</v>
      </c>
      <c r="X902" t="str">
        <f>Orders[[#This Row],[Sales Tier]] &amp; "-" &amp; Orders[[#This Row],[Quantity Tier]]</f>
        <v>Low Price-High Volume</v>
      </c>
      <c r="Y902" t="str">
        <f>TEXT(Orders[[#This Row],[Order Date]], "mmmm")</f>
        <v>June</v>
      </c>
      <c r="Z90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902" t="str">
        <f>Orders[[#This Row],[Coffee Type Name]] &amp; "-" &amp; Orders[[#This Row],[Roast Type Name]]</f>
        <v>Excelsa-Medium</v>
      </c>
      <c r="AB90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903" spans="1:28" x14ac:dyDescent="0.25">
      <c r="A903" s="2" t="s">
        <v>3355</v>
      </c>
      <c r="B903" s="4">
        <v>43516</v>
      </c>
      <c r="C903" s="2" t="s">
        <v>3356</v>
      </c>
      <c r="D903" t="s">
        <v>6182</v>
      </c>
      <c r="E903" s="2">
        <v>3</v>
      </c>
      <c r="F903" s="2" t="str">
        <f>_xlfn.XLOOKUP(C903,customers!$A$1:$A$1001,customers!$B$1:$B$1001,,0)</f>
        <v>Perry Lyfield</v>
      </c>
      <c r="G903" s="2" t="str">
        <f>IF(_xlfn.XLOOKUP(C903,customers!$A$1:$A$1001,customers!$C$1:$C$1001,,0)=0,"",_xlfn.XLOOKUP(C903,customers!$A$1:$A$1001,customers!$C$1:$C$1001,,0))</f>
        <v>plyfielde3@baidu.com</v>
      </c>
      <c r="H903" s="2" t="str">
        <f>_xlfn.XLOOKUP(C903,customers!$A$1:$A$1001,customers!$G$1:$G$1001,,0)</f>
        <v>United States</v>
      </c>
      <c r="I903" t="str">
        <f>INDEX(products!$A$1:$G$49, MATCH(orders!$D509,products!$A$1:$A556,0), MATCH(orders!I$1,products!$A$1:$G$1,0))</f>
        <v>Ara</v>
      </c>
      <c r="J903" t="str">
        <f>INDEX(products!$A$1:$G$49, MATCH(orders!$D509,products!$A$1:$A556,0), MATCH(orders!J$1,products!$A$1:$G$1,0))</f>
        <v>L</v>
      </c>
      <c r="K903" s="5">
        <f>INDEX(products!$A$1:$G$49, MATCH(orders!$D509,products!$A$1:$A556,0), MATCH(orders!K$1,products!$A$1:$G$1,0))</f>
        <v>2.5</v>
      </c>
      <c r="L903" s="6">
        <f>INDEX(products!$A$1:$G$49, MATCH(orders!$D509,products!$A$1:$A556,0), MATCH(orders!L$1,products!$A$1:$G$1,0))</f>
        <v>29.784999999999997</v>
      </c>
      <c r="M903" s="6">
        <f t="shared" si="42"/>
        <v>89.35499999999999</v>
      </c>
      <c r="N903" t="str">
        <f t="shared" si="43"/>
        <v>Arabica</v>
      </c>
      <c r="O903" t="str">
        <f t="shared" si="44"/>
        <v>Light</v>
      </c>
      <c r="P903" t="str">
        <f>_xlfn.XLOOKUP(Orders[[#This Row],[Customer ID]],customers!$A$1:$A$1001,customers!$I$1:$I$1001,,0)</f>
        <v>Yes</v>
      </c>
      <c r="Q903">
        <f>COUNTIF(Orders[Order ID],Orders[[#This Row],[Order ID]])</f>
        <v>1</v>
      </c>
      <c r="R903" s="10">
        <f>SUMIF(Orders[Order ID], Orders[[#This Row],[Order ID]],Orders[Sales])/Orders[[#This Row],[Order Frequency]]</f>
        <v>89.35499999999999</v>
      </c>
      <c r="S903" t="str">
        <f>IF(Orders[[#This Row],[Order Frequency]]&gt;4, "More than 4", IF(AND(Orders[[#This Row],[Order Frequency]]&lt;=4,Orders[[#This Row],[Order Frequency]]&gt;=2), "Between 4 and 2", "Less than 2"))</f>
        <v>Less than 2</v>
      </c>
      <c r="T903" t="str">
        <f>IF(Orders[[#This Row],[Frequency Group]]="less than 2", "Low Value", IF(Orders[[#This Row],[Frequency Group]]="between 4 and 2", "Medium Value", "High Value"))</f>
        <v>Low Value</v>
      </c>
      <c r="U903" t="str">
        <f>IF(Orders[[#This Row],[Sales]]&lt;50, "$0-50", IF(AND(Orders[[#This Row],[Sales]]&gt;=50,Orders[[#This Row],[Sales]]&lt;=100), "$50-100", IF(AND(Orders[[#This Row],[Sales]]&gt;100,Orders[[#This Row],[Sales]]&lt;=150), "$101-150", "$150+")))</f>
        <v>$50-100</v>
      </c>
      <c r="V903" t="str">
        <f>IF(Orders[[#This Row],[Sales]]&gt;MEDIAN(M:M), "High Price", "Low Price")</f>
        <v>High Price</v>
      </c>
      <c r="W903" t="str">
        <f>IF(Orders[[#This Row],[Quantity]]&gt;MEDIAN(E:E), "High Volume", "Low Volume")</f>
        <v>Low Volume</v>
      </c>
      <c r="X903" t="str">
        <f>Orders[[#This Row],[Sales Tier]] &amp; "-" &amp; Orders[[#This Row],[Quantity Tier]]</f>
        <v>High Price-Low Volume</v>
      </c>
      <c r="Y903" t="str">
        <f>TEXT(Orders[[#This Row],[Order Date]], "mmmm")</f>
        <v>February</v>
      </c>
      <c r="Z90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903" t="str">
        <f>Orders[[#This Row],[Coffee Type Name]] &amp; "-" &amp; Orders[[#This Row],[Roast Type Name]]</f>
        <v>Arabica-Light</v>
      </c>
      <c r="AB90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904" spans="1:28" x14ac:dyDescent="0.25">
      <c r="A904" s="2" t="s">
        <v>2928</v>
      </c>
      <c r="B904" s="4">
        <v>44563</v>
      </c>
      <c r="C904" s="2" t="s">
        <v>2929</v>
      </c>
      <c r="D904" t="s">
        <v>6181</v>
      </c>
      <c r="E904" s="2">
        <v>6</v>
      </c>
      <c r="F904" s="2" t="str">
        <f>_xlfn.XLOOKUP(C904,customers!$A$1:$A$1001,customers!$B$1:$B$1001,,0)</f>
        <v>Lemuel Rignold</v>
      </c>
      <c r="G904" s="2" t="str">
        <f>IF(_xlfn.XLOOKUP(C904,customers!$A$1:$A$1001,customers!$C$1:$C$1001,,0)=0,"",_xlfn.XLOOKUP(C904,customers!$A$1:$A$1001,customers!$C$1:$C$1001,,0))</f>
        <v>lrignoldc1@miibeian.gov.cn</v>
      </c>
      <c r="H904" s="2" t="str">
        <f>_xlfn.XLOOKUP(C904,customers!$A$1:$A$1001,customers!$G$1:$G$1001,,0)</f>
        <v>United States</v>
      </c>
      <c r="I904" t="str">
        <f>INDEX(products!$A$1:$G$49, MATCH(orders!$D435,products!$A$1:$A482,0), MATCH(orders!I$1,products!$A$1:$G$1,0))</f>
        <v>Lib</v>
      </c>
      <c r="J904" t="str">
        <f>INDEX(products!$A$1:$G$49, MATCH(orders!$D435,products!$A$1:$A482,0), MATCH(orders!J$1,products!$A$1:$G$1,0))</f>
        <v>M</v>
      </c>
      <c r="K904" s="5">
        <f>INDEX(products!$A$1:$G$49, MATCH(orders!$D435,products!$A$1:$A482,0), MATCH(orders!K$1,products!$A$1:$G$1,0))</f>
        <v>2.5</v>
      </c>
      <c r="L904" s="6">
        <f>INDEX(products!$A$1:$G$49, MATCH(orders!$D435,products!$A$1:$A482,0), MATCH(orders!L$1,products!$A$1:$G$1,0))</f>
        <v>33.464999999999996</v>
      </c>
      <c r="M904" s="6">
        <f t="shared" si="42"/>
        <v>200.78999999999996</v>
      </c>
      <c r="N904" t="str">
        <f t="shared" si="43"/>
        <v>Liberica</v>
      </c>
      <c r="O904" t="str">
        <f t="shared" si="44"/>
        <v>Medium</v>
      </c>
      <c r="P904" t="str">
        <f>_xlfn.XLOOKUP(Orders[[#This Row],[Customer ID]],customers!$A$1:$A$1001,customers!$I$1:$I$1001,,0)</f>
        <v>Yes</v>
      </c>
      <c r="Q904">
        <f>COUNTIF(Orders[Order ID],Orders[[#This Row],[Order ID]])</f>
        <v>1</v>
      </c>
      <c r="R904" s="10">
        <f>SUMIF(Orders[Order ID], Orders[[#This Row],[Order ID]],Orders[Sales])/Orders[[#This Row],[Order Frequency]]</f>
        <v>200.78999999999996</v>
      </c>
      <c r="S904" t="str">
        <f>IF(Orders[[#This Row],[Order Frequency]]&gt;4, "More than 4", IF(AND(Orders[[#This Row],[Order Frequency]]&lt;=4,Orders[[#This Row],[Order Frequency]]&gt;=2), "Between 4 and 2", "Less than 2"))</f>
        <v>Less than 2</v>
      </c>
      <c r="T904" t="str">
        <f>IF(Orders[[#This Row],[Frequency Group]]="less than 2", "Low Value", IF(Orders[[#This Row],[Frequency Group]]="between 4 and 2", "Medium Value", "High Value"))</f>
        <v>Low Value</v>
      </c>
      <c r="U904" t="str">
        <f>IF(Orders[[#This Row],[Sales]]&lt;50, "$0-50", IF(AND(Orders[[#This Row],[Sales]]&gt;=50,Orders[[#This Row],[Sales]]&lt;=100), "$50-100", IF(AND(Orders[[#This Row],[Sales]]&gt;100,Orders[[#This Row],[Sales]]&lt;=150), "$101-150", "$150+")))</f>
        <v>$150+</v>
      </c>
      <c r="V904" t="str">
        <f>IF(Orders[[#This Row],[Sales]]&gt;MEDIAN(M:M), "High Price", "Low Price")</f>
        <v>High Price</v>
      </c>
      <c r="W904" t="str">
        <f>IF(Orders[[#This Row],[Quantity]]&gt;MEDIAN(E:E), "High Volume", "Low Volume")</f>
        <v>High Volume</v>
      </c>
      <c r="X904" t="str">
        <f>Orders[[#This Row],[Sales Tier]] &amp; "-" &amp; Orders[[#This Row],[Quantity Tier]]</f>
        <v>High Price-High Volume</v>
      </c>
      <c r="Y904" t="str">
        <f>TEXT(Orders[[#This Row],[Order Date]], "mmmm")</f>
        <v>January</v>
      </c>
      <c r="Z90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904" t="str">
        <f>Orders[[#This Row],[Coffee Type Name]] &amp; "-" &amp; Orders[[#This Row],[Roast Type Name]]</f>
        <v>Liberica-Medium</v>
      </c>
      <c r="AB90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905" spans="1:28" x14ac:dyDescent="0.25">
      <c r="A905" s="2" t="s">
        <v>744</v>
      </c>
      <c r="B905" s="4">
        <v>44592</v>
      </c>
      <c r="C905" s="2" t="s">
        <v>745</v>
      </c>
      <c r="D905" t="s">
        <v>6165</v>
      </c>
      <c r="E905" s="2">
        <v>6</v>
      </c>
      <c r="F905" s="2" t="str">
        <f>_xlfn.XLOOKUP(C905,customers!$A$1:$A$1001,customers!$B$1:$B$1001,,0)</f>
        <v>Petey Kingsbury</v>
      </c>
      <c r="G905" s="2" t="str">
        <f>IF(_xlfn.XLOOKUP(C905,customers!$A$1:$A$1001,customers!$C$1:$C$1001,,0)=0,"",_xlfn.XLOOKUP(C905,customers!$A$1:$A$1001,customers!$C$1:$C$1001,,0))</f>
        <v>pkingsbury19@comcast.net</v>
      </c>
      <c r="H905" s="2" t="str">
        <f>_xlfn.XLOOKUP(C905,customers!$A$1:$A$1001,customers!$G$1:$G$1001,,0)</f>
        <v>United States</v>
      </c>
      <c r="I905" t="str">
        <f>INDEX(products!$A$1:$G$49, MATCH(orders!$D47,products!$A$1:$A94,0), MATCH(orders!I$1,products!$A$1:$G$1,0))</f>
        <v>Lib</v>
      </c>
      <c r="J905" t="str">
        <f>INDEX(products!$A$1:$G$49, MATCH(orders!$D47,products!$A$1:$A94,0), MATCH(orders!J$1,products!$A$1:$G$1,0))</f>
        <v>D</v>
      </c>
      <c r="K905" s="5">
        <f>INDEX(products!$A$1:$G$49, MATCH(orders!$D47,products!$A$1:$A94,0), MATCH(orders!K$1,products!$A$1:$G$1,0))</f>
        <v>2.5</v>
      </c>
      <c r="L905" s="6">
        <f>INDEX(products!$A$1:$G$49, MATCH(orders!$D47,products!$A$1:$A94,0), MATCH(orders!L$1,products!$A$1:$G$1,0))</f>
        <v>29.784999999999997</v>
      </c>
      <c r="M905" s="6">
        <f t="shared" si="42"/>
        <v>178.70999999999998</v>
      </c>
      <c r="N905" t="str">
        <f t="shared" si="43"/>
        <v>Liberica</v>
      </c>
      <c r="O905" t="str">
        <f t="shared" si="44"/>
        <v>Dark</v>
      </c>
      <c r="P905" t="str">
        <f>_xlfn.XLOOKUP(Orders[[#This Row],[Customer ID]],customers!$A$1:$A$1001,customers!$I$1:$I$1001,,0)</f>
        <v>No</v>
      </c>
      <c r="Q905">
        <f>COUNTIF(Orders[Order ID],Orders[[#This Row],[Order ID]])</f>
        <v>1</v>
      </c>
      <c r="R905" s="10">
        <f>SUMIF(Orders[Order ID], Orders[[#This Row],[Order ID]],Orders[Sales])/Orders[[#This Row],[Order Frequency]]</f>
        <v>178.70999999999998</v>
      </c>
      <c r="S905" t="str">
        <f>IF(Orders[[#This Row],[Order Frequency]]&gt;4, "More than 4", IF(AND(Orders[[#This Row],[Order Frequency]]&lt;=4,Orders[[#This Row],[Order Frequency]]&gt;=2), "Between 4 and 2", "Less than 2"))</f>
        <v>Less than 2</v>
      </c>
      <c r="T905" t="str">
        <f>IF(Orders[[#This Row],[Frequency Group]]="less than 2", "Low Value", IF(Orders[[#This Row],[Frequency Group]]="between 4 and 2", "Medium Value", "High Value"))</f>
        <v>Low Value</v>
      </c>
      <c r="U905" t="str">
        <f>IF(Orders[[#This Row],[Sales]]&lt;50, "$0-50", IF(AND(Orders[[#This Row],[Sales]]&gt;=50,Orders[[#This Row],[Sales]]&lt;=100), "$50-100", IF(AND(Orders[[#This Row],[Sales]]&gt;100,Orders[[#This Row],[Sales]]&lt;=150), "$101-150", "$150+")))</f>
        <v>$150+</v>
      </c>
      <c r="V905" t="str">
        <f>IF(Orders[[#This Row],[Sales]]&gt;MEDIAN(M:M), "High Price", "Low Price")</f>
        <v>High Price</v>
      </c>
      <c r="W905" t="str">
        <f>IF(Orders[[#This Row],[Quantity]]&gt;MEDIAN(E:E), "High Volume", "Low Volume")</f>
        <v>High Volume</v>
      </c>
      <c r="X905" t="str">
        <f>Orders[[#This Row],[Sales Tier]] &amp; "-" &amp; Orders[[#This Row],[Quantity Tier]]</f>
        <v>High Price-High Volume</v>
      </c>
      <c r="Y905" t="str">
        <f>TEXT(Orders[[#This Row],[Order Date]], "mmmm")</f>
        <v>January</v>
      </c>
      <c r="Z90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905" t="str">
        <f>Orders[[#This Row],[Coffee Type Name]] &amp; "-" &amp; Orders[[#This Row],[Roast Type Name]]</f>
        <v>Liberica-Dark</v>
      </c>
      <c r="AB90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906" spans="1:28" x14ac:dyDescent="0.25">
      <c r="A906" s="2" t="s">
        <v>5256</v>
      </c>
      <c r="B906" s="4">
        <v>44387</v>
      </c>
      <c r="C906" s="2" t="s">
        <v>5257</v>
      </c>
      <c r="D906" t="s">
        <v>6156</v>
      </c>
      <c r="E906" s="2">
        <v>2</v>
      </c>
      <c r="F906" s="2" t="str">
        <f>_xlfn.XLOOKUP(C906,customers!$A$1:$A$1001,customers!$B$1:$B$1001,,0)</f>
        <v>De Drewitt</v>
      </c>
      <c r="G906" s="2" t="str">
        <f>IF(_xlfn.XLOOKUP(C906,customers!$A$1:$A$1001,customers!$C$1:$C$1001,,0)=0,"",_xlfn.XLOOKUP(C906,customers!$A$1:$A$1001,customers!$C$1:$C$1001,,0))</f>
        <v>ddrewittnf@mapquest.com</v>
      </c>
      <c r="H906" s="2" t="str">
        <f>_xlfn.XLOOKUP(C906,customers!$A$1:$A$1001,customers!$G$1:$G$1001,,0)</f>
        <v>United States</v>
      </c>
      <c r="I906" t="str">
        <f>INDEX(products!$A$1:$G$49, MATCH(orders!$D845,products!$A$1:$A892,0), MATCH(orders!I$1,products!$A$1:$G$1,0))</f>
        <v>Exc</v>
      </c>
      <c r="J906" t="str">
        <f>INDEX(products!$A$1:$G$49, MATCH(orders!$D845,products!$A$1:$A892,0), MATCH(orders!J$1,products!$A$1:$G$1,0))</f>
        <v>M</v>
      </c>
      <c r="K906" s="5">
        <f>INDEX(products!$A$1:$G$49, MATCH(orders!$D845,products!$A$1:$A892,0), MATCH(orders!K$1,products!$A$1:$G$1,0))</f>
        <v>0.2</v>
      </c>
      <c r="L906" s="6">
        <f>INDEX(products!$A$1:$G$49, MATCH(orders!$D845,products!$A$1:$A892,0), MATCH(orders!L$1,products!$A$1:$G$1,0))</f>
        <v>4.125</v>
      </c>
      <c r="M906" s="6">
        <f t="shared" si="42"/>
        <v>8.25</v>
      </c>
      <c r="N906" t="str">
        <f t="shared" si="43"/>
        <v>Excelsa</v>
      </c>
      <c r="O906" t="str">
        <f t="shared" si="44"/>
        <v>Medium</v>
      </c>
      <c r="P906" t="str">
        <f>_xlfn.XLOOKUP(Orders[[#This Row],[Customer ID]],customers!$A$1:$A$1001,customers!$I$1:$I$1001,,0)</f>
        <v>Yes</v>
      </c>
      <c r="Q906">
        <f>COUNTIF(Orders[Order ID],Orders[[#This Row],[Order ID]])</f>
        <v>1</v>
      </c>
      <c r="R906" s="10">
        <f>SUMIF(Orders[Order ID], Orders[[#This Row],[Order ID]],Orders[Sales])/Orders[[#This Row],[Order Frequency]]</f>
        <v>8.25</v>
      </c>
      <c r="S906" t="str">
        <f>IF(Orders[[#This Row],[Order Frequency]]&gt;4, "More than 4", IF(AND(Orders[[#This Row],[Order Frequency]]&lt;=4,Orders[[#This Row],[Order Frequency]]&gt;=2), "Between 4 and 2", "Less than 2"))</f>
        <v>Less than 2</v>
      </c>
      <c r="T906" t="str">
        <f>IF(Orders[[#This Row],[Frequency Group]]="less than 2", "Low Value", IF(Orders[[#This Row],[Frequency Group]]="between 4 and 2", "Medium Value", "High Value"))</f>
        <v>Low Value</v>
      </c>
      <c r="U906" t="str">
        <f>IF(Orders[[#This Row],[Sales]]&lt;50, "$0-50", IF(AND(Orders[[#This Row],[Sales]]&gt;=50,Orders[[#This Row],[Sales]]&lt;=100), "$50-100", IF(AND(Orders[[#This Row],[Sales]]&gt;100,Orders[[#This Row],[Sales]]&lt;=150), "$101-150", "$150+")))</f>
        <v>$0-50</v>
      </c>
      <c r="V906" t="str">
        <f>IF(Orders[[#This Row],[Sales]]&gt;MEDIAN(M:M), "High Price", "Low Price")</f>
        <v>Low Price</v>
      </c>
      <c r="W906" t="str">
        <f>IF(Orders[[#This Row],[Quantity]]&gt;MEDIAN(E:E), "High Volume", "Low Volume")</f>
        <v>Low Volume</v>
      </c>
      <c r="X906" t="str">
        <f>Orders[[#This Row],[Sales Tier]] &amp; "-" &amp; Orders[[#This Row],[Quantity Tier]]</f>
        <v>Low Price-Low Volume</v>
      </c>
      <c r="Y906" t="str">
        <f>TEXT(Orders[[#This Row],[Order Date]], "mmmm")</f>
        <v>July</v>
      </c>
      <c r="Z90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906" t="str">
        <f>Orders[[#This Row],[Coffee Type Name]] &amp; "-" &amp; Orders[[#This Row],[Roast Type Name]]</f>
        <v>Excelsa-Medium</v>
      </c>
      <c r="AB90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907" spans="1:28" x14ac:dyDescent="0.25">
      <c r="A907" s="2" t="s">
        <v>1117</v>
      </c>
      <c r="B907" s="4">
        <v>44481</v>
      </c>
      <c r="C907" s="2" t="s">
        <v>1118</v>
      </c>
      <c r="D907" t="s">
        <v>6155</v>
      </c>
      <c r="E907" s="2">
        <v>1</v>
      </c>
      <c r="F907" s="2" t="str">
        <f>_xlfn.XLOOKUP(C907,customers!$A$1:$A$1001,customers!$B$1:$B$1001,,0)</f>
        <v>Shawnee Critchlow</v>
      </c>
      <c r="G907" s="2" t="str">
        <f>IF(_xlfn.XLOOKUP(C907,customers!$A$1:$A$1001,customers!$C$1:$C$1001,,0)=0,"",_xlfn.XLOOKUP(C907,customers!$A$1:$A$1001,customers!$C$1:$C$1001,,0))</f>
        <v>scritchlow34@un.org</v>
      </c>
      <c r="H907" s="2" t="str">
        <f>_xlfn.XLOOKUP(C907,customers!$A$1:$A$1001,customers!$G$1:$G$1001,,0)</f>
        <v>United States</v>
      </c>
      <c r="I907" t="str">
        <f>INDEX(products!$A$1:$G$49, MATCH(orders!$D114,products!$A$1:$A161,0), MATCH(orders!I$1,products!$A$1:$G$1,0))</f>
        <v>Ara</v>
      </c>
      <c r="J907" t="str">
        <f>INDEX(products!$A$1:$G$49, MATCH(orders!$D114,products!$A$1:$A161,0), MATCH(orders!J$1,products!$A$1:$G$1,0))</f>
        <v>M</v>
      </c>
      <c r="K907" s="5">
        <f>INDEX(products!$A$1:$G$49, MATCH(orders!$D114,products!$A$1:$A161,0), MATCH(orders!K$1,products!$A$1:$G$1,0))</f>
        <v>1</v>
      </c>
      <c r="L907" s="6">
        <f>INDEX(products!$A$1:$G$49, MATCH(orders!$D114,products!$A$1:$A161,0), MATCH(orders!L$1,products!$A$1:$G$1,0))</f>
        <v>11.25</v>
      </c>
      <c r="M907" s="6">
        <f t="shared" si="42"/>
        <v>11.25</v>
      </c>
      <c r="N907" t="str">
        <f t="shared" si="43"/>
        <v>Arabica</v>
      </c>
      <c r="O907" t="str">
        <f t="shared" si="44"/>
        <v>Medium</v>
      </c>
      <c r="P907" t="str">
        <f>_xlfn.XLOOKUP(Orders[[#This Row],[Customer ID]],customers!$A$1:$A$1001,customers!$I$1:$I$1001,,0)</f>
        <v>No</v>
      </c>
      <c r="Q907">
        <f>COUNTIF(Orders[Order ID],Orders[[#This Row],[Order ID]])</f>
        <v>1</v>
      </c>
      <c r="R907" s="10">
        <f>SUMIF(Orders[Order ID], Orders[[#This Row],[Order ID]],Orders[Sales])/Orders[[#This Row],[Order Frequency]]</f>
        <v>11.25</v>
      </c>
      <c r="S907" t="str">
        <f>IF(Orders[[#This Row],[Order Frequency]]&gt;4, "More than 4", IF(AND(Orders[[#This Row],[Order Frequency]]&lt;=4,Orders[[#This Row],[Order Frequency]]&gt;=2), "Between 4 and 2", "Less than 2"))</f>
        <v>Less than 2</v>
      </c>
      <c r="T907" t="str">
        <f>IF(Orders[[#This Row],[Frequency Group]]="less than 2", "Low Value", IF(Orders[[#This Row],[Frequency Group]]="between 4 and 2", "Medium Value", "High Value"))</f>
        <v>Low Value</v>
      </c>
      <c r="U907" t="str">
        <f>IF(Orders[[#This Row],[Sales]]&lt;50, "$0-50", IF(AND(Orders[[#This Row],[Sales]]&gt;=50,Orders[[#This Row],[Sales]]&lt;=100), "$50-100", IF(AND(Orders[[#This Row],[Sales]]&gt;100,Orders[[#This Row],[Sales]]&lt;=150), "$101-150", "$150+")))</f>
        <v>$0-50</v>
      </c>
      <c r="V907" t="str">
        <f>IF(Orders[[#This Row],[Sales]]&gt;MEDIAN(M:M), "High Price", "Low Price")</f>
        <v>Low Price</v>
      </c>
      <c r="W907" t="str">
        <f>IF(Orders[[#This Row],[Quantity]]&gt;MEDIAN(E:E), "High Volume", "Low Volume")</f>
        <v>Low Volume</v>
      </c>
      <c r="X907" t="str">
        <f>Orders[[#This Row],[Sales Tier]] &amp; "-" &amp; Orders[[#This Row],[Quantity Tier]]</f>
        <v>Low Price-Low Volume</v>
      </c>
      <c r="Y907" t="str">
        <f>TEXT(Orders[[#This Row],[Order Date]], "mmmm")</f>
        <v>October</v>
      </c>
      <c r="Z90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907" t="str">
        <f>Orders[[#This Row],[Coffee Type Name]] &amp; "-" &amp; Orders[[#This Row],[Roast Type Name]]</f>
        <v>Arabica-Medium</v>
      </c>
      <c r="AB90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908" spans="1:28" x14ac:dyDescent="0.25">
      <c r="A908" s="2" t="s">
        <v>772</v>
      </c>
      <c r="B908" s="4">
        <v>44792</v>
      </c>
      <c r="C908" s="2" t="s">
        <v>773</v>
      </c>
      <c r="D908" t="s">
        <v>6169</v>
      </c>
      <c r="E908" s="2">
        <v>2</v>
      </c>
      <c r="F908" s="2" t="str">
        <f>_xlfn.XLOOKUP(C908,customers!$A$1:$A$1001,customers!$B$1:$B$1001,,0)</f>
        <v>Inger Bouldon</v>
      </c>
      <c r="G908" s="2" t="str">
        <f>IF(_xlfn.XLOOKUP(C908,customers!$A$1:$A$1001,customers!$C$1:$C$1001,,0)=0,"",_xlfn.XLOOKUP(C908,customers!$A$1:$A$1001,customers!$C$1:$C$1001,,0))</f>
        <v>ibouldon1e@gizmodo.com</v>
      </c>
      <c r="H908" s="2" t="str">
        <f>_xlfn.XLOOKUP(C908,customers!$A$1:$A$1001,customers!$G$1:$G$1001,,0)</f>
        <v>United States</v>
      </c>
      <c r="I908" t="str">
        <f>INDEX(products!$A$1:$G$49, MATCH(orders!$D52,products!$A$1:$A99,0), MATCH(orders!I$1,products!$A$1:$G$1,0))</f>
        <v>Lib</v>
      </c>
      <c r="J908" t="str">
        <f>INDEX(products!$A$1:$G$49, MATCH(orders!$D52,products!$A$1:$A99,0), MATCH(orders!J$1,products!$A$1:$G$1,0))</f>
        <v>D</v>
      </c>
      <c r="K908" s="5">
        <f>INDEX(products!$A$1:$G$49, MATCH(orders!$D52,products!$A$1:$A99,0), MATCH(orders!K$1,products!$A$1:$G$1,0))</f>
        <v>0.5</v>
      </c>
      <c r="L908" s="6">
        <f>INDEX(products!$A$1:$G$49, MATCH(orders!$D52,products!$A$1:$A99,0), MATCH(orders!L$1,products!$A$1:$G$1,0))</f>
        <v>7.77</v>
      </c>
      <c r="M908" s="6">
        <f t="shared" si="42"/>
        <v>15.54</v>
      </c>
      <c r="N908" t="str">
        <f t="shared" si="43"/>
        <v>Liberica</v>
      </c>
      <c r="O908" t="str">
        <f t="shared" si="44"/>
        <v>Dark</v>
      </c>
      <c r="P908" t="str">
        <f>_xlfn.XLOOKUP(Orders[[#This Row],[Customer ID]],customers!$A$1:$A$1001,customers!$I$1:$I$1001,,0)</f>
        <v>No</v>
      </c>
      <c r="Q908">
        <f>COUNTIF(Orders[Order ID],Orders[[#This Row],[Order ID]])</f>
        <v>1</v>
      </c>
      <c r="R908" s="10">
        <f>SUMIF(Orders[Order ID], Orders[[#This Row],[Order ID]],Orders[Sales])/Orders[[#This Row],[Order Frequency]]</f>
        <v>15.54</v>
      </c>
      <c r="S908" t="str">
        <f>IF(Orders[[#This Row],[Order Frequency]]&gt;4, "More than 4", IF(AND(Orders[[#This Row],[Order Frequency]]&lt;=4,Orders[[#This Row],[Order Frequency]]&gt;=2), "Between 4 and 2", "Less than 2"))</f>
        <v>Less than 2</v>
      </c>
      <c r="T908" t="str">
        <f>IF(Orders[[#This Row],[Frequency Group]]="less than 2", "Low Value", IF(Orders[[#This Row],[Frequency Group]]="between 4 and 2", "Medium Value", "High Value"))</f>
        <v>Low Value</v>
      </c>
      <c r="U908" t="str">
        <f>IF(Orders[[#This Row],[Sales]]&lt;50, "$0-50", IF(AND(Orders[[#This Row],[Sales]]&gt;=50,Orders[[#This Row],[Sales]]&lt;=100), "$50-100", IF(AND(Orders[[#This Row],[Sales]]&gt;100,Orders[[#This Row],[Sales]]&lt;=150), "$101-150", "$150+")))</f>
        <v>$0-50</v>
      </c>
      <c r="V908" t="str">
        <f>IF(Orders[[#This Row],[Sales]]&gt;MEDIAN(M:M), "High Price", "Low Price")</f>
        <v>Low Price</v>
      </c>
      <c r="W908" t="str">
        <f>IF(Orders[[#This Row],[Quantity]]&gt;MEDIAN(E:E), "High Volume", "Low Volume")</f>
        <v>Low Volume</v>
      </c>
      <c r="X908" t="str">
        <f>Orders[[#This Row],[Sales Tier]] &amp; "-" &amp; Orders[[#This Row],[Quantity Tier]]</f>
        <v>Low Price-Low Volume</v>
      </c>
      <c r="Y908" t="str">
        <f>TEXT(Orders[[#This Row],[Order Date]], "mmmm")</f>
        <v>August</v>
      </c>
      <c r="Z90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908" t="str">
        <f>Orders[[#This Row],[Coffee Type Name]] &amp; "-" &amp; Orders[[#This Row],[Roast Type Name]]</f>
        <v>Liberica-Dark</v>
      </c>
      <c r="AB90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909" spans="1:28" x14ac:dyDescent="0.25">
      <c r="A909" s="2" t="s">
        <v>5763</v>
      </c>
      <c r="B909" s="4">
        <v>44557</v>
      </c>
      <c r="C909" s="2" t="s">
        <v>5764</v>
      </c>
      <c r="D909" t="s">
        <v>6177</v>
      </c>
      <c r="E909" s="2">
        <v>3</v>
      </c>
      <c r="F909" s="2" t="str">
        <f>_xlfn.XLOOKUP(C909,customers!$A$1:$A$1001,customers!$B$1:$B$1001,,0)</f>
        <v>Brenn Dundredge</v>
      </c>
      <c r="G909" s="2" t="str">
        <f>IF(_xlfn.XLOOKUP(C909,customers!$A$1:$A$1001,customers!$C$1:$C$1001,,0)=0,"",_xlfn.XLOOKUP(C909,customers!$A$1:$A$1001,customers!$C$1:$C$1001,,0))</f>
        <v/>
      </c>
      <c r="H909" s="2" t="str">
        <f>_xlfn.XLOOKUP(C909,customers!$A$1:$A$1001,customers!$G$1:$G$1001,,0)</f>
        <v>United States</v>
      </c>
      <c r="I909" t="str">
        <f>INDEX(products!$A$1:$G$49, MATCH(orders!$D935,products!$A$1:$A982,0), MATCH(orders!I$1,products!$A$1:$G$1,0))</f>
        <v>Rob</v>
      </c>
      <c r="J909" t="str">
        <f>INDEX(products!$A$1:$G$49, MATCH(orders!$D935,products!$A$1:$A982,0), MATCH(orders!J$1,products!$A$1:$G$1,0))</f>
        <v>D</v>
      </c>
      <c r="K909" s="5">
        <f>INDEX(products!$A$1:$G$49, MATCH(orders!$D935,products!$A$1:$A982,0), MATCH(orders!K$1,products!$A$1:$G$1,0))</f>
        <v>1</v>
      </c>
      <c r="L909" s="6">
        <f>INDEX(products!$A$1:$G$49, MATCH(orders!$D935,products!$A$1:$A982,0), MATCH(orders!L$1,products!$A$1:$G$1,0))</f>
        <v>8.9499999999999993</v>
      </c>
      <c r="M909" s="6">
        <f t="shared" si="42"/>
        <v>26.849999999999998</v>
      </c>
      <c r="N909" t="str">
        <f t="shared" si="43"/>
        <v>Robusta</v>
      </c>
      <c r="O909" t="str">
        <f t="shared" si="44"/>
        <v>Dark</v>
      </c>
      <c r="P909" t="str">
        <f>_xlfn.XLOOKUP(Orders[[#This Row],[Customer ID]],customers!$A$1:$A$1001,customers!$I$1:$I$1001,,0)</f>
        <v>Yes</v>
      </c>
      <c r="Q909">
        <f>COUNTIF(Orders[Order ID],Orders[[#This Row],[Order ID]])</f>
        <v>1</v>
      </c>
      <c r="R909" s="10">
        <f>SUMIF(Orders[Order ID], Orders[[#This Row],[Order ID]],Orders[Sales])/Orders[[#This Row],[Order Frequency]]</f>
        <v>26.849999999999998</v>
      </c>
      <c r="S909" t="str">
        <f>IF(Orders[[#This Row],[Order Frequency]]&gt;4, "More than 4", IF(AND(Orders[[#This Row],[Order Frequency]]&lt;=4,Orders[[#This Row],[Order Frequency]]&gt;=2), "Between 4 and 2", "Less than 2"))</f>
        <v>Less than 2</v>
      </c>
      <c r="T909" t="str">
        <f>IF(Orders[[#This Row],[Frequency Group]]="less than 2", "Low Value", IF(Orders[[#This Row],[Frequency Group]]="between 4 and 2", "Medium Value", "High Value"))</f>
        <v>Low Value</v>
      </c>
      <c r="U909" t="str">
        <f>IF(Orders[[#This Row],[Sales]]&lt;50, "$0-50", IF(AND(Orders[[#This Row],[Sales]]&gt;=50,Orders[[#This Row],[Sales]]&lt;=100), "$50-100", IF(AND(Orders[[#This Row],[Sales]]&gt;100,Orders[[#This Row],[Sales]]&lt;=150), "$101-150", "$150+")))</f>
        <v>$0-50</v>
      </c>
      <c r="V909" t="str">
        <f>IF(Orders[[#This Row],[Sales]]&gt;MEDIAN(M:M), "High Price", "Low Price")</f>
        <v>Low Price</v>
      </c>
      <c r="W909" t="str">
        <f>IF(Orders[[#This Row],[Quantity]]&gt;MEDIAN(E:E), "High Volume", "Low Volume")</f>
        <v>Low Volume</v>
      </c>
      <c r="X909" t="str">
        <f>Orders[[#This Row],[Sales Tier]] &amp; "-" &amp; Orders[[#This Row],[Quantity Tier]]</f>
        <v>Low Price-Low Volume</v>
      </c>
      <c r="Y909" t="str">
        <f>TEXT(Orders[[#This Row],[Order Date]], "mmmm")</f>
        <v>December</v>
      </c>
      <c r="Z90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909" t="str">
        <f>Orders[[#This Row],[Coffee Type Name]] &amp; "-" &amp; Orders[[#This Row],[Roast Type Name]]</f>
        <v>Robusta-Dark</v>
      </c>
      <c r="AB90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910" spans="1:28" x14ac:dyDescent="0.25">
      <c r="A910" s="2" t="s">
        <v>4207</v>
      </c>
      <c r="B910" s="4">
        <v>44630</v>
      </c>
      <c r="C910" s="2" t="s">
        <v>4263</v>
      </c>
      <c r="D910" t="s">
        <v>6139</v>
      </c>
      <c r="E910" s="2">
        <v>3</v>
      </c>
      <c r="F910" s="2" t="str">
        <f>_xlfn.XLOOKUP(C910,customers!$A$1:$A$1001,customers!$B$1:$B$1001,,0)</f>
        <v>Janella Millett</v>
      </c>
      <c r="G910" s="2" t="str">
        <f>IF(_xlfn.XLOOKUP(C910,customers!$A$1:$A$1001,customers!$C$1:$C$1001,,0)=0,"",_xlfn.XLOOKUP(C910,customers!$A$1:$A$1001,customers!$C$1:$C$1001,,0))</f>
        <v>jmillettik@addtoany.com</v>
      </c>
      <c r="H910" s="2" t="str">
        <f>_xlfn.XLOOKUP(C910,customers!$A$1:$A$1001,customers!$G$1:$G$1001,,0)</f>
        <v>United States</v>
      </c>
      <c r="I910" t="str">
        <f>INDEX(products!$A$1:$G$49, MATCH(orders!$D660,products!$A$1:$A707,0), MATCH(orders!I$1,products!$A$1:$G$1,0))</f>
        <v>Exc</v>
      </c>
      <c r="J910" t="str">
        <f>INDEX(products!$A$1:$G$49, MATCH(orders!$D660,products!$A$1:$A707,0), MATCH(orders!J$1,products!$A$1:$G$1,0))</f>
        <v>M</v>
      </c>
      <c r="K910" s="5">
        <f>INDEX(products!$A$1:$G$49, MATCH(orders!$D660,products!$A$1:$A707,0), MATCH(orders!K$1,products!$A$1:$G$1,0))</f>
        <v>0.5</v>
      </c>
      <c r="L910" s="6">
        <f>INDEX(products!$A$1:$G$49, MATCH(orders!$D660,products!$A$1:$A707,0), MATCH(orders!L$1,products!$A$1:$G$1,0))</f>
        <v>8.25</v>
      </c>
      <c r="M910" s="6">
        <f t="shared" si="42"/>
        <v>24.75</v>
      </c>
      <c r="N910" t="str">
        <f t="shared" si="43"/>
        <v>Excelsa</v>
      </c>
      <c r="O910" t="str">
        <f t="shared" si="44"/>
        <v>Medium</v>
      </c>
      <c r="P910" t="str">
        <f>_xlfn.XLOOKUP(Orders[[#This Row],[Customer ID]],customers!$A$1:$A$1001,customers!$I$1:$I$1001,,0)</f>
        <v>Yes</v>
      </c>
      <c r="Q910">
        <f>COUNTIF(Orders[Order ID],Orders[[#This Row],[Order ID]])</f>
        <v>1</v>
      </c>
      <c r="R910" s="10">
        <f>SUMIF(Orders[Order ID], Orders[[#This Row],[Order ID]],Orders[Sales])/Orders[[#This Row],[Order Frequency]]</f>
        <v>24.75</v>
      </c>
      <c r="S910" t="str">
        <f>IF(Orders[[#This Row],[Order Frequency]]&gt;4, "More than 4", IF(AND(Orders[[#This Row],[Order Frequency]]&lt;=4,Orders[[#This Row],[Order Frequency]]&gt;=2), "Between 4 and 2", "Less than 2"))</f>
        <v>Less than 2</v>
      </c>
      <c r="T910" t="str">
        <f>IF(Orders[[#This Row],[Frequency Group]]="less than 2", "Low Value", IF(Orders[[#This Row],[Frequency Group]]="between 4 and 2", "Medium Value", "High Value"))</f>
        <v>Low Value</v>
      </c>
      <c r="U910" t="str">
        <f>IF(Orders[[#This Row],[Sales]]&lt;50, "$0-50", IF(AND(Orders[[#This Row],[Sales]]&gt;=50,Orders[[#This Row],[Sales]]&lt;=100), "$50-100", IF(AND(Orders[[#This Row],[Sales]]&gt;100,Orders[[#This Row],[Sales]]&lt;=150), "$101-150", "$150+")))</f>
        <v>$0-50</v>
      </c>
      <c r="V910" t="str">
        <f>IF(Orders[[#This Row],[Sales]]&gt;MEDIAN(M:M), "High Price", "Low Price")</f>
        <v>Low Price</v>
      </c>
      <c r="W910" t="str">
        <f>IF(Orders[[#This Row],[Quantity]]&gt;MEDIAN(E:E), "High Volume", "Low Volume")</f>
        <v>Low Volume</v>
      </c>
      <c r="X910" t="str">
        <f>Orders[[#This Row],[Sales Tier]] &amp; "-" &amp; Orders[[#This Row],[Quantity Tier]]</f>
        <v>Low Price-Low Volume</v>
      </c>
      <c r="Y910" t="str">
        <f>TEXT(Orders[[#This Row],[Order Date]], "mmmm")</f>
        <v>March</v>
      </c>
      <c r="Z91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910" t="str">
        <f>Orders[[#This Row],[Coffee Type Name]] &amp; "-" &amp; Orders[[#This Row],[Roast Type Name]]</f>
        <v>Excelsa-Medium</v>
      </c>
      <c r="AB91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911" spans="1:28" x14ac:dyDescent="0.25">
      <c r="A911" s="2" t="s">
        <v>2650</v>
      </c>
      <c r="B911" s="4">
        <v>43586</v>
      </c>
      <c r="C911" s="2" t="s">
        <v>2651</v>
      </c>
      <c r="D911" t="s">
        <v>6176</v>
      </c>
      <c r="E911" s="2">
        <v>6</v>
      </c>
      <c r="F911" s="2" t="str">
        <f>_xlfn.XLOOKUP(C911,customers!$A$1:$A$1001,customers!$B$1:$B$1001,,0)</f>
        <v>Marty Kidstoun</v>
      </c>
      <c r="G911" s="2" t="str">
        <f>IF(_xlfn.XLOOKUP(C911,customers!$A$1:$A$1001,customers!$C$1:$C$1001,,0)=0,"",_xlfn.XLOOKUP(C911,customers!$A$1:$A$1001,customers!$C$1:$C$1001,,0))</f>
        <v/>
      </c>
      <c r="H911" s="2" t="str">
        <f>_xlfn.XLOOKUP(C911,customers!$A$1:$A$1001,customers!$G$1:$G$1001,,0)</f>
        <v>United States</v>
      </c>
      <c r="I911" t="str">
        <f>INDEX(products!$A$1:$G$49, MATCH(orders!$D385,products!$A$1:$A432,0), MATCH(orders!I$1,products!$A$1:$G$1,0))</f>
        <v>Exc</v>
      </c>
      <c r="J911" t="str">
        <f>INDEX(products!$A$1:$G$49, MATCH(orders!$D385,products!$A$1:$A432,0), MATCH(orders!J$1,products!$A$1:$G$1,0))</f>
        <v>L</v>
      </c>
      <c r="K911" s="5">
        <f>INDEX(products!$A$1:$G$49, MATCH(orders!$D385,products!$A$1:$A432,0), MATCH(orders!K$1,products!$A$1:$G$1,0))</f>
        <v>0.5</v>
      </c>
      <c r="L911" s="6">
        <f>INDEX(products!$A$1:$G$49, MATCH(orders!$D385,products!$A$1:$A432,0), MATCH(orders!L$1,products!$A$1:$G$1,0))</f>
        <v>8.91</v>
      </c>
      <c r="M911" s="6">
        <f t="shared" si="42"/>
        <v>53.46</v>
      </c>
      <c r="N911" t="str">
        <f t="shared" si="43"/>
        <v>Excelsa</v>
      </c>
      <c r="O911" t="str">
        <f t="shared" si="44"/>
        <v>Light</v>
      </c>
      <c r="P911" t="str">
        <f>_xlfn.XLOOKUP(Orders[[#This Row],[Customer ID]],customers!$A$1:$A$1001,customers!$I$1:$I$1001,,0)</f>
        <v>Yes</v>
      </c>
      <c r="Q911">
        <f>COUNTIF(Orders[Order ID],Orders[[#This Row],[Order ID]])</f>
        <v>1</v>
      </c>
      <c r="R911" s="10">
        <f>SUMIF(Orders[Order ID], Orders[[#This Row],[Order ID]],Orders[Sales])/Orders[[#This Row],[Order Frequency]]</f>
        <v>53.46</v>
      </c>
      <c r="S911" t="str">
        <f>IF(Orders[[#This Row],[Order Frequency]]&gt;4, "More than 4", IF(AND(Orders[[#This Row],[Order Frequency]]&lt;=4,Orders[[#This Row],[Order Frequency]]&gt;=2), "Between 4 and 2", "Less than 2"))</f>
        <v>Less than 2</v>
      </c>
      <c r="T911" t="str">
        <f>IF(Orders[[#This Row],[Frequency Group]]="less than 2", "Low Value", IF(Orders[[#This Row],[Frequency Group]]="between 4 and 2", "Medium Value", "High Value"))</f>
        <v>Low Value</v>
      </c>
      <c r="U911" t="str">
        <f>IF(Orders[[#This Row],[Sales]]&lt;50, "$0-50", IF(AND(Orders[[#This Row],[Sales]]&gt;=50,Orders[[#This Row],[Sales]]&lt;=100), "$50-100", IF(AND(Orders[[#This Row],[Sales]]&gt;100,Orders[[#This Row],[Sales]]&lt;=150), "$101-150", "$150+")))</f>
        <v>$50-100</v>
      </c>
      <c r="V911" t="str">
        <f>IF(Orders[[#This Row],[Sales]]&gt;MEDIAN(M:M), "High Price", "Low Price")</f>
        <v>High Price</v>
      </c>
      <c r="W911" t="str">
        <f>IF(Orders[[#This Row],[Quantity]]&gt;MEDIAN(E:E), "High Volume", "Low Volume")</f>
        <v>High Volume</v>
      </c>
      <c r="X911" t="str">
        <f>Orders[[#This Row],[Sales Tier]] &amp; "-" &amp; Orders[[#This Row],[Quantity Tier]]</f>
        <v>High Price-High Volume</v>
      </c>
      <c r="Y911" t="str">
        <f>TEXT(Orders[[#This Row],[Order Date]], "mmmm")</f>
        <v>May</v>
      </c>
      <c r="Z91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911" t="str">
        <f>Orders[[#This Row],[Coffee Type Name]] &amp; "-" &amp; Orders[[#This Row],[Roast Type Name]]</f>
        <v>Excelsa-Light</v>
      </c>
      <c r="AB91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912" spans="1:28" x14ac:dyDescent="0.25">
      <c r="A912" s="2" t="s">
        <v>3499</v>
      </c>
      <c r="B912" s="4">
        <v>44330</v>
      </c>
      <c r="C912" s="2" t="s">
        <v>3500</v>
      </c>
      <c r="D912" t="s">
        <v>6139</v>
      </c>
      <c r="E912" s="2">
        <v>2</v>
      </c>
      <c r="F912" s="2" t="str">
        <f>_xlfn.XLOOKUP(C912,customers!$A$1:$A$1001,customers!$B$1:$B$1001,,0)</f>
        <v>Nannie Naseby</v>
      </c>
      <c r="G912" s="2" t="str">
        <f>IF(_xlfn.XLOOKUP(C912,customers!$A$1:$A$1001,customers!$C$1:$C$1001,,0)=0,"",_xlfn.XLOOKUP(C912,customers!$A$1:$A$1001,customers!$C$1:$C$1001,,0))</f>
        <v>nnasebyes@umich.edu</v>
      </c>
      <c r="H912" s="2" t="str">
        <f>_xlfn.XLOOKUP(C912,customers!$A$1:$A$1001,customers!$G$1:$G$1001,,0)</f>
        <v>United States</v>
      </c>
      <c r="I912" t="str">
        <f>INDEX(products!$A$1:$G$49, MATCH(orders!$D534,products!$A$1:$A581,0), MATCH(orders!I$1,products!$A$1:$G$1,0))</f>
        <v>Exc</v>
      </c>
      <c r="J912" t="str">
        <f>INDEX(products!$A$1:$G$49, MATCH(orders!$D534,products!$A$1:$A581,0), MATCH(orders!J$1,products!$A$1:$G$1,0))</f>
        <v>M</v>
      </c>
      <c r="K912" s="5">
        <f>INDEX(products!$A$1:$G$49, MATCH(orders!$D534,products!$A$1:$A581,0), MATCH(orders!K$1,products!$A$1:$G$1,0))</f>
        <v>0.5</v>
      </c>
      <c r="L912" s="6">
        <f>INDEX(products!$A$1:$G$49, MATCH(orders!$D534,products!$A$1:$A581,0), MATCH(orders!L$1,products!$A$1:$G$1,0))</f>
        <v>8.25</v>
      </c>
      <c r="M912" s="6">
        <f t="shared" si="42"/>
        <v>16.5</v>
      </c>
      <c r="N912" t="str">
        <f t="shared" si="43"/>
        <v>Excelsa</v>
      </c>
      <c r="O912" t="str">
        <f t="shared" si="44"/>
        <v>Medium</v>
      </c>
      <c r="P912" t="str">
        <f>_xlfn.XLOOKUP(Orders[[#This Row],[Customer ID]],customers!$A$1:$A$1001,customers!$I$1:$I$1001,,0)</f>
        <v>Yes</v>
      </c>
      <c r="Q912">
        <f>COUNTIF(Orders[Order ID],Orders[[#This Row],[Order ID]])</f>
        <v>1</v>
      </c>
      <c r="R912" s="10">
        <f>SUMIF(Orders[Order ID], Orders[[#This Row],[Order ID]],Orders[Sales])/Orders[[#This Row],[Order Frequency]]</f>
        <v>16.5</v>
      </c>
      <c r="S912" t="str">
        <f>IF(Orders[[#This Row],[Order Frequency]]&gt;4, "More than 4", IF(AND(Orders[[#This Row],[Order Frequency]]&lt;=4,Orders[[#This Row],[Order Frequency]]&gt;=2), "Between 4 and 2", "Less than 2"))</f>
        <v>Less than 2</v>
      </c>
      <c r="T912" t="str">
        <f>IF(Orders[[#This Row],[Frequency Group]]="less than 2", "Low Value", IF(Orders[[#This Row],[Frequency Group]]="between 4 and 2", "Medium Value", "High Value"))</f>
        <v>Low Value</v>
      </c>
      <c r="U912" t="str">
        <f>IF(Orders[[#This Row],[Sales]]&lt;50, "$0-50", IF(AND(Orders[[#This Row],[Sales]]&gt;=50,Orders[[#This Row],[Sales]]&lt;=100), "$50-100", IF(AND(Orders[[#This Row],[Sales]]&gt;100,Orders[[#This Row],[Sales]]&lt;=150), "$101-150", "$150+")))</f>
        <v>$0-50</v>
      </c>
      <c r="V912" t="str">
        <f>IF(Orders[[#This Row],[Sales]]&gt;MEDIAN(M:M), "High Price", "Low Price")</f>
        <v>Low Price</v>
      </c>
      <c r="W912" t="str">
        <f>IF(Orders[[#This Row],[Quantity]]&gt;MEDIAN(E:E), "High Volume", "Low Volume")</f>
        <v>Low Volume</v>
      </c>
      <c r="X912" t="str">
        <f>Orders[[#This Row],[Sales Tier]] &amp; "-" &amp; Orders[[#This Row],[Quantity Tier]]</f>
        <v>Low Price-Low Volume</v>
      </c>
      <c r="Y912" t="str">
        <f>TEXT(Orders[[#This Row],[Order Date]], "mmmm")</f>
        <v>May</v>
      </c>
      <c r="Z91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912" t="str">
        <f>Orders[[#This Row],[Coffee Type Name]] &amp; "-" &amp; Orders[[#This Row],[Roast Type Name]]</f>
        <v>Excelsa-Medium</v>
      </c>
      <c r="AB91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913" spans="1:28" x14ac:dyDescent="0.25">
      <c r="A913" s="2" t="s">
        <v>2452</v>
      </c>
      <c r="B913" s="4">
        <v>43803</v>
      </c>
      <c r="C913" s="2" t="s">
        <v>2453</v>
      </c>
      <c r="D913" t="s">
        <v>6148</v>
      </c>
      <c r="E913" s="2">
        <v>6</v>
      </c>
      <c r="F913" s="2" t="str">
        <f>_xlfn.XLOOKUP(C913,customers!$A$1:$A$1001,customers!$B$1:$B$1001,,0)</f>
        <v>Shelli Keynd</v>
      </c>
      <c r="G913" s="2" t="str">
        <f>IF(_xlfn.XLOOKUP(C913,customers!$A$1:$A$1001,customers!$C$1:$C$1001,,0)=0,"",_xlfn.XLOOKUP(C913,customers!$A$1:$A$1001,customers!$C$1:$C$1001,,0))</f>
        <v>skeynd9o@narod.ru</v>
      </c>
      <c r="H913" s="2" t="str">
        <f>_xlfn.XLOOKUP(C913,customers!$A$1:$A$1001,customers!$G$1:$G$1001,,0)</f>
        <v>United States</v>
      </c>
      <c r="I913" t="str">
        <f>INDEX(products!$A$1:$G$49, MATCH(orders!$D350,products!$A$1:$A397,0), MATCH(orders!I$1,products!$A$1:$G$1,0))</f>
        <v>Exc</v>
      </c>
      <c r="J913" t="str">
        <f>INDEX(products!$A$1:$G$49, MATCH(orders!$D350,products!$A$1:$A397,0), MATCH(orders!J$1,products!$A$1:$G$1,0))</f>
        <v>L</v>
      </c>
      <c r="K913" s="5">
        <f>INDEX(products!$A$1:$G$49, MATCH(orders!$D350,products!$A$1:$A397,0), MATCH(orders!K$1,products!$A$1:$G$1,0))</f>
        <v>2.5</v>
      </c>
      <c r="L913" s="6">
        <f>INDEX(products!$A$1:$G$49, MATCH(orders!$D350,products!$A$1:$A397,0), MATCH(orders!L$1,products!$A$1:$G$1,0))</f>
        <v>34.154999999999994</v>
      </c>
      <c r="M913" s="6">
        <f t="shared" si="42"/>
        <v>204.92999999999995</v>
      </c>
      <c r="N913" t="str">
        <f t="shared" si="43"/>
        <v>Excelsa</v>
      </c>
      <c r="O913" t="str">
        <f t="shared" si="44"/>
        <v>Light</v>
      </c>
      <c r="P913" t="str">
        <f>_xlfn.XLOOKUP(Orders[[#This Row],[Customer ID]],customers!$A$1:$A$1001,customers!$I$1:$I$1001,,0)</f>
        <v>No</v>
      </c>
      <c r="Q913">
        <f>COUNTIF(Orders[Order ID],Orders[[#This Row],[Order ID]])</f>
        <v>1</v>
      </c>
      <c r="R913" s="10">
        <f>SUMIF(Orders[Order ID], Orders[[#This Row],[Order ID]],Orders[Sales])/Orders[[#This Row],[Order Frequency]]</f>
        <v>204.92999999999995</v>
      </c>
      <c r="S913" t="str">
        <f>IF(Orders[[#This Row],[Order Frequency]]&gt;4, "More than 4", IF(AND(Orders[[#This Row],[Order Frequency]]&lt;=4,Orders[[#This Row],[Order Frequency]]&gt;=2), "Between 4 and 2", "Less than 2"))</f>
        <v>Less than 2</v>
      </c>
      <c r="T913" t="str">
        <f>IF(Orders[[#This Row],[Frequency Group]]="less than 2", "Low Value", IF(Orders[[#This Row],[Frequency Group]]="between 4 and 2", "Medium Value", "High Value"))</f>
        <v>Low Value</v>
      </c>
      <c r="U913" t="str">
        <f>IF(Orders[[#This Row],[Sales]]&lt;50, "$0-50", IF(AND(Orders[[#This Row],[Sales]]&gt;=50,Orders[[#This Row],[Sales]]&lt;=100), "$50-100", IF(AND(Orders[[#This Row],[Sales]]&gt;100,Orders[[#This Row],[Sales]]&lt;=150), "$101-150", "$150+")))</f>
        <v>$150+</v>
      </c>
      <c r="V913" t="str">
        <f>IF(Orders[[#This Row],[Sales]]&gt;MEDIAN(M:M), "High Price", "Low Price")</f>
        <v>High Price</v>
      </c>
      <c r="W913" t="str">
        <f>IF(Orders[[#This Row],[Quantity]]&gt;MEDIAN(E:E), "High Volume", "Low Volume")</f>
        <v>High Volume</v>
      </c>
      <c r="X913" t="str">
        <f>Orders[[#This Row],[Sales Tier]] &amp; "-" &amp; Orders[[#This Row],[Quantity Tier]]</f>
        <v>High Price-High Volume</v>
      </c>
      <c r="Y913" t="str">
        <f>TEXT(Orders[[#This Row],[Order Date]], "mmmm")</f>
        <v>December</v>
      </c>
      <c r="Z91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913" t="str">
        <f>Orders[[#This Row],[Coffee Type Name]] &amp; "-" &amp; Orders[[#This Row],[Roast Type Name]]</f>
        <v>Excelsa-Light</v>
      </c>
      <c r="AB91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914" spans="1:28" x14ac:dyDescent="0.25">
      <c r="A914" s="2" t="s">
        <v>5040</v>
      </c>
      <c r="B914" s="4">
        <v>44713</v>
      </c>
      <c r="C914" s="2" t="s">
        <v>5041</v>
      </c>
      <c r="D914" t="s">
        <v>6146</v>
      </c>
      <c r="E914" s="2">
        <v>1</v>
      </c>
      <c r="F914" s="2" t="str">
        <f>_xlfn.XLOOKUP(C914,customers!$A$1:$A$1001,customers!$B$1:$B$1001,,0)</f>
        <v>Chester Clowton</v>
      </c>
      <c r="G914" s="2" t="str">
        <f>IF(_xlfn.XLOOKUP(C914,customers!$A$1:$A$1001,customers!$C$1:$C$1001,,0)=0,"",_xlfn.XLOOKUP(C914,customers!$A$1:$A$1001,customers!$C$1:$C$1001,,0))</f>
        <v/>
      </c>
      <c r="H914" s="2" t="str">
        <f>_xlfn.XLOOKUP(C914,customers!$A$1:$A$1001,customers!$G$1:$G$1001,,0)</f>
        <v>United States</v>
      </c>
      <c r="I914" t="str">
        <f>INDEX(products!$A$1:$G$49, MATCH(orders!$D807,products!$A$1:$A854,0), MATCH(orders!I$1,products!$A$1:$G$1,0))</f>
        <v>Rob</v>
      </c>
      <c r="J914" t="str">
        <f>INDEX(products!$A$1:$G$49, MATCH(orders!$D807,products!$A$1:$A854,0), MATCH(orders!J$1,products!$A$1:$G$1,0))</f>
        <v>M</v>
      </c>
      <c r="K914" s="5">
        <f>INDEX(products!$A$1:$G$49, MATCH(orders!$D807,products!$A$1:$A854,0), MATCH(orders!K$1,products!$A$1:$G$1,0))</f>
        <v>0.5</v>
      </c>
      <c r="L914" s="6">
        <f>INDEX(products!$A$1:$G$49, MATCH(orders!$D807,products!$A$1:$A854,0), MATCH(orders!L$1,products!$A$1:$G$1,0))</f>
        <v>5.97</v>
      </c>
      <c r="M914" s="6">
        <f t="shared" si="42"/>
        <v>5.97</v>
      </c>
      <c r="N914" t="str">
        <f t="shared" si="43"/>
        <v>Robusta</v>
      </c>
      <c r="O914" t="str">
        <f t="shared" si="44"/>
        <v>Medium</v>
      </c>
      <c r="P914" t="str">
        <f>_xlfn.XLOOKUP(Orders[[#This Row],[Customer ID]],customers!$A$1:$A$1001,customers!$I$1:$I$1001,,0)</f>
        <v>No</v>
      </c>
      <c r="Q914">
        <f>COUNTIF(Orders[Order ID],Orders[[#This Row],[Order ID]])</f>
        <v>1</v>
      </c>
      <c r="R914" s="10">
        <f>SUMIF(Orders[Order ID], Orders[[#This Row],[Order ID]],Orders[Sales])/Orders[[#This Row],[Order Frequency]]</f>
        <v>5.97</v>
      </c>
      <c r="S914" t="str">
        <f>IF(Orders[[#This Row],[Order Frequency]]&gt;4, "More than 4", IF(AND(Orders[[#This Row],[Order Frequency]]&lt;=4,Orders[[#This Row],[Order Frequency]]&gt;=2), "Between 4 and 2", "Less than 2"))</f>
        <v>Less than 2</v>
      </c>
      <c r="T914" t="str">
        <f>IF(Orders[[#This Row],[Frequency Group]]="less than 2", "Low Value", IF(Orders[[#This Row],[Frequency Group]]="between 4 and 2", "Medium Value", "High Value"))</f>
        <v>Low Value</v>
      </c>
      <c r="U914" t="str">
        <f>IF(Orders[[#This Row],[Sales]]&lt;50, "$0-50", IF(AND(Orders[[#This Row],[Sales]]&gt;=50,Orders[[#This Row],[Sales]]&lt;=100), "$50-100", IF(AND(Orders[[#This Row],[Sales]]&gt;100,Orders[[#This Row],[Sales]]&lt;=150), "$101-150", "$150+")))</f>
        <v>$0-50</v>
      </c>
      <c r="V914" t="str">
        <f>IF(Orders[[#This Row],[Sales]]&gt;MEDIAN(M:M), "High Price", "Low Price")</f>
        <v>Low Price</v>
      </c>
      <c r="W914" t="str">
        <f>IF(Orders[[#This Row],[Quantity]]&gt;MEDIAN(E:E), "High Volume", "Low Volume")</f>
        <v>Low Volume</v>
      </c>
      <c r="X914" t="str">
        <f>Orders[[#This Row],[Sales Tier]] &amp; "-" &amp; Orders[[#This Row],[Quantity Tier]]</f>
        <v>Low Price-Low Volume</v>
      </c>
      <c r="Y914" t="str">
        <f>TEXT(Orders[[#This Row],[Order Date]], "mmmm")</f>
        <v>June</v>
      </c>
      <c r="Z91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914" t="str">
        <f>Orders[[#This Row],[Coffee Type Name]] &amp; "-" &amp; Orders[[#This Row],[Roast Type Name]]</f>
        <v>Robusta-Medium</v>
      </c>
      <c r="AB91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915" spans="1:28" x14ac:dyDescent="0.25">
      <c r="A915" s="2" t="s">
        <v>960</v>
      </c>
      <c r="B915" s="4">
        <v>43933</v>
      </c>
      <c r="C915" s="2" t="s">
        <v>961</v>
      </c>
      <c r="D915" t="s">
        <v>6149</v>
      </c>
      <c r="E915" s="2">
        <v>4</v>
      </c>
      <c r="F915" s="2" t="str">
        <f>_xlfn.XLOOKUP(C915,customers!$A$1:$A$1001,customers!$B$1:$B$1001,,0)</f>
        <v>Hally Lorait</v>
      </c>
      <c r="G915" s="2" t="str">
        <f>IF(_xlfn.XLOOKUP(C915,customers!$A$1:$A$1001,customers!$C$1:$C$1001,,0)=0,"",_xlfn.XLOOKUP(C915,customers!$A$1:$A$1001,customers!$C$1:$C$1001,,0))</f>
        <v/>
      </c>
      <c r="H915" s="2" t="str">
        <f>_xlfn.XLOOKUP(C915,customers!$A$1:$A$1001,customers!$G$1:$G$1001,,0)</f>
        <v>United States</v>
      </c>
      <c r="I915" t="str">
        <f>INDEX(products!$A$1:$G$49, MATCH(orders!$D85,products!$A$1:$A132,0), MATCH(orders!I$1,products!$A$1:$G$1,0))</f>
        <v>Rob</v>
      </c>
      <c r="J915" t="str">
        <f>INDEX(products!$A$1:$G$49, MATCH(orders!$D85,products!$A$1:$A132,0), MATCH(orders!J$1,products!$A$1:$G$1,0))</f>
        <v>D</v>
      </c>
      <c r="K915" s="5">
        <f>INDEX(products!$A$1:$G$49, MATCH(orders!$D85,products!$A$1:$A132,0), MATCH(orders!K$1,products!$A$1:$G$1,0))</f>
        <v>2.5</v>
      </c>
      <c r="L915" s="6">
        <f>INDEX(products!$A$1:$G$49, MATCH(orders!$D85,products!$A$1:$A132,0), MATCH(orders!L$1,products!$A$1:$G$1,0))</f>
        <v>20.584999999999997</v>
      </c>
      <c r="M915" s="6">
        <f t="shared" si="42"/>
        <v>82.339999999999989</v>
      </c>
      <c r="N915" t="str">
        <f t="shared" si="43"/>
        <v>Robusta</v>
      </c>
      <c r="O915" t="str">
        <f t="shared" si="44"/>
        <v>Dark</v>
      </c>
      <c r="P915" t="str">
        <f>_xlfn.XLOOKUP(Orders[[#This Row],[Customer ID]],customers!$A$1:$A$1001,customers!$I$1:$I$1001,,0)</f>
        <v>Yes</v>
      </c>
      <c r="Q915">
        <f>COUNTIF(Orders[Order ID],Orders[[#This Row],[Order ID]])</f>
        <v>1</v>
      </c>
      <c r="R915" s="10">
        <f>SUMIF(Orders[Order ID], Orders[[#This Row],[Order ID]],Orders[Sales])/Orders[[#This Row],[Order Frequency]]</f>
        <v>82.339999999999989</v>
      </c>
      <c r="S915" t="str">
        <f>IF(Orders[[#This Row],[Order Frequency]]&gt;4, "More than 4", IF(AND(Orders[[#This Row],[Order Frequency]]&lt;=4,Orders[[#This Row],[Order Frequency]]&gt;=2), "Between 4 and 2", "Less than 2"))</f>
        <v>Less than 2</v>
      </c>
      <c r="T915" t="str">
        <f>IF(Orders[[#This Row],[Frequency Group]]="less than 2", "Low Value", IF(Orders[[#This Row],[Frequency Group]]="between 4 and 2", "Medium Value", "High Value"))</f>
        <v>Low Value</v>
      </c>
      <c r="U915" t="str">
        <f>IF(Orders[[#This Row],[Sales]]&lt;50, "$0-50", IF(AND(Orders[[#This Row],[Sales]]&gt;=50,Orders[[#This Row],[Sales]]&lt;=100), "$50-100", IF(AND(Orders[[#This Row],[Sales]]&gt;100,Orders[[#This Row],[Sales]]&lt;=150), "$101-150", "$150+")))</f>
        <v>$50-100</v>
      </c>
      <c r="V915" t="str">
        <f>IF(Orders[[#This Row],[Sales]]&gt;MEDIAN(M:M), "High Price", "Low Price")</f>
        <v>High Price</v>
      </c>
      <c r="W915" t="str">
        <f>IF(Orders[[#This Row],[Quantity]]&gt;MEDIAN(E:E), "High Volume", "Low Volume")</f>
        <v>Low Volume</v>
      </c>
      <c r="X915" t="str">
        <f>Orders[[#This Row],[Sales Tier]] &amp; "-" &amp; Orders[[#This Row],[Quantity Tier]]</f>
        <v>High Price-Low Volume</v>
      </c>
      <c r="Y915" t="str">
        <f>TEXT(Orders[[#This Row],[Order Date]], "mmmm")</f>
        <v>April</v>
      </c>
      <c r="Z91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915" t="str">
        <f>Orders[[#This Row],[Coffee Type Name]] &amp; "-" &amp; Orders[[#This Row],[Roast Type Name]]</f>
        <v>Robusta-Dark</v>
      </c>
      <c r="AB91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916" spans="1:28" x14ac:dyDescent="0.25">
      <c r="A916" s="2" t="s">
        <v>3683</v>
      </c>
      <c r="B916" s="4">
        <v>44031</v>
      </c>
      <c r="C916" s="2" t="s">
        <v>3684</v>
      </c>
      <c r="D916" t="s">
        <v>6149</v>
      </c>
      <c r="E916" s="2">
        <v>4</v>
      </c>
      <c r="F916" s="2" t="str">
        <f>_xlfn.XLOOKUP(C916,customers!$A$1:$A$1001,customers!$B$1:$B$1001,,0)</f>
        <v>Jackquelin Chugg</v>
      </c>
      <c r="G916" s="2" t="str">
        <f>IF(_xlfn.XLOOKUP(C916,customers!$A$1:$A$1001,customers!$C$1:$C$1001,,0)=0,"",_xlfn.XLOOKUP(C916,customers!$A$1:$A$1001,customers!$C$1:$C$1001,,0))</f>
        <v>jchuggfp@about.me</v>
      </c>
      <c r="H916" s="2" t="str">
        <f>_xlfn.XLOOKUP(C916,customers!$A$1:$A$1001,customers!$G$1:$G$1001,,0)</f>
        <v>United States</v>
      </c>
      <c r="I916" t="str">
        <f>INDEX(products!$A$1:$G$49, MATCH(orders!$D567,products!$A$1:$A614,0), MATCH(orders!I$1,products!$A$1:$G$1,0))</f>
        <v>Rob</v>
      </c>
      <c r="J916" t="str">
        <f>INDEX(products!$A$1:$G$49, MATCH(orders!$D567,products!$A$1:$A614,0), MATCH(orders!J$1,products!$A$1:$G$1,0))</f>
        <v>D</v>
      </c>
      <c r="K916" s="5">
        <f>INDEX(products!$A$1:$G$49, MATCH(orders!$D567,products!$A$1:$A614,0), MATCH(orders!K$1,products!$A$1:$G$1,0))</f>
        <v>2.5</v>
      </c>
      <c r="L916" s="6">
        <f>INDEX(products!$A$1:$G$49, MATCH(orders!$D567,products!$A$1:$A614,0), MATCH(orders!L$1,products!$A$1:$G$1,0))</f>
        <v>20.584999999999997</v>
      </c>
      <c r="M916" s="6">
        <f t="shared" si="42"/>
        <v>82.339999999999989</v>
      </c>
      <c r="N916" t="str">
        <f t="shared" si="43"/>
        <v>Robusta</v>
      </c>
      <c r="O916" t="str">
        <f t="shared" si="44"/>
        <v>Dark</v>
      </c>
      <c r="P916" t="str">
        <f>_xlfn.XLOOKUP(Orders[[#This Row],[Customer ID]],customers!$A$1:$A$1001,customers!$I$1:$I$1001,,0)</f>
        <v>No</v>
      </c>
      <c r="Q916">
        <f>COUNTIF(Orders[Order ID],Orders[[#This Row],[Order ID]])</f>
        <v>1</v>
      </c>
      <c r="R916" s="10">
        <f>SUMIF(Orders[Order ID], Orders[[#This Row],[Order ID]],Orders[Sales])/Orders[[#This Row],[Order Frequency]]</f>
        <v>82.339999999999989</v>
      </c>
      <c r="S916" t="str">
        <f>IF(Orders[[#This Row],[Order Frequency]]&gt;4, "More than 4", IF(AND(Orders[[#This Row],[Order Frequency]]&lt;=4,Orders[[#This Row],[Order Frequency]]&gt;=2), "Between 4 and 2", "Less than 2"))</f>
        <v>Less than 2</v>
      </c>
      <c r="T916" t="str">
        <f>IF(Orders[[#This Row],[Frequency Group]]="less than 2", "Low Value", IF(Orders[[#This Row],[Frequency Group]]="between 4 and 2", "Medium Value", "High Value"))</f>
        <v>Low Value</v>
      </c>
      <c r="U916" t="str">
        <f>IF(Orders[[#This Row],[Sales]]&lt;50, "$0-50", IF(AND(Orders[[#This Row],[Sales]]&gt;=50,Orders[[#This Row],[Sales]]&lt;=100), "$50-100", IF(AND(Orders[[#This Row],[Sales]]&gt;100,Orders[[#This Row],[Sales]]&lt;=150), "$101-150", "$150+")))</f>
        <v>$50-100</v>
      </c>
      <c r="V916" t="str">
        <f>IF(Orders[[#This Row],[Sales]]&gt;MEDIAN(M:M), "High Price", "Low Price")</f>
        <v>High Price</v>
      </c>
      <c r="W916" t="str">
        <f>IF(Orders[[#This Row],[Quantity]]&gt;MEDIAN(E:E), "High Volume", "Low Volume")</f>
        <v>Low Volume</v>
      </c>
      <c r="X916" t="str">
        <f>Orders[[#This Row],[Sales Tier]] &amp; "-" &amp; Orders[[#This Row],[Quantity Tier]]</f>
        <v>High Price-Low Volume</v>
      </c>
      <c r="Y916" t="str">
        <f>TEXT(Orders[[#This Row],[Order Date]], "mmmm")</f>
        <v>July</v>
      </c>
      <c r="Z91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916" t="str">
        <f>Orders[[#This Row],[Coffee Type Name]] &amp; "-" &amp; Orders[[#This Row],[Roast Type Name]]</f>
        <v>Robusta-Dark</v>
      </c>
      <c r="AB91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917" spans="1:28" x14ac:dyDescent="0.25">
      <c r="A917" s="2" t="s">
        <v>3638</v>
      </c>
      <c r="B917" s="4">
        <v>44506</v>
      </c>
      <c r="C917" s="2" t="s">
        <v>3368</v>
      </c>
      <c r="D917" t="s">
        <v>6171</v>
      </c>
      <c r="E917" s="2">
        <v>4</v>
      </c>
      <c r="F917" s="2" t="str">
        <f>_xlfn.XLOOKUP(C917,customers!$A$1:$A$1001,customers!$B$1:$B$1001,,0)</f>
        <v>Marja Urion</v>
      </c>
      <c r="G917" s="2" t="str">
        <f>IF(_xlfn.XLOOKUP(C917,customers!$A$1:$A$1001,customers!$C$1:$C$1001,,0)=0,"",_xlfn.XLOOKUP(C917,customers!$A$1:$A$1001,customers!$C$1:$C$1001,,0))</f>
        <v>murione5@alexa.com</v>
      </c>
      <c r="H917" s="2" t="str">
        <f>_xlfn.XLOOKUP(C917,customers!$A$1:$A$1001,customers!$G$1:$G$1001,,0)</f>
        <v>Ireland</v>
      </c>
      <c r="I917" t="str">
        <f>INDEX(products!$A$1:$G$49, MATCH(orders!$D559,products!$A$1:$A606,0), MATCH(orders!I$1,products!$A$1:$G$1,0))</f>
        <v>Exc</v>
      </c>
      <c r="J917" t="str">
        <f>INDEX(products!$A$1:$G$49, MATCH(orders!$D559,products!$A$1:$A606,0), MATCH(orders!J$1,products!$A$1:$G$1,0))</f>
        <v>L</v>
      </c>
      <c r="K917" s="5">
        <f>INDEX(products!$A$1:$G$49, MATCH(orders!$D559,products!$A$1:$A606,0), MATCH(orders!K$1,products!$A$1:$G$1,0))</f>
        <v>1</v>
      </c>
      <c r="L917" s="6">
        <f>INDEX(products!$A$1:$G$49, MATCH(orders!$D559,products!$A$1:$A606,0), MATCH(orders!L$1,products!$A$1:$G$1,0))</f>
        <v>14.85</v>
      </c>
      <c r="M917" s="6">
        <f t="shared" si="42"/>
        <v>59.4</v>
      </c>
      <c r="N917" t="str">
        <f t="shared" si="43"/>
        <v>Excelsa</v>
      </c>
      <c r="O917" t="str">
        <f t="shared" si="44"/>
        <v>Light</v>
      </c>
      <c r="P917" t="str">
        <f>_xlfn.XLOOKUP(Orders[[#This Row],[Customer ID]],customers!$A$1:$A$1001,customers!$I$1:$I$1001,,0)</f>
        <v>Yes</v>
      </c>
      <c r="Q917">
        <f>COUNTIF(Orders[Order ID],Orders[[#This Row],[Order ID]])</f>
        <v>1</v>
      </c>
      <c r="R917" s="10">
        <f>SUMIF(Orders[Order ID], Orders[[#This Row],[Order ID]],Orders[Sales])/Orders[[#This Row],[Order Frequency]]</f>
        <v>59.4</v>
      </c>
      <c r="S917" t="str">
        <f>IF(Orders[[#This Row],[Order Frequency]]&gt;4, "More than 4", IF(AND(Orders[[#This Row],[Order Frequency]]&lt;=4,Orders[[#This Row],[Order Frequency]]&gt;=2), "Between 4 and 2", "Less than 2"))</f>
        <v>Less than 2</v>
      </c>
      <c r="T917" t="str">
        <f>IF(Orders[[#This Row],[Frequency Group]]="less than 2", "Low Value", IF(Orders[[#This Row],[Frequency Group]]="between 4 and 2", "Medium Value", "High Value"))</f>
        <v>Low Value</v>
      </c>
      <c r="U917" t="str">
        <f>IF(Orders[[#This Row],[Sales]]&lt;50, "$0-50", IF(AND(Orders[[#This Row],[Sales]]&gt;=50,Orders[[#This Row],[Sales]]&lt;=100), "$50-100", IF(AND(Orders[[#This Row],[Sales]]&gt;100,Orders[[#This Row],[Sales]]&lt;=150), "$101-150", "$150+")))</f>
        <v>$50-100</v>
      </c>
      <c r="V917" t="str">
        <f>IF(Orders[[#This Row],[Sales]]&gt;MEDIAN(M:M), "High Price", "Low Price")</f>
        <v>High Price</v>
      </c>
      <c r="W917" t="str">
        <f>IF(Orders[[#This Row],[Quantity]]&gt;MEDIAN(E:E), "High Volume", "Low Volume")</f>
        <v>Low Volume</v>
      </c>
      <c r="X917" t="str">
        <f>Orders[[#This Row],[Sales Tier]] &amp; "-" &amp; Orders[[#This Row],[Quantity Tier]]</f>
        <v>High Price-Low Volume</v>
      </c>
      <c r="Y917" t="str">
        <f>TEXT(Orders[[#This Row],[Order Date]], "mmmm")</f>
        <v>November</v>
      </c>
      <c r="Z91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917" t="str">
        <f>Orders[[#This Row],[Coffee Type Name]] &amp; "-" &amp; Orders[[#This Row],[Roast Type Name]]</f>
        <v>Excelsa-Light</v>
      </c>
      <c r="AB91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918" spans="1:28" x14ac:dyDescent="0.25">
      <c r="A918" s="2" t="s">
        <v>3695</v>
      </c>
      <c r="B918" s="4">
        <v>44318</v>
      </c>
      <c r="C918" s="2" t="s">
        <v>3696</v>
      </c>
      <c r="D918" t="s">
        <v>6142</v>
      </c>
      <c r="E918" s="2">
        <v>6</v>
      </c>
      <c r="F918" s="2" t="str">
        <f>_xlfn.XLOOKUP(C918,customers!$A$1:$A$1001,customers!$B$1:$B$1001,,0)</f>
        <v>Elvina Angel</v>
      </c>
      <c r="G918" s="2" t="str">
        <f>IF(_xlfn.XLOOKUP(C918,customers!$A$1:$A$1001,customers!$C$1:$C$1001,,0)=0,"",_xlfn.XLOOKUP(C918,customers!$A$1:$A$1001,customers!$C$1:$C$1001,,0))</f>
        <v/>
      </c>
      <c r="H918" s="2" t="str">
        <f>_xlfn.XLOOKUP(C918,customers!$A$1:$A$1001,customers!$G$1:$G$1001,,0)</f>
        <v>Ireland</v>
      </c>
      <c r="I918" t="str">
        <f>INDEX(products!$A$1:$G$49, MATCH(orders!$D569,products!$A$1:$A616,0), MATCH(orders!I$1,products!$A$1:$G$1,0))</f>
        <v>Rob</v>
      </c>
      <c r="J918" t="str">
        <f>INDEX(products!$A$1:$G$49, MATCH(orders!$D569,products!$A$1:$A616,0), MATCH(orders!J$1,products!$A$1:$G$1,0))</f>
        <v>L</v>
      </c>
      <c r="K918" s="5">
        <f>INDEX(products!$A$1:$G$49, MATCH(orders!$D569,products!$A$1:$A616,0), MATCH(orders!K$1,products!$A$1:$G$1,0))</f>
        <v>2.5</v>
      </c>
      <c r="L918" s="6">
        <f>INDEX(products!$A$1:$G$49, MATCH(orders!$D569,products!$A$1:$A616,0), MATCH(orders!L$1,products!$A$1:$G$1,0))</f>
        <v>27.484999999999996</v>
      </c>
      <c r="M918" s="6">
        <f t="shared" si="42"/>
        <v>164.90999999999997</v>
      </c>
      <c r="N918" t="str">
        <f t="shared" si="43"/>
        <v>Robusta</v>
      </c>
      <c r="O918" t="str">
        <f t="shared" si="44"/>
        <v>Light</v>
      </c>
      <c r="P918" t="str">
        <f>_xlfn.XLOOKUP(Orders[[#This Row],[Customer ID]],customers!$A$1:$A$1001,customers!$I$1:$I$1001,,0)</f>
        <v>No</v>
      </c>
      <c r="Q918">
        <f>COUNTIF(Orders[Order ID],Orders[[#This Row],[Order ID]])</f>
        <v>1</v>
      </c>
      <c r="R918" s="10">
        <f>SUMIF(Orders[Order ID], Orders[[#This Row],[Order ID]],Orders[Sales])/Orders[[#This Row],[Order Frequency]]</f>
        <v>164.90999999999997</v>
      </c>
      <c r="S918" t="str">
        <f>IF(Orders[[#This Row],[Order Frequency]]&gt;4, "More than 4", IF(AND(Orders[[#This Row],[Order Frequency]]&lt;=4,Orders[[#This Row],[Order Frequency]]&gt;=2), "Between 4 and 2", "Less than 2"))</f>
        <v>Less than 2</v>
      </c>
      <c r="T918" t="str">
        <f>IF(Orders[[#This Row],[Frequency Group]]="less than 2", "Low Value", IF(Orders[[#This Row],[Frequency Group]]="between 4 and 2", "Medium Value", "High Value"))</f>
        <v>Low Value</v>
      </c>
      <c r="U918" t="str">
        <f>IF(Orders[[#This Row],[Sales]]&lt;50, "$0-50", IF(AND(Orders[[#This Row],[Sales]]&gt;=50,Orders[[#This Row],[Sales]]&lt;=100), "$50-100", IF(AND(Orders[[#This Row],[Sales]]&gt;100,Orders[[#This Row],[Sales]]&lt;=150), "$101-150", "$150+")))</f>
        <v>$150+</v>
      </c>
      <c r="V918" t="str">
        <f>IF(Orders[[#This Row],[Sales]]&gt;MEDIAN(M:M), "High Price", "Low Price")</f>
        <v>High Price</v>
      </c>
      <c r="W918" t="str">
        <f>IF(Orders[[#This Row],[Quantity]]&gt;MEDIAN(E:E), "High Volume", "Low Volume")</f>
        <v>High Volume</v>
      </c>
      <c r="X918" t="str">
        <f>Orders[[#This Row],[Sales Tier]] &amp; "-" &amp; Orders[[#This Row],[Quantity Tier]]</f>
        <v>High Price-High Volume</v>
      </c>
      <c r="Y918" t="str">
        <f>TEXT(Orders[[#This Row],[Order Date]], "mmmm")</f>
        <v>May</v>
      </c>
      <c r="Z91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918" t="str">
        <f>Orders[[#This Row],[Coffee Type Name]] &amp; "-" &amp; Orders[[#This Row],[Roast Type Name]]</f>
        <v>Robusta-Light</v>
      </c>
      <c r="AB91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919" spans="1:28" x14ac:dyDescent="0.25">
      <c r="A919" s="2" t="s">
        <v>4012</v>
      </c>
      <c r="B919" s="4">
        <v>44010</v>
      </c>
      <c r="C919" s="2" t="s">
        <v>4013</v>
      </c>
      <c r="D919" t="s">
        <v>6166</v>
      </c>
      <c r="E919" s="2">
        <v>2</v>
      </c>
      <c r="F919" s="2" t="str">
        <f>_xlfn.XLOOKUP(C919,customers!$A$1:$A$1001,customers!$B$1:$B$1001,,0)</f>
        <v>Dianne Chardin</v>
      </c>
      <c r="G919" s="2" t="str">
        <f>IF(_xlfn.XLOOKUP(C919,customers!$A$1:$A$1001,customers!$C$1:$C$1001,,0)=0,"",_xlfn.XLOOKUP(C919,customers!$A$1:$A$1001,customers!$C$1:$C$1001,,0))</f>
        <v>dchardinhc@nhs.uk</v>
      </c>
      <c r="H919" s="2" t="str">
        <f>_xlfn.XLOOKUP(C919,customers!$A$1:$A$1001,customers!$G$1:$G$1001,,0)</f>
        <v>Ireland</v>
      </c>
      <c r="I919" t="str">
        <f>INDEX(products!$A$1:$G$49, MATCH(orders!$D626,products!$A$1:$A673,0), MATCH(orders!I$1,products!$A$1:$G$1,0))</f>
        <v>Exc</v>
      </c>
      <c r="J919" t="str">
        <f>INDEX(products!$A$1:$G$49, MATCH(orders!$D626,products!$A$1:$A673,0), MATCH(orders!J$1,products!$A$1:$G$1,0))</f>
        <v>M</v>
      </c>
      <c r="K919" s="5">
        <f>INDEX(products!$A$1:$G$49, MATCH(orders!$D626,products!$A$1:$A673,0), MATCH(orders!K$1,products!$A$1:$G$1,0))</f>
        <v>2.5</v>
      </c>
      <c r="L919" s="6">
        <f>INDEX(products!$A$1:$G$49, MATCH(orders!$D626,products!$A$1:$A673,0), MATCH(orders!L$1,products!$A$1:$G$1,0))</f>
        <v>31.624999999999996</v>
      </c>
      <c r="M919" s="6">
        <f t="shared" si="42"/>
        <v>63.249999999999993</v>
      </c>
      <c r="N919" t="str">
        <f t="shared" si="43"/>
        <v>Excelsa</v>
      </c>
      <c r="O919" t="str">
        <f t="shared" si="44"/>
        <v>Medium</v>
      </c>
      <c r="P919" t="str">
        <f>_xlfn.XLOOKUP(Orders[[#This Row],[Customer ID]],customers!$A$1:$A$1001,customers!$I$1:$I$1001,,0)</f>
        <v>Yes</v>
      </c>
      <c r="Q919">
        <f>COUNTIF(Orders[Order ID],Orders[[#This Row],[Order ID]])</f>
        <v>1</v>
      </c>
      <c r="R919" s="10">
        <f>SUMIF(Orders[Order ID], Orders[[#This Row],[Order ID]],Orders[Sales])/Orders[[#This Row],[Order Frequency]]</f>
        <v>63.249999999999993</v>
      </c>
      <c r="S919" t="str">
        <f>IF(Orders[[#This Row],[Order Frequency]]&gt;4, "More than 4", IF(AND(Orders[[#This Row],[Order Frequency]]&lt;=4,Orders[[#This Row],[Order Frequency]]&gt;=2), "Between 4 and 2", "Less than 2"))</f>
        <v>Less than 2</v>
      </c>
      <c r="T919" t="str">
        <f>IF(Orders[[#This Row],[Frequency Group]]="less than 2", "Low Value", IF(Orders[[#This Row],[Frequency Group]]="between 4 and 2", "Medium Value", "High Value"))</f>
        <v>Low Value</v>
      </c>
      <c r="U919" t="str">
        <f>IF(Orders[[#This Row],[Sales]]&lt;50, "$0-50", IF(AND(Orders[[#This Row],[Sales]]&gt;=50,Orders[[#This Row],[Sales]]&lt;=100), "$50-100", IF(AND(Orders[[#This Row],[Sales]]&gt;100,Orders[[#This Row],[Sales]]&lt;=150), "$101-150", "$150+")))</f>
        <v>$50-100</v>
      </c>
      <c r="V919" t="str">
        <f>IF(Orders[[#This Row],[Sales]]&gt;MEDIAN(M:M), "High Price", "Low Price")</f>
        <v>High Price</v>
      </c>
      <c r="W919" t="str">
        <f>IF(Orders[[#This Row],[Quantity]]&gt;MEDIAN(E:E), "High Volume", "Low Volume")</f>
        <v>Low Volume</v>
      </c>
      <c r="X919" t="str">
        <f>Orders[[#This Row],[Sales Tier]] &amp; "-" &amp; Orders[[#This Row],[Quantity Tier]]</f>
        <v>High Price-Low Volume</v>
      </c>
      <c r="Y919" t="str">
        <f>TEXT(Orders[[#This Row],[Order Date]], "mmmm")</f>
        <v>June</v>
      </c>
      <c r="Z91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919" t="str">
        <f>Orders[[#This Row],[Coffee Type Name]] &amp; "-" &amp; Orders[[#This Row],[Roast Type Name]]</f>
        <v>Excelsa-Medium</v>
      </c>
      <c r="AB91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920" spans="1:28" x14ac:dyDescent="0.25">
      <c r="A920" s="2" t="s">
        <v>1089</v>
      </c>
      <c r="B920" s="4">
        <v>43569</v>
      </c>
      <c r="C920" s="2" t="s">
        <v>1090</v>
      </c>
      <c r="D920" t="s">
        <v>6146</v>
      </c>
      <c r="E920" s="2">
        <v>3</v>
      </c>
      <c r="F920" s="2" t="str">
        <f>_xlfn.XLOOKUP(C920,customers!$A$1:$A$1001,customers!$B$1:$B$1001,,0)</f>
        <v>Pen Wye</v>
      </c>
      <c r="G920" s="2" t="str">
        <f>IF(_xlfn.XLOOKUP(C920,customers!$A$1:$A$1001,customers!$C$1:$C$1001,,0)=0,"",_xlfn.XLOOKUP(C920,customers!$A$1:$A$1001,customers!$C$1:$C$1001,,0))</f>
        <v>pwye2z@dagondesign.com</v>
      </c>
      <c r="H920" s="2" t="str">
        <f>_xlfn.XLOOKUP(C920,customers!$A$1:$A$1001,customers!$G$1:$G$1001,,0)</f>
        <v>United States</v>
      </c>
      <c r="I920" t="str">
        <f>INDEX(products!$A$1:$G$49, MATCH(orders!$D109,products!$A$1:$A156,0), MATCH(orders!I$1,products!$A$1:$G$1,0))</f>
        <v>Rob</v>
      </c>
      <c r="J920" t="str">
        <f>INDEX(products!$A$1:$G$49, MATCH(orders!$D109,products!$A$1:$A156,0), MATCH(orders!J$1,products!$A$1:$G$1,0))</f>
        <v>M</v>
      </c>
      <c r="K920" s="5">
        <f>INDEX(products!$A$1:$G$49, MATCH(orders!$D109,products!$A$1:$A156,0), MATCH(orders!K$1,products!$A$1:$G$1,0))</f>
        <v>0.5</v>
      </c>
      <c r="L920" s="6">
        <f>INDEX(products!$A$1:$G$49, MATCH(orders!$D109,products!$A$1:$A156,0), MATCH(orders!L$1,products!$A$1:$G$1,0))</f>
        <v>5.97</v>
      </c>
      <c r="M920" s="6">
        <f t="shared" si="42"/>
        <v>17.91</v>
      </c>
      <c r="N920" t="str">
        <f t="shared" si="43"/>
        <v>Robusta</v>
      </c>
      <c r="O920" t="str">
        <f t="shared" si="44"/>
        <v>Medium</v>
      </c>
      <c r="P920" t="str">
        <f>_xlfn.XLOOKUP(Orders[[#This Row],[Customer ID]],customers!$A$1:$A$1001,customers!$I$1:$I$1001,,0)</f>
        <v>Yes</v>
      </c>
      <c r="Q920">
        <f>COUNTIF(Orders[Order ID],Orders[[#This Row],[Order ID]])</f>
        <v>1</v>
      </c>
      <c r="R920" s="10">
        <f>SUMIF(Orders[Order ID], Orders[[#This Row],[Order ID]],Orders[Sales])/Orders[[#This Row],[Order Frequency]]</f>
        <v>17.91</v>
      </c>
      <c r="S920" t="str">
        <f>IF(Orders[[#This Row],[Order Frequency]]&gt;4, "More than 4", IF(AND(Orders[[#This Row],[Order Frequency]]&lt;=4,Orders[[#This Row],[Order Frequency]]&gt;=2), "Between 4 and 2", "Less than 2"))</f>
        <v>Less than 2</v>
      </c>
      <c r="T920" t="str">
        <f>IF(Orders[[#This Row],[Frequency Group]]="less than 2", "Low Value", IF(Orders[[#This Row],[Frequency Group]]="between 4 and 2", "Medium Value", "High Value"))</f>
        <v>Low Value</v>
      </c>
      <c r="U920" t="str">
        <f>IF(Orders[[#This Row],[Sales]]&lt;50, "$0-50", IF(AND(Orders[[#This Row],[Sales]]&gt;=50,Orders[[#This Row],[Sales]]&lt;=100), "$50-100", IF(AND(Orders[[#This Row],[Sales]]&gt;100,Orders[[#This Row],[Sales]]&lt;=150), "$101-150", "$150+")))</f>
        <v>$0-50</v>
      </c>
      <c r="V920" t="str">
        <f>IF(Orders[[#This Row],[Sales]]&gt;MEDIAN(M:M), "High Price", "Low Price")</f>
        <v>Low Price</v>
      </c>
      <c r="W920" t="str">
        <f>IF(Orders[[#This Row],[Quantity]]&gt;MEDIAN(E:E), "High Volume", "Low Volume")</f>
        <v>Low Volume</v>
      </c>
      <c r="X920" t="str">
        <f>Orders[[#This Row],[Sales Tier]] &amp; "-" &amp; Orders[[#This Row],[Quantity Tier]]</f>
        <v>Low Price-Low Volume</v>
      </c>
      <c r="Y920" t="str">
        <f>TEXT(Orders[[#This Row],[Order Date]], "mmmm")</f>
        <v>April</v>
      </c>
      <c r="Z92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920" t="str">
        <f>Orders[[#This Row],[Coffee Type Name]] &amp; "-" &amp; Orders[[#This Row],[Roast Type Name]]</f>
        <v>Robusta-Medium</v>
      </c>
      <c r="AB92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921" spans="1:28" x14ac:dyDescent="0.25">
      <c r="A921" s="2" t="s">
        <v>4002</v>
      </c>
      <c r="B921" s="4">
        <v>43527</v>
      </c>
      <c r="C921" s="2" t="s">
        <v>4003</v>
      </c>
      <c r="D921" t="s">
        <v>6181</v>
      </c>
      <c r="E921" s="2">
        <v>4</v>
      </c>
      <c r="F921" s="2" t="str">
        <f>_xlfn.XLOOKUP(C921,customers!$A$1:$A$1001,customers!$B$1:$B$1001,,0)</f>
        <v>Bertine Byrd</v>
      </c>
      <c r="G921" s="2" t="str">
        <f>IF(_xlfn.XLOOKUP(C921,customers!$A$1:$A$1001,customers!$C$1:$C$1001,,0)=0,"",_xlfn.XLOOKUP(C921,customers!$A$1:$A$1001,customers!$C$1:$C$1001,,0))</f>
        <v>bbyrdha@4shared.com</v>
      </c>
      <c r="H921" s="2" t="str">
        <f>_xlfn.XLOOKUP(C921,customers!$A$1:$A$1001,customers!$G$1:$G$1001,,0)</f>
        <v>United States</v>
      </c>
      <c r="I921" t="str">
        <f>INDEX(products!$A$1:$G$49, MATCH(orders!$D624,products!$A$1:$A671,0), MATCH(orders!I$1,products!$A$1:$G$1,0))</f>
        <v>Lib</v>
      </c>
      <c r="J921" t="str">
        <f>INDEX(products!$A$1:$G$49, MATCH(orders!$D624,products!$A$1:$A671,0), MATCH(orders!J$1,products!$A$1:$G$1,0))</f>
        <v>M</v>
      </c>
      <c r="K921" s="5">
        <f>INDEX(products!$A$1:$G$49, MATCH(orders!$D624,products!$A$1:$A671,0), MATCH(orders!K$1,products!$A$1:$G$1,0))</f>
        <v>2.5</v>
      </c>
      <c r="L921" s="6">
        <f>INDEX(products!$A$1:$G$49, MATCH(orders!$D624,products!$A$1:$A671,0), MATCH(orders!L$1,products!$A$1:$G$1,0))</f>
        <v>33.464999999999996</v>
      </c>
      <c r="M921" s="6">
        <f t="shared" si="42"/>
        <v>133.85999999999999</v>
      </c>
      <c r="N921" t="str">
        <f t="shared" si="43"/>
        <v>Liberica</v>
      </c>
      <c r="O921" t="str">
        <f t="shared" si="44"/>
        <v>Medium</v>
      </c>
      <c r="P921" t="str">
        <f>_xlfn.XLOOKUP(Orders[[#This Row],[Customer ID]],customers!$A$1:$A$1001,customers!$I$1:$I$1001,,0)</f>
        <v>No</v>
      </c>
      <c r="Q921">
        <f>COUNTIF(Orders[Order ID],Orders[[#This Row],[Order ID]])</f>
        <v>1</v>
      </c>
      <c r="R921" s="10">
        <f>SUMIF(Orders[Order ID], Orders[[#This Row],[Order ID]],Orders[Sales])/Orders[[#This Row],[Order Frequency]]</f>
        <v>133.85999999999999</v>
      </c>
      <c r="S921" t="str">
        <f>IF(Orders[[#This Row],[Order Frequency]]&gt;4, "More than 4", IF(AND(Orders[[#This Row],[Order Frequency]]&lt;=4,Orders[[#This Row],[Order Frequency]]&gt;=2), "Between 4 and 2", "Less than 2"))</f>
        <v>Less than 2</v>
      </c>
      <c r="T921" t="str">
        <f>IF(Orders[[#This Row],[Frequency Group]]="less than 2", "Low Value", IF(Orders[[#This Row],[Frequency Group]]="between 4 and 2", "Medium Value", "High Value"))</f>
        <v>Low Value</v>
      </c>
      <c r="U921" t="str">
        <f>IF(Orders[[#This Row],[Sales]]&lt;50, "$0-50", IF(AND(Orders[[#This Row],[Sales]]&gt;=50,Orders[[#This Row],[Sales]]&lt;=100), "$50-100", IF(AND(Orders[[#This Row],[Sales]]&gt;100,Orders[[#This Row],[Sales]]&lt;=150), "$101-150", "$150+")))</f>
        <v>$101-150</v>
      </c>
      <c r="V921" t="str">
        <f>IF(Orders[[#This Row],[Sales]]&gt;MEDIAN(M:M), "High Price", "Low Price")</f>
        <v>High Price</v>
      </c>
      <c r="W921" t="str">
        <f>IF(Orders[[#This Row],[Quantity]]&gt;MEDIAN(E:E), "High Volume", "Low Volume")</f>
        <v>Low Volume</v>
      </c>
      <c r="X921" t="str">
        <f>Orders[[#This Row],[Sales Tier]] &amp; "-" &amp; Orders[[#This Row],[Quantity Tier]]</f>
        <v>High Price-Low Volume</v>
      </c>
      <c r="Y921" t="str">
        <f>TEXT(Orders[[#This Row],[Order Date]], "mmmm")</f>
        <v>March</v>
      </c>
      <c r="Z92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921" t="str">
        <f>Orders[[#This Row],[Coffee Type Name]] &amp; "-" &amp; Orders[[#This Row],[Roast Type Name]]</f>
        <v>Liberica-Medium</v>
      </c>
      <c r="AB92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922" spans="1:28" x14ac:dyDescent="0.25">
      <c r="A922" s="2" t="s">
        <v>3712</v>
      </c>
      <c r="B922" s="4">
        <v>43928</v>
      </c>
      <c r="C922" s="2" t="s">
        <v>3713</v>
      </c>
      <c r="D922" t="s">
        <v>6157</v>
      </c>
      <c r="E922" s="2">
        <v>4</v>
      </c>
      <c r="F922" s="2" t="str">
        <f>_xlfn.XLOOKUP(C922,customers!$A$1:$A$1001,customers!$B$1:$B$1001,,0)</f>
        <v>Donalt Sangwin</v>
      </c>
      <c r="G922" s="2" t="str">
        <f>IF(_xlfn.XLOOKUP(C922,customers!$A$1:$A$1001,customers!$C$1:$C$1001,,0)=0,"",_xlfn.XLOOKUP(C922,customers!$A$1:$A$1001,customers!$C$1:$C$1001,,0))</f>
        <v>dsangwinfu@weebly.com</v>
      </c>
      <c r="H922" s="2" t="str">
        <f>_xlfn.XLOOKUP(C922,customers!$A$1:$A$1001,customers!$G$1:$G$1001,,0)</f>
        <v>United States</v>
      </c>
      <c r="I922" t="str">
        <f>INDEX(products!$A$1:$G$49, MATCH(orders!$D572,products!$A$1:$A619,0), MATCH(orders!I$1,products!$A$1:$G$1,0))</f>
        <v>Ara</v>
      </c>
      <c r="J922" t="str">
        <f>INDEX(products!$A$1:$G$49, MATCH(orders!$D572,products!$A$1:$A619,0), MATCH(orders!J$1,products!$A$1:$G$1,0))</f>
        <v>M</v>
      </c>
      <c r="K922" s="5">
        <f>INDEX(products!$A$1:$G$49, MATCH(orders!$D572,products!$A$1:$A619,0), MATCH(orders!K$1,products!$A$1:$G$1,0))</f>
        <v>0.5</v>
      </c>
      <c r="L922" s="6">
        <f>INDEX(products!$A$1:$G$49, MATCH(orders!$D572,products!$A$1:$A619,0), MATCH(orders!L$1,products!$A$1:$G$1,0))</f>
        <v>6.75</v>
      </c>
      <c r="M922" s="6">
        <f t="shared" si="42"/>
        <v>27</v>
      </c>
      <c r="N922" t="str">
        <f t="shared" si="43"/>
        <v>Arabica</v>
      </c>
      <c r="O922" t="str">
        <f t="shared" si="44"/>
        <v>Medium</v>
      </c>
      <c r="P922" t="str">
        <f>_xlfn.XLOOKUP(Orders[[#This Row],[Customer ID]],customers!$A$1:$A$1001,customers!$I$1:$I$1001,,0)</f>
        <v>No</v>
      </c>
      <c r="Q922">
        <f>COUNTIF(Orders[Order ID],Orders[[#This Row],[Order ID]])</f>
        <v>1</v>
      </c>
      <c r="R922" s="10">
        <f>SUMIF(Orders[Order ID], Orders[[#This Row],[Order ID]],Orders[Sales])/Orders[[#This Row],[Order Frequency]]</f>
        <v>27</v>
      </c>
      <c r="S922" t="str">
        <f>IF(Orders[[#This Row],[Order Frequency]]&gt;4, "More than 4", IF(AND(Orders[[#This Row],[Order Frequency]]&lt;=4,Orders[[#This Row],[Order Frequency]]&gt;=2), "Between 4 and 2", "Less than 2"))</f>
        <v>Less than 2</v>
      </c>
      <c r="T922" t="str">
        <f>IF(Orders[[#This Row],[Frequency Group]]="less than 2", "Low Value", IF(Orders[[#This Row],[Frequency Group]]="between 4 and 2", "Medium Value", "High Value"))</f>
        <v>Low Value</v>
      </c>
      <c r="U922" t="str">
        <f>IF(Orders[[#This Row],[Sales]]&lt;50, "$0-50", IF(AND(Orders[[#This Row],[Sales]]&gt;=50,Orders[[#This Row],[Sales]]&lt;=100), "$50-100", IF(AND(Orders[[#This Row],[Sales]]&gt;100,Orders[[#This Row],[Sales]]&lt;=150), "$101-150", "$150+")))</f>
        <v>$0-50</v>
      </c>
      <c r="V922" t="str">
        <f>IF(Orders[[#This Row],[Sales]]&gt;MEDIAN(M:M), "High Price", "Low Price")</f>
        <v>Low Price</v>
      </c>
      <c r="W922" t="str">
        <f>IF(Orders[[#This Row],[Quantity]]&gt;MEDIAN(E:E), "High Volume", "Low Volume")</f>
        <v>Low Volume</v>
      </c>
      <c r="X922" t="str">
        <f>Orders[[#This Row],[Sales Tier]] &amp; "-" &amp; Orders[[#This Row],[Quantity Tier]]</f>
        <v>Low Price-Low Volume</v>
      </c>
      <c r="Y922" t="str">
        <f>TEXT(Orders[[#This Row],[Order Date]], "mmmm")</f>
        <v>April</v>
      </c>
      <c r="Z92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922" t="str">
        <f>Orders[[#This Row],[Coffee Type Name]] &amp; "-" &amp; Orders[[#This Row],[Roast Type Name]]</f>
        <v>Arabica-Medium</v>
      </c>
      <c r="AB92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923" spans="1:28" x14ac:dyDescent="0.25">
      <c r="A923" s="2" t="s">
        <v>4505</v>
      </c>
      <c r="B923" s="4">
        <v>44600</v>
      </c>
      <c r="C923" s="2" t="s">
        <v>4506</v>
      </c>
      <c r="D923" t="s">
        <v>6174</v>
      </c>
      <c r="E923" s="2">
        <v>6</v>
      </c>
      <c r="F923" s="2" t="str">
        <f>_xlfn.XLOOKUP(C923,customers!$A$1:$A$1001,customers!$B$1:$B$1001,,0)</f>
        <v>Selia Ragles</v>
      </c>
      <c r="G923" s="2" t="str">
        <f>IF(_xlfn.XLOOKUP(C923,customers!$A$1:$A$1001,customers!$C$1:$C$1001,,0)=0,"",_xlfn.XLOOKUP(C923,customers!$A$1:$A$1001,customers!$C$1:$C$1001,,0))</f>
        <v>sraglesjr@blogtalkradio.com</v>
      </c>
      <c r="H923" s="2" t="str">
        <f>_xlfn.XLOOKUP(C923,customers!$A$1:$A$1001,customers!$G$1:$G$1001,,0)</f>
        <v>United States</v>
      </c>
      <c r="I923" t="str">
        <f>INDEX(products!$A$1:$G$49, MATCH(orders!$D713,products!$A$1:$A760,0), MATCH(orders!I$1,products!$A$1:$G$1,0))</f>
        <v>Rob</v>
      </c>
      <c r="J923" t="str">
        <f>INDEX(products!$A$1:$G$49, MATCH(orders!$D713,products!$A$1:$A760,0), MATCH(orders!J$1,products!$A$1:$G$1,0))</f>
        <v>M</v>
      </c>
      <c r="K923" s="5">
        <f>INDEX(products!$A$1:$G$49, MATCH(orders!$D713,products!$A$1:$A760,0), MATCH(orders!K$1,products!$A$1:$G$1,0))</f>
        <v>0.2</v>
      </c>
      <c r="L923" s="6">
        <f>INDEX(products!$A$1:$G$49, MATCH(orders!$D713,products!$A$1:$A760,0), MATCH(orders!L$1,products!$A$1:$G$1,0))</f>
        <v>2.9849999999999999</v>
      </c>
      <c r="M923" s="6">
        <f t="shared" si="42"/>
        <v>17.91</v>
      </c>
      <c r="N923" t="str">
        <f t="shared" si="43"/>
        <v>Robusta</v>
      </c>
      <c r="O923" t="str">
        <f t="shared" si="44"/>
        <v>Medium</v>
      </c>
      <c r="P923" t="str">
        <f>_xlfn.XLOOKUP(Orders[[#This Row],[Customer ID]],customers!$A$1:$A$1001,customers!$I$1:$I$1001,,0)</f>
        <v>No</v>
      </c>
      <c r="Q923">
        <f>COUNTIF(Orders[Order ID],Orders[[#This Row],[Order ID]])</f>
        <v>1</v>
      </c>
      <c r="R923" s="10">
        <f>SUMIF(Orders[Order ID], Orders[[#This Row],[Order ID]],Orders[Sales])/Orders[[#This Row],[Order Frequency]]</f>
        <v>17.91</v>
      </c>
      <c r="S923" t="str">
        <f>IF(Orders[[#This Row],[Order Frequency]]&gt;4, "More than 4", IF(AND(Orders[[#This Row],[Order Frequency]]&lt;=4,Orders[[#This Row],[Order Frequency]]&gt;=2), "Between 4 and 2", "Less than 2"))</f>
        <v>Less than 2</v>
      </c>
      <c r="T923" t="str">
        <f>IF(Orders[[#This Row],[Frequency Group]]="less than 2", "Low Value", IF(Orders[[#This Row],[Frequency Group]]="between 4 and 2", "Medium Value", "High Value"))</f>
        <v>Low Value</v>
      </c>
      <c r="U923" t="str">
        <f>IF(Orders[[#This Row],[Sales]]&lt;50, "$0-50", IF(AND(Orders[[#This Row],[Sales]]&gt;=50,Orders[[#This Row],[Sales]]&lt;=100), "$50-100", IF(AND(Orders[[#This Row],[Sales]]&gt;100,Orders[[#This Row],[Sales]]&lt;=150), "$101-150", "$150+")))</f>
        <v>$0-50</v>
      </c>
      <c r="V923" t="str">
        <f>IF(Orders[[#This Row],[Sales]]&gt;MEDIAN(M:M), "High Price", "Low Price")</f>
        <v>Low Price</v>
      </c>
      <c r="W923" t="str">
        <f>IF(Orders[[#This Row],[Quantity]]&gt;MEDIAN(E:E), "High Volume", "Low Volume")</f>
        <v>High Volume</v>
      </c>
      <c r="X923" t="str">
        <f>Orders[[#This Row],[Sales Tier]] &amp; "-" &amp; Orders[[#This Row],[Quantity Tier]]</f>
        <v>Low Price-High Volume</v>
      </c>
      <c r="Y923" t="str">
        <f>TEXT(Orders[[#This Row],[Order Date]], "mmmm")</f>
        <v>February</v>
      </c>
      <c r="Z92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923" t="str">
        <f>Orders[[#This Row],[Coffee Type Name]] &amp; "-" &amp; Orders[[#This Row],[Roast Type Name]]</f>
        <v>Robusta-Medium</v>
      </c>
      <c r="AB92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924" spans="1:28" x14ac:dyDescent="0.25">
      <c r="A924" s="2" t="s">
        <v>2346</v>
      </c>
      <c r="B924" s="4">
        <v>44781</v>
      </c>
      <c r="C924" s="2" t="s">
        <v>2347</v>
      </c>
      <c r="D924" t="s">
        <v>6172</v>
      </c>
      <c r="E924" s="2">
        <v>4</v>
      </c>
      <c r="F924" s="2" t="str">
        <f>_xlfn.XLOOKUP(C924,customers!$A$1:$A$1001,customers!$B$1:$B$1001,,0)</f>
        <v>Lisa Goodger</v>
      </c>
      <c r="G924" s="2" t="str">
        <f>IF(_xlfn.XLOOKUP(C924,customers!$A$1:$A$1001,customers!$C$1:$C$1001,,0)=0,"",_xlfn.XLOOKUP(C924,customers!$A$1:$A$1001,customers!$C$1:$C$1001,,0))</f>
        <v>lgoodger95@guardian.co.uk</v>
      </c>
      <c r="H924" s="2" t="str">
        <f>_xlfn.XLOOKUP(C924,customers!$A$1:$A$1001,customers!$G$1:$G$1001,,0)</f>
        <v>United States</v>
      </c>
      <c r="I924" t="str">
        <f>INDEX(products!$A$1:$G$49, MATCH(orders!$D331,products!$A$1:$A378,0), MATCH(orders!I$1,products!$A$1:$G$1,0))</f>
        <v>Rob</v>
      </c>
      <c r="J924" t="str">
        <f>INDEX(products!$A$1:$G$49, MATCH(orders!$D331,products!$A$1:$A378,0), MATCH(orders!J$1,products!$A$1:$G$1,0))</f>
        <v>D</v>
      </c>
      <c r="K924" s="5">
        <f>INDEX(products!$A$1:$G$49, MATCH(orders!$D331,products!$A$1:$A378,0), MATCH(orders!K$1,products!$A$1:$G$1,0))</f>
        <v>0.5</v>
      </c>
      <c r="L924" s="6">
        <f>INDEX(products!$A$1:$G$49, MATCH(orders!$D331,products!$A$1:$A378,0), MATCH(orders!L$1,products!$A$1:$G$1,0))</f>
        <v>5.3699999999999992</v>
      </c>
      <c r="M924" s="6">
        <f t="shared" si="42"/>
        <v>21.479999999999997</v>
      </c>
      <c r="N924" t="str">
        <f t="shared" si="43"/>
        <v>Robusta</v>
      </c>
      <c r="O924" t="str">
        <f t="shared" si="44"/>
        <v>Dark</v>
      </c>
      <c r="P924" t="str">
        <f>_xlfn.XLOOKUP(Orders[[#This Row],[Customer ID]],customers!$A$1:$A$1001,customers!$I$1:$I$1001,,0)</f>
        <v>Yes</v>
      </c>
      <c r="Q924">
        <f>COUNTIF(Orders[Order ID],Orders[[#This Row],[Order ID]])</f>
        <v>1</v>
      </c>
      <c r="R924" s="10">
        <f>SUMIF(Orders[Order ID], Orders[[#This Row],[Order ID]],Orders[Sales])/Orders[[#This Row],[Order Frequency]]</f>
        <v>21.479999999999997</v>
      </c>
      <c r="S924" t="str">
        <f>IF(Orders[[#This Row],[Order Frequency]]&gt;4, "More than 4", IF(AND(Orders[[#This Row],[Order Frequency]]&lt;=4,Orders[[#This Row],[Order Frequency]]&gt;=2), "Between 4 and 2", "Less than 2"))</f>
        <v>Less than 2</v>
      </c>
      <c r="T924" t="str">
        <f>IF(Orders[[#This Row],[Frequency Group]]="less than 2", "Low Value", IF(Orders[[#This Row],[Frequency Group]]="between 4 and 2", "Medium Value", "High Value"))</f>
        <v>Low Value</v>
      </c>
      <c r="U924" t="str">
        <f>IF(Orders[[#This Row],[Sales]]&lt;50, "$0-50", IF(AND(Orders[[#This Row],[Sales]]&gt;=50,Orders[[#This Row],[Sales]]&lt;=100), "$50-100", IF(AND(Orders[[#This Row],[Sales]]&gt;100,Orders[[#This Row],[Sales]]&lt;=150), "$101-150", "$150+")))</f>
        <v>$0-50</v>
      </c>
      <c r="V924" t="str">
        <f>IF(Orders[[#This Row],[Sales]]&gt;MEDIAN(M:M), "High Price", "Low Price")</f>
        <v>Low Price</v>
      </c>
      <c r="W924" t="str">
        <f>IF(Orders[[#This Row],[Quantity]]&gt;MEDIAN(E:E), "High Volume", "Low Volume")</f>
        <v>Low Volume</v>
      </c>
      <c r="X924" t="str">
        <f>Orders[[#This Row],[Sales Tier]] &amp; "-" &amp; Orders[[#This Row],[Quantity Tier]]</f>
        <v>Low Price-Low Volume</v>
      </c>
      <c r="Y924" t="str">
        <f>TEXT(Orders[[#This Row],[Order Date]], "mmmm")</f>
        <v>August</v>
      </c>
      <c r="Z92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924" t="str">
        <f>Orders[[#This Row],[Coffee Type Name]] &amp; "-" &amp; Orders[[#This Row],[Roast Type Name]]</f>
        <v>Robusta-Dark</v>
      </c>
      <c r="AB92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925" spans="1:28" x14ac:dyDescent="0.25">
      <c r="A925" s="2" t="s">
        <v>2056</v>
      </c>
      <c r="B925" s="4">
        <v>44183</v>
      </c>
      <c r="C925" s="2" t="s">
        <v>2057</v>
      </c>
      <c r="D925" t="s">
        <v>6171</v>
      </c>
      <c r="E925" s="2">
        <v>6</v>
      </c>
      <c r="F925" s="2" t="str">
        <f>_xlfn.XLOOKUP(C925,customers!$A$1:$A$1001,customers!$B$1:$B$1001,,0)</f>
        <v>Gussy Broadbear</v>
      </c>
      <c r="G925" s="2" t="str">
        <f>IF(_xlfn.XLOOKUP(C925,customers!$A$1:$A$1001,customers!$C$1:$C$1001,,0)=0,"",_xlfn.XLOOKUP(C925,customers!$A$1:$A$1001,customers!$C$1:$C$1001,,0))</f>
        <v>gbroadbear7p@omniture.com</v>
      </c>
      <c r="H925" s="2" t="str">
        <f>_xlfn.XLOOKUP(C925,customers!$A$1:$A$1001,customers!$G$1:$G$1001,,0)</f>
        <v>United States</v>
      </c>
      <c r="I925" t="str">
        <f>INDEX(products!$A$1:$G$49, MATCH(orders!$D279,products!$A$1:$A326,0), MATCH(orders!I$1,products!$A$1:$G$1,0))</f>
        <v>Exc</v>
      </c>
      <c r="J925" t="str">
        <f>INDEX(products!$A$1:$G$49, MATCH(orders!$D279,products!$A$1:$A326,0), MATCH(orders!J$1,products!$A$1:$G$1,0))</f>
        <v>L</v>
      </c>
      <c r="K925" s="5">
        <f>INDEX(products!$A$1:$G$49, MATCH(orders!$D279,products!$A$1:$A326,0), MATCH(orders!K$1,products!$A$1:$G$1,0))</f>
        <v>1</v>
      </c>
      <c r="L925" s="6">
        <f>INDEX(products!$A$1:$G$49, MATCH(orders!$D279,products!$A$1:$A326,0), MATCH(orders!L$1,products!$A$1:$G$1,0))</f>
        <v>14.85</v>
      </c>
      <c r="M925" s="6">
        <f t="shared" si="42"/>
        <v>89.1</v>
      </c>
      <c r="N925" t="str">
        <f t="shared" si="43"/>
        <v>Excelsa</v>
      </c>
      <c r="O925" t="str">
        <f t="shared" si="44"/>
        <v>Light</v>
      </c>
      <c r="P925" t="str">
        <f>_xlfn.XLOOKUP(Orders[[#This Row],[Customer ID]],customers!$A$1:$A$1001,customers!$I$1:$I$1001,,0)</f>
        <v>No</v>
      </c>
      <c r="Q925">
        <f>COUNTIF(Orders[Order ID],Orders[[#This Row],[Order ID]])</f>
        <v>1</v>
      </c>
      <c r="R925" s="10">
        <f>SUMIF(Orders[Order ID], Orders[[#This Row],[Order ID]],Orders[Sales])/Orders[[#This Row],[Order Frequency]]</f>
        <v>89.1</v>
      </c>
      <c r="S925" t="str">
        <f>IF(Orders[[#This Row],[Order Frequency]]&gt;4, "More than 4", IF(AND(Orders[[#This Row],[Order Frequency]]&lt;=4,Orders[[#This Row],[Order Frequency]]&gt;=2), "Between 4 and 2", "Less than 2"))</f>
        <v>Less than 2</v>
      </c>
      <c r="T925" t="str">
        <f>IF(Orders[[#This Row],[Frequency Group]]="less than 2", "Low Value", IF(Orders[[#This Row],[Frequency Group]]="between 4 and 2", "Medium Value", "High Value"))</f>
        <v>Low Value</v>
      </c>
      <c r="U925" t="str">
        <f>IF(Orders[[#This Row],[Sales]]&lt;50, "$0-50", IF(AND(Orders[[#This Row],[Sales]]&gt;=50,Orders[[#This Row],[Sales]]&lt;=100), "$50-100", IF(AND(Orders[[#This Row],[Sales]]&gt;100,Orders[[#This Row],[Sales]]&lt;=150), "$101-150", "$150+")))</f>
        <v>$50-100</v>
      </c>
      <c r="V925" t="str">
        <f>IF(Orders[[#This Row],[Sales]]&gt;MEDIAN(M:M), "High Price", "Low Price")</f>
        <v>High Price</v>
      </c>
      <c r="W925" t="str">
        <f>IF(Orders[[#This Row],[Quantity]]&gt;MEDIAN(E:E), "High Volume", "Low Volume")</f>
        <v>High Volume</v>
      </c>
      <c r="X925" t="str">
        <f>Orders[[#This Row],[Sales Tier]] &amp; "-" &amp; Orders[[#This Row],[Quantity Tier]]</f>
        <v>High Price-High Volume</v>
      </c>
      <c r="Y925" t="str">
        <f>TEXT(Orders[[#This Row],[Order Date]], "mmmm")</f>
        <v>December</v>
      </c>
      <c r="Z92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925" t="str">
        <f>Orders[[#This Row],[Coffee Type Name]] &amp; "-" &amp; Orders[[#This Row],[Roast Type Name]]</f>
        <v>Excelsa-Light</v>
      </c>
      <c r="AB92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926" spans="1:28" x14ac:dyDescent="0.25">
      <c r="A926" s="2" t="s">
        <v>720</v>
      </c>
      <c r="B926" s="4">
        <v>44749</v>
      </c>
      <c r="C926" s="2" t="s">
        <v>721</v>
      </c>
      <c r="D926" t="s">
        <v>6153</v>
      </c>
      <c r="E926" s="2">
        <v>2</v>
      </c>
      <c r="F926" s="2" t="str">
        <f>_xlfn.XLOOKUP(C926,customers!$A$1:$A$1001,customers!$B$1:$B$1001,,0)</f>
        <v>Lorenzo Yeoland</v>
      </c>
      <c r="G926" s="2" t="str">
        <f>IF(_xlfn.XLOOKUP(C926,customers!$A$1:$A$1001,customers!$C$1:$C$1001,,0)=0,"",_xlfn.XLOOKUP(C926,customers!$A$1:$A$1001,customers!$C$1:$C$1001,,0))</f>
        <v>lyeoland15@pbs.org</v>
      </c>
      <c r="H926" s="2" t="str">
        <f>_xlfn.XLOOKUP(C926,customers!$A$1:$A$1001,customers!$G$1:$G$1001,,0)</f>
        <v>United States</v>
      </c>
      <c r="I926" t="str">
        <f>INDEX(products!$A$1:$G$49, MATCH(orders!$D43,products!$A$1:$A90,0), MATCH(orders!I$1,products!$A$1:$G$1,0))</f>
        <v>Exc</v>
      </c>
      <c r="J926" t="str">
        <f>INDEX(products!$A$1:$G$49, MATCH(orders!$D43,products!$A$1:$A90,0), MATCH(orders!J$1,products!$A$1:$G$1,0))</f>
        <v>D</v>
      </c>
      <c r="K926" s="5">
        <f>INDEX(products!$A$1:$G$49, MATCH(orders!$D43,products!$A$1:$A90,0), MATCH(orders!K$1,products!$A$1:$G$1,0))</f>
        <v>0.2</v>
      </c>
      <c r="L926" s="6">
        <f>INDEX(products!$A$1:$G$49, MATCH(orders!$D43,products!$A$1:$A90,0), MATCH(orders!L$1,products!$A$1:$G$1,0))</f>
        <v>3.645</v>
      </c>
      <c r="M926" s="6">
        <f t="shared" si="42"/>
        <v>7.29</v>
      </c>
      <c r="N926" t="str">
        <f t="shared" si="43"/>
        <v>Excelsa</v>
      </c>
      <c r="O926" t="str">
        <f t="shared" si="44"/>
        <v>Dark</v>
      </c>
      <c r="P926" t="str">
        <f>_xlfn.XLOOKUP(Orders[[#This Row],[Customer ID]],customers!$A$1:$A$1001,customers!$I$1:$I$1001,,0)</f>
        <v>Yes</v>
      </c>
      <c r="Q926">
        <f>COUNTIF(Orders[Order ID],Orders[[#This Row],[Order ID]])</f>
        <v>1</v>
      </c>
      <c r="R926" s="10">
        <f>SUMIF(Orders[Order ID], Orders[[#This Row],[Order ID]],Orders[Sales])/Orders[[#This Row],[Order Frequency]]</f>
        <v>7.29</v>
      </c>
      <c r="S926" t="str">
        <f>IF(Orders[[#This Row],[Order Frequency]]&gt;4, "More than 4", IF(AND(Orders[[#This Row],[Order Frequency]]&lt;=4,Orders[[#This Row],[Order Frequency]]&gt;=2), "Between 4 and 2", "Less than 2"))</f>
        <v>Less than 2</v>
      </c>
      <c r="T926" t="str">
        <f>IF(Orders[[#This Row],[Frequency Group]]="less than 2", "Low Value", IF(Orders[[#This Row],[Frequency Group]]="between 4 and 2", "Medium Value", "High Value"))</f>
        <v>Low Value</v>
      </c>
      <c r="U926" t="str">
        <f>IF(Orders[[#This Row],[Sales]]&lt;50, "$0-50", IF(AND(Orders[[#This Row],[Sales]]&gt;=50,Orders[[#This Row],[Sales]]&lt;=100), "$50-100", IF(AND(Orders[[#This Row],[Sales]]&gt;100,Orders[[#This Row],[Sales]]&lt;=150), "$101-150", "$150+")))</f>
        <v>$0-50</v>
      </c>
      <c r="V926" t="str">
        <f>IF(Orders[[#This Row],[Sales]]&gt;MEDIAN(M:M), "High Price", "Low Price")</f>
        <v>Low Price</v>
      </c>
      <c r="W926" t="str">
        <f>IF(Orders[[#This Row],[Quantity]]&gt;MEDIAN(E:E), "High Volume", "Low Volume")</f>
        <v>Low Volume</v>
      </c>
      <c r="X926" t="str">
        <f>Orders[[#This Row],[Sales Tier]] &amp; "-" &amp; Orders[[#This Row],[Quantity Tier]]</f>
        <v>Low Price-Low Volume</v>
      </c>
      <c r="Y926" t="str">
        <f>TEXT(Orders[[#This Row],[Order Date]], "mmmm")</f>
        <v>July</v>
      </c>
      <c r="Z92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926" t="str">
        <f>Orders[[#This Row],[Coffee Type Name]] &amp; "-" &amp; Orders[[#This Row],[Roast Type Name]]</f>
        <v>Excelsa-Dark</v>
      </c>
      <c r="AB92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927" spans="1:28" x14ac:dyDescent="0.25">
      <c r="A927" s="2" t="s">
        <v>2062</v>
      </c>
      <c r="B927" s="4">
        <v>43708</v>
      </c>
      <c r="C927" s="2" t="s">
        <v>2063</v>
      </c>
      <c r="D927" t="s">
        <v>6167</v>
      </c>
      <c r="E927" s="2">
        <v>2</v>
      </c>
      <c r="F927" s="2" t="str">
        <f>_xlfn.XLOOKUP(C927,customers!$A$1:$A$1001,customers!$B$1:$B$1001,,0)</f>
        <v>Emlynne Palfrey</v>
      </c>
      <c r="G927" s="2" t="str">
        <f>IF(_xlfn.XLOOKUP(C927,customers!$A$1:$A$1001,customers!$C$1:$C$1001,,0)=0,"",_xlfn.XLOOKUP(C927,customers!$A$1:$A$1001,customers!$C$1:$C$1001,,0))</f>
        <v>epalfrey7q@devhub.com</v>
      </c>
      <c r="H927" s="2" t="str">
        <f>_xlfn.XLOOKUP(C927,customers!$A$1:$A$1001,customers!$G$1:$G$1001,,0)</f>
        <v>United States</v>
      </c>
      <c r="I927" t="str">
        <f>INDEX(products!$A$1:$G$49, MATCH(orders!$D280,products!$A$1:$A327,0), MATCH(orders!I$1,products!$A$1:$G$1,0))</f>
        <v>Ara</v>
      </c>
      <c r="J927" t="str">
        <f>INDEX(products!$A$1:$G$49, MATCH(orders!$D280,products!$A$1:$A327,0), MATCH(orders!J$1,products!$A$1:$G$1,0))</f>
        <v>L</v>
      </c>
      <c r="K927" s="5">
        <f>INDEX(products!$A$1:$G$49, MATCH(orders!$D280,products!$A$1:$A327,0), MATCH(orders!K$1,products!$A$1:$G$1,0))</f>
        <v>0.2</v>
      </c>
      <c r="L927" s="6">
        <f>INDEX(products!$A$1:$G$49, MATCH(orders!$D280,products!$A$1:$A327,0), MATCH(orders!L$1,products!$A$1:$G$1,0))</f>
        <v>3.8849999999999998</v>
      </c>
      <c r="M927" s="6">
        <f t="shared" si="42"/>
        <v>7.77</v>
      </c>
      <c r="N927" t="str">
        <f t="shared" si="43"/>
        <v>Arabica</v>
      </c>
      <c r="O927" t="str">
        <f t="shared" si="44"/>
        <v>Light</v>
      </c>
      <c r="P927" t="str">
        <f>_xlfn.XLOOKUP(Orders[[#This Row],[Customer ID]],customers!$A$1:$A$1001,customers!$I$1:$I$1001,,0)</f>
        <v>Yes</v>
      </c>
      <c r="Q927">
        <f>COUNTIF(Orders[Order ID],Orders[[#This Row],[Order ID]])</f>
        <v>1</v>
      </c>
      <c r="R927" s="10">
        <f>SUMIF(Orders[Order ID], Orders[[#This Row],[Order ID]],Orders[Sales])/Orders[[#This Row],[Order Frequency]]</f>
        <v>7.77</v>
      </c>
      <c r="S927" t="str">
        <f>IF(Orders[[#This Row],[Order Frequency]]&gt;4, "More than 4", IF(AND(Orders[[#This Row],[Order Frequency]]&lt;=4,Orders[[#This Row],[Order Frequency]]&gt;=2), "Between 4 and 2", "Less than 2"))</f>
        <v>Less than 2</v>
      </c>
      <c r="T927" t="str">
        <f>IF(Orders[[#This Row],[Frequency Group]]="less than 2", "Low Value", IF(Orders[[#This Row],[Frequency Group]]="between 4 and 2", "Medium Value", "High Value"))</f>
        <v>Low Value</v>
      </c>
      <c r="U927" t="str">
        <f>IF(Orders[[#This Row],[Sales]]&lt;50, "$0-50", IF(AND(Orders[[#This Row],[Sales]]&gt;=50,Orders[[#This Row],[Sales]]&lt;=100), "$50-100", IF(AND(Orders[[#This Row],[Sales]]&gt;100,Orders[[#This Row],[Sales]]&lt;=150), "$101-150", "$150+")))</f>
        <v>$0-50</v>
      </c>
      <c r="V927" t="str">
        <f>IF(Orders[[#This Row],[Sales]]&gt;MEDIAN(M:M), "High Price", "Low Price")</f>
        <v>Low Price</v>
      </c>
      <c r="W927" t="str">
        <f>IF(Orders[[#This Row],[Quantity]]&gt;MEDIAN(E:E), "High Volume", "Low Volume")</f>
        <v>Low Volume</v>
      </c>
      <c r="X927" t="str">
        <f>Orders[[#This Row],[Sales Tier]] &amp; "-" &amp; Orders[[#This Row],[Quantity Tier]]</f>
        <v>Low Price-Low Volume</v>
      </c>
      <c r="Y927" t="str">
        <f>TEXT(Orders[[#This Row],[Order Date]], "mmmm")</f>
        <v>August</v>
      </c>
      <c r="Z92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927" t="str">
        <f>Orders[[#This Row],[Coffee Type Name]] &amp; "-" &amp; Orders[[#This Row],[Roast Type Name]]</f>
        <v>Arabica-Light</v>
      </c>
      <c r="AB92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928" spans="1:28" x14ac:dyDescent="0.25">
      <c r="A928" s="2" t="s">
        <v>971</v>
      </c>
      <c r="B928" s="4">
        <v>43664</v>
      </c>
      <c r="C928" s="2" t="s">
        <v>972</v>
      </c>
      <c r="D928" t="s">
        <v>6154</v>
      </c>
      <c r="E928" s="2">
        <v>4</v>
      </c>
      <c r="F928" s="2" t="str">
        <f>_xlfn.XLOOKUP(C928,customers!$A$1:$A$1001,customers!$B$1:$B$1001,,0)</f>
        <v>Jeffrey Dufaire</v>
      </c>
      <c r="G928" s="2" t="str">
        <f>IF(_xlfn.XLOOKUP(C928,customers!$A$1:$A$1001,customers!$C$1:$C$1001,,0)=0,"",_xlfn.XLOOKUP(C928,customers!$A$1:$A$1001,customers!$C$1:$C$1001,,0))</f>
        <v>jdufaire2d@fc2.com</v>
      </c>
      <c r="H928" s="2" t="str">
        <f>_xlfn.XLOOKUP(C928,customers!$A$1:$A$1001,customers!$G$1:$G$1001,,0)</f>
        <v>United States</v>
      </c>
      <c r="I928" t="str">
        <f>INDEX(products!$A$1:$G$49, MATCH(orders!$D88,products!$A$1:$A135,0), MATCH(orders!I$1,products!$A$1:$G$1,0))</f>
        <v>Ara</v>
      </c>
      <c r="J928" t="str">
        <f>INDEX(products!$A$1:$G$49, MATCH(orders!$D88,products!$A$1:$A135,0), MATCH(orders!J$1,products!$A$1:$G$1,0))</f>
        <v>D</v>
      </c>
      <c r="K928" s="5">
        <f>INDEX(products!$A$1:$G$49, MATCH(orders!$D88,products!$A$1:$A135,0), MATCH(orders!K$1,products!$A$1:$G$1,0))</f>
        <v>0.2</v>
      </c>
      <c r="L928" s="6">
        <f>INDEX(products!$A$1:$G$49, MATCH(orders!$D88,products!$A$1:$A135,0), MATCH(orders!L$1,products!$A$1:$G$1,0))</f>
        <v>2.9849999999999999</v>
      </c>
      <c r="M928" s="6">
        <f t="shared" si="42"/>
        <v>11.94</v>
      </c>
      <c r="N928" t="str">
        <f t="shared" si="43"/>
        <v>Arabica</v>
      </c>
      <c r="O928" t="str">
        <f t="shared" si="44"/>
        <v>Dark</v>
      </c>
      <c r="P928" t="str">
        <f>_xlfn.XLOOKUP(Orders[[#This Row],[Customer ID]],customers!$A$1:$A$1001,customers!$I$1:$I$1001,,0)</f>
        <v>No</v>
      </c>
      <c r="Q928">
        <f>COUNTIF(Orders[Order ID],Orders[[#This Row],[Order ID]])</f>
        <v>2</v>
      </c>
      <c r="R928" s="10">
        <f>SUMIF(Orders[Order ID], Orders[[#This Row],[Order ID]],Orders[Sales])/Orders[[#This Row],[Order Frequency]]</f>
        <v>50.647499999999994</v>
      </c>
      <c r="S928" t="str">
        <f>IF(Orders[[#This Row],[Order Frequency]]&gt;4, "More than 4", IF(AND(Orders[[#This Row],[Order Frequency]]&lt;=4,Orders[[#This Row],[Order Frequency]]&gt;=2), "Between 4 and 2", "Less than 2"))</f>
        <v>Between 4 and 2</v>
      </c>
      <c r="T928" t="str">
        <f>IF(Orders[[#This Row],[Frequency Group]]="less than 2", "Low Value", IF(Orders[[#This Row],[Frequency Group]]="between 4 and 2", "Medium Value", "High Value"))</f>
        <v>Medium Value</v>
      </c>
      <c r="U928" t="str">
        <f>IF(Orders[[#This Row],[Sales]]&lt;50, "$0-50", IF(AND(Orders[[#This Row],[Sales]]&gt;=50,Orders[[#This Row],[Sales]]&lt;=100), "$50-100", IF(AND(Orders[[#This Row],[Sales]]&gt;100,Orders[[#This Row],[Sales]]&lt;=150), "$101-150", "$150+")))</f>
        <v>$0-50</v>
      </c>
      <c r="V928" t="str">
        <f>IF(Orders[[#This Row],[Sales]]&gt;MEDIAN(M:M), "High Price", "Low Price")</f>
        <v>Low Price</v>
      </c>
      <c r="W928" t="str">
        <f>IF(Orders[[#This Row],[Quantity]]&gt;MEDIAN(E:E), "High Volume", "Low Volume")</f>
        <v>Low Volume</v>
      </c>
      <c r="X928" t="str">
        <f>Orders[[#This Row],[Sales Tier]] &amp; "-" &amp; Orders[[#This Row],[Quantity Tier]]</f>
        <v>Low Price-Low Volume</v>
      </c>
      <c r="Y928" t="str">
        <f>TEXT(Orders[[#This Row],[Order Date]], "mmmm")</f>
        <v>July</v>
      </c>
      <c r="Z92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928" t="str">
        <f>Orders[[#This Row],[Coffee Type Name]] &amp; "-" &amp; Orders[[#This Row],[Roast Type Name]]</f>
        <v>Arabica-Dark</v>
      </c>
      <c r="AB92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929" spans="1:28" x14ac:dyDescent="0.25">
      <c r="A929" s="2" t="s">
        <v>971</v>
      </c>
      <c r="B929" s="4">
        <v>43664</v>
      </c>
      <c r="C929" s="2" t="s">
        <v>972</v>
      </c>
      <c r="D929" t="s">
        <v>6182</v>
      </c>
      <c r="E929" s="2">
        <v>3</v>
      </c>
      <c r="F929" s="2" t="str">
        <f>_xlfn.XLOOKUP(C929,customers!$A$1:$A$1001,customers!$B$1:$B$1001,,0)</f>
        <v>Jeffrey Dufaire</v>
      </c>
      <c r="G929" s="2" t="str">
        <f>IF(_xlfn.XLOOKUP(C929,customers!$A$1:$A$1001,customers!$C$1:$C$1001,,0)=0,"",_xlfn.XLOOKUP(C929,customers!$A$1:$A$1001,customers!$C$1:$C$1001,,0))</f>
        <v>jdufaire2d@fc2.com</v>
      </c>
      <c r="H929" s="2" t="str">
        <f>_xlfn.XLOOKUP(C929,customers!$A$1:$A$1001,customers!$G$1:$G$1001,,0)</f>
        <v>United States</v>
      </c>
      <c r="I929" t="str">
        <f>INDEX(products!$A$1:$G$49, MATCH(orders!$D87,products!$A$1:$A134,0), MATCH(orders!I$1,products!$A$1:$G$1,0))</f>
        <v>Ara</v>
      </c>
      <c r="J929" t="str">
        <f>INDEX(products!$A$1:$G$49, MATCH(orders!$D87,products!$A$1:$A134,0), MATCH(orders!J$1,products!$A$1:$G$1,0))</f>
        <v>L</v>
      </c>
      <c r="K929" s="5">
        <f>INDEX(products!$A$1:$G$49, MATCH(orders!$D87,products!$A$1:$A134,0), MATCH(orders!K$1,products!$A$1:$G$1,0))</f>
        <v>2.5</v>
      </c>
      <c r="L929" s="6">
        <f>INDEX(products!$A$1:$G$49, MATCH(orders!$D87,products!$A$1:$A134,0), MATCH(orders!L$1,products!$A$1:$G$1,0))</f>
        <v>29.784999999999997</v>
      </c>
      <c r="M929" s="6">
        <f t="shared" si="42"/>
        <v>89.35499999999999</v>
      </c>
      <c r="N929" t="str">
        <f t="shared" si="43"/>
        <v>Arabica</v>
      </c>
      <c r="O929" t="str">
        <f t="shared" si="44"/>
        <v>Light</v>
      </c>
      <c r="P929" t="str">
        <f>_xlfn.XLOOKUP(Orders[[#This Row],[Customer ID]],customers!$A$1:$A$1001,customers!$I$1:$I$1001,,0)</f>
        <v>No</v>
      </c>
      <c r="Q929">
        <f>COUNTIF(Orders[Order ID],Orders[[#This Row],[Order ID]])</f>
        <v>2</v>
      </c>
      <c r="R929" s="10">
        <f>SUMIF(Orders[Order ID], Orders[[#This Row],[Order ID]],Orders[Sales])/Orders[[#This Row],[Order Frequency]]</f>
        <v>50.647499999999994</v>
      </c>
      <c r="S929" t="str">
        <f>IF(Orders[[#This Row],[Order Frequency]]&gt;4, "More than 4", IF(AND(Orders[[#This Row],[Order Frequency]]&lt;=4,Orders[[#This Row],[Order Frequency]]&gt;=2), "Between 4 and 2", "Less than 2"))</f>
        <v>Between 4 and 2</v>
      </c>
      <c r="T929" t="str">
        <f>IF(Orders[[#This Row],[Frequency Group]]="less than 2", "Low Value", IF(Orders[[#This Row],[Frequency Group]]="between 4 and 2", "Medium Value", "High Value"))</f>
        <v>Medium Value</v>
      </c>
      <c r="U929" t="str">
        <f>IF(Orders[[#This Row],[Sales]]&lt;50, "$0-50", IF(AND(Orders[[#This Row],[Sales]]&gt;=50,Orders[[#This Row],[Sales]]&lt;=100), "$50-100", IF(AND(Orders[[#This Row],[Sales]]&gt;100,Orders[[#This Row],[Sales]]&lt;=150), "$101-150", "$150+")))</f>
        <v>$50-100</v>
      </c>
      <c r="V929" t="str">
        <f>IF(Orders[[#This Row],[Sales]]&gt;MEDIAN(M:M), "High Price", "Low Price")</f>
        <v>High Price</v>
      </c>
      <c r="W929" t="str">
        <f>IF(Orders[[#This Row],[Quantity]]&gt;MEDIAN(E:E), "High Volume", "Low Volume")</f>
        <v>Low Volume</v>
      </c>
      <c r="X929" t="str">
        <f>Orders[[#This Row],[Sales Tier]] &amp; "-" &amp; Orders[[#This Row],[Quantity Tier]]</f>
        <v>High Price-Low Volume</v>
      </c>
      <c r="Y929" t="str">
        <f>TEXT(Orders[[#This Row],[Order Date]], "mmmm")</f>
        <v>July</v>
      </c>
      <c r="Z92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929" t="str">
        <f>Orders[[#This Row],[Coffee Type Name]] &amp; "-" &amp; Orders[[#This Row],[Roast Type Name]]</f>
        <v>Arabica-Light</v>
      </c>
      <c r="AB92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930" spans="1:28" x14ac:dyDescent="0.25">
      <c r="A930" s="2" t="s">
        <v>3829</v>
      </c>
      <c r="B930" s="4">
        <v>43587</v>
      </c>
      <c r="C930" s="2" t="s">
        <v>3830</v>
      </c>
      <c r="D930" t="s">
        <v>6163</v>
      </c>
      <c r="E930" s="2">
        <v>3</v>
      </c>
      <c r="F930" s="2" t="str">
        <f>_xlfn.XLOOKUP(C930,customers!$A$1:$A$1001,customers!$B$1:$B$1001,,0)</f>
        <v>Jennifer Wilkisson</v>
      </c>
      <c r="G930" s="2" t="str">
        <f>IF(_xlfn.XLOOKUP(C930,customers!$A$1:$A$1001,customers!$C$1:$C$1001,,0)=0,"",_xlfn.XLOOKUP(C930,customers!$A$1:$A$1001,customers!$C$1:$C$1001,,0))</f>
        <v>jwilkissongf@nba.com</v>
      </c>
      <c r="H930" s="2" t="str">
        <f>_xlfn.XLOOKUP(C930,customers!$A$1:$A$1001,customers!$G$1:$G$1001,,0)</f>
        <v>United States</v>
      </c>
      <c r="I930" t="str">
        <f>INDEX(products!$A$1:$G$49, MATCH(orders!$D593,products!$A$1:$A640,0), MATCH(orders!I$1,products!$A$1:$G$1,0))</f>
        <v>Rob</v>
      </c>
      <c r="J930" t="str">
        <f>INDEX(products!$A$1:$G$49, MATCH(orders!$D593,products!$A$1:$A640,0), MATCH(orders!J$1,products!$A$1:$G$1,0))</f>
        <v>D</v>
      </c>
      <c r="K930" s="5">
        <f>INDEX(products!$A$1:$G$49, MATCH(orders!$D593,products!$A$1:$A640,0), MATCH(orders!K$1,products!$A$1:$G$1,0))</f>
        <v>0.2</v>
      </c>
      <c r="L930" s="6">
        <f>INDEX(products!$A$1:$G$49, MATCH(orders!$D593,products!$A$1:$A640,0), MATCH(orders!L$1,products!$A$1:$G$1,0))</f>
        <v>2.6849999999999996</v>
      </c>
      <c r="M930" s="6">
        <f t="shared" si="42"/>
        <v>8.0549999999999997</v>
      </c>
      <c r="N930" t="str">
        <f t="shared" si="43"/>
        <v>Robusta</v>
      </c>
      <c r="O930" t="str">
        <f t="shared" si="44"/>
        <v>Dark</v>
      </c>
      <c r="P930" t="str">
        <f>_xlfn.XLOOKUP(Orders[[#This Row],[Customer ID]],customers!$A$1:$A$1001,customers!$I$1:$I$1001,,0)</f>
        <v>Yes</v>
      </c>
      <c r="Q930">
        <f>COUNTIF(Orders[Order ID],Orders[[#This Row],[Order ID]])</f>
        <v>1</v>
      </c>
      <c r="R930" s="10">
        <f>SUMIF(Orders[Order ID], Orders[[#This Row],[Order ID]],Orders[Sales])/Orders[[#This Row],[Order Frequency]]</f>
        <v>8.0549999999999997</v>
      </c>
      <c r="S930" t="str">
        <f>IF(Orders[[#This Row],[Order Frequency]]&gt;4, "More than 4", IF(AND(Orders[[#This Row],[Order Frequency]]&lt;=4,Orders[[#This Row],[Order Frequency]]&gt;=2), "Between 4 and 2", "Less than 2"))</f>
        <v>Less than 2</v>
      </c>
      <c r="T930" t="str">
        <f>IF(Orders[[#This Row],[Frequency Group]]="less than 2", "Low Value", IF(Orders[[#This Row],[Frequency Group]]="between 4 and 2", "Medium Value", "High Value"))</f>
        <v>Low Value</v>
      </c>
      <c r="U930" t="str">
        <f>IF(Orders[[#This Row],[Sales]]&lt;50, "$0-50", IF(AND(Orders[[#This Row],[Sales]]&gt;=50,Orders[[#This Row],[Sales]]&lt;=100), "$50-100", IF(AND(Orders[[#This Row],[Sales]]&gt;100,Orders[[#This Row],[Sales]]&lt;=150), "$101-150", "$150+")))</f>
        <v>$0-50</v>
      </c>
      <c r="V930" t="str">
        <f>IF(Orders[[#This Row],[Sales]]&gt;MEDIAN(M:M), "High Price", "Low Price")</f>
        <v>Low Price</v>
      </c>
      <c r="W930" t="str">
        <f>IF(Orders[[#This Row],[Quantity]]&gt;MEDIAN(E:E), "High Volume", "Low Volume")</f>
        <v>Low Volume</v>
      </c>
      <c r="X930" t="str">
        <f>Orders[[#This Row],[Sales Tier]] &amp; "-" &amp; Orders[[#This Row],[Quantity Tier]]</f>
        <v>Low Price-Low Volume</v>
      </c>
      <c r="Y930" t="str">
        <f>TEXT(Orders[[#This Row],[Order Date]], "mmmm")</f>
        <v>May</v>
      </c>
      <c r="Z93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930" t="str">
        <f>Orders[[#This Row],[Coffee Type Name]] &amp; "-" &amp; Orders[[#This Row],[Roast Type Name]]</f>
        <v>Robusta-Dark</v>
      </c>
      <c r="AB93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931" spans="1:28" x14ac:dyDescent="0.25">
      <c r="A931" s="2" t="s">
        <v>5182</v>
      </c>
      <c r="B931" s="4">
        <v>44414</v>
      </c>
      <c r="C931" s="2" t="s">
        <v>5183</v>
      </c>
      <c r="D931" t="s">
        <v>6154</v>
      </c>
      <c r="E931" s="2">
        <v>2</v>
      </c>
      <c r="F931" s="2" t="str">
        <f>_xlfn.XLOOKUP(C931,customers!$A$1:$A$1001,customers!$B$1:$B$1001,,0)</f>
        <v>Helaina Rainforth</v>
      </c>
      <c r="G931" s="2" t="str">
        <f>IF(_xlfn.XLOOKUP(C931,customers!$A$1:$A$1001,customers!$C$1:$C$1001,,0)=0,"",_xlfn.XLOOKUP(C931,customers!$A$1:$A$1001,customers!$C$1:$C$1001,,0))</f>
        <v>hrainforthn2@blog.com</v>
      </c>
      <c r="H931" s="2" t="str">
        <f>_xlfn.XLOOKUP(C931,customers!$A$1:$A$1001,customers!$G$1:$G$1001,,0)</f>
        <v>United States</v>
      </c>
      <c r="I931" t="str">
        <f>INDEX(products!$A$1:$G$49, MATCH(orders!$D833,products!$A$1:$A880,0), MATCH(orders!I$1,products!$A$1:$G$1,0))</f>
        <v>Ara</v>
      </c>
      <c r="J931" t="str">
        <f>INDEX(products!$A$1:$G$49, MATCH(orders!$D833,products!$A$1:$A880,0), MATCH(orders!J$1,products!$A$1:$G$1,0))</f>
        <v>D</v>
      </c>
      <c r="K931" s="5">
        <f>INDEX(products!$A$1:$G$49, MATCH(orders!$D833,products!$A$1:$A880,0), MATCH(orders!K$1,products!$A$1:$G$1,0))</f>
        <v>0.2</v>
      </c>
      <c r="L931" s="6">
        <f>INDEX(products!$A$1:$G$49, MATCH(orders!$D833,products!$A$1:$A880,0), MATCH(orders!L$1,products!$A$1:$G$1,0))</f>
        <v>2.9849999999999999</v>
      </c>
      <c r="M931" s="6">
        <f t="shared" si="42"/>
        <v>5.97</v>
      </c>
      <c r="N931" t="str">
        <f t="shared" si="43"/>
        <v>Arabica</v>
      </c>
      <c r="O931" t="str">
        <f t="shared" si="44"/>
        <v>Dark</v>
      </c>
      <c r="P931" t="str">
        <f>_xlfn.XLOOKUP(Orders[[#This Row],[Customer ID]],customers!$A$1:$A$1001,customers!$I$1:$I$1001,,0)</f>
        <v>No</v>
      </c>
      <c r="Q931">
        <f>COUNTIF(Orders[Order ID],Orders[[#This Row],[Order ID]])</f>
        <v>2</v>
      </c>
      <c r="R931" s="10">
        <f>SUMIF(Orders[Order ID], Orders[[#This Row],[Order ID]],Orders[Sales])/Orders[[#This Row],[Order Frequency]]</f>
        <v>16.734999999999999</v>
      </c>
      <c r="S931" t="str">
        <f>IF(Orders[[#This Row],[Order Frequency]]&gt;4, "More than 4", IF(AND(Orders[[#This Row],[Order Frequency]]&lt;=4,Orders[[#This Row],[Order Frequency]]&gt;=2), "Between 4 and 2", "Less than 2"))</f>
        <v>Between 4 and 2</v>
      </c>
      <c r="T931" t="str">
        <f>IF(Orders[[#This Row],[Frequency Group]]="less than 2", "Low Value", IF(Orders[[#This Row],[Frequency Group]]="between 4 and 2", "Medium Value", "High Value"))</f>
        <v>Medium Value</v>
      </c>
      <c r="U931" t="str">
        <f>IF(Orders[[#This Row],[Sales]]&lt;50, "$0-50", IF(AND(Orders[[#This Row],[Sales]]&gt;=50,Orders[[#This Row],[Sales]]&lt;=100), "$50-100", IF(AND(Orders[[#This Row],[Sales]]&gt;100,Orders[[#This Row],[Sales]]&lt;=150), "$101-150", "$150+")))</f>
        <v>$0-50</v>
      </c>
      <c r="V931" t="str">
        <f>IF(Orders[[#This Row],[Sales]]&gt;MEDIAN(M:M), "High Price", "Low Price")</f>
        <v>Low Price</v>
      </c>
      <c r="W931" t="str">
        <f>IF(Orders[[#This Row],[Quantity]]&gt;MEDIAN(E:E), "High Volume", "Low Volume")</f>
        <v>Low Volume</v>
      </c>
      <c r="X931" t="str">
        <f>Orders[[#This Row],[Sales Tier]] &amp; "-" &amp; Orders[[#This Row],[Quantity Tier]]</f>
        <v>Low Price-Low Volume</v>
      </c>
      <c r="Y931" t="str">
        <f>TEXT(Orders[[#This Row],[Order Date]], "mmmm")</f>
        <v>August</v>
      </c>
      <c r="Z93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931" t="str">
        <f>Orders[[#This Row],[Coffee Type Name]] &amp; "-" &amp; Orders[[#This Row],[Roast Type Name]]</f>
        <v>Arabica-Dark</v>
      </c>
      <c r="AB93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932" spans="1:28" x14ac:dyDescent="0.25">
      <c r="A932" s="2" t="s">
        <v>5182</v>
      </c>
      <c r="B932" s="4">
        <v>44414</v>
      </c>
      <c r="C932" s="2" t="s">
        <v>5183</v>
      </c>
      <c r="D932" t="s">
        <v>6141</v>
      </c>
      <c r="E932" s="2">
        <v>2</v>
      </c>
      <c r="F932" s="2" t="str">
        <f>_xlfn.XLOOKUP(C932,customers!$A$1:$A$1001,customers!$B$1:$B$1001,,0)</f>
        <v>Helaina Rainforth</v>
      </c>
      <c r="G932" s="2" t="str">
        <f>IF(_xlfn.XLOOKUP(C932,customers!$A$1:$A$1001,customers!$C$1:$C$1001,,0)=0,"",_xlfn.XLOOKUP(C932,customers!$A$1:$A$1001,customers!$C$1:$C$1001,,0))</f>
        <v>hrainforthn2@blog.com</v>
      </c>
      <c r="H932" s="2" t="str">
        <f>_xlfn.XLOOKUP(C932,customers!$A$1:$A$1001,customers!$G$1:$G$1001,,0)</f>
        <v>United States</v>
      </c>
      <c r="I932" t="str">
        <f>INDEX(products!$A$1:$G$49, MATCH(orders!$D832,products!$A$1:$A879,0), MATCH(orders!I$1,products!$A$1:$G$1,0))</f>
        <v>Exc</v>
      </c>
      <c r="J932" t="str">
        <f>INDEX(products!$A$1:$G$49, MATCH(orders!$D832,products!$A$1:$A879,0), MATCH(orders!J$1,products!$A$1:$G$1,0))</f>
        <v>M</v>
      </c>
      <c r="K932" s="5">
        <f>INDEX(products!$A$1:$G$49, MATCH(orders!$D832,products!$A$1:$A879,0), MATCH(orders!K$1,products!$A$1:$G$1,0))</f>
        <v>1</v>
      </c>
      <c r="L932" s="6">
        <f>INDEX(products!$A$1:$G$49, MATCH(orders!$D832,products!$A$1:$A879,0), MATCH(orders!L$1,products!$A$1:$G$1,0))</f>
        <v>13.75</v>
      </c>
      <c r="M932" s="6">
        <f t="shared" si="42"/>
        <v>27.5</v>
      </c>
      <c r="N932" t="str">
        <f t="shared" si="43"/>
        <v>Excelsa</v>
      </c>
      <c r="O932" t="str">
        <f t="shared" si="44"/>
        <v>Medium</v>
      </c>
      <c r="P932" t="str">
        <f>_xlfn.XLOOKUP(Orders[[#This Row],[Customer ID]],customers!$A$1:$A$1001,customers!$I$1:$I$1001,,0)</f>
        <v>No</v>
      </c>
      <c r="Q932">
        <f>COUNTIF(Orders[Order ID],Orders[[#This Row],[Order ID]])</f>
        <v>2</v>
      </c>
      <c r="R932" s="10">
        <f>SUMIF(Orders[Order ID], Orders[[#This Row],[Order ID]],Orders[Sales])/Orders[[#This Row],[Order Frequency]]</f>
        <v>16.734999999999999</v>
      </c>
      <c r="S932" t="str">
        <f>IF(Orders[[#This Row],[Order Frequency]]&gt;4, "More than 4", IF(AND(Orders[[#This Row],[Order Frequency]]&lt;=4,Orders[[#This Row],[Order Frequency]]&gt;=2), "Between 4 and 2", "Less than 2"))</f>
        <v>Between 4 and 2</v>
      </c>
      <c r="T932" t="str">
        <f>IF(Orders[[#This Row],[Frequency Group]]="less than 2", "Low Value", IF(Orders[[#This Row],[Frequency Group]]="between 4 and 2", "Medium Value", "High Value"))</f>
        <v>Medium Value</v>
      </c>
      <c r="U932" t="str">
        <f>IF(Orders[[#This Row],[Sales]]&lt;50, "$0-50", IF(AND(Orders[[#This Row],[Sales]]&gt;=50,Orders[[#This Row],[Sales]]&lt;=100), "$50-100", IF(AND(Orders[[#This Row],[Sales]]&gt;100,Orders[[#This Row],[Sales]]&lt;=150), "$101-150", "$150+")))</f>
        <v>$0-50</v>
      </c>
      <c r="V932" t="str">
        <f>IF(Orders[[#This Row],[Sales]]&gt;MEDIAN(M:M), "High Price", "Low Price")</f>
        <v>Low Price</v>
      </c>
      <c r="W932" t="str">
        <f>IF(Orders[[#This Row],[Quantity]]&gt;MEDIAN(E:E), "High Volume", "Low Volume")</f>
        <v>Low Volume</v>
      </c>
      <c r="X932" t="str">
        <f>Orders[[#This Row],[Sales Tier]] &amp; "-" &amp; Orders[[#This Row],[Quantity Tier]]</f>
        <v>Low Price-Low Volume</v>
      </c>
      <c r="Y932" t="str">
        <f>TEXT(Orders[[#This Row],[Order Date]], "mmmm")</f>
        <v>August</v>
      </c>
      <c r="Z93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932" t="str">
        <f>Orders[[#This Row],[Coffee Type Name]] &amp; "-" &amp; Orders[[#This Row],[Roast Type Name]]</f>
        <v>Excelsa-Medium</v>
      </c>
      <c r="AB93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933" spans="1:28" x14ac:dyDescent="0.25">
      <c r="A933" s="2" t="s">
        <v>3475</v>
      </c>
      <c r="B933" s="4">
        <v>43926</v>
      </c>
      <c r="C933" s="2" t="s">
        <v>3476</v>
      </c>
      <c r="D933" t="s">
        <v>6176</v>
      </c>
      <c r="E933" s="2">
        <v>6</v>
      </c>
      <c r="F933" s="2" t="str">
        <f>_xlfn.XLOOKUP(C933,customers!$A$1:$A$1001,customers!$B$1:$B$1001,,0)</f>
        <v>Lem Pennacci</v>
      </c>
      <c r="G933" s="2" t="str">
        <f>IF(_xlfn.XLOOKUP(C933,customers!$A$1:$A$1001,customers!$C$1:$C$1001,,0)=0,"",_xlfn.XLOOKUP(C933,customers!$A$1:$A$1001,customers!$C$1:$C$1001,,0))</f>
        <v>lpennaccieo@statcounter.com</v>
      </c>
      <c r="H933" s="2" t="str">
        <f>_xlfn.XLOOKUP(C933,customers!$A$1:$A$1001,customers!$G$1:$G$1001,,0)</f>
        <v>United States</v>
      </c>
      <c r="I933" t="str">
        <f>INDEX(products!$A$1:$G$49, MATCH(orders!$D530,products!$A$1:$A577,0), MATCH(orders!I$1,products!$A$1:$G$1,0))</f>
        <v>Exc</v>
      </c>
      <c r="J933" t="str">
        <f>INDEX(products!$A$1:$G$49, MATCH(orders!$D530,products!$A$1:$A577,0), MATCH(orders!J$1,products!$A$1:$G$1,0))</f>
        <v>L</v>
      </c>
      <c r="K933" s="5">
        <f>INDEX(products!$A$1:$G$49, MATCH(orders!$D530,products!$A$1:$A577,0), MATCH(orders!K$1,products!$A$1:$G$1,0))</f>
        <v>0.5</v>
      </c>
      <c r="L933" s="6">
        <f>INDEX(products!$A$1:$G$49, MATCH(orders!$D530,products!$A$1:$A577,0), MATCH(orders!L$1,products!$A$1:$G$1,0))</f>
        <v>8.91</v>
      </c>
      <c r="M933" s="6">
        <f t="shared" si="42"/>
        <v>53.46</v>
      </c>
      <c r="N933" t="str">
        <f t="shared" si="43"/>
        <v>Excelsa</v>
      </c>
      <c r="O933" t="str">
        <f t="shared" si="44"/>
        <v>Light</v>
      </c>
      <c r="P933" t="str">
        <f>_xlfn.XLOOKUP(Orders[[#This Row],[Customer ID]],customers!$A$1:$A$1001,customers!$I$1:$I$1001,,0)</f>
        <v>No</v>
      </c>
      <c r="Q933">
        <f>COUNTIF(Orders[Order ID],Orders[[#This Row],[Order ID]])</f>
        <v>1</v>
      </c>
      <c r="R933" s="10">
        <f>SUMIF(Orders[Order ID], Orders[[#This Row],[Order ID]],Orders[Sales])/Orders[[#This Row],[Order Frequency]]</f>
        <v>53.46</v>
      </c>
      <c r="S933" t="str">
        <f>IF(Orders[[#This Row],[Order Frequency]]&gt;4, "More than 4", IF(AND(Orders[[#This Row],[Order Frequency]]&lt;=4,Orders[[#This Row],[Order Frequency]]&gt;=2), "Between 4 and 2", "Less than 2"))</f>
        <v>Less than 2</v>
      </c>
      <c r="T933" t="str">
        <f>IF(Orders[[#This Row],[Frequency Group]]="less than 2", "Low Value", IF(Orders[[#This Row],[Frequency Group]]="between 4 and 2", "Medium Value", "High Value"))</f>
        <v>Low Value</v>
      </c>
      <c r="U933" t="str">
        <f>IF(Orders[[#This Row],[Sales]]&lt;50, "$0-50", IF(AND(Orders[[#This Row],[Sales]]&gt;=50,Orders[[#This Row],[Sales]]&lt;=100), "$50-100", IF(AND(Orders[[#This Row],[Sales]]&gt;100,Orders[[#This Row],[Sales]]&lt;=150), "$101-150", "$150+")))</f>
        <v>$50-100</v>
      </c>
      <c r="V933" t="str">
        <f>IF(Orders[[#This Row],[Sales]]&gt;MEDIAN(M:M), "High Price", "Low Price")</f>
        <v>High Price</v>
      </c>
      <c r="W933" t="str">
        <f>IF(Orders[[#This Row],[Quantity]]&gt;MEDIAN(E:E), "High Volume", "Low Volume")</f>
        <v>High Volume</v>
      </c>
      <c r="X933" t="str">
        <f>Orders[[#This Row],[Sales Tier]] &amp; "-" &amp; Orders[[#This Row],[Quantity Tier]]</f>
        <v>High Price-High Volume</v>
      </c>
      <c r="Y933" t="str">
        <f>TEXT(Orders[[#This Row],[Order Date]], "mmmm")</f>
        <v>April</v>
      </c>
      <c r="Z93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933" t="str">
        <f>Orders[[#This Row],[Coffee Type Name]] &amp; "-" &amp; Orders[[#This Row],[Roast Type Name]]</f>
        <v>Excelsa-Light</v>
      </c>
      <c r="AB93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934" spans="1:28" x14ac:dyDescent="0.25">
      <c r="A934" s="2" t="s">
        <v>5084</v>
      </c>
      <c r="B934" s="4">
        <v>44173</v>
      </c>
      <c r="C934" s="2" t="s">
        <v>5085</v>
      </c>
      <c r="D934" t="s">
        <v>6166</v>
      </c>
      <c r="E934" s="2">
        <v>1</v>
      </c>
      <c r="F934" s="2" t="str">
        <f>_xlfn.XLOOKUP(C934,customers!$A$1:$A$1001,customers!$B$1:$B$1001,,0)</f>
        <v>Conchita Bryde</v>
      </c>
      <c r="G934" s="2" t="str">
        <f>IF(_xlfn.XLOOKUP(C934,customers!$A$1:$A$1001,customers!$C$1:$C$1001,,0)=0,"",_xlfn.XLOOKUP(C934,customers!$A$1:$A$1001,customers!$C$1:$C$1001,,0))</f>
        <v>cbrydeml@tuttocitta.it</v>
      </c>
      <c r="H934" s="2" t="str">
        <f>_xlfn.XLOOKUP(C934,customers!$A$1:$A$1001,customers!$G$1:$G$1001,,0)</f>
        <v>United States</v>
      </c>
      <c r="I934" t="str">
        <f>INDEX(products!$A$1:$G$49, MATCH(orders!$D815,products!$A$1:$A862,0), MATCH(orders!I$1,products!$A$1:$G$1,0))</f>
        <v>Exc</v>
      </c>
      <c r="J934" t="str">
        <f>INDEX(products!$A$1:$G$49, MATCH(orders!$D815,products!$A$1:$A862,0), MATCH(orders!J$1,products!$A$1:$G$1,0))</f>
        <v>M</v>
      </c>
      <c r="K934" s="5">
        <f>INDEX(products!$A$1:$G$49, MATCH(orders!$D815,products!$A$1:$A862,0), MATCH(orders!K$1,products!$A$1:$G$1,0))</f>
        <v>2.5</v>
      </c>
      <c r="L934" s="6">
        <f>INDEX(products!$A$1:$G$49, MATCH(orders!$D815,products!$A$1:$A862,0), MATCH(orders!L$1,products!$A$1:$G$1,0))</f>
        <v>31.624999999999996</v>
      </c>
      <c r="M934" s="6">
        <f t="shared" si="42"/>
        <v>31.624999999999996</v>
      </c>
      <c r="N934" t="str">
        <f t="shared" si="43"/>
        <v>Excelsa</v>
      </c>
      <c r="O934" t="str">
        <f t="shared" si="44"/>
        <v>Medium</v>
      </c>
      <c r="P934" t="str">
        <f>_xlfn.XLOOKUP(Orders[[#This Row],[Customer ID]],customers!$A$1:$A$1001,customers!$I$1:$I$1001,,0)</f>
        <v>Yes</v>
      </c>
      <c r="Q934">
        <f>COUNTIF(Orders[Order ID],Orders[[#This Row],[Order ID]])</f>
        <v>1</v>
      </c>
      <c r="R934" s="10">
        <f>SUMIF(Orders[Order ID], Orders[[#This Row],[Order ID]],Orders[Sales])/Orders[[#This Row],[Order Frequency]]</f>
        <v>31.624999999999996</v>
      </c>
      <c r="S934" t="str">
        <f>IF(Orders[[#This Row],[Order Frequency]]&gt;4, "More than 4", IF(AND(Orders[[#This Row],[Order Frequency]]&lt;=4,Orders[[#This Row],[Order Frequency]]&gt;=2), "Between 4 and 2", "Less than 2"))</f>
        <v>Less than 2</v>
      </c>
      <c r="T934" t="str">
        <f>IF(Orders[[#This Row],[Frequency Group]]="less than 2", "Low Value", IF(Orders[[#This Row],[Frequency Group]]="between 4 and 2", "Medium Value", "High Value"))</f>
        <v>Low Value</v>
      </c>
      <c r="U934" t="str">
        <f>IF(Orders[[#This Row],[Sales]]&lt;50, "$0-50", IF(AND(Orders[[#This Row],[Sales]]&gt;=50,Orders[[#This Row],[Sales]]&lt;=100), "$50-100", IF(AND(Orders[[#This Row],[Sales]]&gt;100,Orders[[#This Row],[Sales]]&lt;=150), "$101-150", "$150+")))</f>
        <v>$0-50</v>
      </c>
      <c r="V934" t="str">
        <f>IF(Orders[[#This Row],[Sales]]&gt;MEDIAN(M:M), "High Price", "Low Price")</f>
        <v>High Price</v>
      </c>
      <c r="W934" t="str">
        <f>IF(Orders[[#This Row],[Quantity]]&gt;MEDIAN(E:E), "High Volume", "Low Volume")</f>
        <v>Low Volume</v>
      </c>
      <c r="X934" t="str">
        <f>Orders[[#This Row],[Sales Tier]] &amp; "-" &amp; Orders[[#This Row],[Quantity Tier]]</f>
        <v>High Price-Low Volume</v>
      </c>
      <c r="Y934" t="str">
        <f>TEXT(Orders[[#This Row],[Order Date]], "mmmm")</f>
        <v>December</v>
      </c>
      <c r="Z93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934" t="str">
        <f>Orders[[#This Row],[Coffee Type Name]] &amp; "-" &amp; Orders[[#This Row],[Roast Type Name]]</f>
        <v>Excelsa-Medium</v>
      </c>
      <c r="AB93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935" spans="1:28" x14ac:dyDescent="0.25">
      <c r="A935" s="2" t="s">
        <v>2446</v>
      </c>
      <c r="B935" s="4">
        <v>44576</v>
      </c>
      <c r="C935" s="2" t="s">
        <v>2447</v>
      </c>
      <c r="D935" t="s">
        <v>6162</v>
      </c>
      <c r="E935" s="2">
        <v>3</v>
      </c>
      <c r="F935" s="2" t="str">
        <f>_xlfn.XLOOKUP(C935,customers!$A$1:$A$1001,customers!$B$1:$B$1001,,0)</f>
        <v>Lewes Danes</v>
      </c>
      <c r="G935" s="2" t="str">
        <f>IF(_xlfn.XLOOKUP(C935,customers!$A$1:$A$1001,customers!$C$1:$C$1001,,0)=0,"",_xlfn.XLOOKUP(C935,customers!$A$1:$A$1001,customers!$C$1:$C$1001,,0))</f>
        <v>ldanes9n@umn.edu</v>
      </c>
      <c r="H935" s="2" t="str">
        <f>_xlfn.XLOOKUP(C935,customers!$A$1:$A$1001,customers!$G$1:$G$1001,,0)</f>
        <v>United States</v>
      </c>
      <c r="I935" t="str">
        <f>INDEX(products!$A$1:$G$49, MATCH(orders!$D349,products!$A$1:$A396,0), MATCH(orders!I$1,products!$A$1:$G$1,0))</f>
        <v>Lib</v>
      </c>
      <c r="J935" t="str">
        <f>INDEX(products!$A$1:$G$49, MATCH(orders!$D349,products!$A$1:$A396,0), MATCH(orders!J$1,products!$A$1:$G$1,0))</f>
        <v>M</v>
      </c>
      <c r="K935" s="5">
        <f>INDEX(products!$A$1:$G$49, MATCH(orders!$D349,products!$A$1:$A396,0), MATCH(orders!K$1,products!$A$1:$G$1,0))</f>
        <v>1</v>
      </c>
      <c r="L935" s="6">
        <f>INDEX(products!$A$1:$G$49, MATCH(orders!$D349,products!$A$1:$A396,0), MATCH(orders!L$1,products!$A$1:$G$1,0))</f>
        <v>14.55</v>
      </c>
      <c r="M935" s="6">
        <f t="shared" si="42"/>
        <v>43.650000000000006</v>
      </c>
      <c r="N935" t="str">
        <f t="shared" si="43"/>
        <v>Liberica</v>
      </c>
      <c r="O935" t="str">
        <f t="shared" si="44"/>
        <v>Medium</v>
      </c>
      <c r="P935" t="str">
        <f>_xlfn.XLOOKUP(Orders[[#This Row],[Customer ID]],customers!$A$1:$A$1001,customers!$I$1:$I$1001,,0)</f>
        <v>No</v>
      </c>
      <c r="Q935">
        <f>COUNTIF(Orders[Order ID],Orders[[#This Row],[Order ID]])</f>
        <v>1</v>
      </c>
      <c r="R935" s="10">
        <f>SUMIF(Orders[Order ID], Orders[[#This Row],[Order ID]],Orders[Sales])/Orders[[#This Row],[Order Frequency]]</f>
        <v>43.650000000000006</v>
      </c>
      <c r="S935" t="str">
        <f>IF(Orders[[#This Row],[Order Frequency]]&gt;4, "More than 4", IF(AND(Orders[[#This Row],[Order Frequency]]&lt;=4,Orders[[#This Row],[Order Frequency]]&gt;=2), "Between 4 and 2", "Less than 2"))</f>
        <v>Less than 2</v>
      </c>
      <c r="T935" t="str">
        <f>IF(Orders[[#This Row],[Frequency Group]]="less than 2", "Low Value", IF(Orders[[#This Row],[Frequency Group]]="between 4 and 2", "Medium Value", "High Value"))</f>
        <v>Low Value</v>
      </c>
      <c r="U935" t="str">
        <f>IF(Orders[[#This Row],[Sales]]&lt;50, "$0-50", IF(AND(Orders[[#This Row],[Sales]]&gt;=50,Orders[[#This Row],[Sales]]&lt;=100), "$50-100", IF(AND(Orders[[#This Row],[Sales]]&gt;100,Orders[[#This Row],[Sales]]&lt;=150), "$101-150", "$150+")))</f>
        <v>$0-50</v>
      </c>
      <c r="V935" t="str">
        <f>IF(Orders[[#This Row],[Sales]]&gt;MEDIAN(M:M), "High Price", "Low Price")</f>
        <v>High Price</v>
      </c>
      <c r="W935" t="str">
        <f>IF(Orders[[#This Row],[Quantity]]&gt;MEDIAN(E:E), "High Volume", "Low Volume")</f>
        <v>Low Volume</v>
      </c>
      <c r="X935" t="str">
        <f>Orders[[#This Row],[Sales Tier]] &amp; "-" &amp; Orders[[#This Row],[Quantity Tier]]</f>
        <v>High Price-Low Volume</v>
      </c>
      <c r="Y935" t="str">
        <f>TEXT(Orders[[#This Row],[Order Date]], "mmmm")</f>
        <v>January</v>
      </c>
      <c r="Z93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935" t="str">
        <f>Orders[[#This Row],[Coffee Type Name]] &amp; "-" &amp; Orders[[#This Row],[Roast Type Name]]</f>
        <v>Liberica-Medium</v>
      </c>
      <c r="AB93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936" spans="1:28" x14ac:dyDescent="0.25">
      <c r="A936" s="2" t="s">
        <v>3463</v>
      </c>
      <c r="B936" s="4">
        <v>44717</v>
      </c>
      <c r="C936" s="2" t="s">
        <v>3464</v>
      </c>
      <c r="D936" t="s">
        <v>6166</v>
      </c>
      <c r="E936" s="2">
        <v>4</v>
      </c>
      <c r="F936" s="2" t="str">
        <f>_xlfn.XLOOKUP(C936,customers!$A$1:$A$1001,customers!$B$1:$B$1001,,0)</f>
        <v>Webb Speechly</v>
      </c>
      <c r="G936" s="2" t="str">
        <f>IF(_xlfn.XLOOKUP(C936,customers!$A$1:$A$1001,customers!$C$1:$C$1001,,0)=0,"",_xlfn.XLOOKUP(C936,customers!$A$1:$A$1001,customers!$C$1:$C$1001,,0))</f>
        <v>wspeechlyem@amazon.com</v>
      </c>
      <c r="H936" s="2" t="str">
        <f>_xlfn.XLOOKUP(C936,customers!$A$1:$A$1001,customers!$G$1:$G$1001,,0)</f>
        <v>United States</v>
      </c>
      <c r="I936" t="str">
        <f>INDEX(products!$A$1:$G$49, MATCH(orders!$D528,products!$A$1:$A575,0), MATCH(orders!I$1,products!$A$1:$G$1,0))</f>
        <v>Exc</v>
      </c>
      <c r="J936" t="str">
        <f>INDEX(products!$A$1:$G$49, MATCH(orders!$D528,products!$A$1:$A575,0), MATCH(orders!J$1,products!$A$1:$G$1,0))</f>
        <v>M</v>
      </c>
      <c r="K936" s="5">
        <f>INDEX(products!$A$1:$G$49, MATCH(orders!$D528,products!$A$1:$A575,0), MATCH(orders!K$1,products!$A$1:$G$1,0))</f>
        <v>2.5</v>
      </c>
      <c r="L936" s="6">
        <f>INDEX(products!$A$1:$G$49, MATCH(orders!$D528,products!$A$1:$A575,0), MATCH(orders!L$1,products!$A$1:$G$1,0))</f>
        <v>31.624999999999996</v>
      </c>
      <c r="M936" s="6">
        <f t="shared" si="42"/>
        <v>126.49999999999999</v>
      </c>
      <c r="N936" t="str">
        <f t="shared" si="43"/>
        <v>Excelsa</v>
      </c>
      <c r="O936" t="str">
        <f t="shared" si="44"/>
        <v>Medium</v>
      </c>
      <c r="P936" t="str">
        <f>_xlfn.XLOOKUP(Orders[[#This Row],[Customer ID]],customers!$A$1:$A$1001,customers!$I$1:$I$1001,,0)</f>
        <v>Yes</v>
      </c>
      <c r="Q936">
        <f>COUNTIF(Orders[Order ID],Orders[[#This Row],[Order ID]])</f>
        <v>1</v>
      </c>
      <c r="R936" s="10">
        <f>SUMIF(Orders[Order ID], Orders[[#This Row],[Order ID]],Orders[Sales])/Orders[[#This Row],[Order Frequency]]</f>
        <v>126.49999999999999</v>
      </c>
      <c r="S936" t="str">
        <f>IF(Orders[[#This Row],[Order Frequency]]&gt;4, "More than 4", IF(AND(Orders[[#This Row],[Order Frequency]]&lt;=4,Orders[[#This Row],[Order Frequency]]&gt;=2), "Between 4 and 2", "Less than 2"))</f>
        <v>Less than 2</v>
      </c>
      <c r="T936" t="str">
        <f>IF(Orders[[#This Row],[Frequency Group]]="less than 2", "Low Value", IF(Orders[[#This Row],[Frequency Group]]="between 4 and 2", "Medium Value", "High Value"))</f>
        <v>Low Value</v>
      </c>
      <c r="U936" t="str">
        <f>IF(Orders[[#This Row],[Sales]]&lt;50, "$0-50", IF(AND(Orders[[#This Row],[Sales]]&gt;=50,Orders[[#This Row],[Sales]]&lt;=100), "$50-100", IF(AND(Orders[[#This Row],[Sales]]&gt;100,Orders[[#This Row],[Sales]]&lt;=150), "$101-150", "$150+")))</f>
        <v>$101-150</v>
      </c>
      <c r="V936" t="str">
        <f>IF(Orders[[#This Row],[Sales]]&gt;MEDIAN(M:M), "High Price", "Low Price")</f>
        <v>High Price</v>
      </c>
      <c r="W936" t="str">
        <f>IF(Orders[[#This Row],[Quantity]]&gt;MEDIAN(E:E), "High Volume", "Low Volume")</f>
        <v>Low Volume</v>
      </c>
      <c r="X936" t="str">
        <f>Orders[[#This Row],[Sales Tier]] &amp; "-" &amp; Orders[[#This Row],[Quantity Tier]]</f>
        <v>High Price-Low Volume</v>
      </c>
      <c r="Y936" t="str">
        <f>TEXT(Orders[[#This Row],[Order Date]], "mmmm")</f>
        <v>June</v>
      </c>
      <c r="Z93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936" t="str">
        <f>Orders[[#This Row],[Coffee Type Name]] &amp; "-" &amp; Orders[[#This Row],[Roast Type Name]]</f>
        <v>Excelsa-Medium</v>
      </c>
      <c r="AB93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937" spans="1:28" x14ac:dyDescent="0.25">
      <c r="A937" s="2" t="s">
        <v>3718</v>
      </c>
      <c r="B937" s="4">
        <v>44592</v>
      </c>
      <c r="C937" s="2" t="s">
        <v>3719</v>
      </c>
      <c r="D937" t="s">
        <v>6176</v>
      </c>
      <c r="E937" s="2">
        <v>4</v>
      </c>
      <c r="F937" s="2" t="str">
        <f>_xlfn.XLOOKUP(C937,customers!$A$1:$A$1001,customers!$B$1:$B$1001,,0)</f>
        <v>Elizabet Aizikowitz</v>
      </c>
      <c r="G937" s="2" t="str">
        <f>IF(_xlfn.XLOOKUP(C937,customers!$A$1:$A$1001,customers!$C$1:$C$1001,,0)=0,"",_xlfn.XLOOKUP(C937,customers!$A$1:$A$1001,customers!$C$1:$C$1001,,0))</f>
        <v>eaizikowitzfv@virginia.edu</v>
      </c>
      <c r="H937" s="2" t="str">
        <f>_xlfn.XLOOKUP(C937,customers!$A$1:$A$1001,customers!$G$1:$G$1001,,0)</f>
        <v>United Kingdom</v>
      </c>
      <c r="I937" t="str">
        <f>INDEX(products!$A$1:$G$49, MATCH(orders!$D573,products!$A$1:$A620,0), MATCH(orders!I$1,products!$A$1:$G$1,0))</f>
        <v>Exc</v>
      </c>
      <c r="J937" t="str">
        <f>INDEX(products!$A$1:$G$49, MATCH(orders!$D573,products!$A$1:$A620,0), MATCH(orders!J$1,products!$A$1:$G$1,0))</f>
        <v>L</v>
      </c>
      <c r="K937" s="5">
        <f>INDEX(products!$A$1:$G$49, MATCH(orders!$D573,products!$A$1:$A620,0), MATCH(orders!K$1,products!$A$1:$G$1,0))</f>
        <v>0.5</v>
      </c>
      <c r="L937" s="6">
        <f>INDEX(products!$A$1:$G$49, MATCH(orders!$D573,products!$A$1:$A620,0), MATCH(orders!L$1,products!$A$1:$G$1,0))</f>
        <v>8.91</v>
      </c>
      <c r="M937" s="6">
        <f t="shared" si="42"/>
        <v>35.64</v>
      </c>
      <c r="N937" t="str">
        <f t="shared" si="43"/>
        <v>Excelsa</v>
      </c>
      <c r="O937" t="str">
        <f t="shared" si="44"/>
        <v>Light</v>
      </c>
      <c r="P937" t="str">
        <f>_xlfn.XLOOKUP(Orders[[#This Row],[Customer ID]],customers!$A$1:$A$1001,customers!$I$1:$I$1001,,0)</f>
        <v>No</v>
      </c>
      <c r="Q937">
        <f>COUNTIF(Orders[Order ID],Orders[[#This Row],[Order ID]])</f>
        <v>1</v>
      </c>
      <c r="R937" s="10">
        <f>SUMIF(Orders[Order ID], Orders[[#This Row],[Order ID]],Orders[Sales])/Orders[[#This Row],[Order Frequency]]</f>
        <v>35.64</v>
      </c>
      <c r="S937" t="str">
        <f>IF(Orders[[#This Row],[Order Frequency]]&gt;4, "More than 4", IF(AND(Orders[[#This Row],[Order Frequency]]&lt;=4,Orders[[#This Row],[Order Frequency]]&gt;=2), "Between 4 and 2", "Less than 2"))</f>
        <v>Less than 2</v>
      </c>
      <c r="T937" t="str">
        <f>IF(Orders[[#This Row],[Frequency Group]]="less than 2", "Low Value", IF(Orders[[#This Row],[Frequency Group]]="between 4 and 2", "Medium Value", "High Value"))</f>
        <v>Low Value</v>
      </c>
      <c r="U937" t="str">
        <f>IF(Orders[[#This Row],[Sales]]&lt;50, "$0-50", IF(AND(Orders[[#This Row],[Sales]]&gt;=50,Orders[[#This Row],[Sales]]&lt;=100), "$50-100", IF(AND(Orders[[#This Row],[Sales]]&gt;100,Orders[[#This Row],[Sales]]&lt;=150), "$101-150", "$150+")))</f>
        <v>$0-50</v>
      </c>
      <c r="V937" t="str">
        <f>IF(Orders[[#This Row],[Sales]]&gt;MEDIAN(M:M), "High Price", "Low Price")</f>
        <v>High Price</v>
      </c>
      <c r="W937" t="str">
        <f>IF(Orders[[#This Row],[Quantity]]&gt;MEDIAN(E:E), "High Volume", "Low Volume")</f>
        <v>Low Volume</v>
      </c>
      <c r="X937" t="str">
        <f>Orders[[#This Row],[Sales Tier]] &amp; "-" &amp; Orders[[#This Row],[Quantity Tier]]</f>
        <v>High Price-Low Volume</v>
      </c>
      <c r="Y937" t="str">
        <f>TEXT(Orders[[#This Row],[Order Date]], "mmmm")</f>
        <v>January</v>
      </c>
      <c r="Z93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937" t="str">
        <f>Orders[[#This Row],[Coffee Type Name]] &amp; "-" &amp; Orders[[#This Row],[Roast Type Name]]</f>
        <v>Excelsa-Light</v>
      </c>
      <c r="AB93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938" spans="1:28" x14ac:dyDescent="0.25">
      <c r="A938" s="2" t="s">
        <v>1350</v>
      </c>
      <c r="B938" s="4">
        <v>44367</v>
      </c>
      <c r="C938" s="2" t="s">
        <v>1351</v>
      </c>
      <c r="D938" t="s">
        <v>6163</v>
      </c>
      <c r="E938" s="2">
        <v>1</v>
      </c>
      <c r="F938" s="2" t="str">
        <f>_xlfn.XLOOKUP(C938,customers!$A$1:$A$1001,customers!$B$1:$B$1001,,0)</f>
        <v>Hetti Penson</v>
      </c>
      <c r="G938" s="2" t="str">
        <f>IF(_xlfn.XLOOKUP(C938,customers!$A$1:$A$1001,customers!$C$1:$C$1001,,0)=0,"",_xlfn.XLOOKUP(C938,customers!$A$1:$A$1001,customers!$C$1:$C$1001,,0))</f>
        <v/>
      </c>
      <c r="H938" s="2" t="str">
        <f>_xlfn.XLOOKUP(C938,customers!$A$1:$A$1001,customers!$G$1:$G$1001,,0)</f>
        <v>United States</v>
      </c>
      <c r="I938" t="str">
        <f>INDEX(products!$A$1:$G$49, MATCH(orders!$D155,products!$A$1:$A202,0), MATCH(orders!I$1,products!$A$1:$G$1,0))</f>
        <v>Rob</v>
      </c>
      <c r="J938" t="str">
        <f>INDEX(products!$A$1:$G$49, MATCH(orders!$D155,products!$A$1:$A202,0), MATCH(orders!J$1,products!$A$1:$G$1,0))</f>
        <v>D</v>
      </c>
      <c r="K938" s="5">
        <f>INDEX(products!$A$1:$G$49, MATCH(orders!$D155,products!$A$1:$A202,0), MATCH(orders!K$1,products!$A$1:$G$1,0))</f>
        <v>0.2</v>
      </c>
      <c r="L938" s="6">
        <f>INDEX(products!$A$1:$G$49, MATCH(orders!$D155,products!$A$1:$A202,0), MATCH(orders!L$1,products!$A$1:$G$1,0))</f>
        <v>2.6849999999999996</v>
      </c>
      <c r="M938" s="6">
        <f t="shared" si="42"/>
        <v>2.6849999999999996</v>
      </c>
      <c r="N938" t="str">
        <f t="shared" si="43"/>
        <v>Robusta</v>
      </c>
      <c r="O938" t="str">
        <f t="shared" si="44"/>
        <v>Dark</v>
      </c>
      <c r="P938" t="str">
        <f>_xlfn.XLOOKUP(Orders[[#This Row],[Customer ID]],customers!$A$1:$A$1001,customers!$I$1:$I$1001,,0)</f>
        <v>No</v>
      </c>
      <c r="Q938">
        <f>COUNTIF(Orders[Order ID],Orders[[#This Row],[Order ID]])</f>
        <v>1</v>
      </c>
      <c r="R938" s="10">
        <f>SUMIF(Orders[Order ID], Orders[[#This Row],[Order ID]],Orders[Sales])/Orders[[#This Row],[Order Frequency]]</f>
        <v>2.6849999999999996</v>
      </c>
      <c r="S938" t="str">
        <f>IF(Orders[[#This Row],[Order Frequency]]&gt;4, "More than 4", IF(AND(Orders[[#This Row],[Order Frequency]]&lt;=4,Orders[[#This Row],[Order Frequency]]&gt;=2), "Between 4 and 2", "Less than 2"))</f>
        <v>Less than 2</v>
      </c>
      <c r="T938" t="str">
        <f>IF(Orders[[#This Row],[Frequency Group]]="less than 2", "Low Value", IF(Orders[[#This Row],[Frequency Group]]="between 4 and 2", "Medium Value", "High Value"))</f>
        <v>Low Value</v>
      </c>
      <c r="U938" t="str">
        <f>IF(Orders[[#This Row],[Sales]]&lt;50, "$0-50", IF(AND(Orders[[#This Row],[Sales]]&gt;=50,Orders[[#This Row],[Sales]]&lt;=100), "$50-100", IF(AND(Orders[[#This Row],[Sales]]&gt;100,Orders[[#This Row],[Sales]]&lt;=150), "$101-150", "$150+")))</f>
        <v>$0-50</v>
      </c>
      <c r="V938" t="str">
        <f>IF(Orders[[#This Row],[Sales]]&gt;MEDIAN(M:M), "High Price", "Low Price")</f>
        <v>Low Price</v>
      </c>
      <c r="W938" t="str">
        <f>IF(Orders[[#This Row],[Quantity]]&gt;MEDIAN(E:E), "High Volume", "Low Volume")</f>
        <v>Low Volume</v>
      </c>
      <c r="X938" t="str">
        <f>Orders[[#This Row],[Sales Tier]] &amp; "-" &amp; Orders[[#This Row],[Quantity Tier]]</f>
        <v>Low Price-Low Volume</v>
      </c>
      <c r="Y938" t="str">
        <f>TEXT(Orders[[#This Row],[Order Date]], "mmmm")</f>
        <v>June</v>
      </c>
      <c r="Z93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938" t="str">
        <f>Orders[[#This Row],[Coffee Type Name]] &amp; "-" &amp; Orders[[#This Row],[Roast Type Name]]</f>
        <v>Robusta-Dark</v>
      </c>
      <c r="AB93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939" spans="1:28" x14ac:dyDescent="0.25">
      <c r="A939" s="2" t="s">
        <v>1795</v>
      </c>
      <c r="B939" s="4">
        <v>43628</v>
      </c>
      <c r="C939" s="2" t="s">
        <v>1796</v>
      </c>
      <c r="D939" t="s">
        <v>6159</v>
      </c>
      <c r="E939" s="2">
        <v>2</v>
      </c>
      <c r="F939" s="2" t="str">
        <f>_xlfn.XLOOKUP(C939,customers!$A$1:$A$1001,customers!$B$1:$B$1001,,0)</f>
        <v>Sinclare Edsell</v>
      </c>
      <c r="G939" s="2" t="str">
        <f>IF(_xlfn.XLOOKUP(C939,customers!$A$1:$A$1001,customers!$C$1:$C$1001,,0)=0,"",_xlfn.XLOOKUP(C939,customers!$A$1:$A$1001,customers!$C$1:$C$1001,,0))</f>
        <v/>
      </c>
      <c r="H939" s="2" t="str">
        <f>_xlfn.XLOOKUP(C939,customers!$A$1:$A$1001,customers!$G$1:$G$1001,,0)</f>
        <v>United States</v>
      </c>
      <c r="I939" t="str">
        <f>INDEX(products!$A$1:$G$49, MATCH(orders!$D233,products!$A$1:$A280,0), MATCH(orders!I$1,products!$A$1:$G$1,0))</f>
        <v>Lib</v>
      </c>
      <c r="J939" t="str">
        <f>INDEX(products!$A$1:$G$49, MATCH(orders!$D233,products!$A$1:$A280,0), MATCH(orders!J$1,products!$A$1:$G$1,0))</f>
        <v>M</v>
      </c>
      <c r="K939" s="5">
        <f>INDEX(products!$A$1:$G$49, MATCH(orders!$D233,products!$A$1:$A280,0), MATCH(orders!K$1,products!$A$1:$G$1,0))</f>
        <v>0.2</v>
      </c>
      <c r="L939" s="6">
        <f>INDEX(products!$A$1:$G$49, MATCH(orders!$D233,products!$A$1:$A280,0), MATCH(orders!L$1,products!$A$1:$G$1,0))</f>
        <v>4.3650000000000002</v>
      </c>
      <c r="M939" s="6">
        <f t="shared" si="42"/>
        <v>8.73</v>
      </c>
      <c r="N939" t="str">
        <f t="shared" si="43"/>
        <v>Liberica</v>
      </c>
      <c r="O939" t="str">
        <f t="shared" si="44"/>
        <v>Medium</v>
      </c>
      <c r="P939" t="str">
        <f>_xlfn.XLOOKUP(Orders[[#This Row],[Customer ID]],customers!$A$1:$A$1001,customers!$I$1:$I$1001,,0)</f>
        <v>Yes</v>
      </c>
      <c r="Q939">
        <f>COUNTIF(Orders[Order ID],Orders[[#This Row],[Order ID]])</f>
        <v>1</v>
      </c>
      <c r="R939" s="10">
        <f>SUMIF(Orders[Order ID], Orders[[#This Row],[Order ID]],Orders[Sales])/Orders[[#This Row],[Order Frequency]]</f>
        <v>8.73</v>
      </c>
      <c r="S939" t="str">
        <f>IF(Orders[[#This Row],[Order Frequency]]&gt;4, "More than 4", IF(AND(Orders[[#This Row],[Order Frequency]]&lt;=4,Orders[[#This Row],[Order Frequency]]&gt;=2), "Between 4 and 2", "Less than 2"))</f>
        <v>Less than 2</v>
      </c>
      <c r="T939" t="str">
        <f>IF(Orders[[#This Row],[Frequency Group]]="less than 2", "Low Value", IF(Orders[[#This Row],[Frequency Group]]="between 4 and 2", "Medium Value", "High Value"))</f>
        <v>Low Value</v>
      </c>
      <c r="U939" t="str">
        <f>IF(Orders[[#This Row],[Sales]]&lt;50, "$0-50", IF(AND(Orders[[#This Row],[Sales]]&gt;=50,Orders[[#This Row],[Sales]]&lt;=100), "$50-100", IF(AND(Orders[[#This Row],[Sales]]&gt;100,Orders[[#This Row],[Sales]]&lt;=150), "$101-150", "$150+")))</f>
        <v>$0-50</v>
      </c>
      <c r="V939" t="str">
        <f>IF(Orders[[#This Row],[Sales]]&gt;MEDIAN(M:M), "High Price", "Low Price")</f>
        <v>Low Price</v>
      </c>
      <c r="W939" t="str">
        <f>IF(Orders[[#This Row],[Quantity]]&gt;MEDIAN(E:E), "High Volume", "Low Volume")</f>
        <v>Low Volume</v>
      </c>
      <c r="X939" t="str">
        <f>Orders[[#This Row],[Sales Tier]] &amp; "-" &amp; Orders[[#This Row],[Quantity Tier]]</f>
        <v>Low Price-Low Volume</v>
      </c>
      <c r="Y939" t="str">
        <f>TEXT(Orders[[#This Row],[Order Date]], "mmmm")</f>
        <v>June</v>
      </c>
      <c r="Z93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939" t="str">
        <f>Orders[[#This Row],[Coffee Type Name]] &amp; "-" &amp; Orders[[#This Row],[Roast Type Name]]</f>
        <v>Liberica-Medium</v>
      </c>
      <c r="AB93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940" spans="1:28" x14ac:dyDescent="0.25">
      <c r="A940" s="2" t="s">
        <v>1561</v>
      </c>
      <c r="B940" s="4">
        <v>43845</v>
      </c>
      <c r="C940" s="2" t="s">
        <v>1562</v>
      </c>
      <c r="D940" t="s">
        <v>6181</v>
      </c>
      <c r="E940" s="2">
        <v>1</v>
      </c>
      <c r="F940" s="2" t="str">
        <f>_xlfn.XLOOKUP(C940,customers!$A$1:$A$1001,customers!$B$1:$B$1001,,0)</f>
        <v>Madelene Prinn</v>
      </c>
      <c r="G940" s="2" t="str">
        <f>IF(_xlfn.XLOOKUP(C940,customers!$A$1:$A$1001,customers!$C$1:$C$1001,,0)=0,"",_xlfn.XLOOKUP(C940,customers!$A$1:$A$1001,customers!$C$1:$C$1001,,0))</f>
        <v>mprinn5a@usa.gov</v>
      </c>
      <c r="H940" s="2" t="str">
        <f>_xlfn.XLOOKUP(C940,customers!$A$1:$A$1001,customers!$G$1:$G$1001,,0)</f>
        <v>United States</v>
      </c>
      <c r="I940" t="str">
        <f>INDEX(products!$A$1:$G$49, MATCH(orders!$D192,products!$A$1:$A239,0), MATCH(orders!I$1,products!$A$1:$G$1,0))</f>
        <v>Lib</v>
      </c>
      <c r="J940" t="str">
        <f>INDEX(products!$A$1:$G$49, MATCH(orders!$D192,products!$A$1:$A239,0), MATCH(orders!J$1,products!$A$1:$G$1,0))</f>
        <v>M</v>
      </c>
      <c r="K940" s="5">
        <f>INDEX(products!$A$1:$G$49, MATCH(orders!$D192,products!$A$1:$A239,0), MATCH(orders!K$1,products!$A$1:$G$1,0))</f>
        <v>2.5</v>
      </c>
      <c r="L940" s="6">
        <f>INDEX(products!$A$1:$G$49, MATCH(orders!$D192,products!$A$1:$A239,0), MATCH(orders!L$1,products!$A$1:$G$1,0))</f>
        <v>33.464999999999996</v>
      </c>
      <c r="M940" s="6">
        <f t="shared" si="42"/>
        <v>33.464999999999996</v>
      </c>
      <c r="N940" t="str">
        <f t="shared" si="43"/>
        <v>Liberica</v>
      </c>
      <c r="O940" t="str">
        <f t="shared" si="44"/>
        <v>Medium</v>
      </c>
      <c r="P940" t="str">
        <f>_xlfn.XLOOKUP(Orders[[#This Row],[Customer ID]],customers!$A$1:$A$1001,customers!$I$1:$I$1001,,0)</f>
        <v>Yes</v>
      </c>
      <c r="Q940">
        <f>COUNTIF(Orders[Order ID],Orders[[#This Row],[Order ID]])</f>
        <v>1</v>
      </c>
      <c r="R940" s="10">
        <f>SUMIF(Orders[Order ID], Orders[[#This Row],[Order ID]],Orders[Sales])/Orders[[#This Row],[Order Frequency]]</f>
        <v>33.464999999999996</v>
      </c>
      <c r="S940" t="str">
        <f>IF(Orders[[#This Row],[Order Frequency]]&gt;4, "More than 4", IF(AND(Orders[[#This Row],[Order Frequency]]&lt;=4,Orders[[#This Row],[Order Frequency]]&gt;=2), "Between 4 and 2", "Less than 2"))</f>
        <v>Less than 2</v>
      </c>
      <c r="T940" t="str">
        <f>IF(Orders[[#This Row],[Frequency Group]]="less than 2", "Low Value", IF(Orders[[#This Row],[Frequency Group]]="between 4 and 2", "Medium Value", "High Value"))</f>
        <v>Low Value</v>
      </c>
      <c r="U940" t="str">
        <f>IF(Orders[[#This Row],[Sales]]&lt;50, "$0-50", IF(AND(Orders[[#This Row],[Sales]]&gt;=50,Orders[[#This Row],[Sales]]&lt;=100), "$50-100", IF(AND(Orders[[#This Row],[Sales]]&gt;100,Orders[[#This Row],[Sales]]&lt;=150), "$101-150", "$150+")))</f>
        <v>$0-50</v>
      </c>
      <c r="V940" t="str">
        <f>IF(Orders[[#This Row],[Sales]]&gt;MEDIAN(M:M), "High Price", "Low Price")</f>
        <v>High Price</v>
      </c>
      <c r="W940" t="str">
        <f>IF(Orders[[#This Row],[Quantity]]&gt;MEDIAN(E:E), "High Volume", "Low Volume")</f>
        <v>Low Volume</v>
      </c>
      <c r="X940" t="str">
        <f>Orders[[#This Row],[Sales Tier]] &amp; "-" &amp; Orders[[#This Row],[Quantity Tier]]</f>
        <v>High Price-Low Volume</v>
      </c>
      <c r="Y940" t="str">
        <f>TEXT(Orders[[#This Row],[Order Date]], "mmmm")</f>
        <v>January</v>
      </c>
      <c r="Z94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940" t="str">
        <f>Orders[[#This Row],[Coffee Type Name]] &amp; "-" &amp; Orders[[#This Row],[Roast Type Name]]</f>
        <v>Liberica-Medium</v>
      </c>
      <c r="AB94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941" spans="1:28" x14ac:dyDescent="0.25">
      <c r="A941" s="2" t="s">
        <v>1123</v>
      </c>
      <c r="B941" s="4">
        <v>43556</v>
      </c>
      <c r="C941" s="2" t="s">
        <v>1124</v>
      </c>
      <c r="D941" t="s">
        <v>6162</v>
      </c>
      <c r="E941" s="2">
        <v>1</v>
      </c>
      <c r="F941" s="2" t="str">
        <f>_xlfn.XLOOKUP(C941,customers!$A$1:$A$1001,customers!$B$1:$B$1001,,0)</f>
        <v>Merrel Steptow</v>
      </c>
      <c r="G941" s="2" t="str">
        <f>IF(_xlfn.XLOOKUP(C941,customers!$A$1:$A$1001,customers!$C$1:$C$1001,,0)=0,"",_xlfn.XLOOKUP(C941,customers!$A$1:$A$1001,customers!$C$1:$C$1001,,0))</f>
        <v>msteptow35@earthlink.net</v>
      </c>
      <c r="H941" s="2" t="str">
        <f>_xlfn.XLOOKUP(C941,customers!$A$1:$A$1001,customers!$G$1:$G$1001,,0)</f>
        <v>Ireland</v>
      </c>
      <c r="I941" t="str">
        <f>INDEX(products!$A$1:$G$49, MATCH(orders!$D115,products!$A$1:$A162,0), MATCH(orders!I$1,products!$A$1:$G$1,0))</f>
        <v>Lib</v>
      </c>
      <c r="J941" t="str">
        <f>INDEX(products!$A$1:$G$49, MATCH(orders!$D115,products!$A$1:$A162,0), MATCH(orders!J$1,products!$A$1:$G$1,0))</f>
        <v>M</v>
      </c>
      <c r="K941" s="5">
        <f>INDEX(products!$A$1:$G$49, MATCH(orders!$D115,products!$A$1:$A162,0), MATCH(orders!K$1,products!$A$1:$G$1,0))</f>
        <v>1</v>
      </c>
      <c r="L941" s="6">
        <f>INDEX(products!$A$1:$G$49, MATCH(orders!$D115,products!$A$1:$A162,0), MATCH(orders!L$1,products!$A$1:$G$1,0))</f>
        <v>14.55</v>
      </c>
      <c r="M941" s="6">
        <f t="shared" si="42"/>
        <v>14.55</v>
      </c>
      <c r="N941" t="str">
        <f t="shared" si="43"/>
        <v>Liberica</v>
      </c>
      <c r="O941" t="str">
        <f t="shared" si="44"/>
        <v>Medium</v>
      </c>
      <c r="P941" t="str">
        <f>_xlfn.XLOOKUP(Orders[[#This Row],[Customer ID]],customers!$A$1:$A$1001,customers!$I$1:$I$1001,,0)</f>
        <v>No</v>
      </c>
      <c r="Q941">
        <f>COUNTIF(Orders[Order ID],Orders[[#This Row],[Order ID]])</f>
        <v>1</v>
      </c>
      <c r="R941" s="10">
        <f>SUMIF(Orders[Order ID], Orders[[#This Row],[Order ID]],Orders[Sales])/Orders[[#This Row],[Order Frequency]]</f>
        <v>14.55</v>
      </c>
      <c r="S941" t="str">
        <f>IF(Orders[[#This Row],[Order Frequency]]&gt;4, "More than 4", IF(AND(Orders[[#This Row],[Order Frequency]]&lt;=4,Orders[[#This Row],[Order Frequency]]&gt;=2), "Between 4 and 2", "Less than 2"))</f>
        <v>Less than 2</v>
      </c>
      <c r="T941" t="str">
        <f>IF(Orders[[#This Row],[Frequency Group]]="less than 2", "Low Value", IF(Orders[[#This Row],[Frequency Group]]="between 4 and 2", "Medium Value", "High Value"))</f>
        <v>Low Value</v>
      </c>
      <c r="U941" t="str">
        <f>IF(Orders[[#This Row],[Sales]]&lt;50, "$0-50", IF(AND(Orders[[#This Row],[Sales]]&gt;=50,Orders[[#This Row],[Sales]]&lt;=100), "$50-100", IF(AND(Orders[[#This Row],[Sales]]&gt;100,Orders[[#This Row],[Sales]]&lt;=150), "$101-150", "$150+")))</f>
        <v>$0-50</v>
      </c>
      <c r="V941" t="str">
        <f>IF(Orders[[#This Row],[Sales]]&gt;MEDIAN(M:M), "High Price", "Low Price")</f>
        <v>Low Price</v>
      </c>
      <c r="W941" t="str">
        <f>IF(Orders[[#This Row],[Quantity]]&gt;MEDIAN(E:E), "High Volume", "Low Volume")</f>
        <v>Low Volume</v>
      </c>
      <c r="X941" t="str">
        <f>Orders[[#This Row],[Sales Tier]] &amp; "-" &amp; Orders[[#This Row],[Quantity Tier]]</f>
        <v>Low Price-Low Volume</v>
      </c>
      <c r="Y941" t="str">
        <f>TEXT(Orders[[#This Row],[Order Date]], "mmmm")</f>
        <v>April</v>
      </c>
      <c r="Z94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941" t="str">
        <f>Orders[[#This Row],[Coffee Type Name]] &amp; "-" &amp; Orders[[#This Row],[Roast Type Name]]</f>
        <v>Liberica-Medium</v>
      </c>
      <c r="AB94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942" spans="1:28" x14ac:dyDescent="0.25">
      <c r="A942" s="2" t="s">
        <v>784</v>
      </c>
      <c r="B942" s="4">
        <v>43719</v>
      </c>
      <c r="C942" s="2" t="s">
        <v>785</v>
      </c>
      <c r="D942" t="s">
        <v>6146</v>
      </c>
      <c r="E942" s="2">
        <v>5</v>
      </c>
      <c r="F942" s="2" t="str">
        <f>_xlfn.XLOOKUP(C942,customers!$A$1:$A$1001,customers!$B$1:$B$1001,,0)</f>
        <v>Hartley Mattioli</v>
      </c>
      <c r="G942" s="2" t="str">
        <f>IF(_xlfn.XLOOKUP(C942,customers!$A$1:$A$1001,customers!$C$1:$C$1001,,0)=0,"",_xlfn.XLOOKUP(C942,customers!$A$1:$A$1001,customers!$C$1:$C$1001,,0))</f>
        <v>hmattioli1g@webmd.com</v>
      </c>
      <c r="H942" s="2" t="str">
        <f>_xlfn.XLOOKUP(C942,customers!$A$1:$A$1001,customers!$G$1:$G$1001,,0)</f>
        <v>United Kingdom</v>
      </c>
      <c r="I942" t="str">
        <f>INDEX(products!$A$1:$G$49, MATCH(orders!$D54,products!$A$1:$A101,0), MATCH(orders!I$1,products!$A$1:$G$1,0))</f>
        <v>Rob</v>
      </c>
      <c r="J942" t="str">
        <f>INDEX(products!$A$1:$G$49, MATCH(orders!$D54,products!$A$1:$A101,0), MATCH(orders!J$1,products!$A$1:$G$1,0))</f>
        <v>M</v>
      </c>
      <c r="K942" s="5">
        <f>INDEX(products!$A$1:$G$49, MATCH(orders!$D54,products!$A$1:$A101,0), MATCH(orders!K$1,products!$A$1:$G$1,0))</f>
        <v>0.5</v>
      </c>
      <c r="L942" s="6">
        <f>INDEX(products!$A$1:$G$49, MATCH(orders!$D54,products!$A$1:$A101,0), MATCH(orders!L$1,products!$A$1:$G$1,0))</f>
        <v>5.97</v>
      </c>
      <c r="M942" s="6">
        <f t="shared" si="42"/>
        <v>29.849999999999998</v>
      </c>
      <c r="N942" t="str">
        <f t="shared" si="43"/>
        <v>Robusta</v>
      </c>
      <c r="O942" t="str">
        <f t="shared" si="44"/>
        <v>Medium</v>
      </c>
      <c r="P942" t="str">
        <f>_xlfn.XLOOKUP(Orders[[#This Row],[Customer ID]],customers!$A$1:$A$1001,customers!$I$1:$I$1001,,0)</f>
        <v>No</v>
      </c>
      <c r="Q942">
        <f>COUNTIF(Orders[Order ID],Orders[[#This Row],[Order ID]])</f>
        <v>2</v>
      </c>
      <c r="R942" s="10">
        <f>SUMIF(Orders[Order ID], Orders[[#This Row],[Order ID]],Orders[Sales])/Orders[[#This Row],[Order Frequency]]</f>
        <v>51.379999999999995</v>
      </c>
      <c r="S942" t="str">
        <f>IF(Orders[[#This Row],[Order Frequency]]&gt;4, "More than 4", IF(AND(Orders[[#This Row],[Order Frequency]]&lt;=4,Orders[[#This Row],[Order Frequency]]&gt;=2), "Between 4 and 2", "Less than 2"))</f>
        <v>Between 4 and 2</v>
      </c>
      <c r="T942" t="str">
        <f>IF(Orders[[#This Row],[Frequency Group]]="less than 2", "Low Value", IF(Orders[[#This Row],[Frequency Group]]="between 4 and 2", "Medium Value", "High Value"))</f>
        <v>Medium Value</v>
      </c>
      <c r="U942" t="str">
        <f>IF(Orders[[#This Row],[Sales]]&lt;50, "$0-50", IF(AND(Orders[[#This Row],[Sales]]&gt;=50,Orders[[#This Row],[Sales]]&lt;=100), "$50-100", IF(AND(Orders[[#This Row],[Sales]]&gt;100,Orders[[#This Row],[Sales]]&lt;=150), "$101-150", "$150+")))</f>
        <v>$0-50</v>
      </c>
      <c r="V942" t="str">
        <f>IF(Orders[[#This Row],[Sales]]&gt;MEDIAN(M:M), "High Price", "Low Price")</f>
        <v>High Price</v>
      </c>
      <c r="W942" t="str">
        <f>IF(Orders[[#This Row],[Quantity]]&gt;MEDIAN(E:E), "High Volume", "Low Volume")</f>
        <v>High Volume</v>
      </c>
      <c r="X942" t="str">
        <f>Orders[[#This Row],[Sales Tier]] &amp; "-" &amp; Orders[[#This Row],[Quantity Tier]]</f>
        <v>High Price-High Volume</v>
      </c>
      <c r="Y942" t="str">
        <f>TEXT(Orders[[#This Row],[Order Date]], "mmmm")</f>
        <v>September</v>
      </c>
      <c r="Z94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942" t="str">
        <f>Orders[[#This Row],[Coffee Type Name]] &amp; "-" &amp; Orders[[#This Row],[Roast Type Name]]</f>
        <v>Robusta-Medium</v>
      </c>
      <c r="AB94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943" spans="1:28" x14ac:dyDescent="0.25">
      <c r="A943" s="2" t="s">
        <v>784</v>
      </c>
      <c r="B943" s="4">
        <v>43719</v>
      </c>
      <c r="C943" s="2" t="s">
        <v>785</v>
      </c>
      <c r="D943" t="s">
        <v>6164</v>
      </c>
      <c r="E943" s="2">
        <v>2</v>
      </c>
      <c r="F943" s="2" t="str">
        <f>_xlfn.XLOOKUP(C943,customers!$A$1:$A$1001,customers!$B$1:$B$1001,,0)</f>
        <v>Hartley Mattioli</v>
      </c>
      <c r="G943" s="2" t="str">
        <f>IF(_xlfn.XLOOKUP(C943,customers!$A$1:$A$1001,customers!$C$1:$C$1001,,0)=0,"",_xlfn.XLOOKUP(C943,customers!$A$1:$A$1001,customers!$C$1:$C$1001,,0))</f>
        <v>hmattioli1g@webmd.com</v>
      </c>
      <c r="H943" s="2" t="str">
        <f>_xlfn.XLOOKUP(C943,customers!$A$1:$A$1001,customers!$G$1:$G$1001,,0)</f>
        <v>United Kingdom</v>
      </c>
      <c r="I943" t="str">
        <f>INDEX(products!$A$1:$G$49, MATCH(orders!$D55,products!$A$1:$A102,0), MATCH(orders!I$1,products!$A$1:$G$1,0))</f>
        <v>Lib</v>
      </c>
      <c r="J943" t="str">
        <f>INDEX(products!$A$1:$G$49, MATCH(orders!$D55,products!$A$1:$A102,0), MATCH(orders!J$1,products!$A$1:$G$1,0))</f>
        <v>L</v>
      </c>
      <c r="K943" s="5">
        <f>INDEX(products!$A$1:$G$49, MATCH(orders!$D55,products!$A$1:$A102,0), MATCH(orders!K$1,products!$A$1:$G$1,0))</f>
        <v>2.5</v>
      </c>
      <c r="L943" s="6">
        <f>INDEX(products!$A$1:$G$49, MATCH(orders!$D55,products!$A$1:$A102,0), MATCH(orders!L$1,products!$A$1:$G$1,0))</f>
        <v>36.454999999999998</v>
      </c>
      <c r="M943" s="6">
        <f t="shared" si="42"/>
        <v>72.91</v>
      </c>
      <c r="N943" t="str">
        <f t="shared" si="43"/>
        <v>Liberica</v>
      </c>
      <c r="O943" t="str">
        <f t="shared" si="44"/>
        <v>Light</v>
      </c>
      <c r="P943" t="str">
        <f>_xlfn.XLOOKUP(Orders[[#This Row],[Customer ID]],customers!$A$1:$A$1001,customers!$I$1:$I$1001,,0)</f>
        <v>No</v>
      </c>
      <c r="Q943">
        <f>COUNTIF(Orders[Order ID],Orders[[#This Row],[Order ID]])</f>
        <v>2</v>
      </c>
      <c r="R943" s="10">
        <f>SUMIF(Orders[Order ID], Orders[[#This Row],[Order ID]],Orders[Sales])/Orders[[#This Row],[Order Frequency]]</f>
        <v>51.379999999999995</v>
      </c>
      <c r="S943" t="str">
        <f>IF(Orders[[#This Row],[Order Frequency]]&gt;4, "More than 4", IF(AND(Orders[[#This Row],[Order Frequency]]&lt;=4,Orders[[#This Row],[Order Frequency]]&gt;=2), "Between 4 and 2", "Less than 2"))</f>
        <v>Between 4 and 2</v>
      </c>
      <c r="T943" t="str">
        <f>IF(Orders[[#This Row],[Frequency Group]]="less than 2", "Low Value", IF(Orders[[#This Row],[Frequency Group]]="between 4 and 2", "Medium Value", "High Value"))</f>
        <v>Medium Value</v>
      </c>
      <c r="U943" t="str">
        <f>IF(Orders[[#This Row],[Sales]]&lt;50, "$0-50", IF(AND(Orders[[#This Row],[Sales]]&gt;=50,Orders[[#This Row],[Sales]]&lt;=100), "$50-100", IF(AND(Orders[[#This Row],[Sales]]&gt;100,Orders[[#This Row],[Sales]]&lt;=150), "$101-150", "$150+")))</f>
        <v>$50-100</v>
      </c>
      <c r="V943" t="str">
        <f>IF(Orders[[#This Row],[Sales]]&gt;MEDIAN(M:M), "High Price", "Low Price")</f>
        <v>High Price</v>
      </c>
      <c r="W943" t="str">
        <f>IF(Orders[[#This Row],[Quantity]]&gt;MEDIAN(E:E), "High Volume", "Low Volume")</f>
        <v>Low Volume</v>
      </c>
      <c r="X943" t="str">
        <f>Orders[[#This Row],[Sales Tier]] &amp; "-" &amp; Orders[[#This Row],[Quantity Tier]]</f>
        <v>High Price-Low Volume</v>
      </c>
      <c r="Y943" t="str">
        <f>TEXT(Orders[[#This Row],[Order Date]], "mmmm")</f>
        <v>September</v>
      </c>
      <c r="Z94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943" t="str">
        <f>Orders[[#This Row],[Coffee Type Name]] &amp; "-" &amp; Orders[[#This Row],[Roast Type Name]]</f>
        <v>Liberica-Light</v>
      </c>
      <c r="AB94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944" spans="1:28" x14ac:dyDescent="0.25">
      <c r="A944" s="2" t="s">
        <v>5339</v>
      </c>
      <c r="B944" s="4">
        <v>43638</v>
      </c>
      <c r="C944" s="2" t="s">
        <v>5340</v>
      </c>
      <c r="D944" t="s">
        <v>6160</v>
      </c>
      <c r="E944" s="2">
        <v>4</v>
      </c>
      <c r="F944" s="2" t="str">
        <f>_xlfn.XLOOKUP(C944,customers!$A$1:$A$1001,customers!$B$1:$B$1001,,0)</f>
        <v>Shelley Titley</v>
      </c>
      <c r="G944" s="2" t="str">
        <f>IF(_xlfn.XLOOKUP(C944,customers!$A$1:$A$1001,customers!$C$1:$C$1001,,0)=0,"",_xlfn.XLOOKUP(C944,customers!$A$1:$A$1001,customers!$C$1:$C$1001,,0))</f>
        <v>stitleynu@whitehouse.gov</v>
      </c>
      <c r="H944" s="2" t="str">
        <f>_xlfn.XLOOKUP(C944,customers!$A$1:$A$1001,customers!$G$1:$G$1001,,0)</f>
        <v>United States</v>
      </c>
      <c r="I944" t="str">
        <f>INDEX(products!$A$1:$G$49, MATCH(orders!$D860,products!$A$1:$A907,0), MATCH(orders!I$1,products!$A$1:$G$1,0))</f>
        <v>Lib</v>
      </c>
      <c r="J944" t="str">
        <f>INDEX(products!$A$1:$G$49, MATCH(orders!$D860,products!$A$1:$A907,0), MATCH(orders!J$1,products!$A$1:$G$1,0))</f>
        <v>M</v>
      </c>
      <c r="K944" s="5">
        <f>INDEX(products!$A$1:$G$49, MATCH(orders!$D860,products!$A$1:$A907,0), MATCH(orders!K$1,products!$A$1:$G$1,0))</f>
        <v>0.5</v>
      </c>
      <c r="L944" s="6">
        <f>INDEX(products!$A$1:$G$49, MATCH(orders!$D860,products!$A$1:$A907,0), MATCH(orders!L$1,products!$A$1:$G$1,0))</f>
        <v>8.73</v>
      </c>
      <c r="M944" s="6">
        <f t="shared" si="42"/>
        <v>34.92</v>
      </c>
      <c r="N944" t="str">
        <f t="shared" si="43"/>
        <v>Liberica</v>
      </c>
      <c r="O944" t="str">
        <f t="shared" si="44"/>
        <v>Medium</v>
      </c>
      <c r="P944" t="str">
        <f>_xlfn.XLOOKUP(Orders[[#This Row],[Customer ID]],customers!$A$1:$A$1001,customers!$I$1:$I$1001,,0)</f>
        <v>No</v>
      </c>
      <c r="Q944">
        <f>COUNTIF(Orders[Order ID],Orders[[#This Row],[Order ID]])</f>
        <v>1</v>
      </c>
      <c r="R944" s="10">
        <f>SUMIF(Orders[Order ID], Orders[[#This Row],[Order ID]],Orders[Sales])/Orders[[#This Row],[Order Frequency]]</f>
        <v>34.92</v>
      </c>
      <c r="S944" t="str">
        <f>IF(Orders[[#This Row],[Order Frequency]]&gt;4, "More than 4", IF(AND(Orders[[#This Row],[Order Frequency]]&lt;=4,Orders[[#This Row],[Order Frequency]]&gt;=2), "Between 4 and 2", "Less than 2"))</f>
        <v>Less than 2</v>
      </c>
      <c r="T944" t="str">
        <f>IF(Orders[[#This Row],[Frequency Group]]="less than 2", "Low Value", IF(Orders[[#This Row],[Frequency Group]]="between 4 and 2", "Medium Value", "High Value"))</f>
        <v>Low Value</v>
      </c>
      <c r="U944" t="str">
        <f>IF(Orders[[#This Row],[Sales]]&lt;50, "$0-50", IF(AND(Orders[[#This Row],[Sales]]&gt;=50,Orders[[#This Row],[Sales]]&lt;=100), "$50-100", IF(AND(Orders[[#This Row],[Sales]]&gt;100,Orders[[#This Row],[Sales]]&lt;=150), "$101-150", "$150+")))</f>
        <v>$0-50</v>
      </c>
      <c r="V944" t="str">
        <f>IF(Orders[[#This Row],[Sales]]&gt;MEDIAN(M:M), "High Price", "Low Price")</f>
        <v>High Price</v>
      </c>
      <c r="W944" t="str">
        <f>IF(Orders[[#This Row],[Quantity]]&gt;MEDIAN(E:E), "High Volume", "Low Volume")</f>
        <v>Low Volume</v>
      </c>
      <c r="X944" t="str">
        <f>Orders[[#This Row],[Sales Tier]] &amp; "-" &amp; Orders[[#This Row],[Quantity Tier]]</f>
        <v>High Price-Low Volume</v>
      </c>
      <c r="Y944" t="str">
        <f>TEXT(Orders[[#This Row],[Order Date]], "mmmm")</f>
        <v>June</v>
      </c>
      <c r="Z94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944" t="str">
        <f>Orders[[#This Row],[Coffee Type Name]] &amp; "-" &amp; Orders[[#This Row],[Roast Type Name]]</f>
        <v>Liberica-Medium</v>
      </c>
      <c r="AB94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945" spans="1:28" x14ac:dyDescent="0.25">
      <c r="A945" s="2" t="s">
        <v>2169</v>
      </c>
      <c r="B945" s="4">
        <v>43872</v>
      </c>
      <c r="C945" s="2" t="s">
        <v>2170</v>
      </c>
      <c r="D945" t="s">
        <v>6184</v>
      </c>
      <c r="E945" s="2">
        <v>6</v>
      </c>
      <c r="F945" s="2" t="str">
        <f>_xlfn.XLOOKUP(C945,customers!$A$1:$A$1001,customers!$B$1:$B$1001,,0)</f>
        <v>Ken Lestrange</v>
      </c>
      <c r="G945" s="2" t="str">
        <f>IF(_xlfn.XLOOKUP(C945,customers!$A$1:$A$1001,customers!$C$1:$C$1001,,0)=0,"",_xlfn.XLOOKUP(C945,customers!$A$1:$A$1001,customers!$C$1:$C$1001,,0))</f>
        <v>klestrange8a@lulu.com</v>
      </c>
      <c r="H945" s="2" t="str">
        <f>_xlfn.XLOOKUP(C945,customers!$A$1:$A$1001,customers!$G$1:$G$1001,,0)</f>
        <v>United States</v>
      </c>
      <c r="I945" t="str">
        <f>INDEX(products!$A$1:$G$49, MATCH(orders!$D300,products!$A$1:$A347,0), MATCH(orders!I$1,products!$A$1:$G$1,0))</f>
        <v>Exc</v>
      </c>
      <c r="J945" t="str">
        <f>INDEX(products!$A$1:$G$49, MATCH(orders!$D300,products!$A$1:$A347,0), MATCH(orders!J$1,products!$A$1:$G$1,0))</f>
        <v>L</v>
      </c>
      <c r="K945" s="5">
        <f>INDEX(products!$A$1:$G$49, MATCH(orders!$D300,products!$A$1:$A347,0), MATCH(orders!K$1,products!$A$1:$G$1,0))</f>
        <v>0.2</v>
      </c>
      <c r="L945" s="6">
        <f>INDEX(products!$A$1:$G$49, MATCH(orders!$D300,products!$A$1:$A347,0), MATCH(orders!L$1,products!$A$1:$G$1,0))</f>
        <v>4.4550000000000001</v>
      </c>
      <c r="M945" s="6">
        <f t="shared" si="42"/>
        <v>26.73</v>
      </c>
      <c r="N945" t="str">
        <f t="shared" si="43"/>
        <v>Excelsa</v>
      </c>
      <c r="O945" t="str">
        <f t="shared" si="44"/>
        <v>Light</v>
      </c>
      <c r="P945" t="str">
        <f>_xlfn.XLOOKUP(Orders[[#This Row],[Customer ID]],customers!$A$1:$A$1001,customers!$I$1:$I$1001,,0)</f>
        <v>Yes</v>
      </c>
      <c r="Q945">
        <f>COUNTIF(Orders[Order ID],Orders[[#This Row],[Order ID]])</f>
        <v>1</v>
      </c>
      <c r="R945" s="10">
        <f>SUMIF(Orders[Order ID], Orders[[#This Row],[Order ID]],Orders[Sales])/Orders[[#This Row],[Order Frequency]]</f>
        <v>26.73</v>
      </c>
      <c r="S945" t="str">
        <f>IF(Orders[[#This Row],[Order Frequency]]&gt;4, "More than 4", IF(AND(Orders[[#This Row],[Order Frequency]]&lt;=4,Orders[[#This Row],[Order Frequency]]&gt;=2), "Between 4 and 2", "Less than 2"))</f>
        <v>Less than 2</v>
      </c>
      <c r="T945" t="str">
        <f>IF(Orders[[#This Row],[Frequency Group]]="less than 2", "Low Value", IF(Orders[[#This Row],[Frequency Group]]="between 4 and 2", "Medium Value", "High Value"))</f>
        <v>Low Value</v>
      </c>
      <c r="U945" t="str">
        <f>IF(Orders[[#This Row],[Sales]]&lt;50, "$0-50", IF(AND(Orders[[#This Row],[Sales]]&gt;=50,Orders[[#This Row],[Sales]]&lt;=100), "$50-100", IF(AND(Orders[[#This Row],[Sales]]&gt;100,Orders[[#This Row],[Sales]]&lt;=150), "$101-150", "$150+")))</f>
        <v>$0-50</v>
      </c>
      <c r="V945" t="str">
        <f>IF(Orders[[#This Row],[Sales]]&gt;MEDIAN(M:M), "High Price", "Low Price")</f>
        <v>Low Price</v>
      </c>
      <c r="W945" t="str">
        <f>IF(Orders[[#This Row],[Quantity]]&gt;MEDIAN(E:E), "High Volume", "Low Volume")</f>
        <v>High Volume</v>
      </c>
      <c r="X945" t="str">
        <f>Orders[[#This Row],[Sales Tier]] &amp; "-" &amp; Orders[[#This Row],[Quantity Tier]]</f>
        <v>Low Price-High Volume</v>
      </c>
      <c r="Y945" t="str">
        <f>TEXT(Orders[[#This Row],[Order Date]], "mmmm")</f>
        <v>February</v>
      </c>
      <c r="Z94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945" t="str">
        <f>Orders[[#This Row],[Coffee Type Name]] &amp; "-" &amp; Orders[[#This Row],[Roast Type Name]]</f>
        <v>Excelsa-Light</v>
      </c>
      <c r="AB94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946" spans="1:28" x14ac:dyDescent="0.25">
      <c r="A946" s="2" t="s">
        <v>5926</v>
      </c>
      <c r="B946" s="4">
        <v>44664</v>
      </c>
      <c r="C946" s="2" t="s">
        <v>5927</v>
      </c>
      <c r="D946" t="s">
        <v>6177</v>
      </c>
      <c r="E946" s="2">
        <v>1</v>
      </c>
      <c r="F946" s="2" t="str">
        <f>_xlfn.XLOOKUP(C946,customers!$A$1:$A$1001,customers!$B$1:$B$1001,,0)</f>
        <v>Morly Rocks</v>
      </c>
      <c r="G946" s="2" t="str">
        <f>IF(_xlfn.XLOOKUP(C946,customers!$A$1:$A$1001,customers!$C$1:$C$1001,,0)=0,"",_xlfn.XLOOKUP(C946,customers!$A$1:$A$1001,customers!$C$1:$C$1001,,0))</f>
        <v>mrocksqq@exblog.jp</v>
      </c>
      <c r="H946" s="2" t="str">
        <f>_xlfn.XLOOKUP(C946,customers!$A$1:$A$1001,customers!$G$1:$G$1001,,0)</f>
        <v>Ireland</v>
      </c>
      <c r="I946" t="str">
        <f>INDEX(products!$A$1:$G$49, MATCH(orders!$D964,products!$A$1:$A1011,0), MATCH(orders!I$1,products!$A$1:$G$1,0))</f>
        <v>Rob</v>
      </c>
      <c r="J946" t="str">
        <f>INDEX(products!$A$1:$G$49, MATCH(orders!$D964,products!$A$1:$A1011,0), MATCH(orders!J$1,products!$A$1:$G$1,0))</f>
        <v>D</v>
      </c>
      <c r="K946" s="5">
        <f>INDEX(products!$A$1:$G$49, MATCH(orders!$D964,products!$A$1:$A1011,0), MATCH(orders!K$1,products!$A$1:$G$1,0))</f>
        <v>1</v>
      </c>
      <c r="L946" s="6">
        <f>INDEX(products!$A$1:$G$49, MATCH(orders!$D964,products!$A$1:$A1011,0), MATCH(orders!L$1,products!$A$1:$G$1,0))</f>
        <v>8.9499999999999993</v>
      </c>
      <c r="M946" s="6">
        <f t="shared" si="42"/>
        <v>8.9499999999999993</v>
      </c>
      <c r="N946" t="str">
        <f t="shared" si="43"/>
        <v>Robusta</v>
      </c>
      <c r="O946" t="str">
        <f t="shared" si="44"/>
        <v>Dark</v>
      </c>
      <c r="P946" t="str">
        <f>_xlfn.XLOOKUP(Orders[[#This Row],[Customer ID]],customers!$A$1:$A$1001,customers!$I$1:$I$1001,,0)</f>
        <v>Yes</v>
      </c>
      <c r="Q946">
        <f>COUNTIF(Orders[Order ID],Orders[[#This Row],[Order ID]])</f>
        <v>1</v>
      </c>
      <c r="R946" s="10">
        <f>SUMIF(Orders[Order ID], Orders[[#This Row],[Order ID]],Orders[Sales])/Orders[[#This Row],[Order Frequency]]</f>
        <v>8.9499999999999993</v>
      </c>
      <c r="S946" t="str">
        <f>IF(Orders[[#This Row],[Order Frequency]]&gt;4, "More than 4", IF(AND(Orders[[#This Row],[Order Frequency]]&lt;=4,Orders[[#This Row],[Order Frequency]]&gt;=2), "Between 4 and 2", "Less than 2"))</f>
        <v>Less than 2</v>
      </c>
      <c r="T946" t="str">
        <f>IF(Orders[[#This Row],[Frequency Group]]="less than 2", "Low Value", IF(Orders[[#This Row],[Frequency Group]]="between 4 and 2", "Medium Value", "High Value"))</f>
        <v>Low Value</v>
      </c>
      <c r="U946" t="str">
        <f>IF(Orders[[#This Row],[Sales]]&lt;50, "$0-50", IF(AND(Orders[[#This Row],[Sales]]&gt;=50,Orders[[#This Row],[Sales]]&lt;=100), "$50-100", IF(AND(Orders[[#This Row],[Sales]]&gt;100,Orders[[#This Row],[Sales]]&lt;=150), "$101-150", "$150+")))</f>
        <v>$0-50</v>
      </c>
      <c r="V946" t="str">
        <f>IF(Orders[[#This Row],[Sales]]&gt;MEDIAN(M:M), "High Price", "Low Price")</f>
        <v>Low Price</v>
      </c>
      <c r="W946" t="str">
        <f>IF(Orders[[#This Row],[Quantity]]&gt;MEDIAN(E:E), "High Volume", "Low Volume")</f>
        <v>Low Volume</v>
      </c>
      <c r="X946" t="str">
        <f>Orders[[#This Row],[Sales Tier]] &amp; "-" &amp; Orders[[#This Row],[Quantity Tier]]</f>
        <v>Low Price-Low Volume</v>
      </c>
      <c r="Y946" t="str">
        <f>TEXT(Orders[[#This Row],[Order Date]], "mmmm")</f>
        <v>April</v>
      </c>
      <c r="Z94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946" t="str">
        <f>Orders[[#This Row],[Coffee Type Name]] &amp; "-" &amp; Orders[[#This Row],[Roast Type Name]]</f>
        <v>Robusta-Dark</v>
      </c>
      <c r="AB94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947" spans="1:28" x14ac:dyDescent="0.25">
      <c r="A947" s="2" t="s">
        <v>1889</v>
      </c>
      <c r="B947" s="4">
        <v>44019</v>
      </c>
      <c r="C947" s="2" t="s">
        <v>1890</v>
      </c>
      <c r="D947" t="s">
        <v>6147</v>
      </c>
      <c r="E947" s="2">
        <v>1</v>
      </c>
      <c r="F947" s="2" t="str">
        <f>_xlfn.XLOOKUP(C947,customers!$A$1:$A$1001,customers!$B$1:$B$1001,,0)</f>
        <v>Lyn Entwistle</v>
      </c>
      <c r="G947" s="2" t="str">
        <f>IF(_xlfn.XLOOKUP(C947,customers!$A$1:$A$1001,customers!$C$1:$C$1001,,0)=0,"",_xlfn.XLOOKUP(C947,customers!$A$1:$A$1001,customers!$C$1:$C$1001,,0))</f>
        <v>lentwistle6w@omniture.com</v>
      </c>
      <c r="H947" s="2" t="str">
        <f>_xlfn.XLOOKUP(C947,customers!$A$1:$A$1001,customers!$G$1:$G$1001,,0)</f>
        <v>United States</v>
      </c>
      <c r="I947" t="str">
        <f>INDEX(products!$A$1:$G$49, MATCH(orders!$D250,products!$A$1:$A297,0), MATCH(orders!I$1,products!$A$1:$G$1,0))</f>
        <v>Ara</v>
      </c>
      <c r="J947" t="str">
        <f>INDEX(products!$A$1:$G$49, MATCH(orders!$D250,products!$A$1:$A297,0), MATCH(orders!J$1,products!$A$1:$G$1,0))</f>
        <v>D</v>
      </c>
      <c r="K947" s="5">
        <f>INDEX(products!$A$1:$G$49, MATCH(orders!$D250,products!$A$1:$A297,0), MATCH(orders!K$1,products!$A$1:$G$1,0))</f>
        <v>1</v>
      </c>
      <c r="L947" s="6">
        <f>INDEX(products!$A$1:$G$49, MATCH(orders!$D250,products!$A$1:$A297,0), MATCH(orders!L$1,products!$A$1:$G$1,0))</f>
        <v>9.9499999999999993</v>
      </c>
      <c r="M947" s="6">
        <f t="shared" si="42"/>
        <v>9.9499999999999993</v>
      </c>
      <c r="N947" t="str">
        <f t="shared" si="43"/>
        <v>Arabica</v>
      </c>
      <c r="O947" t="str">
        <f t="shared" si="44"/>
        <v>Dark</v>
      </c>
      <c r="P947" t="str">
        <f>_xlfn.XLOOKUP(Orders[[#This Row],[Customer ID]],customers!$A$1:$A$1001,customers!$I$1:$I$1001,,0)</f>
        <v>Yes</v>
      </c>
      <c r="Q947">
        <f>COUNTIF(Orders[Order ID],Orders[[#This Row],[Order ID]])</f>
        <v>1</v>
      </c>
      <c r="R947" s="10">
        <f>SUMIF(Orders[Order ID], Orders[[#This Row],[Order ID]],Orders[Sales])/Orders[[#This Row],[Order Frequency]]</f>
        <v>9.9499999999999993</v>
      </c>
      <c r="S947" t="str">
        <f>IF(Orders[[#This Row],[Order Frequency]]&gt;4, "More than 4", IF(AND(Orders[[#This Row],[Order Frequency]]&lt;=4,Orders[[#This Row],[Order Frequency]]&gt;=2), "Between 4 and 2", "Less than 2"))</f>
        <v>Less than 2</v>
      </c>
      <c r="T947" t="str">
        <f>IF(Orders[[#This Row],[Frequency Group]]="less than 2", "Low Value", IF(Orders[[#This Row],[Frequency Group]]="between 4 and 2", "Medium Value", "High Value"))</f>
        <v>Low Value</v>
      </c>
      <c r="U947" t="str">
        <f>IF(Orders[[#This Row],[Sales]]&lt;50, "$0-50", IF(AND(Orders[[#This Row],[Sales]]&gt;=50,Orders[[#This Row],[Sales]]&lt;=100), "$50-100", IF(AND(Orders[[#This Row],[Sales]]&gt;100,Orders[[#This Row],[Sales]]&lt;=150), "$101-150", "$150+")))</f>
        <v>$0-50</v>
      </c>
      <c r="V947" t="str">
        <f>IF(Orders[[#This Row],[Sales]]&gt;MEDIAN(M:M), "High Price", "Low Price")</f>
        <v>Low Price</v>
      </c>
      <c r="W947" t="str">
        <f>IF(Orders[[#This Row],[Quantity]]&gt;MEDIAN(E:E), "High Volume", "Low Volume")</f>
        <v>Low Volume</v>
      </c>
      <c r="X947" t="str">
        <f>Orders[[#This Row],[Sales Tier]] &amp; "-" &amp; Orders[[#This Row],[Quantity Tier]]</f>
        <v>Low Price-Low Volume</v>
      </c>
      <c r="Y947" t="str">
        <f>TEXT(Orders[[#This Row],[Order Date]], "mmmm")</f>
        <v>July</v>
      </c>
      <c r="Z94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947" t="str">
        <f>Orders[[#This Row],[Coffee Type Name]] &amp; "-" &amp; Orders[[#This Row],[Roast Type Name]]</f>
        <v>Arabica-Dark</v>
      </c>
      <c r="AB94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948" spans="1:28" x14ac:dyDescent="0.25">
      <c r="A948" s="2" t="s">
        <v>4881</v>
      </c>
      <c r="B948" s="4">
        <v>43541</v>
      </c>
      <c r="C948" s="2" t="s">
        <v>4882</v>
      </c>
      <c r="D948" t="s">
        <v>6182</v>
      </c>
      <c r="E948" s="2">
        <v>2</v>
      </c>
      <c r="F948" s="2" t="str">
        <f>_xlfn.XLOOKUP(C948,customers!$A$1:$A$1001,customers!$B$1:$B$1001,,0)</f>
        <v>Janella Eden</v>
      </c>
      <c r="G948" s="2" t="str">
        <f>IF(_xlfn.XLOOKUP(C948,customers!$A$1:$A$1001,customers!$C$1:$C$1001,,0)=0,"",_xlfn.XLOOKUP(C948,customers!$A$1:$A$1001,customers!$C$1:$C$1001,,0))</f>
        <v>jedenll@e-recht24.de</v>
      </c>
      <c r="H948" s="2" t="str">
        <f>_xlfn.XLOOKUP(C948,customers!$A$1:$A$1001,customers!$G$1:$G$1001,,0)</f>
        <v>United States</v>
      </c>
      <c r="I948" t="str">
        <f>INDEX(products!$A$1:$G$49, MATCH(orders!$D779,products!$A$1:$A826,0), MATCH(orders!I$1,products!$A$1:$G$1,0))</f>
        <v>Ara</v>
      </c>
      <c r="J948" t="str">
        <f>INDEX(products!$A$1:$G$49, MATCH(orders!$D779,products!$A$1:$A826,0), MATCH(orders!J$1,products!$A$1:$G$1,0))</f>
        <v>L</v>
      </c>
      <c r="K948" s="5">
        <f>INDEX(products!$A$1:$G$49, MATCH(orders!$D779,products!$A$1:$A826,0), MATCH(orders!K$1,products!$A$1:$G$1,0))</f>
        <v>2.5</v>
      </c>
      <c r="L948" s="6">
        <f>INDEX(products!$A$1:$G$49, MATCH(orders!$D779,products!$A$1:$A826,0), MATCH(orders!L$1,products!$A$1:$G$1,0))</f>
        <v>29.784999999999997</v>
      </c>
      <c r="M948" s="6">
        <f t="shared" si="42"/>
        <v>59.569999999999993</v>
      </c>
      <c r="N948" t="str">
        <f t="shared" si="43"/>
        <v>Arabica</v>
      </c>
      <c r="O948" t="str">
        <f t="shared" si="44"/>
        <v>Light</v>
      </c>
      <c r="P948" t="str">
        <f>_xlfn.XLOOKUP(Orders[[#This Row],[Customer ID]],customers!$A$1:$A$1001,customers!$I$1:$I$1001,,0)</f>
        <v>No</v>
      </c>
      <c r="Q948">
        <f>COUNTIF(Orders[Order ID],Orders[[#This Row],[Order ID]])</f>
        <v>1</v>
      </c>
      <c r="R948" s="10">
        <f>SUMIF(Orders[Order ID], Orders[[#This Row],[Order ID]],Orders[Sales])/Orders[[#This Row],[Order Frequency]]</f>
        <v>59.569999999999993</v>
      </c>
      <c r="S948" t="str">
        <f>IF(Orders[[#This Row],[Order Frequency]]&gt;4, "More than 4", IF(AND(Orders[[#This Row],[Order Frequency]]&lt;=4,Orders[[#This Row],[Order Frequency]]&gt;=2), "Between 4 and 2", "Less than 2"))</f>
        <v>Less than 2</v>
      </c>
      <c r="T948" t="str">
        <f>IF(Orders[[#This Row],[Frequency Group]]="less than 2", "Low Value", IF(Orders[[#This Row],[Frequency Group]]="between 4 and 2", "Medium Value", "High Value"))</f>
        <v>Low Value</v>
      </c>
      <c r="U948" t="str">
        <f>IF(Orders[[#This Row],[Sales]]&lt;50, "$0-50", IF(AND(Orders[[#This Row],[Sales]]&gt;=50,Orders[[#This Row],[Sales]]&lt;=100), "$50-100", IF(AND(Orders[[#This Row],[Sales]]&gt;100,Orders[[#This Row],[Sales]]&lt;=150), "$101-150", "$150+")))</f>
        <v>$50-100</v>
      </c>
      <c r="V948" t="str">
        <f>IF(Orders[[#This Row],[Sales]]&gt;MEDIAN(M:M), "High Price", "Low Price")</f>
        <v>High Price</v>
      </c>
      <c r="W948" t="str">
        <f>IF(Orders[[#This Row],[Quantity]]&gt;MEDIAN(E:E), "High Volume", "Low Volume")</f>
        <v>Low Volume</v>
      </c>
      <c r="X948" t="str">
        <f>Orders[[#This Row],[Sales Tier]] &amp; "-" &amp; Orders[[#This Row],[Quantity Tier]]</f>
        <v>High Price-Low Volume</v>
      </c>
      <c r="Y948" t="str">
        <f>TEXT(Orders[[#This Row],[Order Date]], "mmmm")</f>
        <v>March</v>
      </c>
      <c r="Z94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948" t="str">
        <f>Orders[[#This Row],[Coffee Type Name]] &amp; "-" &amp; Orders[[#This Row],[Roast Type Name]]</f>
        <v>Arabica-Light</v>
      </c>
      <c r="AB94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949" spans="1:28" x14ac:dyDescent="0.25">
      <c r="A949" s="2" t="s">
        <v>2834</v>
      </c>
      <c r="B949" s="4">
        <v>43901</v>
      </c>
      <c r="C949" s="2" t="s">
        <v>2835</v>
      </c>
      <c r="D949" t="s">
        <v>6180</v>
      </c>
      <c r="E949" s="2">
        <v>3</v>
      </c>
      <c r="F949" s="2" t="str">
        <f>_xlfn.XLOOKUP(C949,customers!$A$1:$A$1001,customers!$B$1:$B$1001,,0)</f>
        <v>Reggis Pracy</v>
      </c>
      <c r="G949" s="2" t="str">
        <f>IF(_xlfn.XLOOKUP(C949,customers!$A$1:$A$1001,customers!$C$1:$C$1001,,0)=0,"",_xlfn.XLOOKUP(C949,customers!$A$1:$A$1001,customers!$C$1:$C$1001,,0))</f>
        <v/>
      </c>
      <c r="H949" s="2" t="str">
        <f>_xlfn.XLOOKUP(C949,customers!$A$1:$A$1001,customers!$G$1:$G$1001,,0)</f>
        <v>United States</v>
      </c>
      <c r="I949" t="str">
        <f>INDEX(products!$A$1:$G$49, MATCH(orders!$D418,products!$A$1:$A465,0), MATCH(orders!I$1,products!$A$1:$G$1,0))</f>
        <v>Ara</v>
      </c>
      <c r="J949" t="str">
        <f>INDEX(products!$A$1:$G$49, MATCH(orders!$D418,products!$A$1:$A465,0), MATCH(orders!J$1,products!$A$1:$G$1,0))</f>
        <v>L</v>
      </c>
      <c r="K949" s="5">
        <f>INDEX(products!$A$1:$G$49, MATCH(orders!$D418,products!$A$1:$A465,0), MATCH(orders!K$1,products!$A$1:$G$1,0))</f>
        <v>0.5</v>
      </c>
      <c r="L949" s="6">
        <f>INDEX(products!$A$1:$G$49, MATCH(orders!$D418,products!$A$1:$A465,0), MATCH(orders!L$1,products!$A$1:$G$1,0))</f>
        <v>7.77</v>
      </c>
      <c r="M949" s="6">
        <f t="shared" si="42"/>
        <v>23.31</v>
      </c>
      <c r="N949" t="str">
        <f t="shared" si="43"/>
        <v>Arabica</v>
      </c>
      <c r="O949" t="str">
        <f t="shared" si="44"/>
        <v>Light</v>
      </c>
      <c r="P949" t="str">
        <f>_xlfn.XLOOKUP(Orders[[#This Row],[Customer ID]],customers!$A$1:$A$1001,customers!$I$1:$I$1001,,0)</f>
        <v>Yes</v>
      </c>
      <c r="Q949">
        <f>COUNTIF(Orders[Order ID],Orders[[#This Row],[Order ID]])</f>
        <v>1</v>
      </c>
      <c r="R949" s="10">
        <f>SUMIF(Orders[Order ID], Orders[[#This Row],[Order ID]],Orders[Sales])/Orders[[#This Row],[Order Frequency]]</f>
        <v>23.31</v>
      </c>
      <c r="S949" t="str">
        <f>IF(Orders[[#This Row],[Order Frequency]]&gt;4, "More than 4", IF(AND(Orders[[#This Row],[Order Frequency]]&lt;=4,Orders[[#This Row],[Order Frequency]]&gt;=2), "Between 4 and 2", "Less than 2"))</f>
        <v>Less than 2</v>
      </c>
      <c r="T949" t="str">
        <f>IF(Orders[[#This Row],[Frequency Group]]="less than 2", "Low Value", IF(Orders[[#This Row],[Frequency Group]]="between 4 and 2", "Medium Value", "High Value"))</f>
        <v>Low Value</v>
      </c>
      <c r="U949" t="str">
        <f>IF(Orders[[#This Row],[Sales]]&lt;50, "$0-50", IF(AND(Orders[[#This Row],[Sales]]&gt;=50,Orders[[#This Row],[Sales]]&lt;=100), "$50-100", IF(AND(Orders[[#This Row],[Sales]]&gt;100,Orders[[#This Row],[Sales]]&lt;=150), "$101-150", "$150+")))</f>
        <v>$0-50</v>
      </c>
      <c r="V949" t="str">
        <f>IF(Orders[[#This Row],[Sales]]&gt;MEDIAN(M:M), "High Price", "Low Price")</f>
        <v>Low Price</v>
      </c>
      <c r="W949" t="str">
        <f>IF(Orders[[#This Row],[Quantity]]&gt;MEDIAN(E:E), "High Volume", "Low Volume")</f>
        <v>Low Volume</v>
      </c>
      <c r="X949" t="str">
        <f>Orders[[#This Row],[Sales Tier]] &amp; "-" &amp; Orders[[#This Row],[Quantity Tier]]</f>
        <v>Low Price-Low Volume</v>
      </c>
      <c r="Y949" t="str">
        <f>TEXT(Orders[[#This Row],[Order Date]], "mmmm")</f>
        <v>March</v>
      </c>
      <c r="Z94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949" t="str">
        <f>Orders[[#This Row],[Coffee Type Name]] &amp; "-" &amp; Orders[[#This Row],[Roast Type Name]]</f>
        <v>Arabica-Light</v>
      </c>
      <c r="AB94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950" spans="1:28" x14ac:dyDescent="0.25">
      <c r="A950" s="2" t="s">
        <v>5649</v>
      </c>
      <c r="B950" s="4">
        <v>43726</v>
      </c>
      <c r="C950" s="2" t="s">
        <v>5650</v>
      </c>
      <c r="D950" t="s">
        <v>6151</v>
      </c>
      <c r="E950" s="2">
        <v>6</v>
      </c>
      <c r="F950" s="2" t="str">
        <f>_xlfn.XLOOKUP(C950,customers!$A$1:$A$1001,customers!$B$1:$B$1001,,0)</f>
        <v>Paulie Fonzone</v>
      </c>
      <c r="G950" s="2" t="str">
        <f>IF(_xlfn.XLOOKUP(C950,customers!$A$1:$A$1001,customers!$C$1:$C$1001,,0)=0,"",_xlfn.XLOOKUP(C950,customers!$A$1:$A$1001,customers!$C$1:$C$1001,,0))</f>
        <v/>
      </c>
      <c r="H950" s="2" t="str">
        <f>_xlfn.XLOOKUP(C950,customers!$A$1:$A$1001,customers!$G$1:$G$1001,,0)</f>
        <v>United States</v>
      </c>
      <c r="I950" t="str">
        <f>INDEX(products!$A$1:$G$49, MATCH(orders!$D914,products!$A$1:$A961,0), MATCH(orders!I$1,products!$A$1:$G$1,0))</f>
        <v>Rob</v>
      </c>
      <c r="J950" t="str">
        <f>INDEX(products!$A$1:$G$49, MATCH(orders!$D914,products!$A$1:$A961,0), MATCH(orders!J$1,products!$A$1:$G$1,0))</f>
        <v>M</v>
      </c>
      <c r="K950" s="5">
        <f>INDEX(products!$A$1:$G$49, MATCH(orders!$D914,products!$A$1:$A961,0), MATCH(orders!K$1,products!$A$1:$G$1,0))</f>
        <v>2.5</v>
      </c>
      <c r="L950" s="6">
        <f>INDEX(products!$A$1:$G$49, MATCH(orders!$D914,products!$A$1:$A961,0), MATCH(orders!L$1,products!$A$1:$G$1,0))</f>
        <v>22.884999999999998</v>
      </c>
      <c r="M950" s="6">
        <f t="shared" si="42"/>
        <v>137.31</v>
      </c>
      <c r="N950" t="str">
        <f t="shared" si="43"/>
        <v>Robusta</v>
      </c>
      <c r="O950" t="str">
        <f t="shared" si="44"/>
        <v>Medium</v>
      </c>
      <c r="P950" t="str">
        <f>_xlfn.XLOOKUP(Orders[[#This Row],[Customer ID]],customers!$A$1:$A$1001,customers!$I$1:$I$1001,,0)</f>
        <v>Yes</v>
      </c>
      <c r="Q950">
        <f>COUNTIF(Orders[Order ID],Orders[[#This Row],[Order ID]])</f>
        <v>1</v>
      </c>
      <c r="R950" s="10">
        <f>SUMIF(Orders[Order ID], Orders[[#This Row],[Order ID]],Orders[Sales])/Orders[[#This Row],[Order Frequency]]</f>
        <v>137.31</v>
      </c>
      <c r="S950" t="str">
        <f>IF(Orders[[#This Row],[Order Frequency]]&gt;4, "More than 4", IF(AND(Orders[[#This Row],[Order Frequency]]&lt;=4,Orders[[#This Row],[Order Frequency]]&gt;=2), "Between 4 and 2", "Less than 2"))</f>
        <v>Less than 2</v>
      </c>
      <c r="T950" t="str">
        <f>IF(Orders[[#This Row],[Frequency Group]]="less than 2", "Low Value", IF(Orders[[#This Row],[Frequency Group]]="between 4 and 2", "Medium Value", "High Value"))</f>
        <v>Low Value</v>
      </c>
      <c r="U950" t="str">
        <f>IF(Orders[[#This Row],[Sales]]&lt;50, "$0-50", IF(AND(Orders[[#This Row],[Sales]]&gt;=50,Orders[[#This Row],[Sales]]&lt;=100), "$50-100", IF(AND(Orders[[#This Row],[Sales]]&gt;100,Orders[[#This Row],[Sales]]&lt;=150), "$101-150", "$150+")))</f>
        <v>$101-150</v>
      </c>
      <c r="V950" t="str">
        <f>IF(Orders[[#This Row],[Sales]]&gt;MEDIAN(M:M), "High Price", "Low Price")</f>
        <v>High Price</v>
      </c>
      <c r="W950" t="str">
        <f>IF(Orders[[#This Row],[Quantity]]&gt;MEDIAN(E:E), "High Volume", "Low Volume")</f>
        <v>High Volume</v>
      </c>
      <c r="X950" t="str">
        <f>Orders[[#This Row],[Sales Tier]] &amp; "-" &amp; Orders[[#This Row],[Quantity Tier]]</f>
        <v>High Price-High Volume</v>
      </c>
      <c r="Y950" t="str">
        <f>TEXT(Orders[[#This Row],[Order Date]], "mmmm")</f>
        <v>September</v>
      </c>
      <c r="Z95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950" t="str">
        <f>Orders[[#This Row],[Coffee Type Name]] &amp; "-" &amp; Orders[[#This Row],[Roast Type Name]]</f>
        <v>Robusta-Medium</v>
      </c>
      <c r="AB95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951" spans="1:28" x14ac:dyDescent="0.25">
      <c r="A951" s="2" t="s">
        <v>4747</v>
      </c>
      <c r="B951" s="4">
        <v>44704</v>
      </c>
      <c r="C951" s="2" t="s">
        <v>4748</v>
      </c>
      <c r="D951" t="s">
        <v>6158</v>
      </c>
      <c r="E951" s="2">
        <v>5</v>
      </c>
      <c r="F951" s="2" t="str">
        <f>_xlfn.XLOOKUP(C951,customers!$A$1:$A$1001,customers!$B$1:$B$1001,,0)</f>
        <v>Simone Capon</v>
      </c>
      <c r="G951" s="2" t="str">
        <f>IF(_xlfn.XLOOKUP(C951,customers!$A$1:$A$1001,customers!$C$1:$C$1001,,0)=0,"",_xlfn.XLOOKUP(C951,customers!$A$1:$A$1001,customers!$C$1:$C$1001,,0))</f>
        <v>scaponkx@craigslist.org</v>
      </c>
      <c r="H951" s="2" t="str">
        <f>_xlfn.XLOOKUP(C951,customers!$A$1:$A$1001,customers!$G$1:$G$1001,,0)</f>
        <v>United States</v>
      </c>
      <c r="I951" t="str">
        <f>INDEX(products!$A$1:$G$49, MATCH(orders!$D755,products!$A$1:$A802,0), MATCH(orders!I$1,products!$A$1:$G$1,0))</f>
        <v>Ara</v>
      </c>
      <c r="J951" t="str">
        <f>INDEX(products!$A$1:$G$49, MATCH(orders!$D755,products!$A$1:$A802,0), MATCH(orders!J$1,products!$A$1:$G$1,0))</f>
        <v>D</v>
      </c>
      <c r="K951" s="5">
        <f>INDEX(products!$A$1:$G$49, MATCH(orders!$D755,products!$A$1:$A802,0), MATCH(orders!K$1,products!$A$1:$G$1,0))</f>
        <v>0.5</v>
      </c>
      <c r="L951" s="6">
        <f>INDEX(products!$A$1:$G$49, MATCH(orders!$D755,products!$A$1:$A802,0), MATCH(orders!L$1,products!$A$1:$G$1,0))</f>
        <v>5.97</v>
      </c>
      <c r="M951" s="6">
        <f t="shared" si="42"/>
        <v>29.849999999999998</v>
      </c>
      <c r="N951" t="str">
        <f t="shared" si="43"/>
        <v>Arabica</v>
      </c>
      <c r="O951" t="str">
        <f t="shared" si="44"/>
        <v>Dark</v>
      </c>
      <c r="P951" t="str">
        <f>_xlfn.XLOOKUP(Orders[[#This Row],[Customer ID]],customers!$A$1:$A$1001,customers!$I$1:$I$1001,,0)</f>
        <v>No</v>
      </c>
      <c r="Q951">
        <f>COUNTIF(Orders[Order ID],Orders[[#This Row],[Order ID]])</f>
        <v>1</v>
      </c>
      <c r="R951" s="10">
        <f>SUMIF(Orders[Order ID], Orders[[#This Row],[Order ID]],Orders[Sales])/Orders[[#This Row],[Order Frequency]]</f>
        <v>29.849999999999998</v>
      </c>
      <c r="S951" t="str">
        <f>IF(Orders[[#This Row],[Order Frequency]]&gt;4, "More than 4", IF(AND(Orders[[#This Row],[Order Frequency]]&lt;=4,Orders[[#This Row],[Order Frequency]]&gt;=2), "Between 4 and 2", "Less than 2"))</f>
        <v>Less than 2</v>
      </c>
      <c r="T951" t="str">
        <f>IF(Orders[[#This Row],[Frequency Group]]="less than 2", "Low Value", IF(Orders[[#This Row],[Frequency Group]]="between 4 and 2", "Medium Value", "High Value"))</f>
        <v>Low Value</v>
      </c>
      <c r="U951" t="str">
        <f>IF(Orders[[#This Row],[Sales]]&lt;50, "$0-50", IF(AND(Orders[[#This Row],[Sales]]&gt;=50,Orders[[#This Row],[Sales]]&lt;=100), "$50-100", IF(AND(Orders[[#This Row],[Sales]]&gt;100,Orders[[#This Row],[Sales]]&lt;=150), "$101-150", "$150+")))</f>
        <v>$0-50</v>
      </c>
      <c r="V951" t="str">
        <f>IF(Orders[[#This Row],[Sales]]&gt;MEDIAN(M:M), "High Price", "Low Price")</f>
        <v>High Price</v>
      </c>
      <c r="W951" t="str">
        <f>IF(Orders[[#This Row],[Quantity]]&gt;MEDIAN(E:E), "High Volume", "Low Volume")</f>
        <v>High Volume</v>
      </c>
      <c r="X951" t="str">
        <f>Orders[[#This Row],[Sales Tier]] &amp; "-" &amp; Orders[[#This Row],[Quantity Tier]]</f>
        <v>High Price-High Volume</v>
      </c>
      <c r="Y951" t="str">
        <f>TEXT(Orders[[#This Row],[Order Date]], "mmmm")</f>
        <v>May</v>
      </c>
      <c r="Z95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951" t="str">
        <f>Orders[[#This Row],[Coffee Type Name]] &amp; "-" &amp; Orders[[#This Row],[Roast Type Name]]</f>
        <v>Arabica-Dark</v>
      </c>
      <c r="AB95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952" spans="1:28" x14ac:dyDescent="0.25">
      <c r="A952" s="2" t="s">
        <v>5046</v>
      </c>
      <c r="B952" s="4">
        <v>44241</v>
      </c>
      <c r="C952" s="2" t="s">
        <v>5047</v>
      </c>
      <c r="D952" t="s">
        <v>6150</v>
      </c>
      <c r="E952" s="2">
        <v>2</v>
      </c>
      <c r="F952" s="2" t="str">
        <f>_xlfn.XLOOKUP(C952,customers!$A$1:$A$1001,customers!$B$1:$B$1001,,0)</f>
        <v>Kathleen Diable</v>
      </c>
      <c r="G952" s="2" t="str">
        <f>IF(_xlfn.XLOOKUP(C952,customers!$A$1:$A$1001,customers!$C$1:$C$1001,,0)=0,"",_xlfn.XLOOKUP(C952,customers!$A$1:$A$1001,customers!$C$1:$C$1001,,0))</f>
        <v/>
      </c>
      <c r="H952" s="2" t="str">
        <f>_xlfn.XLOOKUP(C952,customers!$A$1:$A$1001,customers!$G$1:$G$1001,,0)</f>
        <v>United Kingdom</v>
      </c>
      <c r="I952" t="str">
        <f>INDEX(products!$A$1:$G$49, MATCH(orders!$D808,products!$A$1:$A855,0), MATCH(orders!I$1,products!$A$1:$G$1,0))</f>
        <v>Lib</v>
      </c>
      <c r="J952" t="str">
        <f>INDEX(products!$A$1:$G$49, MATCH(orders!$D808,products!$A$1:$A855,0), MATCH(orders!J$1,products!$A$1:$G$1,0))</f>
        <v>D</v>
      </c>
      <c r="K952" s="5">
        <f>INDEX(products!$A$1:$G$49, MATCH(orders!$D808,products!$A$1:$A855,0), MATCH(orders!K$1,products!$A$1:$G$1,0))</f>
        <v>0.2</v>
      </c>
      <c r="L952" s="6">
        <f>INDEX(products!$A$1:$G$49, MATCH(orders!$D808,products!$A$1:$A855,0), MATCH(orders!L$1,products!$A$1:$G$1,0))</f>
        <v>3.8849999999999998</v>
      </c>
      <c r="M952" s="6">
        <f t="shared" si="42"/>
        <v>7.77</v>
      </c>
      <c r="N952" t="str">
        <f t="shared" si="43"/>
        <v>Liberica</v>
      </c>
      <c r="O952" t="str">
        <f t="shared" si="44"/>
        <v>Dark</v>
      </c>
      <c r="P952" t="str">
        <f>_xlfn.XLOOKUP(Orders[[#This Row],[Customer ID]],customers!$A$1:$A$1001,customers!$I$1:$I$1001,,0)</f>
        <v>Yes</v>
      </c>
      <c r="Q952">
        <f>COUNTIF(Orders[Order ID],Orders[[#This Row],[Order ID]])</f>
        <v>1</v>
      </c>
      <c r="R952" s="10">
        <f>SUMIF(Orders[Order ID], Orders[[#This Row],[Order ID]],Orders[Sales])/Orders[[#This Row],[Order Frequency]]</f>
        <v>7.77</v>
      </c>
      <c r="S952" t="str">
        <f>IF(Orders[[#This Row],[Order Frequency]]&gt;4, "More than 4", IF(AND(Orders[[#This Row],[Order Frequency]]&lt;=4,Orders[[#This Row],[Order Frequency]]&gt;=2), "Between 4 and 2", "Less than 2"))</f>
        <v>Less than 2</v>
      </c>
      <c r="T952" t="str">
        <f>IF(Orders[[#This Row],[Frequency Group]]="less than 2", "Low Value", IF(Orders[[#This Row],[Frequency Group]]="between 4 and 2", "Medium Value", "High Value"))</f>
        <v>Low Value</v>
      </c>
      <c r="U952" t="str">
        <f>IF(Orders[[#This Row],[Sales]]&lt;50, "$0-50", IF(AND(Orders[[#This Row],[Sales]]&gt;=50,Orders[[#This Row],[Sales]]&lt;=100), "$50-100", IF(AND(Orders[[#This Row],[Sales]]&gt;100,Orders[[#This Row],[Sales]]&lt;=150), "$101-150", "$150+")))</f>
        <v>$0-50</v>
      </c>
      <c r="V952" t="str">
        <f>IF(Orders[[#This Row],[Sales]]&gt;MEDIAN(M:M), "High Price", "Low Price")</f>
        <v>Low Price</v>
      </c>
      <c r="W952" t="str">
        <f>IF(Orders[[#This Row],[Quantity]]&gt;MEDIAN(E:E), "High Volume", "Low Volume")</f>
        <v>Low Volume</v>
      </c>
      <c r="X952" t="str">
        <f>Orders[[#This Row],[Sales Tier]] &amp; "-" &amp; Orders[[#This Row],[Quantity Tier]]</f>
        <v>Low Price-Low Volume</v>
      </c>
      <c r="Y952" t="str">
        <f>TEXT(Orders[[#This Row],[Order Date]], "mmmm")</f>
        <v>February</v>
      </c>
      <c r="Z95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952" t="str">
        <f>Orders[[#This Row],[Coffee Type Name]] &amp; "-" &amp; Orders[[#This Row],[Roast Type Name]]</f>
        <v>Liberica-Dark</v>
      </c>
      <c r="AB95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953" spans="1:28" x14ac:dyDescent="0.25">
      <c r="A953" s="2" t="s">
        <v>4528</v>
      </c>
      <c r="B953" s="4">
        <v>44504</v>
      </c>
      <c r="C953" s="2" t="s">
        <v>4529</v>
      </c>
      <c r="D953" t="s">
        <v>6171</v>
      </c>
      <c r="E953" s="2">
        <v>6</v>
      </c>
      <c r="F953" s="2" t="str">
        <f>_xlfn.XLOOKUP(C953,customers!$A$1:$A$1001,customers!$B$1:$B$1001,,0)</f>
        <v>Gilberto Cornier</v>
      </c>
      <c r="G953" s="2" t="str">
        <f>IF(_xlfn.XLOOKUP(C953,customers!$A$1:$A$1001,customers!$C$1:$C$1001,,0)=0,"",_xlfn.XLOOKUP(C953,customers!$A$1:$A$1001,customers!$C$1:$C$1001,,0))</f>
        <v>gcornierjv@techcrunch.com</v>
      </c>
      <c r="H953" s="2" t="str">
        <f>_xlfn.XLOOKUP(C953,customers!$A$1:$A$1001,customers!$G$1:$G$1001,,0)</f>
        <v>United States</v>
      </c>
      <c r="I953" t="str">
        <f>INDEX(products!$A$1:$G$49, MATCH(orders!$D717,products!$A$1:$A764,0), MATCH(orders!I$1,products!$A$1:$G$1,0))</f>
        <v>Exc</v>
      </c>
      <c r="J953" t="str">
        <f>INDEX(products!$A$1:$G$49, MATCH(orders!$D717,products!$A$1:$A764,0), MATCH(orders!J$1,products!$A$1:$G$1,0))</f>
        <v>L</v>
      </c>
      <c r="K953" s="5">
        <f>INDEX(products!$A$1:$G$49, MATCH(orders!$D717,products!$A$1:$A764,0), MATCH(orders!K$1,products!$A$1:$G$1,0))</f>
        <v>1</v>
      </c>
      <c r="L953" s="6">
        <f>INDEX(products!$A$1:$G$49, MATCH(orders!$D717,products!$A$1:$A764,0), MATCH(orders!L$1,products!$A$1:$G$1,0))</f>
        <v>14.85</v>
      </c>
      <c r="M953" s="6">
        <f t="shared" si="42"/>
        <v>89.1</v>
      </c>
      <c r="N953" t="str">
        <f t="shared" si="43"/>
        <v>Excelsa</v>
      </c>
      <c r="O953" t="str">
        <f t="shared" si="44"/>
        <v>Light</v>
      </c>
      <c r="P953" t="str">
        <f>_xlfn.XLOOKUP(Orders[[#This Row],[Customer ID]],customers!$A$1:$A$1001,customers!$I$1:$I$1001,,0)</f>
        <v>No</v>
      </c>
      <c r="Q953">
        <f>COUNTIF(Orders[Order ID],Orders[[#This Row],[Order ID]])</f>
        <v>1</v>
      </c>
      <c r="R953" s="10">
        <f>SUMIF(Orders[Order ID], Orders[[#This Row],[Order ID]],Orders[Sales])/Orders[[#This Row],[Order Frequency]]</f>
        <v>89.1</v>
      </c>
      <c r="S953" t="str">
        <f>IF(Orders[[#This Row],[Order Frequency]]&gt;4, "More than 4", IF(AND(Orders[[#This Row],[Order Frequency]]&lt;=4,Orders[[#This Row],[Order Frequency]]&gt;=2), "Between 4 and 2", "Less than 2"))</f>
        <v>Less than 2</v>
      </c>
      <c r="T953" t="str">
        <f>IF(Orders[[#This Row],[Frequency Group]]="less than 2", "Low Value", IF(Orders[[#This Row],[Frequency Group]]="between 4 and 2", "Medium Value", "High Value"))</f>
        <v>Low Value</v>
      </c>
      <c r="U953" t="str">
        <f>IF(Orders[[#This Row],[Sales]]&lt;50, "$0-50", IF(AND(Orders[[#This Row],[Sales]]&gt;=50,Orders[[#This Row],[Sales]]&lt;=100), "$50-100", IF(AND(Orders[[#This Row],[Sales]]&gt;100,Orders[[#This Row],[Sales]]&lt;=150), "$101-150", "$150+")))</f>
        <v>$50-100</v>
      </c>
      <c r="V953" t="str">
        <f>IF(Orders[[#This Row],[Sales]]&gt;MEDIAN(M:M), "High Price", "Low Price")</f>
        <v>High Price</v>
      </c>
      <c r="W953" t="str">
        <f>IF(Orders[[#This Row],[Quantity]]&gt;MEDIAN(E:E), "High Volume", "Low Volume")</f>
        <v>High Volume</v>
      </c>
      <c r="X953" t="str">
        <f>Orders[[#This Row],[Sales Tier]] &amp; "-" &amp; Orders[[#This Row],[Quantity Tier]]</f>
        <v>High Price-High Volume</v>
      </c>
      <c r="Y953" t="str">
        <f>TEXT(Orders[[#This Row],[Order Date]], "mmmm")</f>
        <v>November</v>
      </c>
      <c r="Z95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953" t="str">
        <f>Orders[[#This Row],[Coffee Type Name]] &amp; "-" &amp; Orders[[#This Row],[Roast Type Name]]</f>
        <v>Excelsa-Light</v>
      </c>
      <c r="AB95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954" spans="1:28" x14ac:dyDescent="0.25">
      <c r="A954" s="2" t="s">
        <v>2775</v>
      </c>
      <c r="B954" s="4">
        <v>44167</v>
      </c>
      <c r="C954" s="2" t="s">
        <v>2776</v>
      </c>
      <c r="D954" t="s">
        <v>6139</v>
      </c>
      <c r="E954" s="2">
        <v>3</v>
      </c>
      <c r="F954" s="2" t="str">
        <f>_xlfn.XLOOKUP(C954,customers!$A$1:$A$1001,customers!$B$1:$B$1001,,0)</f>
        <v>Leonie Cullrford</v>
      </c>
      <c r="G954" s="2" t="str">
        <f>IF(_xlfn.XLOOKUP(C954,customers!$A$1:$A$1001,customers!$C$1:$C$1001,,0)=0,"",_xlfn.XLOOKUP(C954,customers!$A$1:$A$1001,customers!$C$1:$C$1001,,0))</f>
        <v>lcullrfordb9@xing.com</v>
      </c>
      <c r="H954" s="2" t="str">
        <f>_xlfn.XLOOKUP(C954,customers!$A$1:$A$1001,customers!$G$1:$G$1001,,0)</f>
        <v>United States</v>
      </c>
      <c r="I954" t="str">
        <f>INDEX(products!$A$1:$G$49, MATCH(orders!$D407,products!$A$1:$A454,0), MATCH(orders!I$1,products!$A$1:$G$1,0))</f>
        <v>Exc</v>
      </c>
      <c r="J954" t="str">
        <f>INDEX(products!$A$1:$G$49, MATCH(orders!$D407,products!$A$1:$A454,0), MATCH(orders!J$1,products!$A$1:$G$1,0))</f>
        <v>M</v>
      </c>
      <c r="K954" s="5">
        <f>INDEX(products!$A$1:$G$49, MATCH(orders!$D407,products!$A$1:$A454,0), MATCH(orders!K$1,products!$A$1:$G$1,0))</f>
        <v>0.5</v>
      </c>
      <c r="L954" s="6">
        <f>INDEX(products!$A$1:$G$49, MATCH(orders!$D407,products!$A$1:$A454,0), MATCH(orders!L$1,products!$A$1:$G$1,0))</f>
        <v>8.25</v>
      </c>
      <c r="M954" s="6">
        <f t="shared" si="42"/>
        <v>24.75</v>
      </c>
      <c r="N954" t="str">
        <f t="shared" si="43"/>
        <v>Excelsa</v>
      </c>
      <c r="O954" t="str">
        <f t="shared" si="44"/>
        <v>Medium</v>
      </c>
      <c r="P954" t="str">
        <f>_xlfn.XLOOKUP(Orders[[#This Row],[Customer ID]],customers!$A$1:$A$1001,customers!$I$1:$I$1001,,0)</f>
        <v>Yes</v>
      </c>
      <c r="Q954">
        <f>COUNTIF(Orders[Order ID],Orders[[#This Row],[Order ID]])</f>
        <v>1</v>
      </c>
      <c r="R954" s="10">
        <f>SUMIF(Orders[Order ID], Orders[[#This Row],[Order ID]],Orders[Sales])/Orders[[#This Row],[Order Frequency]]</f>
        <v>24.75</v>
      </c>
      <c r="S954" t="str">
        <f>IF(Orders[[#This Row],[Order Frequency]]&gt;4, "More than 4", IF(AND(Orders[[#This Row],[Order Frequency]]&lt;=4,Orders[[#This Row],[Order Frequency]]&gt;=2), "Between 4 and 2", "Less than 2"))</f>
        <v>Less than 2</v>
      </c>
      <c r="T954" t="str">
        <f>IF(Orders[[#This Row],[Frequency Group]]="less than 2", "Low Value", IF(Orders[[#This Row],[Frequency Group]]="between 4 and 2", "Medium Value", "High Value"))</f>
        <v>Low Value</v>
      </c>
      <c r="U954" t="str">
        <f>IF(Orders[[#This Row],[Sales]]&lt;50, "$0-50", IF(AND(Orders[[#This Row],[Sales]]&gt;=50,Orders[[#This Row],[Sales]]&lt;=100), "$50-100", IF(AND(Orders[[#This Row],[Sales]]&gt;100,Orders[[#This Row],[Sales]]&lt;=150), "$101-150", "$150+")))</f>
        <v>$0-50</v>
      </c>
      <c r="V954" t="str">
        <f>IF(Orders[[#This Row],[Sales]]&gt;MEDIAN(M:M), "High Price", "Low Price")</f>
        <v>Low Price</v>
      </c>
      <c r="W954" t="str">
        <f>IF(Orders[[#This Row],[Quantity]]&gt;MEDIAN(E:E), "High Volume", "Low Volume")</f>
        <v>Low Volume</v>
      </c>
      <c r="X954" t="str">
        <f>Orders[[#This Row],[Sales Tier]] &amp; "-" &amp; Orders[[#This Row],[Quantity Tier]]</f>
        <v>Low Price-Low Volume</v>
      </c>
      <c r="Y954" t="str">
        <f>TEXT(Orders[[#This Row],[Order Date]], "mmmm")</f>
        <v>December</v>
      </c>
      <c r="Z95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954" t="str">
        <f>Orders[[#This Row],[Coffee Type Name]] &amp; "-" &amp; Orders[[#This Row],[Roast Type Name]]</f>
        <v>Excelsa-Medium</v>
      </c>
      <c r="AB95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955" spans="1:28" x14ac:dyDescent="0.25">
      <c r="A955" s="2" t="s">
        <v>2391</v>
      </c>
      <c r="B955" s="4">
        <v>44472</v>
      </c>
      <c r="C955" s="2" t="s">
        <v>2331</v>
      </c>
      <c r="D955" t="s">
        <v>6185</v>
      </c>
      <c r="E955" s="2">
        <v>2</v>
      </c>
      <c r="F955" s="2" t="str">
        <f>_xlfn.XLOOKUP(C955,customers!$A$1:$A$1001,customers!$B$1:$B$1001,,0)</f>
        <v>Flynn Antony</v>
      </c>
      <c r="G955" s="2" t="str">
        <f>IF(_xlfn.XLOOKUP(C955,customers!$A$1:$A$1001,customers!$C$1:$C$1001,,0)=0,"",_xlfn.XLOOKUP(C955,customers!$A$1:$A$1001,customers!$C$1:$C$1001,,0))</f>
        <v/>
      </c>
      <c r="H955" s="2" t="str">
        <f>_xlfn.XLOOKUP(C955,customers!$A$1:$A$1001,customers!$G$1:$G$1001,,0)</f>
        <v>United States</v>
      </c>
      <c r="I955" t="str">
        <f>INDEX(products!$A$1:$G$49, MATCH(orders!$D339,products!$A$1:$A386,0), MATCH(orders!I$1,products!$A$1:$G$1,0))</f>
        <v>Exc</v>
      </c>
      <c r="J955" t="str">
        <f>INDEX(products!$A$1:$G$49, MATCH(orders!$D339,products!$A$1:$A386,0), MATCH(orders!J$1,products!$A$1:$G$1,0))</f>
        <v>D</v>
      </c>
      <c r="K955" s="5">
        <f>INDEX(products!$A$1:$G$49, MATCH(orders!$D339,products!$A$1:$A386,0), MATCH(orders!K$1,products!$A$1:$G$1,0))</f>
        <v>2.5</v>
      </c>
      <c r="L955" s="6">
        <f>INDEX(products!$A$1:$G$49, MATCH(orders!$D339,products!$A$1:$A386,0), MATCH(orders!L$1,products!$A$1:$G$1,0))</f>
        <v>27.945</v>
      </c>
      <c r="M955" s="6">
        <f t="shared" si="42"/>
        <v>55.89</v>
      </c>
      <c r="N955" t="str">
        <f t="shared" si="43"/>
        <v>Excelsa</v>
      </c>
      <c r="O955" t="str">
        <f t="shared" si="44"/>
        <v>Dark</v>
      </c>
      <c r="P955" t="str">
        <f>_xlfn.XLOOKUP(Orders[[#This Row],[Customer ID]],customers!$A$1:$A$1001,customers!$I$1:$I$1001,,0)</f>
        <v>No</v>
      </c>
      <c r="Q955">
        <f>COUNTIF(Orders[Order ID],Orders[[#This Row],[Order ID]])</f>
        <v>1</v>
      </c>
      <c r="R955" s="10">
        <f>SUMIF(Orders[Order ID], Orders[[#This Row],[Order ID]],Orders[Sales])/Orders[[#This Row],[Order Frequency]]</f>
        <v>55.89</v>
      </c>
      <c r="S955" t="str">
        <f>IF(Orders[[#This Row],[Order Frequency]]&gt;4, "More than 4", IF(AND(Orders[[#This Row],[Order Frequency]]&lt;=4,Orders[[#This Row],[Order Frequency]]&gt;=2), "Between 4 and 2", "Less than 2"))</f>
        <v>Less than 2</v>
      </c>
      <c r="T955" t="str">
        <f>IF(Orders[[#This Row],[Frequency Group]]="less than 2", "Low Value", IF(Orders[[#This Row],[Frequency Group]]="between 4 and 2", "Medium Value", "High Value"))</f>
        <v>Low Value</v>
      </c>
      <c r="U955" t="str">
        <f>IF(Orders[[#This Row],[Sales]]&lt;50, "$0-50", IF(AND(Orders[[#This Row],[Sales]]&gt;=50,Orders[[#This Row],[Sales]]&lt;=100), "$50-100", IF(AND(Orders[[#This Row],[Sales]]&gt;100,Orders[[#This Row],[Sales]]&lt;=150), "$101-150", "$150+")))</f>
        <v>$50-100</v>
      </c>
      <c r="V955" t="str">
        <f>IF(Orders[[#This Row],[Sales]]&gt;MEDIAN(M:M), "High Price", "Low Price")</f>
        <v>High Price</v>
      </c>
      <c r="W955" t="str">
        <f>IF(Orders[[#This Row],[Quantity]]&gt;MEDIAN(E:E), "High Volume", "Low Volume")</f>
        <v>Low Volume</v>
      </c>
      <c r="X955" t="str">
        <f>Orders[[#This Row],[Sales Tier]] &amp; "-" &amp; Orders[[#This Row],[Quantity Tier]]</f>
        <v>High Price-Low Volume</v>
      </c>
      <c r="Y955" t="str">
        <f>TEXT(Orders[[#This Row],[Order Date]], "mmmm")</f>
        <v>October</v>
      </c>
      <c r="Z95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955" t="str">
        <f>Orders[[#This Row],[Coffee Type Name]] &amp; "-" &amp; Orders[[#This Row],[Roast Type Name]]</f>
        <v>Excelsa-Dark</v>
      </c>
      <c r="AB95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956" spans="1:28" x14ac:dyDescent="0.25">
      <c r="A956" s="2" t="s">
        <v>3379</v>
      </c>
      <c r="B956" s="4">
        <v>44043</v>
      </c>
      <c r="C956" s="2" t="s">
        <v>3380</v>
      </c>
      <c r="D956" t="s">
        <v>6152</v>
      </c>
      <c r="E956" s="2">
        <v>4</v>
      </c>
      <c r="F956" s="2" t="str">
        <f>_xlfn.XLOOKUP(C956,customers!$A$1:$A$1001,customers!$B$1:$B$1001,,0)</f>
        <v>Carolann Beine</v>
      </c>
      <c r="G956" s="2" t="str">
        <f>IF(_xlfn.XLOOKUP(C956,customers!$A$1:$A$1001,customers!$C$1:$C$1001,,0)=0,"",_xlfn.XLOOKUP(C956,customers!$A$1:$A$1001,customers!$C$1:$C$1001,,0))</f>
        <v>cbeinee7@xinhuanet.com</v>
      </c>
      <c r="H956" s="2" t="str">
        <f>_xlfn.XLOOKUP(C956,customers!$A$1:$A$1001,customers!$G$1:$G$1001,,0)</f>
        <v>United States</v>
      </c>
      <c r="I956" t="str">
        <f>INDEX(products!$A$1:$G$49, MATCH(orders!$D513,products!$A$1:$A560,0), MATCH(orders!I$1,products!$A$1:$G$1,0))</f>
        <v>Ara</v>
      </c>
      <c r="J956" t="str">
        <f>INDEX(products!$A$1:$G$49, MATCH(orders!$D513,products!$A$1:$A560,0), MATCH(orders!J$1,products!$A$1:$G$1,0))</f>
        <v>M</v>
      </c>
      <c r="K956" s="5">
        <f>INDEX(products!$A$1:$G$49, MATCH(orders!$D513,products!$A$1:$A560,0), MATCH(orders!K$1,products!$A$1:$G$1,0))</f>
        <v>0.2</v>
      </c>
      <c r="L956" s="6">
        <f>INDEX(products!$A$1:$G$49, MATCH(orders!$D513,products!$A$1:$A560,0), MATCH(orders!L$1,products!$A$1:$G$1,0))</f>
        <v>3.375</v>
      </c>
      <c r="M956" s="6">
        <f t="shared" si="42"/>
        <v>13.5</v>
      </c>
      <c r="N956" t="str">
        <f t="shared" si="43"/>
        <v>Arabica</v>
      </c>
      <c r="O956" t="str">
        <f t="shared" si="44"/>
        <v>Medium</v>
      </c>
      <c r="P956" t="str">
        <f>_xlfn.XLOOKUP(Orders[[#This Row],[Customer ID]],customers!$A$1:$A$1001,customers!$I$1:$I$1001,,0)</f>
        <v>Yes</v>
      </c>
      <c r="Q956">
        <f>COUNTIF(Orders[Order ID],Orders[[#This Row],[Order ID]])</f>
        <v>1</v>
      </c>
      <c r="R956" s="10">
        <f>SUMIF(Orders[Order ID], Orders[[#This Row],[Order ID]],Orders[Sales])/Orders[[#This Row],[Order Frequency]]</f>
        <v>13.5</v>
      </c>
      <c r="S956" t="str">
        <f>IF(Orders[[#This Row],[Order Frequency]]&gt;4, "More than 4", IF(AND(Orders[[#This Row],[Order Frequency]]&lt;=4,Orders[[#This Row],[Order Frequency]]&gt;=2), "Between 4 and 2", "Less than 2"))</f>
        <v>Less than 2</v>
      </c>
      <c r="T956" t="str">
        <f>IF(Orders[[#This Row],[Frequency Group]]="less than 2", "Low Value", IF(Orders[[#This Row],[Frequency Group]]="between 4 and 2", "Medium Value", "High Value"))</f>
        <v>Low Value</v>
      </c>
      <c r="U956" t="str">
        <f>IF(Orders[[#This Row],[Sales]]&lt;50, "$0-50", IF(AND(Orders[[#This Row],[Sales]]&gt;=50,Orders[[#This Row],[Sales]]&lt;=100), "$50-100", IF(AND(Orders[[#This Row],[Sales]]&gt;100,Orders[[#This Row],[Sales]]&lt;=150), "$101-150", "$150+")))</f>
        <v>$0-50</v>
      </c>
      <c r="V956" t="str">
        <f>IF(Orders[[#This Row],[Sales]]&gt;MEDIAN(M:M), "High Price", "Low Price")</f>
        <v>Low Price</v>
      </c>
      <c r="W956" t="str">
        <f>IF(Orders[[#This Row],[Quantity]]&gt;MEDIAN(E:E), "High Volume", "Low Volume")</f>
        <v>Low Volume</v>
      </c>
      <c r="X956" t="str">
        <f>Orders[[#This Row],[Sales Tier]] &amp; "-" &amp; Orders[[#This Row],[Quantity Tier]]</f>
        <v>Low Price-Low Volume</v>
      </c>
      <c r="Y956" t="str">
        <f>TEXT(Orders[[#This Row],[Order Date]], "mmmm")</f>
        <v>July</v>
      </c>
      <c r="Z95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956" t="str">
        <f>Orders[[#This Row],[Coffee Type Name]] &amp; "-" &amp; Orders[[#This Row],[Roast Type Name]]</f>
        <v>Arabica-Medium</v>
      </c>
      <c r="AB95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957" spans="1:28" x14ac:dyDescent="0.25">
      <c r="A957" s="2" t="s">
        <v>1688</v>
      </c>
      <c r="B957" s="4">
        <v>44646</v>
      </c>
      <c r="C957" s="2" t="s">
        <v>1689</v>
      </c>
      <c r="D957" t="s">
        <v>6149</v>
      </c>
      <c r="E957" s="2">
        <v>1</v>
      </c>
      <c r="F957" s="2" t="str">
        <f>_xlfn.XLOOKUP(C957,customers!$A$1:$A$1001,customers!$B$1:$B$1001,,0)</f>
        <v>Emiline Galgey</v>
      </c>
      <c r="G957" s="2" t="str">
        <f>IF(_xlfn.XLOOKUP(C957,customers!$A$1:$A$1001,customers!$C$1:$C$1001,,0)=0,"",_xlfn.XLOOKUP(C957,customers!$A$1:$A$1001,customers!$C$1:$C$1001,,0))</f>
        <v>egalgey5x@wufoo.com</v>
      </c>
      <c r="H957" s="2" t="str">
        <f>_xlfn.XLOOKUP(C957,customers!$A$1:$A$1001,customers!$G$1:$G$1001,,0)</f>
        <v>United States</v>
      </c>
      <c r="I957" t="str">
        <f>INDEX(products!$A$1:$G$49, MATCH(orders!$D215,products!$A$1:$A262,0), MATCH(orders!I$1,products!$A$1:$G$1,0))</f>
        <v>Rob</v>
      </c>
      <c r="J957" t="str">
        <f>INDEX(products!$A$1:$G$49, MATCH(orders!$D215,products!$A$1:$A262,0), MATCH(orders!J$1,products!$A$1:$G$1,0))</f>
        <v>D</v>
      </c>
      <c r="K957" s="5">
        <f>INDEX(products!$A$1:$G$49, MATCH(orders!$D215,products!$A$1:$A262,0), MATCH(orders!K$1,products!$A$1:$G$1,0))</f>
        <v>2.5</v>
      </c>
      <c r="L957" s="6">
        <f>INDEX(products!$A$1:$G$49, MATCH(orders!$D215,products!$A$1:$A262,0), MATCH(orders!L$1,products!$A$1:$G$1,0))</f>
        <v>20.584999999999997</v>
      </c>
      <c r="M957" s="6">
        <f t="shared" si="42"/>
        <v>20.584999999999997</v>
      </c>
      <c r="N957" t="str">
        <f t="shared" si="43"/>
        <v>Robusta</v>
      </c>
      <c r="O957" t="str">
        <f t="shared" si="44"/>
        <v>Dark</v>
      </c>
      <c r="P957" t="str">
        <f>_xlfn.XLOOKUP(Orders[[#This Row],[Customer ID]],customers!$A$1:$A$1001,customers!$I$1:$I$1001,,0)</f>
        <v>No</v>
      </c>
      <c r="Q957">
        <f>COUNTIF(Orders[Order ID],Orders[[#This Row],[Order ID]])</f>
        <v>1</v>
      </c>
      <c r="R957" s="10">
        <f>SUMIF(Orders[Order ID], Orders[[#This Row],[Order ID]],Orders[Sales])/Orders[[#This Row],[Order Frequency]]</f>
        <v>20.584999999999997</v>
      </c>
      <c r="S957" t="str">
        <f>IF(Orders[[#This Row],[Order Frequency]]&gt;4, "More than 4", IF(AND(Orders[[#This Row],[Order Frequency]]&lt;=4,Orders[[#This Row],[Order Frequency]]&gt;=2), "Between 4 and 2", "Less than 2"))</f>
        <v>Less than 2</v>
      </c>
      <c r="T957" t="str">
        <f>IF(Orders[[#This Row],[Frequency Group]]="less than 2", "Low Value", IF(Orders[[#This Row],[Frequency Group]]="between 4 and 2", "Medium Value", "High Value"))</f>
        <v>Low Value</v>
      </c>
      <c r="U957" t="str">
        <f>IF(Orders[[#This Row],[Sales]]&lt;50, "$0-50", IF(AND(Orders[[#This Row],[Sales]]&gt;=50,Orders[[#This Row],[Sales]]&lt;=100), "$50-100", IF(AND(Orders[[#This Row],[Sales]]&gt;100,Orders[[#This Row],[Sales]]&lt;=150), "$101-150", "$150+")))</f>
        <v>$0-50</v>
      </c>
      <c r="V957" t="str">
        <f>IF(Orders[[#This Row],[Sales]]&gt;MEDIAN(M:M), "High Price", "Low Price")</f>
        <v>Low Price</v>
      </c>
      <c r="W957" t="str">
        <f>IF(Orders[[#This Row],[Quantity]]&gt;MEDIAN(E:E), "High Volume", "Low Volume")</f>
        <v>Low Volume</v>
      </c>
      <c r="X957" t="str">
        <f>Orders[[#This Row],[Sales Tier]] &amp; "-" &amp; Orders[[#This Row],[Quantity Tier]]</f>
        <v>Low Price-Low Volume</v>
      </c>
      <c r="Y957" t="str">
        <f>TEXT(Orders[[#This Row],[Order Date]], "mmmm")</f>
        <v>March</v>
      </c>
      <c r="Z95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957" t="str">
        <f>Orders[[#This Row],[Coffee Type Name]] &amp; "-" &amp; Orders[[#This Row],[Roast Type Name]]</f>
        <v>Robusta-Dark</v>
      </c>
      <c r="AB95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958" spans="1:28" x14ac:dyDescent="0.25">
      <c r="A958" s="2" t="s">
        <v>1671</v>
      </c>
      <c r="B958" s="4">
        <v>43766</v>
      </c>
      <c r="C958" s="2" t="s">
        <v>1672</v>
      </c>
      <c r="D958" t="s">
        <v>6143</v>
      </c>
      <c r="E958" s="2">
        <v>4</v>
      </c>
      <c r="F958" s="2" t="str">
        <f>_xlfn.XLOOKUP(C958,customers!$A$1:$A$1001,customers!$B$1:$B$1001,,0)</f>
        <v>Anselma Attwater</v>
      </c>
      <c r="G958" s="2" t="str">
        <f>IF(_xlfn.XLOOKUP(C958,customers!$A$1:$A$1001,customers!$C$1:$C$1001,,0)=0,"",_xlfn.XLOOKUP(C958,customers!$A$1:$A$1001,customers!$C$1:$C$1001,,0))</f>
        <v>aattwater5u@wikia.com</v>
      </c>
      <c r="H958" s="2" t="str">
        <f>_xlfn.XLOOKUP(C958,customers!$A$1:$A$1001,customers!$G$1:$G$1001,,0)</f>
        <v>United States</v>
      </c>
      <c r="I958" t="str">
        <f>INDEX(products!$A$1:$G$49, MATCH(orders!$D212,products!$A$1:$A259,0), MATCH(orders!I$1,products!$A$1:$G$1,0))</f>
        <v>Lib</v>
      </c>
      <c r="J958" t="str">
        <f>INDEX(products!$A$1:$G$49, MATCH(orders!$D212,products!$A$1:$A259,0), MATCH(orders!J$1,products!$A$1:$G$1,0))</f>
        <v>D</v>
      </c>
      <c r="K958" s="5">
        <f>INDEX(products!$A$1:$G$49, MATCH(orders!$D212,products!$A$1:$A259,0), MATCH(orders!K$1,products!$A$1:$G$1,0))</f>
        <v>1</v>
      </c>
      <c r="L958" s="6">
        <f>INDEX(products!$A$1:$G$49, MATCH(orders!$D212,products!$A$1:$A259,0), MATCH(orders!L$1,products!$A$1:$G$1,0))</f>
        <v>12.95</v>
      </c>
      <c r="M958" s="6">
        <f t="shared" si="42"/>
        <v>51.8</v>
      </c>
      <c r="N958" t="str">
        <f t="shared" si="43"/>
        <v>Liberica</v>
      </c>
      <c r="O958" t="str">
        <f t="shared" si="44"/>
        <v>Dark</v>
      </c>
      <c r="P958" t="str">
        <f>_xlfn.XLOOKUP(Orders[[#This Row],[Customer ID]],customers!$A$1:$A$1001,customers!$I$1:$I$1001,,0)</f>
        <v>Yes</v>
      </c>
      <c r="Q958">
        <f>COUNTIF(Orders[Order ID],Orders[[#This Row],[Order ID]])</f>
        <v>1</v>
      </c>
      <c r="R958" s="10">
        <f>SUMIF(Orders[Order ID], Orders[[#This Row],[Order ID]],Orders[Sales])/Orders[[#This Row],[Order Frequency]]</f>
        <v>51.8</v>
      </c>
      <c r="S958" t="str">
        <f>IF(Orders[[#This Row],[Order Frequency]]&gt;4, "More than 4", IF(AND(Orders[[#This Row],[Order Frequency]]&lt;=4,Orders[[#This Row],[Order Frequency]]&gt;=2), "Between 4 and 2", "Less than 2"))</f>
        <v>Less than 2</v>
      </c>
      <c r="T958" t="str">
        <f>IF(Orders[[#This Row],[Frequency Group]]="less than 2", "Low Value", IF(Orders[[#This Row],[Frequency Group]]="between 4 and 2", "Medium Value", "High Value"))</f>
        <v>Low Value</v>
      </c>
      <c r="U958" t="str">
        <f>IF(Orders[[#This Row],[Sales]]&lt;50, "$0-50", IF(AND(Orders[[#This Row],[Sales]]&gt;=50,Orders[[#This Row],[Sales]]&lt;=100), "$50-100", IF(AND(Orders[[#This Row],[Sales]]&gt;100,Orders[[#This Row],[Sales]]&lt;=150), "$101-150", "$150+")))</f>
        <v>$50-100</v>
      </c>
      <c r="V958" t="str">
        <f>IF(Orders[[#This Row],[Sales]]&gt;MEDIAN(M:M), "High Price", "Low Price")</f>
        <v>High Price</v>
      </c>
      <c r="W958" t="str">
        <f>IF(Orders[[#This Row],[Quantity]]&gt;MEDIAN(E:E), "High Volume", "Low Volume")</f>
        <v>Low Volume</v>
      </c>
      <c r="X958" t="str">
        <f>Orders[[#This Row],[Sales Tier]] &amp; "-" &amp; Orders[[#This Row],[Quantity Tier]]</f>
        <v>High Price-Low Volume</v>
      </c>
      <c r="Y958" t="str">
        <f>TEXT(Orders[[#This Row],[Order Date]], "mmmm")</f>
        <v>October</v>
      </c>
      <c r="Z95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958" t="str">
        <f>Orders[[#This Row],[Coffee Type Name]] &amp; "-" &amp; Orders[[#This Row],[Roast Type Name]]</f>
        <v>Liberica-Dark</v>
      </c>
      <c r="AB95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959" spans="1:28" x14ac:dyDescent="0.25">
      <c r="A959" s="2" t="s">
        <v>3633</v>
      </c>
      <c r="B959" s="4">
        <v>44523</v>
      </c>
      <c r="C959" s="2" t="s">
        <v>3634</v>
      </c>
      <c r="D959" t="s">
        <v>6159</v>
      </c>
      <c r="E959" s="2">
        <v>2</v>
      </c>
      <c r="F959" s="2" t="str">
        <f>_xlfn.XLOOKUP(C959,customers!$A$1:$A$1001,customers!$B$1:$B$1001,,0)</f>
        <v>Cissiee Raisbeck</v>
      </c>
      <c r="G959" s="2" t="str">
        <f>IF(_xlfn.XLOOKUP(C959,customers!$A$1:$A$1001,customers!$C$1:$C$1001,,0)=0,"",_xlfn.XLOOKUP(C959,customers!$A$1:$A$1001,customers!$C$1:$C$1001,,0))</f>
        <v>craisbeckfg@webnode.com</v>
      </c>
      <c r="H959" s="2" t="str">
        <f>_xlfn.XLOOKUP(C959,customers!$A$1:$A$1001,customers!$G$1:$G$1001,,0)</f>
        <v>United States</v>
      </c>
      <c r="I959" t="str">
        <f>INDEX(products!$A$1:$G$49, MATCH(orders!$D558,products!$A$1:$A605,0), MATCH(orders!I$1,products!$A$1:$G$1,0))</f>
        <v>Lib</v>
      </c>
      <c r="J959" t="str">
        <f>INDEX(products!$A$1:$G$49, MATCH(orders!$D558,products!$A$1:$A605,0), MATCH(orders!J$1,products!$A$1:$G$1,0))</f>
        <v>M</v>
      </c>
      <c r="K959" s="5">
        <f>INDEX(products!$A$1:$G$49, MATCH(orders!$D558,products!$A$1:$A605,0), MATCH(orders!K$1,products!$A$1:$G$1,0))</f>
        <v>0.2</v>
      </c>
      <c r="L959" s="6">
        <f>INDEX(products!$A$1:$G$49, MATCH(orders!$D558,products!$A$1:$A605,0), MATCH(orders!L$1,products!$A$1:$G$1,0))</f>
        <v>4.3650000000000002</v>
      </c>
      <c r="M959" s="6">
        <f t="shared" si="42"/>
        <v>8.73</v>
      </c>
      <c r="N959" t="str">
        <f t="shared" si="43"/>
        <v>Liberica</v>
      </c>
      <c r="O959" t="str">
        <f t="shared" si="44"/>
        <v>Medium</v>
      </c>
      <c r="P959" t="str">
        <f>_xlfn.XLOOKUP(Orders[[#This Row],[Customer ID]],customers!$A$1:$A$1001,customers!$I$1:$I$1001,,0)</f>
        <v>Yes</v>
      </c>
      <c r="Q959">
        <f>COUNTIF(Orders[Order ID],Orders[[#This Row],[Order ID]])</f>
        <v>1</v>
      </c>
      <c r="R959" s="10">
        <f>SUMIF(Orders[Order ID], Orders[[#This Row],[Order ID]],Orders[Sales])/Orders[[#This Row],[Order Frequency]]</f>
        <v>8.73</v>
      </c>
      <c r="S959" t="str">
        <f>IF(Orders[[#This Row],[Order Frequency]]&gt;4, "More than 4", IF(AND(Orders[[#This Row],[Order Frequency]]&lt;=4,Orders[[#This Row],[Order Frequency]]&gt;=2), "Between 4 and 2", "Less than 2"))</f>
        <v>Less than 2</v>
      </c>
      <c r="T959" t="str">
        <f>IF(Orders[[#This Row],[Frequency Group]]="less than 2", "Low Value", IF(Orders[[#This Row],[Frequency Group]]="between 4 and 2", "Medium Value", "High Value"))</f>
        <v>Low Value</v>
      </c>
      <c r="U959" t="str">
        <f>IF(Orders[[#This Row],[Sales]]&lt;50, "$0-50", IF(AND(Orders[[#This Row],[Sales]]&gt;=50,Orders[[#This Row],[Sales]]&lt;=100), "$50-100", IF(AND(Orders[[#This Row],[Sales]]&gt;100,Orders[[#This Row],[Sales]]&lt;=150), "$101-150", "$150+")))</f>
        <v>$0-50</v>
      </c>
      <c r="V959" t="str">
        <f>IF(Orders[[#This Row],[Sales]]&gt;MEDIAN(M:M), "High Price", "Low Price")</f>
        <v>Low Price</v>
      </c>
      <c r="W959" t="str">
        <f>IF(Orders[[#This Row],[Quantity]]&gt;MEDIAN(E:E), "High Volume", "Low Volume")</f>
        <v>Low Volume</v>
      </c>
      <c r="X959" t="str">
        <f>Orders[[#This Row],[Sales Tier]] &amp; "-" &amp; Orders[[#This Row],[Quantity Tier]]</f>
        <v>Low Price-Low Volume</v>
      </c>
      <c r="Y959" t="str">
        <f>TEXT(Orders[[#This Row],[Order Date]], "mmmm")</f>
        <v>November</v>
      </c>
      <c r="Z95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959" t="str">
        <f>Orders[[#This Row],[Coffee Type Name]] &amp; "-" &amp; Orders[[#This Row],[Roast Type Name]]</f>
        <v>Liberica-Medium</v>
      </c>
      <c r="AB95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960" spans="1:28" x14ac:dyDescent="0.25">
      <c r="A960" s="2" t="s">
        <v>3745</v>
      </c>
      <c r="B960" s="4">
        <v>44290</v>
      </c>
      <c r="C960" s="2" t="s">
        <v>3746</v>
      </c>
      <c r="D960" t="s">
        <v>6154</v>
      </c>
      <c r="E960" s="2">
        <v>6</v>
      </c>
      <c r="F960" s="2" t="str">
        <f>_xlfn.XLOOKUP(C960,customers!$A$1:$A$1001,customers!$B$1:$B$1001,,0)</f>
        <v>Phyllys Ormerod</v>
      </c>
      <c r="G960" s="2" t="str">
        <f>IF(_xlfn.XLOOKUP(C960,customers!$A$1:$A$1001,customers!$C$1:$C$1001,,0)=0,"",_xlfn.XLOOKUP(C960,customers!$A$1:$A$1001,customers!$C$1:$C$1001,,0))</f>
        <v>pormerodg0@redcross.org</v>
      </c>
      <c r="H960" s="2" t="str">
        <f>_xlfn.XLOOKUP(C960,customers!$A$1:$A$1001,customers!$G$1:$G$1001,,0)</f>
        <v>United States</v>
      </c>
      <c r="I960" t="str">
        <f>INDEX(products!$A$1:$G$49, MATCH(orders!$D578,products!$A$1:$A625,0), MATCH(orders!I$1,products!$A$1:$G$1,0))</f>
        <v>Ara</v>
      </c>
      <c r="J960" t="str">
        <f>INDEX(products!$A$1:$G$49, MATCH(orders!$D578,products!$A$1:$A625,0), MATCH(orders!J$1,products!$A$1:$G$1,0))</f>
        <v>D</v>
      </c>
      <c r="K960" s="5">
        <f>INDEX(products!$A$1:$G$49, MATCH(orders!$D578,products!$A$1:$A625,0), MATCH(orders!K$1,products!$A$1:$G$1,0))</f>
        <v>0.2</v>
      </c>
      <c r="L960" s="6">
        <f>INDEX(products!$A$1:$G$49, MATCH(orders!$D578,products!$A$1:$A625,0), MATCH(orders!L$1,products!$A$1:$G$1,0))</f>
        <v>2.9849999999999999</v>
      </c>
      <c r="M960" s="6">
        <f t="shared" si="42"/>
        <v>17.91</v>
      </c>
      <c r="N960" t="str">
        <f t="shared" si="43"/>
        <v>Arabica</v>
      </c>
      <c r="O960" t="str">
        <f t="shared" si="44"/>
        <v>Dark</v>
      </c>
      <c r="P960" t="str">
        <f>_xlfn.XLOOKUP(Orders[[#This Row],[Customer ID]],customers!$A$1:$A$1001,customers!$I$1:$I$1001,,0)</f>
        <v>No</v>
      </c>
      <c r="Q960">
        <f>COUNTIF(Orders[Order ID],Orders[[#This Row],[Order ID]])</f>
        <v>1</v>
      </c>
      <c r="R960" s="10">
        <f>SUMIF(Orders[Order ID], Orders[[#This Row],[Order ID]],Orders[Sales])/Orders[[#This Row],[Order Frequency]]</f>
        <v>17.91</v>
      </c>
      <c r="S960" t="str">
        <f>IF(Orders[[#This Row],[Order Frequency]]&gt;4, "More than 4", IF(AND(Orders[[#This Row],[Order Frequency]]&lt;=4,Orders[[#This Row],[Order Frequency]]&gt;=2), "Between 4 and 2", "Less than 2"))</f>
        <v>Less than 2</v>
      </c>
      <c r="T960" t="str">
        <f>IF(Orders[[#This Row],[Frequency Group]]="less than 2", "Low Value", IF(Orders[[#This Row],[Frequency Group]]="between 4 and 2", "Medium Value", "High Value"))</f>
        <v>Low Value</v>
      </c>
      <c r="U960" t="str">
        <f>IF(Orders[[#This Row],[Sales]]&lt;50, "$0-50", IF(AND(Orders[[#This Row],[Sales]]&gt;=50,Orders[[#This Row],[Sales]]&lt;=100), "$50-100", IF(AND(Orders[[#This Row],[Sales]]&gt;100,Orders[[#This Row],[Sales]]&lt;=150), "$101-150", "$150+")))</f>
        <v>$0-50</v>
      </c>
      <c r="V960" t="str">
        <f>IF(Orders[[#This Row],[Sales]]&gt;MEDIAN(M:M), "High Price", "Low Price")</f>
        <v>Low Price</v>
      </c>
      <c r="W960" t="str">
        <f>IF(Orders[[#This Row],[Quantity]]&gt;MEDIAN(E:E), "High Volume", "Low Volume")</f>
        <v>High Volume</v>
      </c>
      <c r="X960" t="str">
        <f>Orders[[#This Row],[Sales Tier]] &amp; "-" &amp; Orders[[#This Row],[Quantity Tier]]</f>
        <v>Low Price-High Volume</v>
      </c>
      <c r="Y960" t="str">
        <f>TEXT(Orders[[#This Row],[Order Date]], "mmmm")</f>
        <v>April</v>
      </c>
      <c r="Z96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960" t="str">
        <f>Orders[[#This Row],[Coffee Type Name]] &amp; "-" &amp; Orders[[#This Row],[Roast Type Name]]</f>
        <v>Arabica-Dark</v>
      </c>
      <c r="AB96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961" spans="1:28" x14ac:dyDescent="0.25">
      <c r="A961" s="2" t="s">
        <v>4903</v>
      </c>
      <c r="B961" s="4">
        <v>43778</v>
      </c>
      <c r="C961" s="2" t="s">
        <v>4904</v>
      </c>
      <c r="D961" t="s">
        <v>6164</v>
      </c>
      <c r="E961" s="2">
        <v>4</v>
      </c>
      <c r="F961" s="2" t="str">
        <f>_xlfn.XLOOKUP(C961,customers!$A$1:$A$1001,customers!$B$1:$B$1001,,0)</f>
        <v>Lacee Burtenshaw</v>
      </c>
      <c r="G961" s="2" t="str">
        <f>IF(_xlfn.XLOOKUP(C961,customers!$A$1:$A$1001,customers!$C$1:$C$1001,,0)=0,"",_xlfn.XLOOKUP(C961,customers!$A$1:$A$1001,customers!$C$1:$C$1001,,0))</f>
        <v>lburtenshawlp@shinystat.com</v>
      </c>
      <c r="H961" s="2" t="str">
        <f>_xlfn.XLOOKUP(C961,customers!$A$1:$A$1001,customers!$G$1:$G$1001,,0)</f>
        <v>United States</v>
      </c>
      <c r="I961" t="str">
        <f>INDEX(products!$A$1:$G$49, MATCH(orders!$D783,products!$A$1:$A830,0), MATCH(orders!I$1,products!$A$1:$G$1,0))</f>
        <v>Lib</v>
      </c>
      <c r="J961" t="str">
        <f>INDEX(products!$A$1:$G$49, MATCH(orders!$D783,products!$A$1:$A830,0), MATCH(orders!J$1,products!$A$1:$G$1,0))</f>
        <v>L</v>
      </c>
      <c r="K961" s="5">
        <f>INDEX(products!$A$1:$G$49, MATCH(orders!$D783,products!$A$1:$A830,0), MATCH(orders!K$1,products!$A$1:$G$1,0))</f>
        <v>2.5</v>
      </c>
      <c r="L961" s="6">
        <f>INDEX(products!$A$1:$G$49, MATCH(orders!$D783,products!$A$1:$A830,0), MATCH(orders!L$1,products!$A$1:$G$1,0))</f>
        <v>36.454999999999998</v>
      </c>
      <c r="M961" s="6">
        <f t="shared" si="42"/>
        <v>145.82</v>
      </c>
      <c r="N961" t="str">
        <f t="shared" si="43"/>
        <v>Liberica</v>
      </c>
      <c r="O961" t="str">
        <f t="shared" si="44"/>
        <v>Light</v>
      </c>
      <c r="P961" t="str">
        <f>_xlfn.XLOOKUP(Orders[[#This Row],[Customer ID]],customers!$A$1:$A$1001,customers!$I$1:$I$1001,,0)</f>
        <v>No</v>
      </c>
      <c r="Q961">
        <f>COUNTIF(Orders[Order ID],Orders[[#This Row],[Order ID]])</f>
        <v>1</v>
      </c>
      <c r="R961" s="10">
        <f>SUMIF(Orders[Order ID], Orders[[#This Row],[Order ID]],Orders[Sales])/Orders[[#This Row],[Order Frequency]]</f>
        <v>145.82</v>
      </c>
      <c r="S961" t="str">
        <f>IF(Orders[[#This Row],[Order Frequency]]&gt;4, "More than 4", IF(AND(Orders[[#This Row],[Order Frequency]]&lt;=4,Orders[[#This Row],[Order Frequency]]&gt;=2), "Between 4 and 2", "Less than 2"))</f>
        <v>Less than 2</v>
      </c>
      <c r="T961" t="str">
        <f>IF(Orders[[#This Row],[Frequency Group]]="less than 2", "Low Value", IF(Orders[[#This Row],[Frequency Group]]="between 4 and 2", "Medium Value", "High Value"))</f>
        <v>Low Value</v>
      </c>
      <c r="U961" t="str">
        <f>IF(Orders[[#This Row],[Sales]]&lt;50, "$0-50", IF(AND(Orders[[#This Row],[Sales]]&gt;=50,Orders[[#This Row],[Sales]]&lt;=100), "$50-100", IF(AND(Orders[[#This Row],[Sales]]&gt;100,Orders[[#This Row],[Sales]]&lt;=150), "$101-150", "$150+")))</f>
        <v>$101-150</v>
      </c>
      <c r="V961" t="str">
        <f>IF(Orders[[#This Row],[Sales]]&gt;MEDIAN(M:M), "High Price", "Low Price")</f>
        <v>High Price</v>
      </c>
      <c r="W961" t="str">
        <f>IF(Orders[[#This Row],[Quantity]]&gt;MEDIAN(E:E), "High Volume", "Low Volume")</f>
        <v>Low Volume</v>
      </c>
      <c r="X961" t="str">
        <f>Orders[[#This Row],[Sales Tier]] &amp; "-" &amp; Orders[[#This Row],[Quantity Tier]]</f>
        <v>High Price-Low Volume</v>
      </c>
      <c r="Y961" t="str">
        <f>TEXT(Orders[[#This Row],[Order Date]], "mmmm")</f>
        <v>November</v>
      </c>
      <c r="Z96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961" t="str">
        <f>Orders[[#This Row],[Coffee Type Name]] &amp; "-" &amp; Orders[[#This Row],[Roast Type Name]]</f>
        <v>Liberica-Light</v>
      </c>
      <c r="AB96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962" spans="1:28" x14ac:dyDescent="0.25">
      <c r="A962" s="2" t="s">
        <v>5932</v>
      </c>
      <c r="B962" s="4">
        <v>44203</v>
      </c>
      <c r="C962" s="2" t="s">
        <v>5933</v>
      </c>
      <c r="D962" t="s">
        <v>6146</v>
      </c>
      <c r="E962" s="2">
        <v>4</v>
      </c>
      <c r="F962" s="2" t="str">
        <f>_xlfn.XLOOKUP(C962,customers!$A$1:$A$1001,customers!$B$1:$B$1001,,0)</f>
        <v>Yuri Burrells</v>
      </c>
      <c r="G962" s="2" t="str">
        <f>IF(_xlfn.XLOOKUP(C962,customers!$A$1:$A$1001,customers!$C$1:$C$1001,,0)=0,"",_xlfn.XLOOKUP(C962,customers!$A$1:$A$1001,customers!$C$1:$C$1001,,0))</f>
        <v>yburrellsqr@vinaora.com</v>
      </c>
      <c r="H962" s="2" t="str">
        <f>_xlfn.XLOOKUP(C962,customers!$A$1:$A$1001,customers!$G$1:$G$1001,,0)</f>
        <v>United States</v>
      </c>
      <c r="I962" t="str">
        <f>INDEX(products!$A$1:$G$49, MATCH(orders!$D965,products!$A$1:$A1012,0), MATCH(orders!I$1,products!$A$1:$G$1,0))</f>
        <v>Rob</v>
      </c>
      <c r="J962" t="str">
        <f>INDEX(products!$A$1:$G$49, MATCH(orders!$D965,products!$A$1:$A1012,0), MATCH(orders!J$1,products!$A$1:$G$1,0))</f>
        <v>M</v>
      </c>
      <c r="K962" s="5">
        <f>INDEX(products!$A$1:$G$49, MATCH(orders!$D965,products!$A$1:$A1012,0), MATCH(orders!K$1,products!$A$1:$G$1,0))</f>
        <v>0.5</v>
      </c>
      <c r="L962" s="6">
        <f>INDEX(products!$A$1:$G$49, MATCH(orders!$D965,products!$A$1:$A1012,0), MATCH(orders!L$1,products!$A$1:$G$1,0))</f>
        <v>5.97</v>
      </c>
      <c r="M962" s="6">
        <f t="shared" ref="M962:M1001" si="45">L962*E962</f>
        <v>23.88</v>
      </c>
      <c r="N962" t="str">
        <f t="shared" ref="N962:N1001" si="46">IF(I962="Rob", "Robusta", IF(I962="Exc", "Excelsa", IF(I962="Ara","Arabica", IF(I962="Lib", "Liberica",""))))</f>
        <v>Robusta</v>
      </c>
      <c r="O962" t="str">
        <f t="shared" ref="O962:O1001" si="47">IF(J962="M", "Medium", IF(J962="L", "Light", IF(J962="D", "Dark", "")))</f>
        <v>Medium</v>
      </c>
      <c r="P962" t="str">
        <f>_xlfn.XLOOKUP(Orders[[#This Row],[Customer ID]],customers!$A$1:$A$1001,customers!$I$1:$I$1001,,0)</f>
        <v>Yes</v>
      </c>
      <c r="Q962">
        <f>COUNTIF(Orders[Order ID],Orders[[#This Row],[Order ID]])</f>
        <v>1</v>
      </c>
      <c r="R962" s="10">
        <f>SUMIF(Orders[Order ID], Orders[[#This Row],[Order ID]],Orders[Sales])/Orders[[#This Row],[Order Frequency]]</f>
        <v>23.88</v>
      </c>
      <c r="S962" t="str">
        <f>IF(Orders[[#This Row],[Order Frequency]]&gt;4, "More than 4", IF(AND(Orders[[#This Row],[Order Frequency]]&lt;=4,Orders[[#This Row],[Order Frequency]]&gt;=2), "Between 4 and 2", "Less than 2"))</f>
        <v>Less than 2</v>
      </c>
      <c r="T962" t="str">
        <f>IF(Orders[[#This Row],[Frequency Group]]="less than 2", "Low Value", IF(Orders[[#This Row],[Frequency Group]]="between 4 and 2", "Medium Value", "High Value"))</f>
        <v>Low Value</v>
      </c>
      <c r="U962" t="str">
        <f>IF(Orders[[#This Row],[Sales]]&lt;50, "$0-50", IF(AND(Orders[[#This Row],[Sales]]&gt;=50,Orders[[#This Row],[Sales]]&lt;=100), "$50-100", IF(AND(Orders[[#This Row],[Sales]]&gt;100,Orders[[#This Row],[Sales]]&lt;=150), "$101-150", "$150+")))</f>
        <v>$0-50</v>
      </c>
      <c r="V962" t="str">
        <f>IF(Orders[[#This Row],[Sales]]&gt;MEDIAN(M:M), "High Price", "Low Price")</f>
        <v>Low Price</v>
      </c>
      <c r="W962" t="str">
        <f>IF(Orders[[#This Row],[Quantity]]&gt;MEDIAN(E:E), "High Volume", "Low Volume")</f>
        <v>Low Volume</v>
      </c>
      <c r="X962" t="str">
        <f>Orders[[#This Row],[Sales Tier]] &amp; "-" &amp; Orders[[#This Row],[Quantity Tier]]</f>
        <v>Low Price-Low Volume</v>
      </c>
      <c r="Y962" t="str">
        <f>TEXT(Orders[[#This Row],[Order Date]], "mmmm")</f>
        <v>January</v>
      </c>
      <c r="Z96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962" t="str">
        <f>Orders[[#This Row],[Coffee Type Name]] &amp; "-" &amp; Orders[[#This Row],[Roast Type Name]]</f>
        <v>Robusta-Medium</v>
      </c>
      <c r="AB96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963" spans="1:28" x14ac:dyDescent="0.25">
      <c r="A963" s="2" t="s">
        <v>1012</v>
      </c>
      <c r="B963" s="4">
        <v>43538</v>
      </c>
      <c r="C963" s="2" t="s">
        <v>1013</v>
      </c>
      <c r="D963" t="s">
        <v>6176</v>
      </c>
      <c r="E963" s="2">
        <v>4</v>
      </c>
      <c r="F963" s="2" t="str">
        <f>_xlfn.XLOOKUP(C963,customers!$A$1:$A$1001,customers!$B$1:$B$1001,,0)</f>
        <v>Else Langcaster</v>
      </c>
      <c r="G963" s="2" t="str">
        <f>IF(_xlfn.XLOOKUP(C963,customers!$A$1:$A$1001,customers!$C$1:$C$1001,,0)=0,"",_xlfn.XLOOKUP(C963,customers!$A$1:$A$1001,customers!$C$1:$C$1001,,0))</f>
        <v>elangcaster2l@spotify.com</v>
      </c>
      <c r="H963" s="2" t="str">
        <f>_xlfn.XLOOKUP(C963,customers!$A$1:$A$1001,customers!$G$1:$G$1001,,0)</f>
        <v>United Kingdom</v>
      </c>
      <c r="I963" t="str">
        <f>INDEX(products!$A$1:$G$49, MATCH(orders!$D95,products!$A$1:$A142,0), MATCH(orders!I$1,products!$A$1:$G$1,0))</f>
        <v>Exc</v>
      </c>
      <c r="J963" t="str">
        <f>INDEX(products!$A$1:$G$49, MATCH(orders!$D95,products!$A$1:$A142,0), MATCH(orders!J$1,products!$A$1:$G$1,0))</f>
        <v>L</v>
      </c>
      <c r="K963" s="5">
        <f>INDEX(products!$A$1:$G$49, MATCH(orders!$D95,products!$A$1:$A142,0), MATCH(orders!K$1,products!$A$1:$G$1,0))</f>
        <v>0.5</v>
      </c>
      <c r="L963" s="6">
        <f>INDEX(products!$A$1:$G$49, MATCH(orders!$D95,products!$A$1:$A142,0), MATCH(orders!L$1,products!$A$1:$G$1,0))</f>
        <v>8.91</v>
      </c>
      <c r="M963" s="6">
        <f t="shared" si="45"/>
        <v>35.64</v>
      </c>
      <c r="N963" t="str">
        <f t="shared" si="46"/>
        <v>Excelsa</v>
      </c>
      <c r="O963" t="str">
        <f t="shared" si="47"/>
        <v>Light</v>
      </c>
      <c r="P963" t="str">
        <f>_xlfn.XLOOKUP(Orders[[#This Row],[Customer ID]],customers!$A$1:$A$1001,customers!$I$1:$I$1001,,0)</f>
        <v>Yes</v>
      </c>
      <c r="Q963">
        <f>COUNTIF(Orders[Order ID],Orders[[#This Row],[Order ID]])</f>
        <v>1</v>
      </c>
      <c r="R963" s="10">
        <f>SUMIF(Orders[Order ID], Orders[[#This Row],[Order ID]],Orders[Sales])/Orders[[#This Row],[Order Frequency]]</f>
        <v>35.64</v>
      </c>
      <c r="S963" t="str">
        <f>IF(Orders[[#This Row],[Order Frequency]]&gt;4, "More than 4", IF(AND(Orders[[#This Row],[Order Frequency]]&lt;=4,Orders[[#This Row],[Order Frequency]]&gt;=2), "Between 4 and 2", "Less than 2"))</f>
        <v>Less than 2</v>
      </c>
      <c r="T963" t="str">
        <f>IF(Orders[[#This Row],[Frequency Group]]="less than 2", "Low Value", IF(Orders[[#This Row],[Frequency Group]]="between 4 and 2", "Medium Value", "High Value"))</f>
        <v>Low Value</v>
      </c>
      <c r="U963" t="str">
        <f>IF(Orders[[#This Row],[Sales]]&lt;50, "$0-50", IF(AND(Orders[[#This Row],[Sales]]&gt;=50,Orders[[#This Row],[Sales]]&lt;=100), "$50-100", IF(AND(Orders[[#This Row],[Sales]]&gt;100,Orders[[#This Row],[Sales]]&lt;=150), "$101-150", "$150+")))</f>
        <v>$0-50</v>
      </c>
      <c r="V963" t="str">
        <f>IF(Orders[[#This Row],[Sales]]&gt;MEDIAN(M:M), "High Price", "Low Price")</f>
        <v>High Price</v>
      </c>
      <c r="W963" t="str">
        <f>IF(Orders[[#This Row],[Quantity]]&gt;MEDIAN(E:E), "High Volume", "Low Volume")</f>
        <v>Low Volume</v>
      </c>
      <c r="X963" t="str">
        <f>Orders[[#This Row],[Sales Tier]] &amp; "-" &amp; Orders[[#This Row],[Quantity Tier]]</f>
        <v>High Price-Low Volume</v>
      </c>
      <c r="Y963" t="str">
        <f>TEXT(Orders[[#This Row],[Order Date]], "mmmm")</f>
        <v>March</v>
      </c>
      <c r="Z96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963" t="str">
        <f>Orders[[#This Row],[Coffee Type Name]] &amp; "-" &amp; Orders[[#This Row],[Roast Type Name]]</f>
        <v>Excelsa-Light</v>
      </c>
      <c r="AB96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964" spans="1:28" x14ac:dyDescent="0.25">
      <c r="A964" s="2" t="s">
        <v>5396</v>
      </c>
      <c r="B964" s="4">
        <v>43526</v>
      </c>
      <c r="C964" s="2" t="s">
        <v>5397</v>
      </c>
      <c r="D964" t="s">
        <v>6139</v>
      </c>
      <c r="E964" s="2">
        <v>5</v>
      </c>
      <c r="F964" s="2" t="str">
        <f>_xlfn.XLOOKUP(C964,customers!$A$1:$A$1001,customers!$B$1:$B$1001,,0)</f>
        <v>Margie Palleske</v>
      </c>
      <c r="G964" s="2" t="str">
        <f>IF(_xlfn.XLOOKUP(C964,customers!$A$1:$A$1001,customers!$C$1:$C$1001,,0)=0,"",_xlfn.XLOOKUP(C964,customers!$A$1:$A$1001,customers!$C$1:$C$1001,,0))</f>
        <v>mpalleskeo4@nyu.edu</v>
      </c>
      <c r="H964" s="2" t="str">
        <f>_xlfn.XLOOKUP(C964,customers!$A$1:$A$1001,customers!$G$1:$G$1001,,0)</f>
        <v>United States</v>
      </c>
      <c r="I964" t="str">
        <f>INDEX(products!$A$1:$G$49, MATCH(orders!$D870,products!$A$1:$A917,0), MATCH(orders!I$1,products!$A$1:$G$1,0))</f>
        <v>Exc</v>
      </c>
      <c r="J964" t="str">
        <f>INDEX(products!$A$1:$G$49, MATCH(orders!$D870,products!$A$1:$A917,0), MATCH(orders!J$1,products!$A$1:$G$1,0))</f>
        <v>M</v>
      </c>
      <c r="K964" s="5">
        <f>INDEX(products!$A$1:$G$49, MATCH(orders!$D870,products!$A$1:$A917,0), MATCH(orders!K$1,products!$A$1:$G$1,0))</f>
        <v>0.5</v>
      </c>
      <c r="L964" s="6">
        <f>INDEX(products!$A$1:$G$49, MATCH(orders!$D870,products!$A$1:$A917,0), MATCH(orders!L$1,products!$A$1:$G$1,0))</f>
        <v>8.25</v>
      </c>
      <c r="M964" s="6">
        <f t="shared" si="45"/>
        <v>41.25</v>
      </c>
      <c r="N964" t="str">
        <f t="shared" si="46"/>
        <v>Excelsa</v>
      </c>
      <c r="O964" t="str">
        <f t="shared" si="47"/>
        <v>Medium</v>
      </c>
      <c r="P964" t="str">
        <f>_xlfn.XLOOKUP(Orders[[#This Row],[Customer ID]],customers!$A$1:$A$1001,customers!$I$1:$I$1001,,0)</f>
        <v>Yes</v>
      </c>
      <c r="Q964">
        <f>COUNTIF(Orders[Order ID],Orders[[#This Row],[Order ID]])</f>
        <v>1</v>
      </c>
      <c r="R964" s="10">
        <f>SUMIF(Orders[Order ID], Orders[[#This Row],[Order ID]],Orders[Sales])/Orders[[#This Row],[Order Frequency]]</f>
        <v>41.25</v>
      </c>
      <c r="S964" t="str">
        <f>IF(Orders[[#This Row],[Order Frequency]]&gt;4, "More than 4", IF(AND(Orders[[#This Row],[Order Frequency]]&lt;=4,Orders[[#This Row],[Order Frequency]]&gt;=2), "Between 4 and 2", "Less than 2"))</f>
        <v>Less than 2</v>
      </c>
      <c r="T964" t="str">
        <f>IF(Orders[[#This Row],[Frequency Group]]="less than 2", "Low Value", IF(Orders[[#This Row],[Frequency Group]]="between 4 and 2", "Medium Value", "High Value"))</f>
        <v>Low Value</v>
      </c>
      <c r="U964" t="str">
        <f>IF(Orders[[#This Row],[Sales]]&lt;50, "$0-50", IF(AND(Orders[[#This Row],[Sales]]&gt;=50,Orders[[#This Row],[Sales]]&lt;=100), "$50-100", IF(AND(Orders[[#This Row],[Sales]]&gt;100,Orders[[#This Row],[Sales]]&lt;=150), "$101-150", "$150+")))</f>
        <v>$0-50</v>
      </c>
      <c r="V964" t="str">
        <f>IF(Orders[[#This Row],[Sales]]&gt;MEDIAN(M:M), "High Price", "Low Price")</f>
        <v>High Price</v>
      </c>
      <c r="W964" t="str">
        <f>IF(Orders[[#This Row],[Quantity]]&gt;MEDIAN(E:E), "High Volume", "Low Volume")</f>
        <v>High Volume</v>
      </c>
      <c r="X964" t="str">
        <f>Orders[[#This Row],[Sales Tier]] &amp; "-" &amp; Orders[[#This Row],[Quantity Tier]]</f>
        <v>High Price-High Volume</v>
      </c>
      <c r="Y964" t="str">
        <f>TEXT(Orders[[#This Row],[Order Date]], "mmmm")</f>
        <v>March</v>
      </c>
      <c r="Z96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964" t="str">
        <f>Orders[[#This Row],[Coffee Type Name]] &amp; "-" &amp; Orders[[#This Row],[Roast Type Name]]</f>
        <v>Excelsa-Medium</v>
      </c>
      <c r="AB96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965" spans="1:28" x14ac:dyDescent="0.25">
      <c r="A965" s="2" t="s">
        <v>4694</v>
      </c>
      <c r="B965" s="4">
        <v>43539</v>
      </c>
      <c r="C965" s="2" t="s">
        <v>4695</v>
      </c>
      <c r="D965" t="s">
        <v>6174</v>
      </c>
      <c r="E965" s="2">
        <v>6</v>
      </c>
      <c r="F965" s="2" t="str">
        <f>_xlfn.XLOOKUP(C965,customers!$A$1:$A$1001,customers!$B$1:$B$1001,,0)</f>
        <v>Samuele Klaaassen</v>
      </c>
      <c r="G965" s="2" t="str">
        <f>IF(_xlfn.XLOOKUP(C965,customers!$A$1:$A$1001,customers!$C$1:$C$1001,,0)=0,"",_xlfn.XLOOKUP(C965,customers!$A$1:$A$1001,customers!$C$1:$C$1001,,0))</f>
        <v/>
      </c>
      <c r="H965" s="2" t="str">
        <f>_xlfn.XLOOKUP(C965,customers!$A$1:$A$1001,customers!$G$1:$G$1001,,0)</f>
        <v>United States</v>
      </c>
      <c r="I965" t="str">
        <f>INDEX(products!$A$1:$G$49, MATCH(orders!$D746,products!$A$1:$A793,0), MATCH(orders!I$1,products!$A$1:$G$1,0))</f>
        <v>Rob</v>
      </c>
      <c r="J965" t="str">
        <f>INDEX(products!$A$1:$G$49, MATCH(orders!$D746,products!$A$1:$A793,0), MATCH(orders!J$1,products!$A$1:$G$1,0))</f>
        <v>M</v>
      </c>
      <c r="K965" s="5">
        <f>INDEX(products!$A$1:$G$49, MATCH(orders!$D746,products!$A$1:$A793,0), MATCH(orders!K$1,products!$A$1:$G$1,0))</f>
        <v>0.2</v>
      </c>
      <c r="L965" s="6">
        <f>INDEX(products!$A$1:$G$49, MATCH(orders!$D746,products!$A$1:$A793,0), MATCH(orders!L$1,products!$A$1:$G$1,0))</f>
        <v>2.9849999999999999</v>
      </c>
      <c r="M965" s="6">
        <f t="shared" si="45"/>
        <v>17.91</v>
      </c>
      <c r="N965" t="str">
        <f t="shared" si="46"/>
        <v>Robusta</v>
      </c>
      <c r="O965" t="str">
        <f t="shared" si="47"/>
        <v>Medium</v>
      </c>
      <c r="P965" t="str">
        <f>_xlfn.XLOOKUP(Orders[[#This Row],[Customer ID]],customers!$A$1:$A$1001,customers!$I$1:$I$1001,,0)</f>
        <v>Yes</v>
      </c>
      <c r="Q965">
        <f>COUNTIF(Orders[Order ID],Orders[[#This Row],[Order ID]])</f>
        <v>1</v>
      </c>
      <c r="R965" s="10">
        <f>SUMIF(Orders[Order ID], Orders[[#This Row],[Order ID]],Orders[Sales])/Orders[[#This Row],[Order Frequency]]</f>
        <v>17.91</v>
      </c>
      <c r="S965" t="str">
        <f>IF(Orders[[#This Row],[Order Frequency]]&gt;4, "More than 4", IF(AND(Orders[[#This Row],[Order Frequency]]&lt;=4,Orders[[#This Row],[Order Frequency]]&gt;=2), "Between 4 and 2", "Less than 2"))</f>
        <v>Less than 2</v>
      </c>
      <c r="T965" t="str">
        <f>IF(Orders[[#This Row],[Frequency Group]]="less than 2", "Low Value", IF(Orders[[#This Row],[Frequency Group]]="between 4 and 2", "Medium Value", "High Value"))</f>
        <v>Low Value</v>
      </c>
      <c r="U965" t="str">
        <f>IF(Orders[[#This Row],[Sales]]&lt;50, "$0-50", IF(AND(Orders[[#This Row],[Sales]]&gt;=50,Orders[[#This Row],[Sales]]&lt;=100), "$50-100", IF(AND(Orders[[#This Row],[Sales]]&gt;100,Orders[[#This Row],[Sales]]&lt;=150), "$101-150", "$150+")))</f>
        <v>$0-50</v>
      </c>
      <c r="V965" t="str">
        <f>IF(Orders[[#This Row],[Sales]]&gt;MEDIAN(M:M), "High Price", "Low Price")</f>
        <v>Low Price</v>
      </c>
      <c r="W965" t="str">
        <f>IF(Orders[[#This Row],[Quantity]]&gt;MEDIAN(E:E), "High Volume", "Low Volume")</f>
        <v>High Volume</v>
      </c>
      <c r="X965" t="str">
        <f>Orders[[#This Row],[Sales Tier]] &amp; "-" &amp; Orders[[#This Row],[Quantity Tier]]</f>
        <v>Low Price-High Volume</v>
      </c>
      <c r="Y965" t="str">
        <f>TEXT(Orders[[#This Row],[Order Date]], "mmmm")</f>
        <v>March</v>
      </c>
      <c r="Z96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965" t="str">
        <f>Orders[[#This Row],[Coffee Type Name]] &amp; "-" &amp; Orders[[#This Row],[Roast Type Name]]</f>
        <v>Robusta-Medium</v>
      </c>
      <c r="AB96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966" spans="1:28" x14ac:dyDescent="0.25">
      <c r="A966" s="2" t="s">
        <v>2549</v>
      </c>
      <c r="B966" s="4">
        <v>44464</v>
      </c>
      <c r="C966" s="2" t="s">
        <v>2550</v>
      </c>
      <c r="D966" t="s">
        <v>6169</v>
      </c>
      <c r="E966" s="2">
        <v>1</v>
      </c>
      <c r="F966" s="2" t="str">
        <f>_xlfn.XLOOKUP(C966,customers!$A$1:$A$1001,customers!$B$1:$B$1001,,0)</f>
        <v>Casi Gwinnett</v>
      </c>
      <c r="G966" s="2" t="str">
        <f>IF(_xlfn.XLOOKUP(C966,customers!$A$1:$A$1001,customers!$C$1:$C$1001,,0)=0,"",_xlfn.XLOOKUP(C966,customers!$A$1:$A$1001,customers!$C$1:$C$1001,,0))</f>
        <v>cgwinnetta5@behance.net</v>
      </c>
      <c r="H966" s="2" t="str">
        <f>_xlfn.XLOOKUP(C966,customers!$A$1:$A$1001,customers!$G$1:$G$1001,,0)</f>
        <v>United States</v>
      </c>
      <c r="I966" t="str">
        <f>INDEX(products!$A$1:$G$49, MATCH(orders!$D367,products!$A$1:$A414,0), MATCH(orders!I$1,products!$A$1:$G$1,0))</f>
        <v>Lib</v>
      </c>
      <c r="J966" t="str">
        <f>INDEX(products!$A$1:$G$49, MATCH(orders!$D367,products!$A$1:$A414,0), MATCH(orders!J$1,products!$A$1:$G$1,0))</f>
        <v>D</v>
      </c>
      <c r="K966" s="5">
        <f>INDEX(products!$A$1:$G$49, MATCH(orders!$D367,products!$A$1:$A414,0), MATCH(orders!K$1,products!$A$1:$G$1,0))</f>
        <v>0.5</v>
      </c>
      <c r="L966" s="6">
        <f>INDEX(products!$A$1:$G$49, MATCH(orders!$D367,products!$A$1:$A414,0), MATCH(orders!L$1,products!$A$1:$G$1,0))</f>
        <v>7.77</v>
      </c>
      <c r="M966" s="6">
        <f t="shared" si="45"/>
        <v>7.77</v>
      </c>
      <c r="N966" t="str">
        <f t="shared" si="46"/>
        <v>Liberica</v>
      </c>
      <c r="O966" t="str">
        <f t="shared" si="47"/>
        <v>Dark</v>
      </c>
      <c r="P966" t="str">
        <f>_xlfn.XLOOKUP(Orders[[#This Row],[Customer ID]],customers!$A$1:$A$1001,customers!$I$1:$I$1001,,0)</f>
        <v>No</v>
      </c>
      <c r="Q966">
        <f>COUNTIF(Orders[Order ID],Orders[[#This Row],[Order ID]])</f>
        <v>1</v>
      </c>
      <c r="R966" s="10">
        <f>SUMIF(Orders[Order ID], Orders[[#This Row],[Order ID]],Orders[Sales])/Orders[[#This Row],[Order Frequency]]</f>
        <v>7.77</v>
      </c>
      <c r="S966" t="str">
        <f>IF(Orders[[#This Row],[Order Frequency]]&gt;4, "More than 4", IF(AND(Orders[[#This Row],[Order Frequency]]&lt;=4,Orders[[#This Row],[Order Frequency]]&gt;=2), "Between 4 and 2", "Less than 2"))</f>
        <v>Less than 2</v>
      </c>
      <c r="T966" t="str">
        <f>IF(Orders[[#This Row],[Frequency Group]]="less than 2", "Low Value", IF(Orders[[#This Row],[Frequency Group]]="between 4 and 2", "Medium Value", "High Value"))</f>
        <v>Low Value</v>
      </c>
      <c r="U966" t="str">
        <f>IF(Orders[[#This Row],[Sales]]&lt;50, "$0-50", IF(AND(Orders[[#This Row],[Sales]]&gt;=50,Orders[[#This Row],[Sales]]&lt;=100), "$50-100", IF(AND(Orders[[#This Row],[Sales]]&gt;100,Orders[[#This Row],[Sales]]&lt;=150), "$101-150", "$150+")))</f>
        <v>$0-50</v>
      </c>
      <c r="V966" t="str">
        <f>IF(Orders[[#This Row],[Sales]]&gt;MEDIAN(M:M), "High Price", "Low Price")</f>
        <v>Low Price</v>
      </c>
      <c r="W966" t="str">
        <f>IF(Orders[[#This Row],[Quantity]]&gt;MEDIAN(E:E), "High Volume", "Low Volume")</f>
        <v>Low Volume</v>
      </c>
      <c r="X966" t="str">
        <f>Orders[[#This Row],[Sales Tier]] &amp; "-" &amp; Orders[[#This Row],[Quantity Tier]]</f>
        <v>Low Price-Low Volume</v>
      </c>
      <c r="Y966" t="str">
        <f>TEXT(Orders[[#This Row],[Order Date]], "mmmm")</f>
        <v>September</v>
      </c>
      <c r="Z96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966" t="str">
        <f>Orders[[#This Row],[Coffee Type Name]] &amp; "-" &amp; Orders[[#This Row],[Roast Type Name]]</f>
        <v>Liberica-Dark</v>
      </c>
      <c r="AB96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967" spans="1:28" x14ac:dyDescent="0.25">
      <c r="A967" s="2" t="s">
        <v>2609</v>
      </c>
      <c r="B967" s="4">
        <v>44097</v>
      </c>
      <c r="C967" s="2" t="s">
        <v>2610</v>
      </c>
      <c r="D967" t="s">
        <v>6146</v>
      </c>
      <c r="E967" s="2">
        <v>1</v>
      </c>
      <c r="F967" s="2" t="str">
        <f>_xlfn.XLOOKUP(C967,customers!$A$1:$A$1001,customers!$B$1:$B$1001,,0)</f>
        <v>Judd De Leek</v>
      </c>
      <c r="G967" s="2" t="str">
        <f>IF(_xlfn.XLOOKUP(C967,customers!$A$1:$A$1001,customers!$C$1:$C$1001,,0)=0,"",_xlfn.XLOOKUP(C967,customers!$A$1:$A$1001,customers!$C$1:$C$1001,,0))</f>
        <v>jdeag@xrea.com</v>
      </c>
      <c r="H967" s="2" t="str">
        <f>_xlfn.XLOOKUP(C967,customers!$A$1:$A$1001,customers!$G$1:$G$1001,,0)</f>
        <v>United States</v>
      </c>
      <c r="I967" t="str">
        <f>INDEX(products!$A$1:$G$49, MATCH(orders!$D378,products!$A$1:$A425,0), MATCH(orders!I$1,products!$A$1:$G$1,0))</f>
        <v>Rob</v>
      </c>
      <c r="J967" t="str">
        <f>INDEX(products!$A$1:$G$49, MATCH(orders!$D378,products!$A$1:$A425,0), MATCH(orders!J$1,products!$A$1:$G$1,0))</f>
        <v>M</v>
      </c>
      <c r="K967" s="5">
        <f>INDEX(products!$A$1:$G$49, MATCH(orders!$D378,products!$A$1:$A425,0), MATCH(orders!K$1,products!$A$1:$G$1,0))</f>
        <v>0.5</v>
      </c>
      <c r="L967" s="6">
        <f>INDEX(products!$A$1:$G$49, MATCH(orders!$D378,products!$A$1:$A425,0), MATCH(orders!L$1,products!$A$1:$G$1,0))</f>
        <v>5.97</v>
      </c>
      <c r="M967" s="6">
        <f t="shared" si="45"/>
        <v>5.97</v>
      </c>
      <c r="N967" t="str">
        <f t="shared" si="46"/>
        <v>Robusta</v>
      </c>
      <c r="O967" t="str">
        <f t="shared" si="47"/>
        <v>Medium</v>
      </c>
      <c r="P967" t="str">
        <f>_xlfn.XLOOKUP(Orders[[#This Row],[Customer ID]],customers!$A$1:$A$1001,customers!$I$1:$I$1001,,0)</f>
        <v>Yes</v>
      </c>
      <c r="Q967">
        <f>COUNTIF(Orders[Order ID],Orders[[#This Row],[Order ID]])</f>
        <v>1</v>
      </c>
      <c r="R967" s="10">
        <f>SUMIF(Orders[Order ID], Orders[[#This Row],[Order ID]],Orders[Sales])/Orders[[#This Row],[Order Frequency]]</f>
        <v>5.97</v>
      </c>
      <c r="S967" t="str">
        <f>IF(Orders[[#This Row],[Order Frequency]]&gt;4, "More than 4", IF(AND(Orders[[#This Row],[Order Frequency]]&lt;=4,Orders[[#This Row],[Order Frequency]]&gt;=2), "Between 4 and 2", "Less than 2"))</f>
        <v>Less than 2</v>
      </c>
      <c r="T967" t="str">
        <f>IF(Orders[[#This Row],[Frequency Group]]="less than 2", "Low Value", IF(Orders[[#This Row],[Frequency Group]]="between 4 and 2", "Medium Value", "High Value"))</f>
        <v>Low Value</v>
      </c>
      <c r="U967" t="str">
        <f>IF(Orders[[#This Row],[Sales]]&lt;50, "$0-50", IF(AND(Orders[[#This Row],[Sales]]&gt;=50,Orders[[#This Row],[Sales]]&lt;=100), "$50-100", IF(AND(Orders[[#This Row],[Sales]]&gt;100,Orders[[#This Row],[Sales]]&lt;=150), "$101-150", "$150+")))</f>
        <v>$0-50</v>
      </c>
      <c r="V967" t="str">
        <f>IF(Orders[[#This Row],[Sales]]&gt;MEDIAN(M:M), "High Price", "Low Price")</f>
        <v>Low Price</v>
      </c>
      <c r="W967" t="str">
        <f>IF(Orders[[#This Row],[Quantity]]&gt;MEDIAN(E:E), "High Volume", "Low Volume")</f>
        <v>Low Volume</v>
      </c>
      <c r="X967" t="str">
        <f>Orders[[#This Row],[Sales Tier]] &amp; "-" &amp; Orders[[#This Row],[Quantity Tier]]</f>
        <v>Low Price-Low Volume</v>
      </c>
      <c r="Y967" t="str">
        <f>TEXT(Orders[[#This Row],[Order Date]], "mmmm")</f>
        <v>September</v>
      </c>
      <c r="Z96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967" t="str">
        <f>Orders[[#This Row],[Coffee Type Name]] &amp; "-" &amp; Orders[[#This Row],[Roast Type Name]]</f>
        <v>Robusta-Medium</v>
      </c>
      <c r="AB96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968" spans="1:28" x14ac:dyDescent="0.25">
      <c r="A968" s="2" t="s">
        <v>3605</v>
      </c>
      <c r="B968" s="4">
        <v>44694</v>
      </c>
      <c r="C968" s="2" t="s">
        <v>3606</v>
      </c>
      <c r="D968" t="s">
        <v>6153</v>
      </c>
      <c r="E968" s="2">
        <v>2</v>
      </c>
      <c r="F968" s="2" t="str">
        <f>_xlfn.XLOOKUP(C968,customers!$A$1:$A$1001,customers!$B$1:$B$1001,,0)</f>
        <v>Malynda Glawsop</v>
      </c>
      <c r="G968" s="2" t="str">
        <f>IF(_xlfn.XLOOKUP(C968,customers!$A$1:$A$1001,customers!$C$1:$C$1001,,0)=0,"",_xlfn.XLOOKUP(C968,customers!$A$1:$A$1001,customers!$C$1:$C$1001,,0))</f>
        <v>mglawsopfb@reverbnation.com</v>
      </c>
      <c r="H968" s="2" t="str">
        <f>_xlfn.XLOOKUP(C968,customers!$A$1:$A$1001,customers!$G$1:$G$1001,,0)</f>
        <v>United States</v>
      </c>
      <c r="I968" t="str">
        <f>INDEX(products!$A$1:$G$49, MATCH(orders!$D553,products!$A$1:$A600,0), MATCH(orders!I$1,products!$A$1:$G$1,0))</f>
        <v>Exc</v>
      </c>
      <c r="J968" t="str">
        <f>INDEX(products!$A$1:$G$49, MATCH(orders!$D553,products!$A$1:$A600,0), MATCH(orders!J$1,products!$A$1:$G$1,0))</f>
        <v>D</v>
      </c>
      <c r="K968" s="5">
        <f>INDEX(products!$A$1:$G$49, MATCH(orders!$D553,products!$A$1:$A600,0), MATCH(orders!K$1,products!$A$1:$G$1,0))</f>
        <v>0.2</v>
      </c>
      <c r="L968" s="6">
        <f>INDEX(products!$A$1:$G$49, MATCH(orders!$D553,products!$A$1:$A600,0), MATCH(orders!L$1,products!$A$1:$G$1,0))</f>
        <v>3.645</v>
      </c>
      <c r="M968" s="6">
        <f t="shared" si="45"/>
        <v>7.29</v>
      </c>
      <c r="N968" t="str">
        <f t="shared" si="46"/>
        <v>Excelsa</v>
      </c>
      <c r="O968" t="str">
        <f t="shared" si="47"/>
        <v>Dark</v>
      </c>
      <c r="P968" t="str">
        <f>_xlfn.XLOOKUP(Orders[[#This Row],[Customer ID]],customers!$A$1:$A$1001,customers!$I$1:$I$1001,,0)</f>
        <v>No</v>
      </c>
      <c r="Q968">
        <f>COUNTIF(Orders[Order ID],Orders[[#This Row],[Order ID]])</f>
        <v>1</v>
      </c>
      <c r="R968" s="10">
        <f>SUMIF(Orders[Order ID], Orders[[#This Row],[Order ID]],Orders[Sales])/Orders[[#This Row],[Order Frequency]]</f>
        <v>7.29</v>
      </c>
      <c r="S968" t="str">
        <f>IF(Orders[[#This Row],[Order Frequency]]&gt;4, "More than 4", IF(AND(Orders[[#This Row],[Order Frequency]]&lt;=4,Orders[[#This Row],[Order Frequency]]&gt;=2), "Between 4 and 2", "Less than 2"))</f>
        <v>Less than 2</v>
      </c>
      <c r="T968" t="str">
        <f>IF(Orders[[#This Row],[Frequency Group]]="less than 2", "Low Value", IF(Orders[[#This Row],[Frequency Group]]="between 4 and 2", "Medium Value", "High Value"))</f>
        <v>Low Value</v>
      </c>
      <c r="U968" t="str">
        <f>IF(Orders[[#This Row],[Sales]]&lt;50, "$0-50", IF(AND(Orders[[#This Row],[Sales]]&gt;=50,Orders[[#This Row],[Sales]]&lt;=100), "$50-100", IF(AND(Orders[[#This Row],[Sales]]&gt;100,Orders[[#This Row],[Sales]]&lt;=150), "$101-150", "$150+")))</f>
        <v>$0-50</v>
      </c>
      <c r="V968" t="str">
        <f>IF(Orders[[#This Row],[Sales]]&gt;MEDIAN(M:M), "High Price", "Low Price")</f>
        <v>Low Price</v>
      </c>
      <c r="W968" t="str">
        <f>IF(Orders[[#This Row],[Quantity]]&gt;MEDIAN(E:E), "High Volume", "Low Volume")</f>
        <v>Low Volume</v>
      </c>
      <c r="X968" t="str">
        <f>Orders[[#This Row],[Sales Tier]] &amp; "-" &amp; Orders[[#This Row],[Quantity Tier]]</f>
        <v>Low Price-Low Volume</v>
      </c>
      <c r="Y968" t="str">
        <f>TEXT(Orders[[#This Row],[Order Date]], "mmmm")</f>
        <v>May</v>
      </c>
      <c r="Z96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968" t="str">
        <f>Orders[[#This Row],[Coffee Type Name]] &amp; "-" &amp; Orders[[#This Row],[Roast Type Name]]</f>
        <v>Excelsa-Dark</v>
      </c>
      <c r="AB96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969" spans="1:28" x14ac:dyDescent="0.25">
      <c r="A969" s="2" t="s">
        <v>4174</v>
      </c>
      <c r="B969" s="4">
        <v>43892</v>
      </c>
      <c r="C969" s="2" t="s">
        <v>4175</v>
      </c>
      <c r="D969" t="s">
        <v>6170</v>
      </c>
      <c r="E969" s="2">
        <v>4</v>
      </c>
      <c r="F969" s="2" t="str">
        <f>_xlfn.XLOOKUP(C969,customers!$A$1:$A$1001,customers!$B$1:$B$1001,,0)</f>
        <v>Rhetta Zywicki</v>
      </c>
      <c r="G969" s="2" t="str">
        <f>IF(_xlfn.XLOOKUP(C969,customers!$A$1:$A$1001,customers!$C$1:$C$1001,,0)=0,"",_xlfn.XLOOKUP(C969,customers!$A$1:$A$1001,customers!$C$1:$C$1001,,0))</f>
        <v>rzywickii4@ifeng.com</v>
      </c>
      <c r="H969" s="2" t="str">
        <f>_xlfn.XLOOKUP(C969,customers!$A$1:$A$1001,customers!$G$1:$G$1001,,0)</f>
        <v>Ireland</v>
      </c>
      <c r="I969" t="str">
        <f>INDEX(products!$A$1:$G$49, MATCH(orders!$D654,products!$A$1:$A701,0), MATCH(orders!I$1,products!$A$1:$G$1,0))</f>
        <v>Lib</v>
      </c>
      <c r="J969" t="str">
        <f>INDEX(products!$A$1:$G$49, MATCH(orders!$D654,products!$A$1:$A701,0), MATCH(orders!J$1,products!$A$1:$G$1,0))</f>
        <v>L</v>
      </c>
      <c r="K969" s="5">
        <f>INDEX(products!$A$1:$G$49, MATCH(orders!$D654,products!$A$1:$A701,0), MATCH(orders!K$1,products!$A$1:$G$1,0))</f>
        <v>1</v>
      </c>
      <c r="L969" s="6">
        <f>INDEX(products!$A$1:$G$49, MATCH(orders!$D654,products!$A$1:$A701,0), MATCH(orders!L$1,products!$A$1:$G$1,0))</f>
        <v>15.85</v>
      </c>
      <c r="M969" s="6">
        <f t="shared" si="45"/>
        <v>63.4</v>
      </c>
      <c r="N969" t="str">
        <f t="shared" si="46"/>
        <v>Liberica</v>
      </c>
      <c r="O969" t="str">
        <f t="shared" si="47"/>
        <v>Light</v>
      </c>
      <c r="P969" t="str">
        <f>_xlfn.XLOOKUP(Orders[[#This Row],[Customer ID]],customers!$A$1:$A$1001,customers!$I$1:$I$1001,,0)</f>
        <v>No</v>
      </c>
      <c r="Q969">
        <f>COUNTIF(Orders[Order ID],Orders[[#This Row],[Order ID]])</f>
        <v>1</v>
      </c>
      <c r="R969" s="10">
        <f>SUMIF(Orders[Order ID], Orders[[#This Row],[Order ID]],Orders[Sales])/Orders[[#This Row],[Order Frequency]]</f>
        <v>63.4</v>
      </c>
      <c r="S969" t="str">
        <f>IF(Orders[[#This Row],[Order Frequency]]&gt;4, "More than 4", IF(AND(Orders[[#This Row],[Order Frequency]]&lt;=4,Orders[[#This Row],[Order Frequency]]&gt;=2), "Between 4 and 2", "Less than 2"))</f>
        <v>Less than 2</v>
      </c>
      <c r="T969" t="str">
        <f>IF(Orders[[#This Row],[Frequency Group]]="less than 2", "Low Value", IF(Orders[[#This Row],[Frequency Group]]="between 4 and 2", "Medium Value", "High Value"))</f>
        <v>Low Value</v>
      </c>
      <c r="U969" t="str">
        <f>IF(Orders[[#This Row],[Sales]]&lt;50, "$0-50", IF(AND(Orders[[#This Row],[Sales]]&gt;=50,Orders[[#This Row],[Sales]]&lt;=100), "$50-100", IF(AND(Orders[[#This Row],[Sales]]&gt;100,Orders[[#This Row],[Sales]]&lt;=150), "$101-150", "$150+")))</f>
        <v>$50-100</v>
      </c>
      <c r="V969" t="str">
        <f>IF(Orders[[#This Row],[Sales]]&gt;MEDIAN(M:M), "High Price", "Low Price")</f>
        <v>High Price</v>
      </c>
      <c r="W969" t="str">
        <f>IF(Orders[[#This Row],[Quantity]]&gt;MEDIAN(E:E), "High Volume", "Low Volume")</f>
        <v>Low Volume</v>
      </c>
      <c r="X969" t="str">
        <f>Orders[[#This Row],[Sales Tier]] &amp; "-" &amp; Orders[[#This Row],[Quantity Tier]]</f>
        <v>High Price-Low Volume</v>
      </c>
      <c r="Y969" t="str">
        <f>TEXT(Orders[[#This Row],[Order Date]], "mmmm")</f>
        <v>March</v>
      </c>
      <c r="Z96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969" t="str">
        <f>Orders[[#This Row],[Coffee Type Name]] &amp; "-" &amp; Orders[[#This Row],[Roast Type Name]]</f>
        <v>Liberica-Light</v>
      </c>
      <c r="AB96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970" spans="1:28" x14ac:dyDescent="0.25">
      <c r="A970" s="2" t="s">
        <v>3266</v>
      </c>
      <c r="B970" s="4">
        <v>44101</v>
      </c>
      <c r="C970" s="2" t="s">
        <v>3267</v>
      </c>
      <c r="D970" t="s">
        <v>6150</v>
      </c>
      <c r="E970" s="2">
        <v>6</v>
      </c>
      <c r="F970" s="2" t="str">
        <f>_xlfn.XLOOKUP(C970,customers!$A$1:$A$1001,customers!$B$1:$B$1001,,0)</f>
        <v>Kendra Backshell</v>
      </c>
      <c r="G970" s="2" t="str">
        <f>IF(_xlfn.XLOOKUP(C970,customers!$A$1:$A$1001,customers!$C$1:$C$1001,,0)=0,"",_xlfn.XLOOKUP(C970,customers!$A$1:$A$1001,customers!$C$1:$C$1001,,0))</f>
        <v/>
      </c>
      <c r="H970" s="2" t="str">
        <f>_xlfn.XLOOKUP(C970,customers!$A$1:$A$1001,customers!$G$1:$G$1001,,0)</f>
        <v>United States</v>
      </c>
      <c r="I970" t="str">
        <f>INDEX(products!$A$1:$G$49, MATCH(orders!$D493,products!$A$1:$A540,0), MATCH(orders!I$1,products!$A$1:$G$1,0))</f>
        <v>Lib</v>
      </c>
      <c r="J970" t="str">
        <f>INDEX(products!$A$1:$G$49, MATCH(orders!$D493,products!$A$1:$A540,0), MATCH(orders!J$1,products!$A$1:$G$1,0))</f>
        <v>D</v>
      </c>
      <c r="K970" s="5">
        <f>INDEX(products!$A$1:$G$49, MATCH(orders!$D493,products!$A$1:$A540,0), MATCH(orders!K$1,products!$A$1:$G$1,0))</f>
        <v>0.2</v>
      </c>
      <c r="L970" s="6">
        <f>INDEX(products!$A$1:$G$49, MATCH(orders!$D493,products!$A$1:$A540,0), MATCH(orders!L$1,products!$A$1:$G$1,0))</f>
        <v>3.8849999999999998</v>
      </c>
      <c r="M970" s="6">
        <f t="shared" si="45"/>
        <v>23.31</v>
      </c>
      <c r="N970" t="str">
        <f t="shared" si="46"/>
        <v>Liberica</v>
      </c>
      <c r="O970" t="str">
        <f t="shared" si="47"/>
        <v>Dark</v>
      </c>
      <c r="P970" t="str">
        <f>_xlfn.XLOOKUP(Orders[[#This Row],[Customer ID]],customers!$A$1:$A$1001,customers!$I$1:$I$1001,,0)</f>
        <v>No</v>
      </c>
      <c r="Q970">
        <f>COUNTIF(Orders[Order ID],Orders[[#This Row],[Order ID]])</f>
        <v>1</v>
      </c>
      <c r="R970" s="10">
        <f>SUMIF(Orders[Order ID], Orders[[#This Row],[Order ID]],Orders[Sales])/Orders[[#This Row],[Order Frequency]]</f>
        <v>23.31</v>
      </c>
      <c r="S970" t="str">
        <f>IF(Orders[[#This Row],[Order Frequency]]&gt;4, "More than 4", IF(AND(Orders[[#This Row],[Order Frequency]]&lt;=4,Orders[[#This Row],[Order Frequency]]&gt;=2), "Between 4 and 2", "Less than 2"))</f>
        <v>Less than 2</v>
      </c>
      <c r="T970" t="str">
        <f>IF(Orders[[#This Row],[Frequency Group]]="less than 2", "Low Value", IF(Orders[[#This Row],[Frequency Group]]="between 4 and 2", "Medium Value", "High Value"))</f>
        <v>Low Value</v>
      </c>
      <c r="U970" t="str">
        <f>IF(Orders[[#This Row],[Sales]]&lt;50, "$0-50", IF(AND(Orders[[#This Row],[Sales]]&gt;=50,Orders[[#This Row],[Sales]]&lt;=100), "$50-100", IF(AND(Orders[[#This Row],[Sales]]&gt;100,Orders[[#This Row],[Sales]]&lt;=150), "$101-150", "$150+")))</f>
        <v>$0-50</v>
      </c>
      <c r="V970" t="str">
        <f>IF(Orders[[#This Row],[Sales]]&gt;MEDIAN(M:M), "High Price", "Low Price")</f>
        <v>Low Price</v>
      </c>
      <c r="W970" t="str">
        <f>IF(Orders[[#This Row],[Quantity]]&gt;MEDIAN(E:E), "High Volume", "Low Volume")</f>
        <v>High Volume</v>
      </c>
      <c r="X970" t="str">
        <f>Orders[[#This Row],[Sales Tier]] &amp; "-" &amp; Orders[[#This Row],[Quantity Tier]]</f>
        <v>Low Price-High Volume</v>
      </c>
      <c r="Y970" t="str">
        <f>TEXT(Orders[[#This Row],[Order Date]], "mmmm")</f>
        <v>September</v>
      </c>
      <c r="Z97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970" t="str">
        <f>Orders[[#This Row],[Coffee Type Name]] &amp; "-" &amp; Orders[[#This Row],[Roast Type Name]]</f>
        <v>Liberica-Dark</v>
      </c>
      <c r="AB97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971" spans="1:28" x14ac:dyDescent="0.25">
      <c r="A971" s="2" t="s">
        <v>3076</v>
      </c>
      <c r="B971" s="4">
        <v>44707</v>
      </c>
      <c r="C971" s="2" t="s">
        <v>3077</v>
      </c>
      <c r="D971" t="s">
        <v>6155</v>
      </c>
      <c r="E971" s="2">
        <v>4</v>
      </c>
      <c r="F971" s="2" t="str">
        <f>_xlfn.XLOOKUP(C971,customers!$A$1:$A$1001,customers!$B$1:$B$1001,,0)</f>
        <v>Rodolfo Willoway</v>
      </c>
      <c r="G971" s="2" t="str">
        <f>IF(_xlfn.XLOOKUP(C971,customers!$A$1:$A$1001,customers!$C$1:$C$1001,,0)=0,"",_xlfn.XLOOKUP(C971,customers!$A$1:$A$1001,customers!$C$1:$C$1001,,0))</f>
        <v>rwillowaycq@admin.ch</v>
      </c>
      <c r="H971" s="2" t="str">
        <f>_xlfn.XLOOKUP(C971,customers!$A$1:$A$1001,customers!$G$1:$G$1001,,0)</f>
        <v>United States</v>
      </c>
      <c r="I971" t="str">
        <f>INDEX(products!$A$1:$G$49, MATCH(orders!$D460,products!$A$1:$A507,0), MATCH(orders!I$1,products!$A$1:$G$1,0))</f>
        <v>Ara</v>
      </c>
      <c r="J971" t="str">
        <f>INDEX(products!$A$1:$G$49, MATCH(orders!$D460,products!$A$1:$A507,0), MATCH(orders!J$1,products!$A$1:$G$1,0))</f>
        <v>M</v>
      </c>
      <c r="K971" s="5">
        <f>INDEX(products!$A$1:$G$49, MATCH(orders!$D460,products!$A$1:$A507,0), MATCH(orders!K$1,products!$A$1:$G$1,0))</f>
        <v>1</v>
      </c>
      <c r="L971" s="6">
        <f>INDEX(products!$A$1:$G$49, MATCH(orders!$D460,products!$A$1:$A507,0), MATCH(orders!L$1,products!$A$1:$G$1,0))</f>
        <v>11.25</v>
      </c>
      <c r="M971" s="6">
        <f t="shared" si="45"/>
        <v>45</v>
      </c>
      <c r="N971" t="str">
        <f t="shared" si="46"/>
        <v>Arabica</v>
      </c>
      <c r="O971" t="str">
        <f t="shared" si="47"/>
        <v>Medium</v>
      </c>
      <c r="P971" t="str">
        <f>_xlfn.XLOOKUP(Orders[[#This Row],[Customer ID]],customers!$A$1:$A$1001,customers!$I$1:$I$1001,,0)</f>
        <v>No</v>
      </c>
      <c r="Q971">
        <f>COUNTIF(Orders[Order ID],Orders[[#This Row],[Order ID]])</f>
        <v>1</v>
      </c>
      <c r="R971" s="10">
        <f>SUMIF(Orders[Order ID], Orders[[#This Row],[Order ID]],Orders[Sales])/Orders[[#This Row],[Order Frequency]]</f>
        <v>45</v>
      </c>
      <c r="S971" t="str">
        <f>IF(Orders[[#This Row],[Order Frequency]]&gt;4, "More than 4", IF(AND(Orders[[#This Row],[Order Frequency]]&lt;=4,Orders[[#This Row],[Order Frequency]]&gt;=2), "Between 4 and 2", "Less than 2"))</f>
        <v>Less than 2</v>
      </c>
      <c r="T971" t="str">
        <f>IF(Orders[[#This Row],[Frequency Group]]="less than 2", "Low Value", IF(Orders[[#This Row],[Frequency Group]]="between 4 and 2", "Medium Value", "High Value"))</f>
        <v>Low Value</v>
      </c>
      <c r="U971" t="str">
        <f>IF(Orders[[#This Row],[Sales]]&lt;50, "$0-50", IF(AND(Orders[[#This Row],[Sales]]&gt;=50,Orders[[#This Row],[Sales]]&lt;=100), "$50-100", IF(AND(Orders[[#This Row],[Sales]]&gt;100,Orders[[#This Row],[Sales]]&lt;=150), "$101-150", "$150+")))</f>
        <v>$0-50</v>
      </c>
      <c r="V971" t="str">
        <f>IF(Orders[[#This Row],[Sales]]&gt;MEDIAN(M:M), "High Price", "Low Price")</f>
        <v>High Price</v>
      </c>
      <c r="W971" t="str">
        <f>IF(Orders[[#This Row],[Quantity]]&gt;MEDIAN(E:E), "High Volume", "Low Volume")</f>
        <v>Low Volume</v>
      </c>
      <c r="X971" t="str">
        <f>Orders[[#This Row],[Sales Tier]] &amp; "-" &amp; Orders[[#This Row],[Quantity Tier]]</f>
        <v>High Price-Low Volume</v>
      </c>
      <c r="Y971" t="str">
        <f>TEXT(Orders[[#This Row],[Order Date]], "mmmm")</f>
        <v>May</v>
      </c>
      <c r="Z97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971" t="str">
        <f>Orders[[#This Row],[Coffee Type Name]] &amp; "-" &amp; Orders[[#This Row],[Roast Type Name]]</f>
        <v>Arabica-Medium</v>
      </c>
      <c r="AB97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972" spans="1:28" x14ac:dyDescent="0.25">
      <c r="A972" s="2" t="s">
        <v>5973</v>
      </c>
      <c r="B972" s="4">
        <v>43729</v>
      </c>
      <c r="C972" s="2" t="s">
        <v>5974</v>
      </c>
      <c r="D972" t="s">
        <v>6139</v>
      </c>
      <c r="E972" s="2">
        <v>1</v>
      </c>
      <c r="F972" s="2" t="str">
        <f>_xlfn.XLOOKUP(C972,customers!$A$1:$A$1001,customers!$B$1:$B$1001,,0)</f>
        <v>Sharl Southerill</v>
      </c>
      <c r="G972" s="2" t="str">
        <f>IF(_xlfn.XLOOKUP(C972,customers!$A$1:$A$1001,customers!$C$1:$C$1001,,0)=0,"",_xlfn.XLOOKUP(C972,customers!$A$1:$A$1001,customers!$C$1:$C$1001,,0))</f>
        <v/>
      </c>
      <c r="H972" s="2" t="str">
        <f>_xlfn.XLOOKUP(C972,customers!$A$1:$A$1001,customers!$G$1:$G$1001,,0)</f>
        <v>United States</v>
      </c>
      <c r="I972" t="str">
        <f>INDEX(products!$A$1:$G$49, MATCH(orders!$D972,products!$A$1:$A1019,0), MATCH(orders!I$1,products!$A$1:$G$1,0))</f>
        <v>Exc</v>
      </c>
      <c r="J972" t="str">
        <f>INDEX(products!$A$1:$G$49, MATCH(orders!$D972,products!$A$1:$A1019,0), MATCH(orders!J$1,products!$A$1:$G$1,0))</f>
        <v>M</v>
      </c>
      <c r="K972" s="5">
        <f>INDEX(products!$A$1:$G$49, MATCH(orders!$D972,products!$A$1:$A1019,0), MATCH(orders!K$1,products!$A$1:$G$1,0))</f>
        <v>0.5</v>
      </c>
      <c r="L972" s="6">
        <f>INDEX(products!$A$1:$G$49, MATCH(orders!$D972,products!$A$1:$A1019,0), MATCH(orders!L$1,products!$A$1:$G$1,0))</f>
        <v>8.25</v>
      </c>
      <c r="M972" s="6">
        <f t="shared" si="45"/>
        <v>8.25</v>
      </c>
      <c r="N972" t="str">
        <f t="shared" si="46"/>
        <v>Excelsa</v>
      </c>
      <c r="O972" t="str">
        <f t="shared" si="47"/>
        <v>Medium</v>
      </c>
      <c r="P972" t="str">
        <f>_xlfn.XLOOKUP(Orders[[#This Row],[Customer ID]],customers!$A$1:$A$1001,customers!$I$1:$I$1001,,0)</f>
        <v>No</v>
      </c>
      <c r="Q972">
        <f>COUNTIF(Orders[Order ID],Orders[[#This Row],[Order ID]])</f>
        <v>1</v>
      </c>
      <c r="R972" s="10">
        <f>SUMIF(Orders[Order ID], Orders[[#This Row],[Order ID]],Orders[Sales])/Orders[[#This Row],[Order Frequency]]</f>
        <v>8.25</v>
      </c>
      <c r="S972" t="str">
        <f>IF(Orders[[#This Row],[Order Frequency]]&gt;4, "More than 4", IF(AND(Orders[[#This Row],[Order Frequency]]&lt;=4,Orders[[#This Row],[Order Frequency]]&gt;=2), "Between 4 and 2", "Less than 2"))</f>
        <v>Less than 2</v>
      </c>
      <c r="T972" t="str">
        <f>IF(Orders[[#This Row],[Frequency Group]]="less than 2", "Low Value", IF(Orders[[#This Row],[Frequency Group]]="between 4 and 2", "Medium Value", "High Value"))</f>
        <v>Low Value</v>
      </c>
      <c r="U972" t="str">
        <f>IF(Orders[[#This Row],[Sales]]&lt;50, "$0-50", IF(AND(Orders[[#This Row],[Sales]]&gt;=50,Orders[[#This Row],[Sales]]&lt;=100), "$50-100", IF(AND(Orders[[#This Row],[Sales]]&gt;100,Orders[[#This Row],[Sales]]&lt;=150), "$101-150", "$150+")))</f>
        <v>$0-50</v>
      </c>
      <c r="V972" t="str">
        <f>IF(Orders[[#This Row],[Sales]]&gt;MEDIAN(M:M), "High Price", "Low Price")</f>
        <v>Low Price</v>
      </c>
      <c r="W972" t="str">
        <f>IF(Orders[[#This Row],[Quantity]]&gt;MEDIAN(E:E), "High Volume", "Low Volume")</f>
        <v>Low Volume</v>
      </c>
      <c r="X972" t="str">
        <f>Orders[[#This Row],[Sales Tier]] &amp; "-" &amp; Orders[[#This Row],[Quantity Tier]]</f>
        <v>Low Price-Low Volume</v>
      </c>
      <c r="Y972" t="str">
        <f>TEXT(Orders[[#This Row],[Order Date]], "mmmm")</f>
        <v>September</v>
      </c>
      <c r="Z97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972" t="str">
        <f>Orders[[#This Row],[Coffee Type Name]] &amp; "-" &amp; Orders[[#This Row],[Roast Type Name]]</f>
        <v>Excelsa-Medium</v>
      </c>
      <c r="AB97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973" spans="1:28" x14ac:dyDescent="0.25">
      <c r="A973" s="2" t="s">
        <v>980</v>
      </c>
      <c r="B973" s="4">
        <v>44289</v>
      </c>
      <c r="C973" s="2" t="s">
        <v>981</v>
      </c>
      <c r="D973" t="s">
        <v>6155</v>
      </c>
      <c r="E973" s="2">
        <v>3</v>
      </c>
      <c r="F973" s="2" t="str">
        <f>_xlfn.XLOOKUP(C973,customers!$A$1:$A$1001,customers!$B$1:$B$1001,,0)</f>
        <v>Beitris Keaveney</v>
      </c>
      <c r="G973" s="2" t="str">
        <f>IF(_xlfn.XLOOKUP(C973,customers!$A$1:$A$1001,customers!$C$1:$C$1001,,0)=0,"",_xlfn.XLOOKUP(C973,customers!$A$1:$A$1001,customers!$C$1:$C$1001,,0))</f>
        <v>bkeaveney2f@netlog.com</v>
      </c>
      <c r="H973" s="2" t="str">
        <f>_xlfn.XLOOKUP(C973,customers!$A$1:$A$1001,customers!$G$1:$G$1001,,0)</f>
        <v>United States</v>
      </c>
      <c r="I973" t="str">
        <f>INDEX(products!$A$1:$G$49, MATCH(orders!$D89,products!$A$1:$A136,0), MATCH(orders!I$1,products!$A$1:$G$1,0))</f>
        <v>Ara</v>
      </c>
      <c r="J973" t="str">
        <f>INDEX(products!$A$1:$G$49, MATCH(orders!$D89,products!$A$1:$A136,0), MATCH(orders!J$1,products!$A$1:$G$1,0))</f>
        <v>M</v>
      </c>
      <c r="K973" s="5">
        <f>INDEX(products!$A$1:$G$49, MATCH(orders!$D89,products!$A$1:$A136,0), MATCH(orders!K$1,products!$A$1:$G$1,0))</f>
        <v>1</v>
      </c>
      <c r="L973" s="6">
        <f>INDEX(products!$A$1:$G$49, MATCH(orders!$D89,products!$A$1:$A136,0), MATCH(orders!L$1,products!$A$1:$G$1,0))</f>
        <v>11.25</v>
      </c>
      <c r="M973" s="6">
        <f t="shared" si="45"/>
        <v>33.75</v>
      </c>
      <c r="N973" t="str">
        <f t="shared" si="46"/>
        <v>Arabica</v>
      </c>
      <c r="O973" t="str">
        <f t="shared" si="47"/>
        <v>Medium</v>
      </c>
      <c r="P973" t="str">
        <f>_xlfn.XLOOKUP(Orders[[#This Row],[Customer ID]],customers!$A$1:$A$1001,customers!$I$1:$I$1001,,0)</f>
        <v>No</v>
      </c>
      <c r="Q973">
        <f>COUNTIF(Orders[Order ID],Orders[[#This Row],[Order ID]])</f>
        <v>1</v>
      </c>
      <c r="R973" s="10">
        <f>SUMIF(Orders[Order ID], Orders[[#This Row],[Order ID]],Orders[Sales])/Orders[[#This Row],[Order Frequency]]</f>
        <v>33.75</v>
      </c>
      <c r="S973" t="str">
        <f>IF(Orders[[#This Row],[Order Frequency]]&gt;4, "More than 4", IF(AND(Orders[[#This Row],[Order Frequency]]&lt;=4,Orders[[#This Row],[Order Frequency]]&gt;=2), "Between 4 and 2", "Less than 2"))</f>
        <v>Less than 2</v>
      </c>
      <c r="T973" t="str">
        <f>IF(Orders[[#This Row],[Frequency Group]]="less than 2", "Low Value", IF(Orders[[#This Row],[Frequency Group]]="between 4 and 2", "Medium Value", "High Value"))</f>
        <v>Low Value</v>
      </c>
      <c r="U973" t="str">
        <f>IF(Orders[[#This Row],[Sales]]&lt;50, "$0-50", IF(AND(Orders[[#This Row],[Sales]]&gt;=50,Orders[[#This Row],[Sales]]&lt;=100), "$50-100", IF(AND(Orders[[#This Row],[Sales]]&gt;100,Orders[[#This Row],[Sales]]&lt;=150), "$101-150", "$150+")))</f>
        <v>$0-50</v>
      </c>
      <c r="V973" t="str">
        <f>IF(Orders[[#This Row],[Sales]]&gt;MEDIAN(M:M), "High Price", "Low Price")</f>
        <v>High Price</v>
      </c>
      <c r="W973" t="str">
        <f>IF(Orders[[#This Row],[Quantity]]&gt;MEDIAN(E:E), "High Volume", "Low Volume")</f>
        <v>Low Volume</v>
      </c>
      <c r="X973" t="str">
        <f>Orders[[#This Row],[Sales Tier]] &amp; "-" &amp; Orders[[#This Row],[Quantity Tier]]</f>
        <v>High Price-Low Volume</v>
      </c>
      <c r="Y973" t="str">
        <f>TEXT(Orders[[#This Row],[Order Date]], "mmmm")</f>
        <v>April</v>
      </c>
      <c r="Z97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973" t="str">
        <f>Orders[[#This Row],[Coffee Type Name]] &amp; "-" &amp; Orders[[#This Row],[Roast Type Name]]</f>
        <v>Arabica-Medium</v>
      </c>
      <c r="AB97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974" spans="1:28" x14ac:dyDescent="0.25">
      <c r="A974" s="2" t="s">
        <v>2137</v>
      </c>
      <c r="B974" s="4">
        <v>44529</v>
      </c>
      <c r="C974" s="2" t="s">
        <v>2138</v>
      </c>
      <c r="D974" t="s">
        <v>6158</v>
      </c>
      <c r="E974" s="2">
        <v>3</v>
      </c>
      <c r="F974" s="2" t="str">
        <f>_xlfn.XLOOKUP(C974,customers!$A$1:$A$1001,customers!$B$1:$B$1001,,0)</f>
        <v>Isidore Hussey</v>
      </c>
      <c r="G974" s="2" t="str">
        <f>IF(_xlfn.XLOOKUP(C974,customers!$A$1:$A$1001,customers!$C$1:$C$1001,,0)=0,"",_xlfn.XLOOKUP(C974,customers!$A$1:$A$1001,customers!$C$1:$C$1001,,0))</f>
        <v>ihussey84@mapy.cz</v>
      </c>
      <c r="H974" s="2" t="str">
        <f>_xlfn.XLOOKUP(C974,customers!$A$1:$A$1001,customers!$G$1:$G$1001,,0)</f>
        <v>United States</v>
      </c>
      <c r="I974" t="str">
        <f>INDEX(products!$A$1:$G$49, MATCH(orders!$D294,products!$A$1:$A341,0), MATCH(orders!I$1,products!$A$1:$G$1,0))</f>
        <v>Ara</v>
      </c>
      <c r="J974" t="str">
        <f>INDEX(products!$A$1:$G$49, MATCH(orders!$D294,products!$A$1:$A341,0), MATCH(orders!J$1,products!$A$1:$G$1,0))</f>
        <v>D</v>
      </c>
      <c r="K974" s="5">
        <f>INDEX(products!$A$1:$G$49, MATCH(orders!$D294,products!$A$1:$A341,0), MATCH(orders!K$1,products!$A$1:$G$1,0))</f>
        <v>0.5</v>
      </c>
      <c r="L974" s="6">
        <f>INDEX(products!$A$1:$G$49, MATCH(orders!$D294,products!$A$1:$A341,0), MATCH(orders!L$1,products!$A$1:$G$1,0))</f>
        <v>5.97</v>
      </c>
      <c r="M974" s="6">
        <f t="shared" si="45"/>
        <v>17.91</v>
      </c>
      <c r="N974" t="str">
        <f t="shared" si="46"/>
        <v>Arabica</v>
      </c>
      <c r="O974" t="str">
        <f t="shared" si="47"/>
        <v>Dark</v>
      </c>
      <c r="P974" t="str">
        <f>_xlfn.XLOOKUP(Orders[[#This Row],[Customer ID]],customers!$A$1:$A$1001,customers!$I$1:$I$1001,,0)</f>
        <v>No</v>
      </c>
      <c r="Q974">
        <f>COUNTIF(Orders[Order ID],Orders[[#This Row],[Order ID]])</f>
        <v>1</v>
      </c>
      <c r="R974" s="10">
        <f>SUMIF(Orders[Order ID], Orders[[#This Row],[Order ID]],Orders[Sales])/Orders[[#This Row],[Order Frequency]]</f>
        <v>17.91</v>
      </c>
      <c r="S974" t="str">
        <f>IF(Orders[[#This Row],[Order Frequency]]&gt;4, "More than 4", IF(AND(Orders[[#This Row],[Order Frequency]]&lt;=4,Orders[[#This Row],[Order Frequency]]&gt;=2), "Between 4 and 2", "Less than 2"))</f>
        <v>Less than 2</v>
      </c>
      <c r="T974" t="str">
        <f>IF(Orders[[#This Row],[Frequency Group]]="less than 2", "Low Value", IF(Orders[[#This Row],[Frequency Group]]="between 4 and 2", "Medium Value", "High Value"))</f>
        <v>Low Value</v>
      </c>
      <c r="U974" t="str">
        <f>IF(Orders[[#This Row],[Sales]]&lt;50, "$0-50", IF(AND(Orders[[#This Row],[Sales]]&gt;=50,Orders[[#This Row],[Sales]]&lt;=100), "$50-100", IF(AND(Orders[[#This Row],[Sales]]&gt;100,Orders[[#This Row],[Sales]]&lt;=150), "$101-150", "$150+")))</f>
        <v>$0-50</v>
      </c>
      <c r="V974" t="str">
        <f>IF(Orders[[#This Row],[Sales]]&gt;MEDIAN(M:M), "High Price", "Low Price")</f>
        <v>Low Price</v>
      </c>
      <c r="W974" t="str">
        <f>IF(Orders[[#This Row],[Quantity]]&gt;MEDIAN(E:E), "High Volume", "Low Volume")</f>
        <v>Low Volume</v>
      </c>
      <c r="X974" t="str">
        <f>Orders[[#This Row],[Sales Tier]] &amp; "-" &amp; Orders[[#This Row],[Quantity Tier]]</f>
        <v>Low Price-Low Volume</v>
      </c>
      <c r="Y974" t="str">
        <f>TEXT(Orders[[#This Row],[Order Date]], "mmmm")</f>
        <v>November</v>
      </c>
      <c r="Z97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974" t="str">
        <f>Orders[[#This Row],[Coffee Type Name]] &amp; "-" &amp; Orders[[#This Row],[Roast Type Name]]</f>
        <v>Arabica-Dark</v>
      </c>
      <c r="AB97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975" spans="1:28" x14ac:dyDescent="0.25">
      <c r="A975" s="2" t="s">
        <v>4730</v>
      </c>
      <c r="B975" s="4">
        <v>44277</v>
      </c>
      <c r="C975" s="2" t="s">
        <v>4731</v>
      </c>
      <c r="D975" t="s">
        <v>6146</v>
      </c>
      <c r="E975" s="2">
        <v>1</v>
      </c>
      <c r="F975" s="2" t="str">
        <f>_xlfn.XLOOKUP(C975,customers!$A$1:$A$1001,customers!$B$1:$B$1001,,0)</f>
        <v>Hazel Iacopini</v>
      </c>
      <c r="G975" s="2" t="str">
        <f>IF(_xlfn.XLOOKUP(C975,customers!$A$1:$A$1001,customers!$C$1:$C$1001,,0)=0,"",_xlfn.XLOOKUP(C975,customers!$A$1:$A$1001,customers!$C$1:$C$1001,,0))</f>
        <v/>
      </c>
      <c r="H975" s="2" t="str">
        <f>_xlfn.XLOOKUP(C975,customers!$A$1:$A$1001,customers!$G$1:$G$1001,,0)</f>
        <v>United States</v>
      </c>
      <c r="I975" t="str">
        <f>INDEX(products!$A$1:$G$49, MATCH(orders!$D752,products!$A$1:$A799,0), MATCH(orders!I$1,products!$A$1:$G$1,0))</f>
        <v>Rob</v>
      </c>
      <c r="J975" t="str">
        <f>INDEX(products!$A$1:$G$49, MATCH(orders!$D752,products!$A$1:$A799,0), MATCH(orders!J$1,products!$A$1:$G$1,0))</f>
        <v>M</v>
      </c>
      <c r="K975" s="5">
        <f>INDEX(products!$A$1:$G$49, MATCH(orders!$D752,products!$A$1:$A799,0), MATCH(orders!K$1,products!$A$1:$G$1,0))</f>
        <v>0.5</v>
      </c>
      <c r="L975" s="6">
        <f>INDEX(products!$A$1:$G$49, MATCH(orders!$D752,products!$A$1:$A799,0), MATCH(orders!L$1,products!$A$1:$G$1,0))</f>
        <v>5.97</v>
      </c>
      <c r="M975" s="6">
        <f t="shared" si="45"/>
        <v>5.97</v>
      </c>
      <c r="N975" t="str">
        <f t="shared" si="46"/>
        <v>Robusta</v>
      </c>
      <c r="O975" t="str">
        <f t="shared" si="47"/>
        <v>Medium</v>
      </c>
      <c r="P975" t="str">
        <f>_xlfn.XLOOKUP(Orders[[#This Row],[Customer ID]],customers!$A$1:$A$1001,customers!$I$1:$I$1001,,0)</f>
        <v>Yes</v>
      </c>
      <c r="Q975">
        <f>COUNTIF(Orders[Order ID],Orders[[#This Row],[Order ID]])</f>
        <v>1</v>
      </c>
      <c r="R975" s="10">
        <f>SUMIF(Orders[Order ID], Orders[[#This Row],[Order ID]],Orders[Sales])/Orders[[#This Row],[Order Frequency]]</f>
        <v>5.97</v>
      </c>
      <c r="S975" t="str">
        <f>IF(Orders[[#This Row],[Order Frequency]]&gt;4, "More than 4", IF(AND(Orders[[#This Row],[Order Frequency]]&lt;=4,Orders[[#This Row],[Order Frequency]]&gt;=2), "Between 4 and 2", "Less than 2"))</f>
        <v>Less than 2</v>
      </c>
      <c r="T975" t="str">
        <f>IF(Orders[[#This Row],[Frequency Group]]="less than 2", "Low Value", IF(Orders[[#This Row],[Frequency Group]]="between 4 and 2", "Medium Value", "High Value"))</f>
        <v>Low Value</v>
      </c>
      <c r="U975" t="str">
        <f>IF(Orders[[#This Row],[Sales]]&lt;50, "$0-50", IF(AND(Orders[[#This Row],[Sales]]&gt;=50,Orders[[#This Row],[Sales]]&lt;=100), "$50-100", IF(AND(Orders[[#This Row],[Sales]]&gt;100,Orders[[#This Row],[Sales]]&lt;=150), "$101-150", "$150+")))</f>
        <v>$0-50</v>
      </c>
      <c r="V975" t="str">
        <f>IF(Orders[[#This Row],[Sales]]&gt;MEDIAN(M:M), "High Price", "Low Price")</f>
        <v>Low Price</v>
      </c>
      <c r="W975" t="str">
        <f>IF(Orders[[#This Row],[Quantity]]&gt;MEDIAN(E:E), "High Volume", "Low Volume")</f>
        <v>Low Volume</v>
      </c>
      <c r="X975" t="str">
        <f>Orders[[#This Row],[Sales Tier]] &amp; "-" &amp; Orders[[#This Row],[Quantity Tier]]</f>
        <v>Low Price-Low Volume</v>
      </c>
      <c r="Y975" t="str">
        <f>TEXT(Orders[[#This Row],[Order Date]], "mmmm")</f>
        <v>March</v>
      </c>
      <c r="Z97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975" t="str">
        <f>Orders[[#This Row],[Coffee Type Name]] &amp; "-" &amp; Orders[[#This Row],[Roast Type Name]]</f>
        <v>Robusta-Medium</v>
      </c>
      <c r="AB97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976" spans="1:28" x14ac:dyDescent="0.25">
      <c r="A976" s="2" t="s">
        <v>1249</v>
      </c>
      <c r="B976" s="4">
        <v>44232</v>
      </c>
      <c r="C976" s="2" t="s">
        <v>976</v>
      </c>
      <c r="D976" t="s">
        <v>6180</v>
      </c>
      <c r="E976" s="2">
        <v>5</v>
      </c>
      <c r="F976" s="2" t="str">
        <f>_xlfn.XLOOKUP(C976,customers!$A$1:$A$1001,customers!$B$1:$B$1001,,0)</f>
        <v>Blancha McAmish</v>
      </c>
      <c r="G976" s="2" t="str">
        <f>IF(_xlfn.XLOOKUP(C976,customers!$A$1:$A$1001,customers!$C$1:$C$1001,,0)=0,"",_xlfn.XLOOKUP(C976,customers!$A$1:$A$1001,customers!$C$1:$C$1001,,0))</f>
        <v>bmcamish2e@tripadvisor.com</v>
      </c>
      <c r="H976" s="2" t="str">
        <f>_xlfn.XLOOKUP(C976,customers!$A$1:$A$1001,customers!$G$1:$G$1001,,0)</f>
        <v>United States</v>
      </c>
      <c r="I976" t="str">
        <f>INDEX(products!$A$1:$G$49, MATCH(orders!$D137,products!$A$1:$A184,0), MATCH(orders!I$1,products!$A$1:$G$1,0))</f>
        <v>Ara</v>
      </c>
      <c r="J976" t="str">
        <f>INDEX(products!$A$1:$G$49, MATCH(orders!$D137,products!$A$1:$A184,0), MATCH(orders!J$1,products!$A$1:$G$1,0))</f>
        <v>L</v>
      </c>
      <c r="K976" s="5">
        <f>INDEX(products!$A$1:$G$49, MATCH(orders!$D137,products!$A$1:$A184,0), MATCH(orders!K$1,products!$A$1:$G$1,0))</f>
        <v>0.5</v>
      </c>
      <c r="L976" s="6">
        <f>INDEX(products!$A$1:$G$49, MATCH(orders!$D137,products!$A$1:$A184,0), MATCH(orders!L$1,products!$A$1:$G$1,0))</f>
        <v>7.77</v>
      </c>
      <c r="M976" s="6">
        <f t="shared" si="45"/>
        <v>38.849999999999994</v>
      </c>
      <c r="N976" t="str">
        <f t="shared" si="46"/>
        <v>Arabica</v>
      </c>
      <c r="O976" t="str">
        <f t="shared" si="47"/>
        <v>Light</v>
      </c>
      <c r="P976" t="str">
        <f>_xlfn.XLOOKUP(Orders[[#This Row],[Customer ID]],customers!$A$1:$A$1001,customers!$I$1:$I$1001,,0)</f>
        <v>Yes</v>
      </c>
      <c r="Q976">
        <f>COUNTIF(Orders[Order ID],Orders[[#This Row],[Order ID]])</f>
        <v>1</v>
      </c>
      <c r="R976" s="10">
        <f>SUMIF(Orders[Order ID], Orders[[#This Row],[Order ID]],Orders[Sales])/Orders[[#This Row],[Order Frequency]]</f>
        <v>38.849999999999994</v>
      </c>
      <c r="S976" t="str">
        <f>IF(Orders[[#This Row],[Order Frequency]]&gt;4, "More than 4", IF(AND(Orders[[#This Row],[Order Frequency]]&lt;=4,Orders[[#This Row],[Order Frequency]]&gt;=2), "Between 4 and 2", "Less than 2"))</f>
        <v>Less than 2</v>
      </c>
      <c r="T976" t="str">
        <f>IF(Orders[[#This Row],[Frequency Group]]="less than 2", "Low Value", IF(Orders[[#This Row],[Frequency Group]]="between 4 and 2", "Medium Value", "High Value"))</f>
        <v>Low Value</v>
      </c>
      <c r="U976" t="str">
        <f>IF(Orders[[#This Row],[Sales]]&lt;50, "$0-50", IF(AND(Orders[[#This Row],[Sales]]&gt;=50,Orders[[#This Row],[Sales]]&lt;=100), "$50-100", IF(AND(Orders[[#This Row],[Sales]]&gt;100,Orders[[#This Row],[Sales]]&lt;=150), "$101-150", "$150+")))</f>
        <v>$0-50</v>
      </c>
      <c r="V976" t="str">
        <f>IF(Orders[[#This Row],[Sales]]&gt;MEDIAN(M:M), "High Price", "Low Price")</f>
        <v>High Price</v>
      </c>
      <c r="W976" t="str">
        <f>IF(Orders[[#This Row],[Quantity]]&gt;MEDIAN(E:E), "High Volume", "Low Volume")</f>
        <v>High Volume</v>
      </c>
      <c r="X976" t="str">
        <f>Orders[[#This Row],[Sales Tier]] &amp; "-" &amp; Orders[[#This Row],[Quantity Tier]]</f>
        <v>High Price-High Volume</v>
      </c>
      <c r="Y976" t="str">
        <f>TEXT(Orders[[#This Row],[Order Date]], "mmmm")</f>
        <v>February</v>
      </c>
      <c r="Z97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976" t="str">
        <f>Orders[[#This Row],[Coffee Type Name]] &amp; "-" &amp; Orders[[#This Row],[Roast Type Name]]</f>
        <v>Arabica-Light</v>
      </c>
      <c r="AB97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977" spans="1:28" x14ac:dyDescent="0.25">
      <c r="A977" s="2" t="s">
        <v>2267</v>
      </c>
      <c r="B977" s="4">
        <v>43826</v>
      </c>
      <c r="C977" s="2" t="s">
        <v>2268</v>
      </c>
      <c r="D977" t="s">
        <v>6148</v>
      </c>
      <c r="E977" s="2">
        <v>1</v>
      </c>
      <c r="F977" s="2" t="str">
        <f>_xlfn.XLOOKUP(C977,customers!$A$1:$A$1001,customers!$B$1:$B$1001,,0)</f>
        <v>Melli Brockway</v>
      </c>
      <c r="G977" s="2" t="str">
        <f>IF(_xlfn.XLOOKUP(C977,customers!$A$1:$A$1001,customers!$C$1:$C$1001,,0)=0,"",_xlfn.XLOOKUP(C977,customers!$A$1:$A$1001,customers!$C$1:$C$1001,,0))</f>
        <v>mbrockway8r@ibm.com</v>
      </c>
      <c r="H977" s="2" t="str">
        <f>_xlfn.XLOOKUP(C977,customers!$A$1:$A$1001,customers!$G$1:$G$1001,,0)</f>
        <v>United States</v>
      </c>
      <c r="I977" t="str">
        <f>INDEX(products!$A$1:$G$49, MATCH(orders!$D317,products!$A$1:$A364,0), MATCH(orders!I$1,products!$A$1:$G$1,0))</f>
        <v>Exc</v>
      </c>
      <c r="J977" t="str">
        <f>INDEX(products!$A$1:$G$49, MATCH(orders!$D317,products!$A$1:$A364,0), MATCH(orders!J$1,products!$A$1:$G$1,0))</f>
        <v>L</v>
      </c>
      <c r="K977" s="5">
        <f>INDEX(products!$A$1:$G$49, MATCH(orders!$D317,products!$A$1:$A364,0), MATCH(orders!K$1,products!$A$1:$G$1,0))</f>
        <v>2.5</v>
      </c>
      <c r="L977" s="6">
        <f>INDEX(products!$A$1:$G$49, MATCH(orders!$D317,products!$A$1:$A364,0), MATCH(orders!L$1,products!$A$1:$G$1,0))</f>
        <v>34.154999999999994</v>
      </c>
      <c r="M977" s="6">
        <f t="shared" si="45"/>
        <v>34.154999999999994</v>
      </c>
      <c r="N977" t="str">
        <f t="shared" si="46"/>
        <v>Excelsa</v>
      </c>
      <c r="O977" t="str">
        <f t="shared" si="47"/>
        <v>Light</v>
      </c>
      <c r="P977" t="str">
        <f>_xlfn.XLOOKUP(Orders[[#This Row],[Customer ID]],customers!$A$1:$A$1001,customers!$I$1:$I$1001,,0)</f>
        <v>Yes</v>
      </c>
      <c r="Q977">
        <f>COUNTIF(Orders[Order ID],Orders[[#This Row],[Order ID]])</f>
        <v>1</v>
      </c>
      <c r="R977" s="10">
        <f>SUMIF(Orders[Order ID], Orders[[#This Row],[Order ID]],Orders[Sales])/Orders[[#This Row],[Order Frequency]]</f>
        <v>34.154999999999994</v>
      </c>
      <c r="S977" t="str">
        <f>IF(Orders[[#This Row],[Order Frequency]]&gt;4, "More than 4", IF(AND(Orders[[#This Row],[Order Frequency]]&lt;=4,Orders[[#This Row],[Order Frequency]]&gt;=2), "Between 4 and 2", "Less than 2"))</f>
        <v>Less than 2</v>
      </c>
      <c r="T977" t="str">
        <f>IF(Orders[[#This Row],[Frequency Group]]="less than 2", "Low Value", IF(Orders[[#This Row],[Frequency Group]]="between 4 and 2", "Medium Value", "High Value"))</f>
        <v>Low Value</v>
      </c>
      <c r="U977" t="str">
        <f>IF(Orders[[#This Row],[Sales]]&lt;50, "$0-50", IF(AND(Orders[[#This Row],[Sales]]&gt;=50,Orders[[#This Row],[Sales]]&lt;=100), "$50-100", IF(AND(Orders[[#This Row],[Sales]]&gt;100,Orders[[#This Row],[Sales]]&lt;=150), "$101-150", "$150+")))</f>
        <v>$0-50</v>
      </c>
      <c r="V977" t="str">
        <f>IF(Orders[[#This Row],[Sales]]&gt;MEDIAN(M:M), "High Price", "Low Price")</f>
        <v>High Price</v>
      </c>
      <c r="W977" t="str">
        <f>IF(Orders[[#This Row],[Quantity]]&gt;MEDIAN(E:E), "High Volume", "Low Volume")</f>
        <v>Low Volume</v>
      </c>
      <c r="X977" t="str">
        <f>Orders[[#This Row],[Sales Tier]] &amp; "-" &amp; Orders[[#This Row],[Quantity Tier]]</f>
        <v>High Price-Low Volume</v>
      </c>
      <c r="Y977" t="str">
        <f>TEXT(Orders[[#This Row],[Order Date]], "mmmm")</f>
        <v>December</v>
      </c>
      <c r="Z97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977" t="str">
        <f>Orders[[#This Row],[Coffee Type Name]] &amp; "-" &amp; Orders[[#This Row],[Roast Type Name]]</f>
        <v>Excelsa-Light</v>
      </c>
      <c r="AB97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978" spans="1:28" x14ac:dyDescent="0.25">
      <c r="A978" s="2" t="s">
        <v>1245</v>
      </c>
      <c r="B978" s="4">
        <v>44758</v>
      </c>
      <c r="C978" s="2" t="s">
        <v>1246</v>
      </c>
      <c r="D978" t="s">
        <v>6166</v>
      </c>
      <c r="E978" s="2">
        <v>3</v>
      </c>
      <c r="F978" s="2" t="str">
        <f>_xlfn.XLOOKUP(C978,customers!$A$1:$A$1001,customers!$B$1:$B$1001,,0)</f>
        <v>Ewell Hanby</v>
      </c>
      <c r="G978" s="2" t="str">
        <f>IF(_xlfn.XLOOKUP(C978,customers!$A$1:$A$1001,customers!$C$1:$C$1001,,0)=0,"",_xlfn.XLOOKUP(C978,customers!$A$1:$A$1001,customers!$C$1:$C$1001,,0))</f>
        <v/>
      </c>
      <c r="H978" s="2" t="str">
        <f>_xlfn.XLOOKUP(C978,customers!$A$1:$A$1001,customers!$G$1:$G$1001,,0)</f>
        <v>United States</v>
      </c>
      <c r="I978" t="str">
        <f>INDEX(products!$A$1:$G$49, MATCH(orders!$D136,products!$A$1:$A183,0), MATCH(orders!I$1,products!$A$1:$G$1,0))</f>
        <v>Exc</v>
      </c>
      <c r="J978" t="str">
        <f>INDEX(products!$A$1:$G$49, MATCH(orders!$D136,products!$A$1:$A183,0), MATCH(orders!J$1,products!$A$1:$G$1,0))</f>
        <v>M</v>
      </c>
      <c r="K978" s="5">
        <f>INDEX(products!$A$1:$G$49, MATCH(orders!$D136,products!$A$1:$A183,0), MATCH(orders!K$1,products!$A$1:$G$1,0))</f>
        <v>2.5</v>
      </c>
      <c r="L978" s="6">
        <f>INDEX(products!$A$1:$G$49, MATCH(orders!$D136,products!$A$1:$A183,0), MATCH(orders!L$1,products!$A$1:$G$1,0))</f>
        <v>31.624999999999996</v>
      </c>
      <c r="M978" s="6">
        <f t="shared" si="45"/>
        <v>94.874999999999986</v>
      </c>
      <c r="N978" t="str">
        <f t="shared" si="46"/>
        <v>Excelsa</v>
      </c>
      <c r="O978" t="str">
        <f t="shared" si="47"/>
        <v>Medium</v>
      </c>
      <c r="P978" t="str">
        <f>_xlfn.XLOOKUP(Orders[[#This Row],[Customer ID]],customers!$A$1:$A$1001,customers!$I$1:$I$1001,,0)</f>
        <v>Yes</v>
      </c>
      <c r="Q978">
        <f>COUNTIF(Orders[Order ID],Orders[[#This Row],[Order ID]])</f>
        <v>1</v>
      </c>
      <c r="R978" s="10">
        <f>SUMIF(Orders[Order ID], Orders[[#This Row],[Order ID]],Orders[Sales])/Orders[[#This Row],[Order Frequency]]</f>
        <v>94.874999999999986</v>
      </c>
      <c r="S978" t="str">
        <f>IF(Orders[[#This Row],[Order Frequency]]&gt;4, "More than 4", IF(AND(Orders[[#This Row],[Order Frequency]]&lt;=4,Orders[[#This Row],[Order Frequency]]&gt;=2), "Between 4 and 2", "Less than 2"))</f>
        <v>Less than 2</v>
      </c>
      <c r="T978" t="str">
        <f>IF(Orders[[#This Row],[Frequency Group]]="less than 2", "Low Value", IF(Orders[[#This Row],[Frequency Group]]="between 4 and 2", "Medium Value", "High Value"))</f>
        <v>Low Value</v>
      </c>
      <c r="U978" t="str">
        <f>IF(Orders[[#This Row],[Sales]]&lt;50, "$0-50", IF(AND(Orders[[#This Row],[Sales]]&gt;=50,Orders[[#This Row],[Sales]]&lt;=100), "$50-100", IF(AND(Orders[[#This Row],[Sales]]&gt;100,Orders[[#This Row],[Sales]]&lt;=150), "$101-150", "$150+")))</f>
        <v>$50-100</v>
      </c>
      <c r="V978" t="str">
        <f>IF(Orders[[#This Row],[Sales]]&gt;MEDIAN(M:M), "High Price", "Low Price")</f>
        <v>High Price</v>
      </c>
      <c r="W978" t="str">
        <f>IF(Orders[[#This Row],[Quantity]]&gt;MEDIAN(E:E), "High Volume", "Low Volume")</f>
        <v>Low Volume</v>
      </c>
      <c r="X978" t="str">
        <f>Orders[[#This Row],[Sales Tier]] &amp; "-" &amp; Orders[[#This Row],[Quantity Tier]]</f>
        <v>High Price-Low Volume</v>
      </c>
      <c r="Y978" t="str">
        <f>TEXT(Orders[[#This Row],[Order Date]], "mmmm")</f>
        <v>July</v>
      </c>
      <c r="Z97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978" t="str">
        <f>Orders[[#This Row],[Coffee Type Name]] &amp; "-" &amp; Orders[[#This Row],[Roast Type Name]]</f>
        <v>Excelsa-Medium</v>
      </c>
      <c r="AB97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979" spans="1:28" x14ac:dyDescent="0.25">
      <c r="A979" s="2" t="s">
        <v>2238</v>
      </c>
      <c r="B979" s="4">
        <v>44586</v>
      </c>
      <c r="C979" s="2" t="s">
        <v>2239</v>
      </c>
      <c r="D979" t="s">
        <v>6171</v>
      </c>
      <c r="E979" s="2">
        <v>1</v>
      </c>
      <c r="F979" s="2" t="str">
        <f>_xlfn.XLOOKUP(C979,customers!$A$1:$A$1001,customers!$B$1:$B$1001,,0)</f>
        <v>Paola Brydell</v>
      </c>
      <c r="G979" s="2" t="str">
        <f>IF(_xlfn.XLOOKUP(C979,customers!$A$1:$A$1001,customers!$C$1:$C$1001,,0)=0,"",_xlfn.XLOOKUP(C979,customers!$A$1:$A$1001,customers!$C$1:$C$1001,,0))</f>
        <v>pbrydell8m@bloglovin.com</v>
      </c>
      <c r="H979" s="2" t="str">
        <f>_xlfn.XLOOKUP(C979,customers!$A$1:$A$1001,customers!$G$1:$G$1001,,0)</f>
        <v>Ireland</v>
      </c>
      <c r="I979" t="str">
        <f>INDEX(products!$A$1:$G$49, MATCH(orders!$D312,products!$A$1:$A359,0), MATCH(orders!I$1,products!$A$1:$G$1,0))</f>
        <v>Exc</v>
      </c>
      <c r="J979" t="str">
        <f>INDEX(products!$A$1:$G$49, MATCH(orders!$D312,products!$A$1:$A359,0), MATCH(orders!J$1,products!$A$1:$G$1,0))</f>
        <v>L</v>
      </c>
      <c r="K979" s="5">
        <f>INDEX(products!$A$1:$G$49, MATCH(orders!$D312,products!$A$1:$A359,0), MATCH(orders!K$1,products!$A$1:$G$1,0))</f>
        <v>1</v>
      </c>
      <c r="L979" s="6">
        <f>INDEX(products!$A$1:$G$49, MATCH(orders!$D312,products!$A$1:$A359,0), MATCH(orders!L$1,products!$A$1:$G$1,0))</f>
        <v>14.85</v>
      </c>
      <c r="M979" s="6">
        <f t="shared" si="45"/>
        <v>14.85</v>
      </c>
      <c r="N979" t="str">
        <f t="shared" si="46"/>
        <v>Excelsa</v>
      </c>
      <c r="O979" t="str">
        <f t="shared" si="47"/>
        <v>Light</v>
      </c>
      <c r="P979" t="str">
        <f>_xlfn.XLOOKUP(Orders[[#This Row],[Customer ID]],customers!$A$1:$A$1001,customers!$I$1:$I$1001,,0)</f>
        <v>No</v>
      </c>
      <c r="Q979">
        <f>COUNTIF(Orders[Order ID],Orders[[#This Row],[Order ID]])</f>
        <v>1</v>
      </c>
      <c r="R979" s="10">
        <f>SUMIF(Orders[Order ID], Orders[[#This Row],[Order ID]],Orders[Sales])/Orders[[#This Row],[Order Frequency]]</f>
        <v>14.85</v>
      </c>
      <c r="S979" t="str">
        <f>IF(Orders[[#This Row],[Order Frequency]]&gt;4, "More than 4", IF(AND(Orders[[#This Row],[Order Frequency]]&lt;=4,Orders[[#This Row],[Order Frequency]]&gt;=2), "Between 4 and 2", "Less than 2"))</f>
        <v>Less than 2</v>
      </c>
      <c r="T979" t="str">
        <f>IF(Orders[[#This Row],[Frequency Group]]="less than 2", "Low Value", IF(Orders[[#This Row],[Frequency Group]]="between 4 and 2", "Medium Value", "High Value"))</f>
        <v>Low Value</v>
      </c>
      <c r="U979" t="str">
        <f>IF(Orders[[#This Row],[Sales]]&lt;50, "$0-50", IF(AND(Orders[[#This Row],[Sales]]&gt;=50,Orders[[#This Row],[Sales]]&lt;=100), "$50-100", IF(AND(Orders[[#This Row],[Sales]]&gt;100,Orders[[#This Row],[Sales]]&lt;=150), "$101-150", "$150+")))</f>
        <v>$0-50</v>
      </c>
      <c r="V979" t="str">
        <f>IF(Orders[[#This Row],[Sales]]&gt;MEDIAN(M:M), "High Price", "Low Price")</f>
        <v>Low Price</v>
      </c>
      <c r="W979" t="str">
        <f>IF(Orders[[#This Row],[Quantity]]&gt;MEDIAN(E:E), "High Volume", "Low Volume")</f>
        <v>Low Volume</v>
      </c>
      <c r="X979" t="str">
        <f>Orders[[#This Row],[Sales Tier]] &amp; "-" &amp; Orders[[#This Row],[Quantity Tier]]</f>
        <v>Low Price-Low Volume</v>
      </c>
      <c r="Y979" t="str">
        <f>TEXT(Orders[[#This Row],[Order Date]], "mmmm")</f>
        <v>January</v>
      </c>
      <c r="Z97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979" t="str">
        <f>Orders[[#This Row],[Coffee Type Name]] &amp; "-" &amp; Orders[[#This Row],[Roast Type Name]]</f>
        <v>Excelsa-Light</v>
      </c>
      <c r="AB97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980" spans="1:28" x14ac:dyDescent="0.25">
      <c r="A980" s="2" t="s">
        <v>4797</v>
      </c>
      <c r="B980" s="4">
        <v>43563</v>
      </c>
      <c r="C980" s="2" t="s">
        <v>4798</v>
      </c>
      <c r="D980" t="s">
        <v>6160</v>
      </c>
      <c r="E980" s="2">
        <v>5</v>
      </c>
      <c r="F980" s="2" t="str">
        <f>_xlfn.XLOOKUP(C980,customers!$A$1:$A$1001,customers!$B$1:$B$1001,,0)</f>
        <v>Sharona Danilchik</v>
      </c>
      <c r="G980" s="2" t="str">
        <f>IF(_xlfn.XLOOKUP(C980,customers!$A$1:$A$1001,customers!$C$1:$C$1001,,0)=0,"",_xlfn.XLOOKUP(C980,customers!$A$1:$A$1001,customers!$C$1:$C$1001,,0))</f>
        <v>sdanilchikl6@mit.edu</v>
      </c>
      <c r="H980" s="2" t="str">
        <f>_xlfn.XLOOKUP(C980,customers!$A$1:$A$1001,customers!$G$1:$G$1001,,0)</f>
        <v>United Kingdom</v>
      </c>
      <c r="I980" t="str">
        <f>INDEX(products!$A$1:$G$49, MATCH(orders!$D764,products!$A$1:$A811,0), MATCH(orders!I$1,products!$A$1:$G$1,0))</f>
        <v>Lib</v>
      </c>
      <c r="J980" t="str">
        <f>INDEX(products!$A$1:$G$49, MATCH(orders!$D764,products!$A$1:$A811,0), MATCH(orders!J$1,products!$A$1:$G$1,0))</f>
        <v>M</v>
      </c>
      <c r="K980" s="5">
        <f>INDEX(products!$A$1:$G$49, MATCH(orders!$D764,products!$A$1:$A811,0), MATCH(orders!K$1,products!$A$1:$G$1,0))</f>
        <v>0.5</v>
      </c>
      <c r="L980" s="6">
        <f>INDEX(products!$A$1:$G$49, MATCH(orders!$D764,products!$A$1:$A811,0), MATCH(orders!L$1,products!$A$1:$G$1,0))</f>
        <v>8.73</v>
      </c>
      <c r="M980" s="6">
        <f t="shared" si="45"/>
        <v>43.650000000000006</v>
      </c>
      <c r="N980" t="str">
        <f t="shared" si="46"/>
        <v>Liberica</v>
      </c>
      <c r="O980" t="str">
        <f t="shared" si="47"/>
        <v>Medium</v>
      </c>
      <c r="P980" t="str">
        <f>_xlfn.XLOOKUP(Orders[[#This Row],[Customer ID]],customers!$A$1:$A$1001,customers!$I$1:$I$1001,,0)</f>
        <v>No</v>
      </c>
      <c r="Q980">
        <f>COUNTIF(Orders[Order ID],Orders[[#This Row],[Order ID]])</f>
        <v>1</v>
      </c>
      <c r="R980" s="10">
        <f>SUMIF(Orders[Order ID], Orders[[#This Row],[Order ID]],Orders[Sales])/Orders[[#This Row],[Order Frequency]]</f>
        <v>43.650000000000006</v>
      </c>
      <c r="S980" t="str">
        <f>IF(Orders[[#This Row],[Order Frequency]]&gt;4, "More than 4", IF(AND(Orders[[#This Row],[Order Frequency]]&lt;=4,Orders[[#This Row],[Order Frequency]]&gt;=2), "Between 4 and 2", "Less than 2"))</f>
        <v>Less than 2</v>
      </c>
      <c r="T980" t="str">
        <f>IF(Orders[[#This Row],[Frequency Group]]="less than 2", "Low Value", IF(Orders[[#This Row],[Frequency Group]]="between 4 and 2", "Medium Value", "High Value"))</f>
        <v>Low Value</v>
      </c>
      <c r="U980" t="str">
        <f>IF(Orders[[#This Row],[Sales]]&lt;50, "$0-50", IF(AND(Orders[[#This Row],[Sales]]&gt;=50,Orders[[#This Row],[Sales]]&lt;=100), "$50-100", IF(AND(Orders[[#This Row],[Sales]]&gt;100,Orders[[#This Row],[Sales]]&lt;=150), "$101-150", "$150+")))</f>
        <v>$0-50</v>
      </c>
      <c r="V980" t="str">
        <f>IF(Orders[[#This Row],[Sales]]&gt;MEDIAN(M:M), "High Price", "Low Price")</f>
        <v>High Price</v>
      </c>
      <c r="W980" t="str">
        <f>IF(Orders[[#This Row],[Quantity]]&gt;MEDIAN(E:E), "High Volume", "Low Volume")</f>
        <v>High Volume</v>
      </c>
      <c r="X980" t="str">
        <f>Orders[[#This Row],[Sales Tier]] &amp; "-" &amp; Orders[[#This Row],[Quantity Tier]]</f>
        <v>High Price-High Volume</v>
      </c>
      <c r="Y980" t="str">
        <f>TEXT(Orders[[#This Row],[Order Date]], "mmmm")</f>
        <v>April</v>
      </c>
      <c r="Z98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980" t="str">
        <f>Orders[[#This Row],[Coffee Type Name]] &amp; "-" &amp; Orders[[#This Row],[Roast Type Name]]</f>
        <v>Liberica-Medium</v>
      </c>
      <c r="AB98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981" spans="1:28" x14ac:dyDescent="0.25">
      <c r="A981" s="2" t="s">
        <v>3424</v>
      </c>
      <c r="B981" s="4">
        <v>44026</v>
      </c>
      <c r="C981" s="2" t="s">
        <v>3368</v>
      </c>
      <c r="D981" t="s">
        <v>6158</v>
      </c>
      <c r="E981" s="2">
        <v>2</v>
      </c>
      <c r="F981" s="2" t="str">
        <f>_xlfn.XLOOKUP(C981,customers!$A$1:$A$1001,customers!$B$1:$B$1001,,0)</f>
        <v>Marja Urion</v>
      </c>
      <c r="G981" s="2" t="str">
        <f>IF(_xlfn.XLOOKUP(C981,customers!$A$1:$A$1001,customers!$C$1:$C$1001,,0)=0,"",_xlfn.XLOOKUP(C981,customers!$A$1:$A$1001,customers!$C$1:$C$1001,,0))</f>
        <v>murione5@alexa.com</v>
      </c>
      <c r="H981" s="2" t="str">
        <f>_xlfn.XLOOKUP(C981,customers!$A$1:$A$1001,customers!$G$1:$G$1001,,0)</f>
        <v>Ireland</v>
      </c>
      <c r="I981" t="str">
        <f>INDEX(products!$A$1:$G$49, MATCH(orders!$D521,products!$A$1:$A568,0), MATCH(orders!I$1,products!$A$1:$G$1,0))</f>
        <v>Ara</v>
      </c>
      <c r="J981" t="str">
        <f>INDEX(products!$A$1:$G$49, MATCH(orders!$D521,products!$A$1:$A568,0), MATCH(orders!J$1,products!$A$1:$G$1,0))</f>
        <v>D</v>
      </c>
      <c r="K981" s="5">
        <f>INDEX(products!$A$1:$G$49, MATCH(orders!$D521,products!$A$1:$A568,0), MATCH(orders!K$1,products!$A$1:$G$1,0))</f>
        <v>0.5</v>
      </c>
      <c r="L981" s="6">
        <f>INDEX(products!$A$1:$G$49, MATCH(orders!$D521,products!$A$1:$A568,0), MATCH(orders!L$1,products!$A$1:$G$1,0))</f>
        <v>5.97</v>
      </c>
      <c r="M981" s="6">
        <f t="shared" si="45"/>
        <v>11.94</v>
      </c>
      <c r="N981" t="str">
        <f t="shared" si="46"/>
        <v>Arabica</v>
      </c>
      <c r="O981" t="str">
        <f t="shared" si="47"/>
        <v>Dark</v>
      </c>
      <c r="P981" t="str">
        <f>_xlfn.XLOOKUP(Orders[[#This Row],[Customer ID]],customers!$A$1:$A$1001,customers!$I$1:$I$1001,,0)</f>
        <v>Yes</v>
      </c>
      <c r="Q981">
        <f>COUNTIF(Orders[Order ID],Orders[[#This Row],[Order ID]])</f>
        <v>1</v>
      </c>
      <c r="R981" s="10">
        <f>SUMIF(Orders[Order ID], Orders[[#This Row],[Order ID]],Orders[Sales])/Orders[[#This Row],[Order Frequency]]</f>
        <v>11.94</v>
      </c>
      <c r="S981" t="str">
        <f>IF(Orders[[#This Row],[Order Frequency]]&gt;4, "More than 4", IF(AND(Orders[[#This Row],[Order Frequency]]&lt;=4,Orders[[#This Row],[Order Frequency]]&gt;=2), "Between 4 and 2", "Less than 2"))</f>
        <v>Less than 2</v>
      </c>
      <c r="T981" t="str">
        <f>IF(Orders[[#This Row],[Frequency Group]]="less than 2", "Low Value", IF(Orders[[#This Row],[Frequency Group]]="between 4 and 2", "Medium Value", "High Value"))</f>
        <v>Low Value</v>
      </c>
      <c r="U981" t="str">
        <f>IF(Orders[[#This Row],[Sales]]&lt;50, "$0-50", IF(AND(Orders[[#This Row],[Sales]]&gt;=50,Orders[[#This Row],[Sales]]&lt;=100), "$50-100", IF(AND(Orders[[#This Row],[Sales]]&gt;100,Orders[[#This Row],[Sales]]&lt;=150), "$101-150", "$150+")))</f>
        <v>$0-50</v>
      </c>
      <c r="V981" t="str">
        <f>IF(Orders[[#This Row],[Sales]]&gt;MEDIAN(M:M), "High Price", "Low Price")</f>
        <v>Low Price</v>
      </c>
      <c r="W981" t="str">
        <f>IF(Orders[[#This Row],[Quantity]]&gt;MEDIAN(E:E), "High Volume", "Low Volume")</f>
        <v>Low Volume</v>
      </c>
      <c r="X981" t="str">
        <f>Orders[[#This Row],[Sales Tier]] &amp; "-" &amp; Orders[[#This Row],[Quantity Tier]]</f>
        <v>Low Price-Low Volume</v>
      </c>
      <c r="Y981" t="str">
        <f>TEXT(Orders[[#This Row],[Order Date]], "mmmm")</f>
        <v>July</v>
      </c>
      <c r="Z98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981" t="str">
        <f>Orders[[#This Row],[Coffee Type Name]] &amp; "-" &amp; Orders[[#This Row],[Roast Type Name]]</f>
        <v>Arabica-Dark</v>
      </c>
      <c r="AB98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982" spans="1:28" x14ac:dyDescent="0.25">
      <c r="A982" s="2" t="s">
        <v>1276</v>
      </c>
      <c r="B982" s="4">
        <v>44694</v>
      </c>
      <c r="C982" s="2" t="s">
        <v>1277</v>
      </c>
      <c r="D982" t="s">
        <v>6165</v>
      </c>
      <c r="E982" s="2">
        <v>1</v>
      </c>
      <c r="F982" s="2" t="str">
        <f>_xlfn.XLOOKUP(C982,customers!$A$1:$A$1001,customers!$B$1:$B$1001,,0)</f>
        <v>Vallie Kundt</v>
      </c>
      <c r="G982" s="2" t="str">
        <f>IF(_xlfn.XLOOKUP(C982,customers!$A$1:$A$1001,customers!$C$1:$C$1001,,0)=0,"",_xlfn.XLOOKUP(C982,customers!$A$1:$A$1001,customers!$C$1:$C$1001,,0))</f>
        <v>vkundt3w@bigcartel.com</v>
      </c>
      <c r="H982" s="2" t="str">
        <f>_xlfn.XLOOKUP(C982,customers!$A$1:$A$1001,customers!$G$1:$G$1001,,0)</f>
        <v>Ireland</v>
      </c>
      <c r="I982" t="str">
        <f>INDEX(products!$A$1:$G$49, MATCH(orders!$D142,products!$A$1:$A189,0), MATCH(orders!I$1,products!$A$1:$G$1,0))</f>
        <v>Lib</v>
      </c>
      <c r="J982" t="str">
        <f>INDEX(products!$A$1:$G$49, MATCH(orders!$D142,products!$A$1:$A189,0), MATCH(orders!J$1,products!$A$1:$G$1,0))</f>
        <v>D</v>
      </c>
      <c r="K982" s="5">
        <f>INDEX(products!$A$1:$G$49, MATCH(orders!$D142,products!$A$1:$A189,0), MATCH(orders!K$1,products!$A$1:$G$1,0))</f>
        <v>2.5</v>
      </c>
      <c r="L982" s="6">
        <f>INDEX(products!$A$1:$G$49, MATCH(orders!$D142,products!$A$1:$A189,0), MATCH(orders!L$1,products!$A$1:$G$1,0))</f>
        <v>29.784999999999997</v>
      </c>
      <c r="M982" s="6">
        <f t="shared" si="45"/>
        <v>29.784999999999997</v>
      </c>
      <c r="N982" t="str">
        <f t="shared" si="46"/>
        <v>Liberica</v>
      </c>
      <c r="O982" t="str">
        <f t="shared" si="47"/>
        <v>Dark</v>
      </c>
      <c r="P982" t="str">
        <f>_xlfn.XLOOKUP(Orders[[#This Row],[Customer ID]],customers!$A$1:$A$1001,customers!$I$1:$I$1001,,0)</f>
        <v>Yes</v>
      </c>
      <c r="Q982">
        <f>COUNTIF(Orders[Order ID],Orders[[#This Row],[Order ID]])</f>
        <v>1</v>
      </c>
      <c r="R982" s="10">
        <f>SUMIF(Orders[Order ID], Orders[[#This Row],[Order ID]],Orders[Sales])/Orders[[#This Row],[Order Frequency]]</f>
        <v>29.784999999999997</v>
      </c>
      <c r="S982" t="str">
        <f>IF(Orders[[#This Row],[Order Frequency]]&gt;4, "More than 4", IF(AND(Orders[[#This Row],[Order Frequency]]&lt;=4,Orders[[#This Row],[Order Frequency]]&gt;=2), "Between 4 and 2", "Less than 2"))</f>
        <v>Less than 2</v>
      </c>
      <c r="T982" t="str">
        <f>IF(Orders[[#This Row],[Frequency Group]]="less than 2", "Low Value", IF(Orders[[#This Row],[Frequency Group]]="between 4 and 2", "Medium Value", "High Value"))</f>
        <v>Low Value</v>
      </c>
      <c r="U982" t="str">
        <f>IF(Orders[[#This Row],[Sales]]&lt;50, "$0-50", IF(AND(Orders[[#This Row],[Sales]]&gt;=50,Orders[[#This Row],[Sales]]&lt;=100), "$50-100", IF(AND(Orders[[#This Row],[Sales]]&gt;100,Orders[[#This Row],[Sales]]&lt;=150), "$101-150", "$150+")))</f>
        <v>$0-50</v>
      </c>
      <c r="V982" t="str">
        <f>IF(Orders[[#This Row],[Sales]]&gt;MEDIAN(M:M), "High Price", "Low Price")</f>
        <v>Low Price</v>
      </c>
      <c r="W982" t="str">
        <f>IF(Orders[[#This Row],[Quantity]]&gt;MEDIAN(E:E), "High Volume", "Low Volume")</f>
        <v>Low Volume</v>
      </c>
      <c r="X982" t="str">
        <f>Orders[[#This Row],[Sales Tier]] &amp; "-" &amp; Orders[[#This Row],[Quantity Tier]]</f>
        <v>Low Price-Low Volume</v>
      </c>
      <c r="Y982" t="str">
        <f>TEXT(Orders[[#This Row],[Order Date]], "mmmm")</f>
        <v>May</v>
      </c>
      <c r="Z98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982" t="str">
        <f>Orders[[#This Row],[Coffee Type Name]] &amp; "-" &amp; Orders[[#This Row],[Roast Type Name]]</f>
        <v>Liberica-Dark</v>
      </c>
      <c r="AB98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983" spans="1:28" x14ac:dyDescent="0.25">
      <c r="A983" s="2" t="s">
        <v>5278</v>
      </c>
      <c r="B983" s="4">
        <v>44460</v>
      </c>
      <c r="C983" s="2" t="s">
        <v>5279</v>
      </c>
      <c r="D983" t="s">
        <v>6154</v>
      </c>
      <c r="E983" s="2">
        <v>3</v>
      </c>
      <c r="F983" s="2" t="str">
        <f>_xlfn.XLOOKUP(C983,customers!$A$1:$A$1001,customers!$B$1:$B$1001,,0)</f>
        <v>Mordy Van Der Vlies</v>
      </c>
      <c r="G983" s="2" t="str">
        <f>IF(_xlfn.XLOOKUP(C983,customers!$A$1:$A$1001,customers!$C$1:$C$1001,,0)=0,"",_xlfn.XLOOKUP(C983,customers!$A$1:$A$1001,customers!$C$1:$C$1001,,0))</f>
        <v>mvannj@wikipedia.org</v>
      </c>
      <c r="H983" s="2" t="str">
        <f>_xlfn.XLOOKUP(C983,customers!$A$1:$A$1001,customers!$G$1:$G$1001,,0)</f>
        <v>United States</v>
      </c>
      <c r="I983" t="str">
        <f>INDEX(products!$A$1:$G$49, MATCH(orders!$D849,products!$A$1:$A896,0), MATCH(orders!I$1,products!$A$1:$G$1,0))</f>
        <v>Ara</v>
      </c>
      <c r="J983" t="str">
        <f>INDEX(products!$A$1:$G$49, MATCH(orders!$D849,products!$A$1:$A896,0), MATCH(orders!J$1,products!$A$1:$G$1,0))</f>
        <v>D</v>
      </c>
      <c r="K983" s="5">
        <f>INDEX(products!$A$1:$G$49, MATCH(orders!$D849,products!$A$1:$A896,0), MATCH(orders!K$1,products!$A$1:$G$1,0))</f>
        <v>0.2</v>
      </c>
      <c r="L983" s="6">
        <f>INDEX(products!$A$1:$G$49, MATCH(orders!$D849,products!$A$1:$A896,0), MATCH(orders!L$1,products!$A$1:$G$1,0))</f>
        <v>2.9849999999999999</v>
      </c>
      <c r="M983" s="6">
        <f t="shared" si="45"/>
        <v>8.9550000000000001</v>
      </c>
      <c r="N983" t="str">
        <f t="shared" si="46"/>
        <v>Arabica</v>
      </c>
      <c r="O983" t="str">
        <f t="shared" si="47"/>
        <v>Dark</v>
      </c>
      <c r="P983" t="str">
        <f>_xlfn.XLOOKUP(Orders[[#This Row],[Customer ID]],customers!$A$1:$A$1001,customers!$I$1:$I$1001,,0)</f>
        <v>Yes</v>
      </c>
      <c r="Q983">
        <f>COUNTIF(Orders[Order ID],Orders[[#This Row],[Order ID]])</f>
        <v>1</v>
      </c>
      <c r="R983" s="10">
        <f>SUMIF(Orders[Order ID], Orders[[#This Row],[Order ID]],Orders[Sales])/Orders[[#This Row],[Order Frequency]]</f>
        <v>8.9550000000000001</v>
      </c>
      <c r="S983" t="str">
        <f>IF(Orders[[#This Row],[Order Frequency]]&gt;4, "More than 4", IF(AND(Orders[[#This Row],[Order Frequency]]&lt;=4,Orders[[#This Row],[Order Frequency]]&gt;=2), "Between 4 and 2", "Less than 2"))</f>
        <v>Less than 2</v>
      </c>
      <c r="T983" t="str">
        <f>IF(Orders[[#This Row],[Frequency Group]]="less than 2", "Low Value", IF(Orders[[#This Row],[Frequency Group]]="between 4 and 2", "Medium Value", "High Value"))</f>
        <v>Low Value</v>
      </c>
      <c r="U983" t="str">
        <f>IF(Orders[[#This Row],[Sales]]&lt;50, "$0-50", IF(AND(Orders[[#This Row],[Sales]]&gt;=50,Orders[[#This Row],[Sales]]&lt;=100), "$50-100", IF(AND(Orders[[#This Row],[Sales]]&gt;100,Orders[[#This Row],[Sales]]&lt;=150), "$101-150", "$150+")))</f>
        <v>$0-50</v>
      </c>
      <c r="V983" t="str">
        <f>IF(Orders[[#This Row],[Sales]]&gt;MEDIAN(M:M), "High Price", "Low Price")</f>
        <v>Low Price</v>
      </c>
      <c r="W983" t="str">
        <f>IF(Orders[[#This Row],[Quantity]]&gt;MEDIAN(E:E), "High Volume", "Low Volume")</f>
        <v>Low Volume</v>
      </c>
      <c r="X983" t="str">
        <f>Orders[[#This Row],[Sales Tier]] &amp; "-" &amp; Orders[[#This Row],[Quantity Tier]]</f>
        <v>Low Price-Low Volume</v>
      </c>
      <c r="Y983" t="str">
        <f>TEXT(Orders[[#This Row],[Order Date]], "mmmm")</f>
        <v>September</v>
      </c>
      <c r="Z98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983" t="str">
        <f>Orders[[#This Row],[Coffee Type Name]] &amp; "-" &amp; Orders[[#This Row],[Roast Type Name]]</f>
        <v>Arabica-Dark</v>
      </c>
      <c r="AB98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984" spans="1:28" x14ac:dyDescent="0.25">
      <c r="A984" s="2" t="s">
        <v>5614</v>
      </c>
      <c r="B984" s="4">
        <v>44588</v>
      </c>
      <c r="C984" s="2" t="s">
        <v>5615</v>
      </c>
      <c r="D984" t="s">
        <v>6157</v>
      </c>
      <c r="E984" s="2">
        <v>4</v>
      </c>
      <c r="F984" s="2" t="str">
        <f>_xlfn.XLOOKUP(C984,customers!$A$1:$A$1001,customers!$B$1:$B$1001,,0)</f>
        <v>Lauritz Ledgley</v>
      </c>
      <c r="G984" s="2" t="str">
        <f>IF(_xlfn.XLOOKUP(C984,customers!$A$1:$A$1001,customers!$C$1:$C$1001,,0)=0,"",_xlfn.XLOOKUP(C984,customers!$A$1:$A$1001,customers!$C$1:$C$1001,,0))</f>
        <v>lledgleyp6@de.vu</v>
      </c>
      <c r="H984" s="2" t="str">
        <f>_xlfn.XLOOKUP(C984,customers!$A$1:$A$1001,customers!$G$1:$G$1001,,0)</f>
        <v>United States</v>
      </c>
      <c r="I984" t="str">
        <f>INDEX(products!$A$1:$G$49, MATCH(orders!$D908,products!$A$1:$A955,0), MATCH(orders!I$1,products!$A$1:$G$1,0))</f>
        <v>Ara</v>
      </c>
      <c r="J984" t="str">
        <f>INDEX(products!$A$1:$G$49, MATCH(orders!$D908,products!$A$1:$A955,0), MATCH(orders!J$1,products!$A$1:$G$1,0))</f>
        <v>M</v>
      </c>
      <c r="K984" s="5">
        <f>INDEX(products!$A$1:$G$49, MATCH(orders!$D908,products!$A$1:$A955,0), MATCH(orders!K$1,products!$A$1:$G$1,0))</f>
        <v>0.5</v>
      </c>
      <c r="L984" s="6">
        <f>INDEX(products!$A$1:$G$49, MATCH(orders!$D908,products!$A$1:$A955,0), MATCH(orders!L$1,products!$A$1:$G$1,0))</f>
        <v>6.75</v>
      </c>
      <c r="M984" s="6">
        <f t="shared" si="45"/>
        <v>27</v>
      </c>
      <c r="N984" t="str">
        <f t="shared" si="46"/>
        <v>Arabica</v>
      </c>
      <c r="O984" t="str">
        <f t="shared" si="47"/>
        <v>Medium</v>
      </c>
      <c r="P984" t="str">
        <f>_xlfn.XLOOKUP(Orders[[#This Row],[Customer ID]],customers!$A$1:$A$1001,customers!$I$1:$I$1001,,0)</f>
        <v>Yes</v>
      </c>
      <c r="Q984">
        <f>COUNTIF(Orders[Order ID],Orders[[#This Row],[Order ID]])</f>
        <v>1</v>
      </c>
      <c r="R984" s="10">
        <f>SUMIF(Orders[Order ID], Orders[[#This Row],[Order ID]],Orders[Sales])/Orders[[#This Row],[Order Frequency]]</f>
        <v>27</v>
      </c>
      <c r="S984" t="str">
        <f>IF(Orders[[#This Row],[Order Frequency]]&gt;4, "More than 4", IF(AND(Orders[[#This Row],[Order Frequency]]&lt;=4,Orders[[#This Row],[Order Frequency]]&gt;=2), "Between 4 and 2", "Less than 2"))</f>
        <v>Less than 2</v>
      </c>
      <c r="T984" t="str">
        <f>IF(Orders[[#This Row],[Frequency Group]]="less than 2", "Low Value", IF(Orders[[#This Row],[Frequency Group]]="between 4 and 2", "Medium Value", "High Value"))</f>
        <v>Low Value</v>
      </c>
      <c r="U984" t="str">
        <f>IF(Orders[[#This Row],[Sales]]&lt;50, "$0-50", IF(AND(Orders[[#This Row],[Sales]]&gt;=50,Orders[[#This Row],[Sales]]&lt;=100), "$50-100", IF(AND(Orders[[#This Row],[Sales]]&gt;100,Orders[[#This Row],[Sales]]&lt;=150), "$101-150", "$150+")))</f>
        <v>$0-50</v>
      </c>
      <c r="V984" t="str">
        <f>IF(Orders[[#This Row],[Sales]]&gt;MEDIAN(M:M), "High Price", "Low Price")</f>
        <v>Low Price</v>
      </c>
      <c r="W984" t="str">
        <f>IF(Orders[[#This Row],[Quantity]]&gt;MEDIAN(E:E), "High Volume", "Low Volume")</f>
        <v>Low Volume</v>
      </c>
      <c r="X984" t="str">
        <f>Orders[[#This Row],[Sales Tier]] &amp; "-" &amp; Orders[[#This Row],[Quantity Tier]]</f>
        <v>Low Price-Low Volume</v>
      </c>
      <c r="Y984" t="str">
        <f>TEXT(Orders[[#This Row],[Order Date]], "mmmm")</f>
        <v>January</v>
      </c>
      <c r="Z98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984" t="str">
        <f>Orders[[#This Row],[Coffee Type Name]] &amp; "-" &amp; Orders[[#This Row],[Roast Type Name]]</f>
        <v>Arabica-Medium</v>
      </c>
      <c r="AB98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985" spans="1:28" x14ac:dyDescent="0.25">
      <c r="A985" s="2" t="s">
        <v>3978</v>
      </c>
      <c r="B985" s="4">
        <v>44469</v>
      </c>
      <c r="C985" s="2" t="s">
        <v>3979</v>
      </c>
      <c r="D985" t="s">
        <v>6183</v>
      </c>
      <c r="E985" s="2">
        <v>6</v>
      </c>
      <c r="F985" s="2" t="str">
        <f>_xlfn.XLOOKUP(C985,customers!$A$1:$A$1001,customers!$B$1:$B$1001,,0)</f>
        <v>Innis Renhard</v>
      </c>
      <c r="G985" s="2" t="str">
        <f>IF(_xlfn.XLOOKUP(C985,customers!$A$1:$A$1001,customers!$C$1:$C$1001,,0)=0,"",_xlfn.XLOOKUP(C985,customers!$A$1:$A$1001,customers!$C$1:$C$1001,,0))</f>
        <v>irenhardh6@i2i.jp</v>
      </c>
      <c r="H985" s="2" t="str">
        <f>_xlfn.XLOOKUP(C985,customers!$A$1:$A$1001,customers!$G$1:$G$1001,,0)</f>
        <v>United States</v>
      </c>
      <c r="I985" t="str">
        <f>INDEX(products!$A$1:$G$49, MATCH(orders!$D620,products!$A$1:$A667,0), MATCH(orders!I$1,products!$A$1:$G$1,0))</f>
        <v>Exc</v>
      </c>
      <c r="J985" t="str">
        <f>INDEX(products!$A$1:$G$49, MATCH(orders!$D620,products!$A$1:$A667,0), MATCH(orders!J$1,products!$A$1:$G$1,0))</f>
        <v>D</v>
      </c>
      <c r="K985" s="5">
        <f>INDEX(products!$A$1:$G$49, MATCH(orders!$D620,products!$A$1:$A667,0), MATCH(orders!K$1,products!$A$1:$G$1,0))</f>
        <v>1</v>
      </c>
      <c r="L985" s="6">
        <f>INDEX(products!$A$1:$G$49, MATCH(orders!$D620,products!$A$1:$A667,0), MATCH(orders!L$1,products!$A$1:$G$1,0))</f>
        <v>12.15</v>
      </c>
      <c r="M985" s="6">
        <f t="shared" si="45"/>
        <v>72.900000000000006</v>
      </c>
      <c r="N985" t="str">
        <f t="shared" si="46"/>
        <v>Excelsa</v>
      </c>
      <c r="O985" t="str">
        <f t="shared" si="47"/>
        <v>Dark</v>
      </c>
      <c r="P985" t="str">
        <f>_xlfn.XLOOKUP(Orders[[#This Row],[Customer ID]],customers!$A$1:$A$1001,customers!$I$1:$I$1001,,0)</f>
        <v>Yes</v>
      </c>
      <c r="Q985">
        <f>COUNTIF(Orders[Order ID],Orders[[#This Row],[Order ID]])</f>
        <v>1</v>
      </c>
      <c r="R985" s="10">
        <f>SUMIF(Orders[Order ID], Orders[[#This Row],[Order ID]],Orders[Sales])/Orders[[#This Row],[Order Frequency]]</f>
        <v>72.900000000000006</v>
      </c>
      <c r="S985" t="str">
        <f>IF(Orders[[#This Row],[Order Frequency]]&gt;4, "More than 4", IF(AND(Orders[[#This Row],[Order Frequency]]&lt;=4,Orders[[#This Row],[Order Frequency]]&gt;=2), "Between 4 and 2", "Less than 2"))</f>
        <v>Less than 2</v>
      </c>
      <c r="T985" t="str">
        <f>IF(Orders[[#This Row],[Frequency Group]]="less than 2", "Low Value", IF(Orders[[#This Row],[Frequency Group]]="between 4 and 2", "Medium Value", "High Value"))</f>
        <v>Low Value</v>
      </c>
      <c r="U985" t="str">
        <f>IF(Orders[[#This Row],[Sales]]&lt;50, "$0-50", IF(AND(Orders[[#This Row],[Sales]]&gt;=50,Orders[[#This Row],[Sales]]&lt;=100), "$50-100", IF(AND(Orders[[#This Row],[Sales]]&gt;100,Orders[[#This Row],[Sales]]&lt;=150), "$101-150", "$150+")))</f>
        <v>$50-100</v>
      </c>
      <c r="V985" t="str">
        <f>IF(Orders[[#This Row],[Sales]]&gt;MEDIAN(M:M), "High Price", "Low Price")</f>
        <v>High Price</v>
      </c>
      <c r="W985" t="str">
        <f>IF(Orders[[#This Row],[Quantity]]&gt;MEDIAN(E:E), "High Volume", "Low Volume")</f>
        <v>High Volume</v>
      </c>
      <c r="X985" t="str">
        <f>Orders[[#This Row],[Sales Tier]] &amp; "-" &amp; Orders[[#This Row],[Quantity Tier]]</f>
        <v>High Price-High Volume</v>
      </c>
      <c r="Y985" t="str">
        <f>TEXT(Orders[[#This Row],[Order Date]], "mmmm")</f>
        <v>September</v>
      </c>
      <c r="Z98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985" t="str">
        <f>Orders[[#This Row],[Coffee Type Name]] &amp; "-" &amp; Orders[[#This Row],[Roast Type Name]]</f>
        <v>Excelsa-Dark</v>
      </c>
      <c r="AB98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986" spans="1:28" x14ac:dyDescent="0.25">
      <c r="A986" s="2" t="s">
        <v>3193</v>
      </c>
      <c r="B986" s="4">
        <v>43624</v>
      </c>
      <c r="C986" s="2" t="s">
        <v>3194</v>
      </c>
      <c r="D986" t="s">
        <v>6156</v>
      </c>
      <c r="E986" s="2">
        <v>1</v>
      </c>
      <c r="F986" s="2" t="str">
        <f>_xlfn.XLOOKUP(C986,customers!$A$1:$A$1001,customers!$B$1:$B$1001,,0)</f>
        <v>Ailey Brash</v>
      </c>
      <c r="G986" s="2" t="str">
        <f>IF(_xlfn.XLOOKUP(C986,customers!$A$1:$A$1001,customers!$C$1:$C$1001,,0)=0,"",_xlfn.XLOOKUP(C986,customers!$A$1:$A$1001,customers!$C$1:$C$1001,,0))</f>
        <v>abrashda@plala.or.jp</v>
      </c>
      <c r="H986" s="2" t="str">
        <f>_xlfn.XLOOKUP(C986,customers!$A$1:$A$1001,customers!$G$1:$G$1001,,0)</f>
        <v>United States</v>
      </c>
      <c r="I986" t="str">
        <f>INDEX(products!$A$1:$G$49, MATCH(orders!$D482,products!$A$1:$A529,0), MATCH(orders!I$1,products!$A$1:$G$1,0))</f>
        <v>Exc</v>
      </c>
      <c r="J986" t="str">
        <f>INDEX(products!$A$1:$G$49, MATCH(orders!$D482,products!$A$1:$A529,0), MATCH(orders!J$1,products!$A$1:$G$1,0))</f>
        <v>M</v>
      </c>
      <c r="K986" s="5">
        <f>INDEX(products!$A$1:$G$49, MATCH(orders!$D482,products!$A$1:$A529,0), MATCH(orders!K$1,products!$A$1:$G$1,0))</f>
        <v>0.2</v>
      </c>
      <c r="L986" s="6">
        <f>INDEX(products!$A$1:$G$49, MATCH(orders!$D482,products!$A$1:$A529,0), MATCH(orders!L$1,products!$A$1:$G$1,0))</f>
        <v>4.125</v>
      </c>
      <c r="M986" s="6">
        <f t="shared" si="45"/>
        <v>4.125</v>
      </c>
      <c r="N986" t="str">
        <f t="shared" si="46"/>
        <v>Excelsa</v>
      </c>
      <c r="O986" t="str">
        <f t="shared" si="47"/>
        <v>Medium</v>
      </c>
      <c r="P986" t="str">
        <f>_xlfn.XLOOKUP(Orders[[#This Row],[Customer ID]],customers!$A$1:$A$1001,customers!$I$1:$I$1001,,0)</f>
        <v>Yes</v>
      </c>
      <c r="Q986">
        <f>COUNTIF(Orders[Order ID],Orders[[#This Row],[Order ID]])</f>
        <v>3</v>
      </c>
      <c r="R986" s="10">
        <f>SUMIF(Orders[Order ID], Orders[[#This Row],[Order ID]],Orders[Sales])/Orders[[#This Row],[Order Frequency]]</f>
        <v>61.441666666666663</v>
      </c>
      <c r="S986" t="str">
        <f>IF(Orders[[#This Row],[Order Frequency]]&gt;4, "More than 4", IF(AND(Orders[[#This Row],[Order Frequency]]&lt;=4,Orders[[#This Row],[Order Frequency]]&gt;=2), "Between 4 and 2", "Less than 2"))</f>
        <v>Between 4 and 2</v>
      </c>
      <c r="T986" t="str">
        <f>IF(Orders[[#This Row],[Frequency Group]]="less than 2", "Low Value", IF(Orders[[#This Row],[Frequency Group]]="between 4 and 2", "Medium Value", "High Value"))</f>
        <v>Medium Value</v>
      </c>
      <c r="U986" t="str">
        <f>IF(Orders[[#This Row],[Sales]]&lt;50, "$0-50", IF(AND(Orders[[#This Row],[Sales]]&gt;=50,Orders[[#This Row],[Sales]]&lt;=100), "$50-100", IF(AND(Orders[[#This Row],[Sales]]&gt;100,Orders[[#This Row],[Sales]]&lt;=150), "$101-150", "$150+")))</f>
        <v>$0-50</v>
      </c>
      <c r="V986" t="str">
        <f>IF(Orders[[#This Row],[Sales]]&gt;MEDIAN(M:M), "High Price", "Low Price")</f>
        <v>Low Price</v>
      </c>
      <c r="W986" t="str">
        <f>IF(Orders[[#This Row],[Quantity]]&gt;MEDIAN(E:E), "High Volume", "Low Volume")</f>
        <v>Low Volume</v>
      </c>
      <c r="X986" t="str">
        <f>Orders[[#This Row],[Sales Tier]] &amp; "-" &amp; Orders[[#This Row],[Quantity Tier]]</f>
        <v>Low Price-Low Volume</v>
      </c>
      <c r="Y986" t="str">
        <f>TEXT(Orders[[#This Row],[Order Date]], "mmmm")</f>
        <v>June</v>
      </c>
      <c r="Z98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986" t="str">
        <f>Orders[[#This Row],[Coffee Type Name]] &amp; "-" &amp; Orders[[#This Row],[Roast Type Name]]</f>
        <v>Excelsa-Medium</v>
      </c>
      <c r="AB98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987" spans="1:28" x14ac:dyDescent="0.25">
      <c r="A987" s="2" t="s">
        <v>3193</v>
      </c>
      <c r="B987" s="4">
        <v>43624</v>
      </c>
      <c r="C987" s="2" t="s">
        <v>3194</v>
      </c>
      <c r="D987" t="s">
        <v>6177</v>
      </c>
      <c r="E987" s="2">
        <v>6</v>
      </c>
      <c r="F987" s="2" t="str">
        <f>_xlfn.XLOOKUP(C987,customers!$A$1:$A$1001,customers!$B$1:$B$1001,,0)</f>
        <v>Ailey Brash</v>
      </c>
      <c r="G987" s="2" t="str">
        <f>IF(_xlfn.XLOOKUP(C987,customers!$A$1:$A$1001,customers!$C$1:$C$1001,,0)=0,"",_xlfn.XLOOKUP(C987,customers!$A$1:$A$1001,customers!$C$1:$C$1001,,0))</f>
        <v>abrashda@plala.or.jp</v>
      </c>
      <c r="H987" s="2" t="str">
        <f>_xlfn.XLOOKUP(C987,customers!$A$1:$A$1001,customers!$G$1:$G$1001,,0)</f>
        <v>United States</v>
      </c>
      <c r="I987" t="str">
        <f>INDEX(products!$A$1:$G$49, MATCH(orders!$D480,products!$A$1:$A527,0), MATCH(orders!I$1,products!$A$1:$G$1,0))</f>
        <v>Rob</v>
      </c>
      <c r="J987" t="str">
        <f>INDEX(products!$A$1:$G$49, MATCH(orders!$D480,products!$A$1:$A527,0), MATCH(orders!J$1,products!$A$1:$G$1,0))</f>
        <v>D</v>
      </c>
      <c r="K987" s="5">
        <f>INDEX(products!$A$1:$G$49, MATCH(orders!$D480,products!$A$1:$A527,0), MATCH(orders!K$1,products!$A$1:$G$1,0))</f>
        <v>1</v>
      </c>
      <c r="L987" s="6">
        <f>INDEX(products!$A$1:$G$49, MATCH(orders!$D480,products!$A$1:$A527,0), MATCH(orders!L$1,products!$A$1:$G$1,0))</f>
        <v>8.9499999999999993</v>
      </c>
      <c r="M987" s="6">
        <f t="shared" si="45"/>
        <v>53.699999999999996</v>
      </c>
      <c r="N987" t="str">
        <f t="shared" si="46"/>
        <v>Robusta</v>
      </c>
      <c r="O987" t="str">
        <f t="shared" si="47"/>
        <v>Dark</v>
      </c>
      <c r="P987" t="str">
        <f>_xlfn.XLOOKUP(Orders[[#This Row],[Customer ID]],customers!$A$1:$A$1001,customers!$I$1:$I$1001,,0)</f>
        <v>Yes</v>
      </c>
      <c r="Q987">
        <f>COUNTIF(Orders[Order ID],Orders[[#This Row],[Order ID]])</f>
        <v>3</v>
      </c>
      <c r="R987" s="10">
        <f>SUMIF(Orders[Order ID], Orders[[#This Row],[Order ID]],Orders[Sales])/Orders[[#This Row],[Order Frequency]]</f>
        <v>61.441666666666663</v>
      </c>
      <c r="S987" t="str">
        <f>IF(Orders[[#This Row],[Order Frequency]]&gt;4, "More than 4", IF(AND(Orders[[#This Row],[Order Frequency]]&lt;=4,Orders[[#This Row],[Order Frequency]]&gt;=2), "Between 4 and 2", "Less than 2"))</f>
        <v>Between 4 and 2</v>
      </c>
      <c r="T987" t="str">
        <f>IF(Orders[[#This Row],[Frequency Group]]="less than 2", "Low Value", IF(Orders[[#This Row],[Frequency Group]]="between 4 and 2", "Medium Value", "High Value"))</f>
        <v>Medium Value</v>
      </c>
      <c r="U987" t="str">
        <f>IF(Orders[[#This Row],[Sales]]&lt;50, "$0-50", IF(AND(Orders[[#This Row],[Sales]]&gt;=50,Orders[[#This Row],[Sales]]&lt;=100), "$50-100", IF(AND(Orders[[#This Row],[Sales]]&gt;100,Orders[[#This Row],[Sales]]&lt;=150), "$101-150", "$150+")))</f>
        <v>$50-100</v>
      </c>
      <c r="V987" t="str">
        <f>IF(Orders[[#This Row],[Sales]]&gt;MEDIAN(M:M), "High Price", "Low Price")</f>
        <v>High Price</v>
      </c>
      <c r="W987" t="str">
        <f>IF(Orders[[#This Row],[Quantity]]&gt;MEDIAN(E:E), "High Volume", "Low Volume")</f>
        <v>High Volume</v>
      </c>
      <c r="X987" t="str">
        <f>Orders[[#This Row],[Sales Tier]] &amp; "-" &amp; Orders[[#This Row],[Quantity Tier]]</f>
        <v>High Price-High Volume</v>
      </c>
      <c r="Y987" t="str">
        <f>TEXT(Orders[[#This Row],[Order Date]], "mmmm")</f>
        <v>June</v>
      </c>
      <c r="Z98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987" t="str">
        <f>Orders[[#This Row],[Coffee Type Name]] &amp; "-" &amp; Orders[[#This Row],[Roast Type Name]]</f>
        <v>Robusta-Dark</v>
      </c>
      <c r="AB98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988" spans="1:28" x14ac:dyDescent="0.25">
      <c r="A988" s="2" t="s">
        <v>3193</v>
      </c>
      <c r="B988" s="4">
        <v>43624</v>
      </c>
      <c r="C988" s="2" t="s">
        <v>3194</v>
      </c>
      <c r="D988" t="s">
        <v>6166</v>
      </c>
      <c r="E988" s="2">
        <v>4</v>
      </c>
      <c r="F988" s="2" t="str">
        <f>_xlfn.XLOOKUP(C988,customers!$A$1:$A$1001,customers!$B$1:$B$1001,,0)</f>
        <v>Ailey Brash</v>
      </c>
      <c r="G988" s="2" t="str">
        <f>IF(_xlfn.XLOOKUP(C988,customers!$A$1:$A$1001,customers!$C$1:$C$1001,,0)=0,"",_xlfn.XLOOKUP(C988,customers!$A$1:$A$1001,customers!$C$1:$C$1001,,0))</f>
        <v>abrashda@plala.or.jp</v>
      </c>
      <c r="H988" s="2" t="str">
        <f>_xlfn.XLOOKUP(C988,customers!$A$1:$A$1001,customers!$G$1:$G$1001,,0)</f>
        <v>United States</v>
      </c>
      <c r="I988" t="str">
        <f>INDEX(products!$A$1:$G$49, MATCH(orders!$D481,products!$A$1:$A528,0), MATCH(orders!I$1,products!$A$1:$G$1,0))</f>
        <v>Exc</v>
      </c>
      <c r="J988" t="str">
        <f>INDEX(products!$A$1:$G$49, MATCH(orders!$D481,products!$A$1:$A528,0), MATCH(orders!J$1,products!$A$1:$G$1,0))</f>
        <v>M</v>
      </c>
      <c r="K988" s="5">
        <f>INDEX(products!$A$1:$G$49, MATCH(orders!$D481,products!$A$1:$A528,0), MATCH(orders!K$1,products!$A$1:$G$1,0))</f>
        <v>2.5</v>
      </c>
      <c r="L988" s="6">
        <f>INDEX(products!$A$1:$G$49, MATCH(orders!$D481,products!$A$1:$A528,0), MATCH(orders!L$1,products!$A$1:$G$1,0))</f>
        <v>31.624999999999996</v>
      </c>
      <c r="M988" s="6">
        <f t="shared" si="45"/>
        <v>126.49999999999999</v>
      </c>
      <c r="N988" t="str">
        <f t="shared" si="46"/>
        <v>Excelsa</v>
      </c>
      <c r="O988" t="str">
        <f t="shared" si="47"/>
        <v>Medium</v>
      </c>
      <c r="P988" t="str">
        <f>_xlfn.XLOOKUP(Orders[[#This Row],[Customer ID]],customers!$A$1:$A$1001,customers!$I$1:$I$1001,,0)</f>
        <v>Yes</v>
      </c>
      <c r="Q988">
        <f>COUNTIF(Orders[Order ID],Orders[[#This Row],[Order ID]])</f>
        <v>3</v>
      </c>
      <c r="R988" s="10">
        <f>SUMIF(Orders[Order ID], Orders[[#This Row],[Order ID]],Orders[Sales])/Orders[[#This Row],[Order Frequency]]</f>
        <v>61.441666666666663</v>
      </c>
      <c r="S988" t="str">
        <f>IF(Orders[[#This Row],[Order Frequency]]&gt;4, "More than 4", IF(AND(Orders[[#This Row],[Order Frequency]]&lt;=4,Orders[[#This Row],[Order Frequency]]&gt;=2), "Between 4 and 2", "Less than 2"))</f>
        <v>Between 4 and 2</v>
      </c>
      <c r="T988" t="str">
        <f>IF(Orders[[#This Row],[Frequency Group]]="less than 2", "Low Value", IF(Orders[[#This Row],[Frequency Group]]="between 4 and 2", "Medium Value", "High Value"))</f>
        <v>Medium Value</v>
      </c>
      <c r="U988" t="str">
        <f>IF(Orders[[#This Row],[Sales]]&lt;50, "$0-50", IF(AND(Orders[[#This Row],[Sales]]&gt;=50,Orders[[#This Row],[Sales]]&lt;=100), "$50-100", IF(AND(Orders[[#This Row],[Sales]]&gt;100,Orders[[#This Row],[Sales]]&lt;=150), "$101-150", "$150+")))</f>
        <v>$101-150</v>
      </c>
      <c r="V988" t="str">
        <f>IF(Orders[[#This Row],[Sales]]&gt;MEDIAN(M:M), "High Price", "Low Price")</f>
        <v>High Price</v>
      </c>
      <c r="W988" t="str">
        <f>IF(Orders[[#This Row],[Quantity]]&gt;MEDIAN(E:E), "High Volume", "Low Volume")</f>
        <v>Low Volume</v>
      </c>
      <c r="X988" t="str">
        <f>Orders[[#This Row],[Sales Tier]] &amp; "-" &amp; Orders[[#This Row],[Quantity Tier]]</f>
        <v>High Price-Low Volume</v>
      </c>
      <c r="Y988" t="str">
        <f>TEXT(Orders[[#This Row],[Order Date]], "mmmm")</f>
        <v>June</v>
      </c>
      <c r="Z98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988" t="str">
        <f>Orders[[#This Row],[Coffee Type Name]] &amp; "-" &amp; Orders[[#This Row],[Roast Type Name]]</f>
        <v>Excelsa-Medium</v>
      </c>
      <c r="AB98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989" spans="1:28" x14ac:dyDescent="0.25">
      <c r="A989" s="2" t="s">
        <v>3070</v>
      </c>
      <c r="B989" s="4">
        <v>43671</v>
      </c>
      <c r="C989" s="2" t="s">
        <v>3071</v>
      </c>
      <c r="D989" t="s">
        <v>6161</v>
      </c>
      <c r="E989" s="2">
        <v>5</v>
      </c>
      <c r="F989" s="2" t="str">
        <f>_xlfn.XLOOKUP(C989,customers!$A$1:$A$1001,customers!$B$1:$B$1001,,0)</f>
        <v>Carmelita Thowes</v>
      </c>
      <c r="G989" s="2" t="str">
        <f>IF(_xlfn.XLOOKUP(C989,customers!$A$1:$A$1001,customers!$C$1:$C$1001,,0)=0,"",_xlfn.XLOOKUP(C989,customers!$A$1:$A$1001,customers!$C$1:$C$1001,,0))</f>
        <v>cthowescp@craigslist.org</v>
      </c>
      <c r="H989" s="2" t="str">
        <f>_xlfn.XLOOKUP(C989,customers!$A$1:$A$1001,customers!$G$1:$G$1001,,0)</f>
        <v>United States</v>
      </c>
      <c r="I989" t="str">
        <f>INDEX(products!$A$1:$G$49, MATCH(orders!$D459,products!$A$1:$A506,0), MATCH(orders!I$1,products!$A$1:$G$1,0))</f>
        <v>Lib</v>
      </c>
      <c r="J989" t="str">
        <f>INDEX(products!$A$1:$G$49, MATCH(orders!$D459,products!$A$1:$A506,0), MATCH(orders!J$1,products!$A$1:$G$1,0))</f>
        <v>L</v>
      </c>
      <c r="K989" s="5">
        <f>INDEX(products!$A$1:$G$49, MATCH(orders!$D459,products!$A$1:$A506,0), MATCH(orders!K$1,products!$A$1:$G$1,0))</f>
        <v>0.5</v>
      </c>
      <c r="L989" s="6">
        <f>INDEX(products!$A$1:$G$49, MATCH(orders!$D459,products!$A$1:$A506,0), MATCH(orders!L$1,products!$A$1:$G$1,0))</f>
        <v>9.51</v>
      </c>
      <c r="M989" s="6">
        <f t="shared" si="45"/>
        <v>47.55</v>
      </c>
      <c r="N989" t="str">
        <f t="shared" si="46"/>
        <v>Liberica</v>
      </c>
      <c r="O989" t="str">
        <f t="shared" si="47"/>
        <v>Light</v>
      </c>
      <c r="P989" t="str">
        <f>_xlfn.XLOOKUP(Orders[[#This Row],[Customer ID]],customers!$A$1:$A$1001,customers!$I$1:$I$1001,,0)</f>
        <v>No</v>
      </c>
      <c r="Q989">
        <f>COUNTIF(Orders[Order ID],Orders[[#This Row],[Order ID]])</f>
        <v>1</v>
      </c>
      <c r="R989" s="10">
        <f>SUMIF(Orders[Order ID], Orders[[#This Row],[Order ID]],Orders[Sales])/Orders[[#This Row],[Order Frequency]]</f>
        <v>47.55</v>
      </c>
      <c r="S989" t="str">
        <f>IF(Orders[[#This Row],[Order Frequency]]&gt;4, "More than 4", IF(AND(Orders[[#This Row],[Order Frequency]]&lt;=4,Orders[[#This Row],[Order Frequency]]&gt;=2), "Between 4 and 2", "Less than 2"))</f>
        <v>Less than 2</v>
      </c>
      <c r="T989" t="str">
        <f>IF(Orders[[#This Row],[Frequency Group]]="less than 2", "Low Value", IF(Orders[[#This Row],[Frequency Group]]="between 4 and 2", "Medium Value", "High Value"))</f>
        <v>Low Value</v>
      </c>
      <c r="U989" t="str">
        <f>IF(Orders[[#This Row],[Sales]]&lt;50, "$0-50", IF(AND(Orders[[#This Row],[Sales]]&gt;=50,Orders[[#This Row],[Sales]]&lt;=100), "$50-100", IF(AND(Orders[[#This Row],[Sales]]&gt;100,Orders[[#This Row],[Sales]]&lt;=150), "$101-150", "$150+")))</f>
        <v>$0-50</v>
      </c>
      <c r="V989" t="str">
        <f>IF(Orders[[#This Row],[Sales]]&gt;MEDIAN(M:M), "High Price", "Low Price")</f>
        <v>High Price</v>
      </c>
      <c r="W989" t="str">
        <f>IF(Orders[[#This Row],[Quantity]]&gt;MEDIAN(E:E), "High Volume", "Low Volume")</f>
        <v>High Volume</v>
      </c>
      <c r="X989" t="str">
        <f>Orders[[#This Row],[Sales Tier]] &amp; "-" &amp; Orders[[#This Row],[Quantity Tier]]</f>
        <v>High Price-High Volume</v>
      </c>
      <c r="Y989" t="str">
        <f>TEXT(Orders[[#This Row],[Order Date]], "mmmm")</f>
        <v>July</v>
      </c>
      <c r="Z98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989" t="str">
        <f>Orders[[#This Row],[Coffee Type Name]] &amp; "-" &amp; Orders[[#This Row],[Roast Type Name]]</f>
        <v>Liberica-Light</v>
      </c>
      <c r="AB98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990" spans="1:28" x14ac:dyDescent="0.25">
      <c r="A990" s="2" t="s">
        <v>4342</v>
      </c>
      <c r="B990" s="4">
        <v>43827</v>
      </c>
      <c r="C990" s="2" t="s">
        <v>4343</v>
      </c>
      <c r="D990" t="s">
        <v>6156</v>
      </c>
      <c r="E990" s="2">
        <v>2</v>
      </c>
      <c r="F990" s="2" t="str">
        <f>_xlfn.XLOOKUP(C990,customers!$A$1:$A$1001,customers!$B$1:$B$1001,,0)</f>
        <v>Laryssa Benediktovich</v>
      </c>
      <c r="G990" s="2" t="str">
        <f>IF(_xlfn.XLOOKUP(C990,customers!$A$1:$A$1001,customers!$C$1:$C$1001,,0)=0,"",_xlfn.XLOOKUP(C990,customers!$A$1:$A$1001,customers!$C$1:$C$1001,,0))</f>
        <v>lbenediktovichiy@wunderground.com</v>
      </c>
      <c r="H990" s="2" t="str">
        <f>_xlfn.XLOOKUP(C990,customers!$A$1:$A$1001,customers!$G$1:$G$1001,,0)</f>
        <v>United States</v>
      </c>
      <c r="I990" t="str">
        <f>INDEX(products!$A$1:$G$49, MATCH(orders!$D684,products!$A$1:$A731,0), MATCH(orders!I$1,products!$A$1:$G$1,0))</f>
        <v>Exc</v>
      </c>
      <c r="J990" t="str">
        <f>INDEX(products!$A$1:$G$49, MATCH(orders!$D684,products!$A$1:$A731,0), MATCH(orders!J$1,products!$A$1:$G$1,0))</f>
        <v>M</v>
      </c>
      <c r="K990" s="5">
        <f>INDEX(products!$A$1:$G$49, MATCH(orders!$D684,products!$A$1:$A731,0), MATCH(orders!K$1,products!$A$1:$G$1,0))</f>
        <v>0.2</v>
      </c>
      <c r="L990" s="6">
        <f>INDEX(products!$A$1:$G$49, MATCH(orders!$D684,products!$A$1:$A731,0), MATCH(orders!L$1,products!$A$1:$G$1,0))</f>
        <v>4.125</v>
      </c>
      <c r="M990" s="6">
        <f t="shared" si="45"/>
        <v>8.25</v>
      </c>
      <c r="N990" t="str">
        <f t="shared" si="46"/>
        <v>Excelsa</v>
      </c>
      <c r="O990" t="str">
        <f t="shared" si="47"/>
        <v>Medium</v>
      </c>
      <c r="P990" t="str">
        <f>_xlfn.XLOOKUP(Orders[[#This Row],[Customer ID]],customers!$A$1:$A$1001,customers!$I$1:$I$1001,,0)</f>
        <v>Yes</v>
      </c>
      <c r="Q990">
        <f>COUNTIF(Orders[Order ID],Orders[[#This Row],[Order ID]])</f>
        <v>1</v>
      </c>
      <c r="R990" s="10">
        <f>SUMIF(Orders[Order ID], Orders[[#This Row],[Order ID]],Orders[Sales])/Orders[[#This Row],[Order Frequency]]</f>
        <v>8.25</v>
      </c>
      <c r="S990" t="str">
        <f>IF(Orders[[#This Row],[Order Frequency]]&gt;4, "More than 4", IF(AND(Orders[[#This Row],[Order Frequency]]&lt;=4,Orders[[#This Row],[Order Frequency]]&gt;=2), "Between 4 and 2", "Less than 2"))</f>
        <v>Less than 2</v>
      </c>
      <c r="T990" t="str">
        <f>IF(Orders[[#This Row],[Frequency Group]]="less than 2", "Low Value", IF(Orders[[#This Row],[Frequency Group]]="between 4 and 2", "Medium Value", "High Value"))</f>
        <v>Low Value</v>
      </c>
      <c r="U990" t="str">
        <f>IF(Orders[[#This Row],[Sales]]&lt;50, "$0-50", IF(AND(Orders[[#This Row],[Sales]]&gt;=50,Orders[[#This Row],[Sales]]&lt;=100), "$50-100", IF(AND(Orders[[#This Row],[Sales]]&gt;100,Orders[[#This Row],[Sales]]&lt;=150), "$101-150", "$150+")))</f>
        <v>$0-50</v>
      </c>
      <c r="V990" t="str">
        <f>IF(Orders[[#This Row],[Sales]]&gt;MEDIAN(M:M), "High Price", "Low Price")</f>
        <v>Low Price</v>
      </c>
      <c r="W990" t="str">
        <f>IF(Orders[[#This Row],[Quantity]]&gt;MEDIAN(E:E), "High Volume", "Low Volume")</f>
        <v>Low Volume</v>
      </c>
      <c r="X990" t="str">
        <f>Orders[[#This Row],[Sales Tier]] &amp; "-" &amp; Orders[[#This Row],[Quantity Tier]]</f>
        <v>Low Price-Low Volume</v>
      </c>
      <c r="Y990" t="str">
        <f>TEXT(Orders[[#This Row],[Order Date]], "mmmm")</f>
        <v>December</v>
      </c>
      <c r="Z99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990" t="str">
        <f>Orders[[#This Row],[Coffee Type Name]] &amp; "-" &amp; Orders[[#This Row],[Roast Type Name]]</f>
        <v>Excelsa-Medium</v>
      </c>
      <c r="AB99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991" spans="1:28" x14ac:dyDescent="0.25">
      <c r="A991" s="2" t="s">
        <v>3505</v>
      </c>
      <c r="B991" s="4">
        <v>44724</v>
      </c>
      <c r="C991" s="2" t="s">
        <v>3506</v>
      </c>
      <c r="D991" t="s">
        <v>6172</v>
      </c>
      <c r="E991" s="2">
        <v>4</v>
      </c>
      <c r="F991" s="2" t="str">
        <f>_xlfn.XLOOKUP(C991,customers!$A$1:$A$1001,customers!$B$1:$B$1001,,0)</f>
        <v>Rea Offell</v>
      </c>
      <c r="G991" s="2" t="str">
        <f>IF(_xlfn.XLOOKUP(C991,customers!$A$1:$A$1001,customers!$C$1:$C$1001,,0)=0,"",_xlfn.XLOOKUP(C991,customers!$A$1:$A$1001,customers!$C$1:$C$1001,,0))</f>
        <v/>
      </c>
      <c r="H991" s="2" t="str">
        <f>_xlfn.XLOOKUP(C991,customers!$A$1:$A$1001,customers!$G$1:$G$1001,,0)</f>
        <v>United States</v>
      </c>
      <c r="I991" t="str">
        <f>INDEX(products!$A$1:$G$49, MATCH(orders!$D535,products!$A$1:$A582,0), MATCH(orders!I$1,products!$A$1:$G$1,0))</f>
        <v>Rob</v>
      </c>
      <c r="J991" t="str">
        <f>INDEX(products!$A$1:$G$49, MATCH(orders!$D535,products!$A$1:$A582,0), MATCH(orders!J$1,products!$A$1:$G$1,0))</f>
        <v>D</v>
      </c>
      <c r="K991" s="5">
        <f>INDEX(products!$A$1:$G$49, MATCH(orders!$D535,products!$A$1:$A582,0), MATCH(orders!K$1,products!$A$1:$G$1,0))</f>
        <v>0.5</v>
      </c>
      <c r="L991" s="6">
        <f>INDEX(products!$A$1:$G$49, MATCH(orders!$D535,products!$A$1:$A582,0), MATCH(orders!L$1,products!$A$1:$G$1,0))</f>
        <v>5.3699999999999992</v>
      </c>
      <c r="M991" s="6">
        <f t="shared" si="45"/>
        <v>21.479999999999997</v>
      </c>
      <c r="N991" t="str">
        <f t="shared" si="46"/>
        <v>Robusta</v>
      </c>
      <c r="O991" t="str">
        <f t="shared" si="47"/>
        <v>Dark</v>
      </c>
      <c r="P991" t="str">
        <f>_xlfn.XLOOKUP(Orders[[#This Row],[Customer ID]],customers!$A$1:$A$1001,customers!$I$1:$I$1001,,0)</f>
        <v>No</v>
      </c>
      <c r="Q991">
        <f>COUNTIF(Orders[Order ID],Orders[[#This Row],[Order ID]])</f>
        <v>1</v>
      </c>
      <c r="R991" s="10">
        <f>SUMIF(Orders[Order ID], Orders[[#This Row],[Order ID]],Orders[Sales])/Orders[[#This Row],[Order Frequency]]</f>
        <v>21.479999999999997</v>
      </c>
      <c r="S991" t="str">
        <f>IF(Orders[[#This Row],[Order Frequency]]&gt;4, "More than 4", IF(AND(Orders[[#This Row],[Order Frequency]]&lt;=4,Orders[[#This Row],[Order Frequency]]&gt;=2), "Between 4 and 2", "Less than 2"))</f>
        <v>Less than 2</v>
      </c>
      <c r="T991" t="str">
        <f>IF(Orders[[#This Row],[Frequency Group]]="less than 2", "Low Value", IF(Orders[[#This Row],[Frequency Group]]="between 4 and 2", "Medium Value", "High Value"))</f>
        <v>Low Value</v>
      </c>
      <c r="U991" t="str">
        <f>IF(Orders[[#This Row],[Sales]]&lt;50, "$0-50", IF(AND(Orders[[#This Row],[Sales]]&gt;=50,Orders[[#This Row],[Sales]]&lt;=100), "$50-100", IF(AND(Orders[[#This Row],[Sales]]&gt;100,Orders[[#This Row],[Sales]]&lt;=150), "$101-150", "$150+")))</f>
        <v>$0-50</v>
      </c>
      <c r="V991" t="str">
        <f>IF(Orders[[#This Row],[Sales]]&gt;MEDIAN(M:M), "High Price", "Low Price")</f>
        <v>Low Price</v>
      </c>
      <c r="W991" t="str">
        <f>IF(Orders[[#This Row],[Quantity]]&gt;MEDIAN(E:E), "High Volume", "Low Volume")</f>
        <v>Low Volume</v>
      </c>
      <c r="X991" t="str">
        <f>Orders[[#This Row],[Sales Tier]] &amp; "-" &amp; Orders[[#This Row],[Quantity Tier]]</f>
        <v>Low Price-Low Volume</v>
      </c>
      <c r="Y991" t="str">
        <f>TEXT(Orders[[#This Row],[Order Date]], "mmmm")</f>
        <v>June</v>
      </c>
      <c r="Z99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991" t="str">
        <f>Orders[[#This Row],[Coffee Type Name]] &amp; "-" &amp; Orders[[#This Row],[Roast Type Name]]</f>
        <v>Robusta-Dark</v>
      </c>
      <c r="AB99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992" spans="1:28" x14ac:dyDescent="0.25">
      <c r="A992" s="2" t="s">
        <v>3361</v>
      </c>
      <c r="B992" s="4">
        <v>44210</v>
      </c>
      <c r="C992" s="2" t="s">
        <v>3362</v>
      </c>
      <c r="D992" t="s">
        <v>6169</v>
      </c>
      <c r="E992" s="2">
        <v>6</v>
      </c>
      <c r="F992" s="2" t="str">
        <f>_xlfn.XLOOKUP(C992,customers!$A$1:$A$1001,customers!$B$1:$B$1001,,0)</f>
        <v>Heall Perris</v>
      </c>
      <c r="G992" s="2" t="str">
        <f>IF(_xlfn.XLOOKUP(C992,customers!$A$1:$A$1001,customers!$C$1:$C$1001,,0)=0,"",_xlfn.XLOOKUP(C992,customers!$A$1:$A$1001,customers!$C$1:$C$1001,,0))</f>
        <v>hperrise4@studiopress.com</v>
      </c>
      <c r="H992" s="2" t="str">
        <f>_xlfn.XLOOKUP(C992,customers!$A$1:$A$1001,customers!$G$1:$G$1001,,0)</f>
        <v>Ireland</v>
      </c>
      <c r="I992" t="str">
        <f>INDEX(products!$A$1:$G$49, MATCH(orders!$D510,products!$A$1:$A557,0), MATCH(orders!I$1,products!$A$1:$G$1,0))</f>
        <v>Lib</v>
      </c>
      <c r="J992" t="str">
        <f>INDEX(products!$A$1:$G$49, MATCH(orders!$D510,products!$A$1:$A557,0), MATCH(orders!J$1,products!$A$1:$G$1,0))</f>
        <v>D</v>
      </c>
      <c r="K992" s="5">
        <f>INDEX(products!$A$1:$G$49, MATCH(orders!$D510,products!$A$1:$A557,0), MATCH(orders!K$1,products!$A$1:$G$1,0))</f>
        <v>0.5</v>
      </c>
      <c r="L992" s="6">
        <f>INDEX(products!$A$1:$G$49, MATCH(orders!$D510,products!$A$1:$A557,0), MATCH(orders!L$1,products!$A$1:$G$1,0))</f>
        <v>7.77</v>
      </c>
      <c r="M992" s="6">
        <f t="shared" si="45"/>
        <v>46.62</v>
      </c>
      <c r="N992" t="str">
        <f t="shared" si="46"/>
        <v>Liberica</v>
      </c>
      <c r="O992" t="str">
        <f t="shared" si="47"/>
        <v>Dark</v>
      </c>
      <c r="P992" t="str">
        <f>_xlfn.XLOOKUP(Orders[[#This Row],[Customer ID]],customers!$A$1:$A$1001,customers!$I$1:$I$1001,,0)</f>
        <v>No</v>
      </c>
      <c r="Q992">
        <f>COUNTIF(Orders[Order ID],Orders[[#This Row],[Order ID]])</f>
        <v>1</v>
      </c>
      <c r="R992" s="10">
        <f>SUMIF(Orders[Order ID], Orders[[#This Row],[Order ID]],Orders[Sales])/Orders[[#This Row],[Order Frequency]]</f>
        <v>46.62</v>
      </c>
      <c r="S992" t="str">
        <f>IF(Orders[[#This Row],[Order Frequency]]&gt;4, "More than 4", IF(AND(Orders[[#This Row],[Order Frequency]]&lt;=4,Orders[[#This Row],[Order Frequency]]&gt;=2), "Between 4 and 2", "Less than 2"))</f>
        <v>Less than 2</v>
      </c>
      <c r="T992" t="str">
        <f>IF(Orders[[#This Row],[Frequency Group]]="less than 2", "Low Value", IF(Orders[[#This Row],[Frequency Group]]="between 4 and 2", "Medium Value", "High Value"))</f>
        <v>Low Value</v>
      </c>
      <c r="U992" t="str">
        <f>IF(Orders[[#This Row],[Sales]]&lt;50, "$0-50", IF(AND(Orders[[#This Row],[Sales]]&gt;=50,Orders[[#This Row],[Sales]]&lt;=100), "$50-100", IF(AND(Orders[[#This Row],[Sales]]&gt;100,Orders[[#This Row],[Sales]]&lt;=150), "$101-150", "$150+")))</f>
        <v>$0-50</v>
      </c>
      <c r="V992" t="str">
        <f>IF(Orders[[#This Row],[Sales]]&gt;MEDIAN(M:M), "High Price", "Low Price")</f>
        <v>High Price</v>
      </c>
      <c r="W992" t="str">
        <f>IF(Orders[[#This Row],[Quantity]]&gt;MEDIAN(E:E), "High Volume", "Low Volume")</f>
        <v>High Volume</v>
      </c>
      <c r="X992" t="str">
        <f>Orders[[#This Row],[Sales Tier]] &amp; "-" &amp; Orders[[#This Row],[Quantity Tier]]</f>
        <v>High Price-High Volume</v>
      </c>
      <c r="Y992" t="str">
        <f>TEXT(Orders[[#This Row],[Order Date]], "mmmm")</f>
        <v>January</v>
      </c>
      <c r="Z992"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992" t="str">
        <f>Orders[[#This Row],[Coffee Type Name]] &amp; "-" &amp; Orders[[#This Row],[Roast Type Name]]</f>
        <v>Liberica-Dark</v>
      </c>
      <c r="AB992"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993" spans="1:28" x14ac:dyDescent="0.25">
      <c r="A993" s="2" t="s">
        <v>4892</v>
      </c>
      <c r="B993" s="4">
        <v>43985</v>
      </c>
      <c r="C993" s="2" t="s">
        <v>4893</v>
      </c>
      <c r="D993" t="s">
        <v>6143</v>
      </c>
      <c r="E993" s="2">
        <v>6</v>
      </c>
      <c r="F993" s="2" t="str">
        <f>_xlfn.XLOOKUP(C993,customers!$A$1:$A$1001,customers!$B$1:$B$1001,,0)</f>
        <v>Ugo Southerden</v>
      </c>
      <c r="G993" s="2" t="str">
        <f>IF(_xlfn.XLOOKUP(C993,customers!$A$1:$A$1001,customers!$C$1:$C$1001,,0)=0,"",_xlfn.XLOOKUP(C993,customers!$A$1:$A$1001,customers!$C$1:$C$1001,,0))</f>
        <v>usoutherdenln@hao123.com</v>
      </c>
      <c r="H993" s="2" t="str">
        <f>_xlfn.XLOOKUP(C993,customers!$A$1:$A$1001,customers!$G$1:$G$1001,,0)</f>
        <v>United States</v>
      </c>
      <c r="I993" t="str">
        <f>INDEX(products!$A$1:$G$49, MATCH(orders!$D781,products!$A$1:$A828,0), MATCH(orders!I$1,products!$A$1:$G$1,0))</f>
        <v>Lib</v>
      </c>
      <c r="J993" t="str">
        <f>INDEX(products!$A$1:$G$49, MATCH(orders!$D781,products!$A$1:$A828,0), MATCH(orders!J$1,products!$A$1:$G$1,0))</f>
        <v>D</v>
      </c>
      <c r="K993" s="5">
        <f>INDEX(products!$A$1:$G$49, MATCH(orders!$D781,products!$A$1:$A828,0), MATCH(orders!K$1,products!$A$1:$G$1,0))</f>
        <v>1</v>
      </c>
      <c r="L993" s="6">
        <f>INDEX(products!$A$1:$G$49, MATCH(orders!$D781,products!$A$1:$A828,0), MATCH(orders!L$1,products!$A$1:$G$1,0))</f>
        <v>12.95</v>
      </c>
      <c r="M993" s="6">
        <f t="shared" si="45"/>
        <v>77.699999999999989</v>
      </c>
      <c r="N993" t="str">
        <f t="shared" si="46"/>
        <v>Liberica</v>
      </c>
      <c r="O993" t="str">
        <f t="shared" si="47"/>
        <v>Dark</v>
      </c>
      <c r="P993" t="str">
        <f>_xlfn.XLOOKUP(Orders[[#This Row],[Customer ID]],customers!$A$1:$A$1001,customers!$I$1:$I$1001,,0)</f>
        <v>Yes</v>
      </c>
      <c r="Q993">
        <f>COUNTIF(Orders[Order ID],Orders[[#This Row],[Order ID]])</f>
        <v>1</v>
      </c>
      <c r="R993" s="10">
        <f>SUMIF(Orders[Order ID], Orders[[#This Row],[Order ID]],Orders[Sales])/Orders[[#This Row],[Order Frequency]]</f>
        <v>77.699999999999989</v>
      </c>
      <c r="S993" t="str">
        <f>IF(Orders[[#This Row],[Order Frequency]]&gt;4, "More than 4", IF(AND(Orders[[#This Row],[Order Frequency]]&lt;=4,Orders[[#This Row],[Order Frequency]]&gt;=2), "Between 4 and 2", "Less than 2"))</f>
        <v>Less than 2</v>
      </c>
      <c r="T993" t="str">
        <f>IF(Orders[[#This Row],[Frequency Group]]="less than 2", "Low Value", IF(Orders[[#This Row],[Frequency Group]]="between 4 and 2", "Medium Value", "High Value"))</f>
        <v>Low Value</v>
      </c>
      <c r="U993" t="str">
        <f>IF(Orders[[#This Row],[Sales]]&lt;50, "$0-50", IF(AND(Orders[[#This Row],[Sales]]&gt;=50,Orders[[#This Row],[Sales]]&lt;=100), "$50-100", IF(AND(Orders[[#This Row],[Sales]]&gt;100,Orders[[#This Row],[Sales]]&lt;=150), "$101-150", "$150+")))</f>
        <v>$50-100</v>
      </c>
      <c r="V993" t="str">
        <f>IF(Orders[[#This Row],[Sales]]&gt;MEDIAN(M:M), "High Price", "Low Price")</f>
        <v>High Price</v>
      </c>
      <c r="W993" t="str">
        <f>IF(Orders[[#This Row],[Quantity]]&gt;MEDIAN(E:E), "High Volume", "Low Volume")</f>
        <v>High Volume</v>
      </c>
      <c r="X993" t="str">
        <f>Orders[[#This Row],[Sales Tier]] &amp; "-" &amp; Orders[[#This Row],[Quantity Tier]]</f>
        <v>High Price-High Volume</v>
      </c>
      <c r="Y993" t="str">
        <f>TEXT(Orders[[#This Row],[Order Date]], "mmmm")</f>
        <v>June</v>
      </c>
      <c r="Z993"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993" t="str">
        <f>Orders[[#This Row],[Coffee Type Name]] &amp; "-" &amp; Orders[[#This Row],[Roast Type Name]]</f>
        <v>Liberica-Dark</v>
      </c>
      <c r="AB993"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994" spans="1:28" x14ac:dyDescent="0.25">
      <c r="A994" s="2" t="s">
        <v>3124</v>
      </c>
      <c r="B994" s="4">
        <v>44171</v>
      </c>
      <c r="C994" s="2" t="s">
        <v>3125</v>
      </c>
      <c r="D994" t="s">
        <v>6154</v>
      </c>
      <c r="E994" s="2">
        <v>3</v>
      </c>
      <c r="F994" s="2" t="str">
        <f>_xlfn.XLOOKUP(C994,customers!$A$1:$A$1001,customers!$B$1:$B$1001,,0)</f>
        <v>Dagny Kornel</v>
      </c>
      <c r="G994" s="2" t="str">
        <f>IF(_xlfn.XLOOKUP(C994,customers!$A$1:$A$1001,customers!$C$1:$C$1001,,0)=0,"",_xlfn.XLOOKUP(C994,customers!$A$1:$A$1001,customers!$C$1:$C$1001,,0))</f>
        <v>dkornelcy@cyberchimps.com</v>
      </c>
      <c r="H994" s="2" t="str">
        <f>_xlfn.XLOOKUP(C994,customers!$A$1:$A$1001,customers!$G$1:$G$1001,,0)</f>
        <v>United States</v>
      </c>
      <c r="I994" t="str">
        <f>INDEX(products!$A$1:$G$49, MATCH(orders!$D468,products!$A$1:$A515,0), MATCH(orders!I$1,products!$A$1:$G$1,0))</f>
        <v>Ara</v>
      </c>
      <c r="J994" t="str">
        <f>INDEX(products!$A$1:$G$49, MATCH(orders!$D468,products!$A$1:$A515,0), MATCH(orders!J$1,products!$A$1:$G$1,0))</f>
        <v>D</v>
      </c>
      <c r="K994" s="5">
        <f>INDEX(products!$A$1:$G$49, MATCH(orders!$D468,products!$A$1:$A515,0), MATCH(orders!K$1,products!$A$1:$G$1,0))</f>
        <v>0.2</v>
      </c>
      <c r="L994" s="6">
        <f>INDEX(products!$A$1:$G$49, MATCH(orders!$D468,products!$A$1:$A515,0), MATCH(orders!L$1,products!$A$1:$G$1,0))</f>
        <v>2.9849999999999999</v>
      </c>
      <c r="M994" s="6">
        <f t="shared" si="45"/>
        <v>8.9550000000000001</v>
      </c>
      <c r="N994" t="str">
        <f t="shared" si="46"/>
        <v>Arabica</v>
      </c>
      <c r="O994" t="str">
        <f t="shared" si="47"/>
        <v>Dark</v>
      </c>
      <c r="P994" t="str">
        <f>_xlfn.XLOOKUP(Orders[[#This Row],[Customer ID]],customers!$A$1:$A$1001,customers!$I$1:$I$1001,,0)</f>
        <v>Yes</v>
      </c>
      <c r="Q994">
        <f>COUNTIF(Orders[Order ID],Orders[[#This Row],[Order ID]])</f>
        <v>1</v>
      </c>
      <c r="R994" s="10">
        <f>SUMIF(Orders[Order ID], Orders[[#This Row],[Order ID]],Orders[Sales])/Orders[[#This Row],[Order Frequency]]</f>
        <v>8.9550000000000001</v>
      </c>
      <c r="S994" t="str">
        <f>IF(Orders[[#This Row],[Order Frequency]]&gt;4, "More than 4", IF(AND(Orders[[#This Row],[Order Frequency]]&lt;=4,Orders[[#This Row],[Order Frequency]]&gt;=2), "Between 4 and 2", "Less than 2"))</f>
        <v>Less than 2</v>
      </c>
      <c r="T994" t="str">
        <f>IF(Orders[[#This Row],[Frequency Group]]="less than 2", "Low Value", IF(Orders[[#This Row],[Frequency Group]]="between 4 and 2", "Medium Value", "High Value"))</f>
        <v>Low Value</v>
      </c>
      <c r="U994" t="str">
        <f>IF(Orders[[#This Row],[Sales]]&lt;50, "$0-50", IF(AND(Orders[[#This Row],[Sales]]&gt;=50,Orders[[#This Row],[Sales]]&lt;=100), "$50-100", IF(AND(Orders[[#This Row],[Sales]]&gt;100,Orders[[#This Row],[Sales]]&lt;=150), "$101-150", "$150+")))</f>
        <v>$0-50</v>
      </c>
      <c r="V994" t="str">
        <f>IF(Orders[[#This Row],[Sales]]&gt;MEDIAN(M:M), "High Price", "Low Price")</f>
        <v>Low Price</v>
      </c>
      <c r="W994" t="str">
        <f>IF(Orders[[#This Row],[Quantity]]&gt;MEDIAN(E:E), "High Volume", "Low Volume")</f>
        <v>Low Volume</v>
      </c>
      <c r="X994" t="str">
        <f>Orders[[#This Row],[Sales Tier]] &amp; "-" &amp; Orders[[#This Row],[Quantity Tier]]</f>
        <v>Low Price-Low Volume</v>
      </c>
      <c r="Y994" t="str">
        <f>TEXT(Orders[[#This Row],[Order Date]], "mmmm")</f>
        <v>December</v>
      </c>
      <c r="Z994"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994" t="str">
        <f>Orders[[#This Row],[Coffee Type Name]] &amp; "-" &amp; Orders[[#This Row],[Roast Type Name]]</f>
        <v>Arabica-Dark</v>
      </c>
      <c r="AB994"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995" spans="1:28" x14ac:dyDescent="0.25">
      <c r="A995" s="2" t="s">
        <v>4808</v>
      </c>
      <c r="B995" s="4">
        <v>43797</v>
      </c>
      <c r="C995" s="2" t="s">
        <v>4809</v>
      </c>
      <c r="D995" t="s">
        <v>6182</v>
      </c>
      <c r="E995" s="2">
        <v>6</v>
      </c>
      <c r="F995" s="2" t="str">
        <f>_xlfn.XLOOKUP(C995,customers!$A$1:$A$1001,customers!$B$1:$B$1001,,0)</f>
        <v>Bobby Folomkin</v>
      </c>
      <c r="G995" s="2" t="str">
        <f>IF(_xlfn.XLOOKUP(C995,customers!$A$1:$A$1001,customers!$C$1:$C$1001,,0)=0,"",_xlfn.XLOOKUP(C995,customers!$A$1:$A$1001,customers!$C$1:$C$1001,,0))</f>
        <v>bfolomkinl8@yolasite.com</v>
      </c>
      <c r="H995" s="2" t="str">
        <f>_xlfn.XLOOKUP(C995,customers!$A$1:$A$1001,customers!$G$1:$G$1001,,0)</f>
        <v>United States</v>
      </c>
      <c r="I995" t="str">
        <f>INDEX(products!$A$1:$G$49, MATCH(orders!$D766,products!$A$1:$A813,0), MATCH(orders!I$1,products!$A$1:$G$1,0))</f>
        <v>Ara</v>
      </c>
      <c r="J995" t="str">
        <f>INDEX(products!$A$1:$G$49, MATCH(orders!$D766,products!$A$1:$A813,0), MATCH(orders!J$1,products!$A$1:$G$1,0))</f>
        <v>L</v>
      </c>
      <c r="K995" s="5">
        <f>INDEX(products!$A$1:$G$49, MATCH(orders!$D766,products!$A$1:$A813,0), MATCH(orders!K$1,products!$A$1:$G$1,0))</f>
        <v>2.5</v>
      </c>
      <c r="L995" s="6">
        <f>INDEX(products!$A$1:$G$49, MATCH(orders!$D766,products!$A$1:$A813,0), MATCH(orders!L$1,products!$A$1:$G$1,0))</f>
        <v>29.784999999999997</v>
      </c>
      <c r="M995" s="6">
        <f t="shared" si="45"/>
        <v>178.70999999999998</v>
      </c>
      <c r="N995" t="str">
        <f t="shared" si="46"/>
        <v>Arabica</v>
      </c>
      <c r="O995" t="str">
        <f t="shared" si="47"/>
        <v>Light</v>
      </c>
      <c r="P995" t="str">
        <f>_xlfn.XLOOKUP(Orders[[#This Row],[Customer ID]],customers!$A$1:$A$1001,customers!$I$1:$I$1001,,0)</f>
        <v>Yes</v>
      </c>
      <c r="Q995">
        <f>COUNTIF(Orders[Order ID],Orders[[#This Row],[Order ID]])</f>
        <v>1</v>
      </c>
      <c r="R995" s="10">
        <f>SUMIF(Orders[Order ID], Orders[[#This Row],[Order ID]],Orders[Sales])/Orders[[#This Row],[Order Frequency]]</f>
        <v>178.70999999999998</v>
      </c>
      <c r="S995" t="str">
        <f>IF(Orders[[#This Row],[Order Frequency]]&gt;4, "More than 4", IF(AND(Orders[[#This Row],[Order Frequency]]&lt;=4,Orders[[#This Row],[Order Frequency]]&gt;=2), "Between 4 and 2", "Less than 2"))</f>
        <v>Less than 2</v>
      </c>
      <c r="T995" t="str">
        <f>IF(Orders[[#This Row],[Frequency Group]]="less than 2", "Low Value", IF(Orders[[#This Row],[Frequency Group]]="between 4 and 2", "Medium Value", "High Value"))</f>
        <v>Low Value</v>
      </c>
      <c r="U995" t="str">
        <f>IF(Orders[[#This Row],[Sales]]&lt;50, "$0-50", IF(AND(Orders[[#This Row],[Sales]]&gt;=50,Orders[[#This Row],[Sales]]&lt;=100), "$50-100", IF(AND(Orders[[#This Row],[Sales]]&gt;100,Orders[[#This Row],[Sales]]&lt;=150), "$101-150", "$150+")))</f>
        <v>$150+</v>
      </c>
      <c r="V995" t="str">
        <f>IF(Orders[[#This Row],[Sales]]&gt;MEDIAN(M:M), "High Price", "Low Price")</f>
        <v>High Price</v>
      </c>
      <c r="W995" t="str">
        <f>IF(Orders[[#This Row],[Quantity]]&gt;MEDIAN(E:E), "High Volume", "Low Volume")</f>
        <v>High Volume</v>
      </c>
      <c r="X995" t="str">
        <f>Orders[[#This Row],[Sales Tier]] &amp; "-" &amp; Orders[[#This Row],[Quantity Tier]]</f>
        <v>High Price-High Volume</v>
      </c>
      <c r="Y995" t="str">
        <f>TEXT(Orders[[#This Row],[Order Date]], "mmmm")</f>
        <v>November</v>
      </c>
      <c r="Z995"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Fourth Quarter</v>
      </c>
      <c r="AA995" t="str">
        <f>Orders[[#This Row],[Coffee Type Name]] &amp; "-" &amp; Orders[[#This Row],[Roast Type Name]]</f>
        <v>Arabica-Light</v>
      </c>
      <c r="AB995"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row r="996" spans="1:28" x14ac:dyDescent="0.25">
      <c r="A996" s="2" t="s">
        <v>1311</v>
      </c>
      <c r="B996" s="4">
        <v>44024</v>
      </c>
      <c r="C996" s="2" t="s">
        <v>1312</v>
      </c>
      <c r="D996" t="s">
        <v>6141</v>
      </c>
      <c r="E996" s="2">
        <v>2</v>
      </c>
      <c r="F996" s="2" t="str">
        <f>_xlfn.XLOOKUP(C996,customers!$A$1:$A$1001,customers!$B$1:$B$1001,,0)</f>
        <v>Leonore Francisco</v>
      </c>
      <c r="G996" s="2" t="str">
        <f>IF(_xlfn.XLOOKUP(C996,customers!$A$1:$A$1001,customers!$C$1:$C$1001,,0)=0,"",_xlfn.XLOOKUP(C996,customers!$A$1:$A$1001,customers!$C$1:$C$1001,,0))</f>
        <v>lfrancisco42@fema.gov</v>
      </c>
      <c r="H996" s="2" t="str">
        <f>_xlfn.XLOOKUP(C996,customers!$A$1:$A$1001,customers!$G$1:$G$1001,,0)</f>
        <v>United States</v>
      </c>
      <c r="I996" t="str">
        <f>INDEX(products!$A$1:$G$49, MATCH(orders!$D149,products!$A$1:$A196,0), MATCH(orders!I$1,products!$A$1:$G$1,0))</f>
        <v>Exc</v>
      </c>
      <c r="J996" t="str">
        <f>INDEX(products!$A$1:$G$49, MATCH(orders!$D149,products!$A$1:$A196,0), MATCH(orders!J$1,products!$A$1:$G$1,0))</f>
        <v>M</v>
      </c>
      <c r="K996" s="5">
        <f>INDEX(products!$A$1:$G$49, MATCH(orders!$D149,products!$A$1:$A196,0), MATCH(orders!K$1,products!$A$1:$G$1,0))</f>
        <v>1</v>
      </c>
      <c r="L996" s="6">
        <f>INDEX(products!$A$1:$G$49, MATCH(orders!$D149,products!$A$1:$A196,0), MATCH(orders!L$1,products!$A$1:$G$1,0))</f>
        <v>13.75</v>
      </c>
      <c r="M996" s="6">
        <f t="shared" si="45"/>
        <v>27.5</v>
      </c>
      <c r="N996" t="str">
        <f t="shared" si="46"/>
        <v>Excelsa</v>
      </c>
      <c r="O996" t="str">
        <f t="shared" si="47"/>
        <v>Medium</v>
      </c>
      <c r="P996" t="str">
        <f>_xlfn.XLOOKUP(Orders[[#This Row],[Customer ID]],customers!$A$1:$A$1001,customers!$I$1:$I$1001,,0)</f>
        <v>No</v>
      </c>
      <c r="Q996">
        <f>COUNTIF(Orders[Order ID],Orders[[#This Row],[Order ID]])</f>
        <v>2</v>
      </c>
      <c r="R996" s="10">
        <f>SUMIF(Orders[Order ID], Orders[[#This Row],[Order ID]],Orders[Sales])/Orders[[#This Row],[Order Frequency]]</f>
        <v>35.575000000000003</v>
      </c>
      <c r="S996" t="str">
        <f>IF(Orders[[#This Row],[Order Frequency]]&gt;4, "More than 4", IF(AND(Orders[[#This Row],[Order Frequency]]&lt;=4,Orders[[#This Row],[Order Frequency]]&gt;=2), "Between 4 and 2", "Less than 2"))</f>
        <v>Between 4 and 2</v>
      </c>
      <c r="T996" t="str">
        <f>IF(Orders[[#This Row],[Frequency Group]]="less than 2", "Low Value", IF(Orders[[#This Row],[Frequency Group]]="between 4 and 2", "Medium Value", "High Value"))</f>
        <v>Medium Value</v>
      </c>
      <c r="U996" t="str">
        <f>IF(Orders[[#This Row],[Sales]]&lt;50, "$0-50", IF(AND(Orders[[#This Row],[Sales]]&gt;=50,Orders[[#This Row],[Sales]]&lt;=100), "$50-100", IF(AND(Orders[[#This Row],[Sales]]&gt;100,Orders[[#This Row],[Sales]]&lt;=150), "$101-150", "$150+")))</f>
        <v>$0-50</v>
      </c>
      <c r="V996" t="str">
        <f>IF(Orders[[#This Row],[Sales]]&gt;MEDIAN(M:M), "High Price", "Low Price")</f>
        <v>Low Price</v>
      </c>
      <c r="W996" t="str">
        <f>IF(Orders[[#This Row],[Quantity]]&gt;MEDIAN(E:E), "High Volume", "Low Volume")</f>
        <v>Low Volume</v>
      </c>
      <c r="X996" t="str">
        <f>Orders[[#This Row],[Sales Tier]] &amp; "-" &amp; Orders[[#This Row],[Quantity Tier]]</f>
        <v>Low Price-Low Volume</v>
      </c>
      <c r="Y996" t="str">
        <f>TEXT(Orders[[#This Row],[Order Date]], "mmmm")</f>
        <v>July</v>
      </c>
      <c r="Z996"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996" t="str">
        <f>Orders[[#This Row],[Coffee Type Name]] &amp; "-" &amp; Orders[[#This Row],[Roast Type Name]]</f>
        <v>Excelsa-Medium</v>
      </c>
      <c r="AB996"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997" spans="1:28" x14ac:dyDescent="0.25">
      <c r="A997" s="2" t="s">
        <v>1311</v>
      </c>
      <c r="B997" s="4">
        <v>44024</v>
      </c>
      <c r="C997" s="2" t="s">
        <v>1312</v>
      </c>
      <c r="D997" t="s">
        <v>6162</v>
      </c>
      <c r="E997" s="2">
        <v>3</v>
      </c>
      <c r="F997" s="2" t="str">
        <f>_xlfn.XLOOKUP(C997,customers!$A$1:$A$1001,customers!$B$1:$B$1001,,0)</f>
        <v>Leonore Francisco</v>
      </c>
      <c r="G997" s="2" t="str">
        <f>IF(_xlfn.XLOOKUP(C997,customers!$A$1:$A$1001,customers!$C$1:$C$1001,,0)=0,"",_xlfn.XLOOKUP(C997,customers!$A$1:$A$1001,customers!$C$1:$C$1001,,0))</f>
        <v>lfrancisco42@fema.gov</v>
      </c>
      <c r="H997" s="2" t="str">
        <f>_xlfn.XLOOKUP(C997,customers!$A$1:$A$1001,customers!$G$1:$G$1001,,0)</f>
        <v>United States</v>
      </c>
      <c r="I997" t="str">
        <f>INDEX(products!$A$1:$G$49, MATCH(orders!$D148,products!$A$1:$A195,0), MATCH(orders!I$1,products!$A$1:$G$1,0))</f>
        <v>Lib</v>
      </c>
      <c r="J997" t="str">
        <f>INDEX(products!$A$1:$G$49, MATCH(orders!$D148,products!$A$1:$A195,0), MATCH(orders!J$1,products!$A$1:$G$1,0))</f>
        <v>M</v>
      </c>
      <c r="K997" s="5">
        <f>INDEX(products!$A$1:$G$49, MATCH(orders!$D148,products!$A$1:$A195,0), MATCH(orders!K$1,products!$A$1:$G$1,0))</f>
        <v>1</v>
      </c>
      <c r="L997" s="6">
        <f>INDEX(products!$A$1:$G$49, MATCH(orders!$D148,products!$A$1:$A195,0), MATCH(orders!L$1,products!$A$1:$G$1,0))</f>
        <v>14.55</v>
      </c>
      <c r="M997" s="6">
        <f t="shared" si="45"/>
        <v>43.650000000000006</v>
      </c>
      <c r="N997" t="str">
        <f t="shared" si="46"/>
        <v>Liberica</v>
      </c>
      <c r="O997" t="str">
        <f t="shared" si="47"/>
        <v>Medium</v>
      </c>
      <c r="P997" t="str">
        <f>_xlfn.XLOOKUP(Orders[[#This Row],[Customer ID]],customers!$A$1:$A$1001,customers!$I$1:$I$1001,,0)</f>
        <v>No</v>
      </c>
      <c r="Q997">
        <f>COUNTIF(Orders[Order ID],Orders[[#This Row],[Order ID]])</f>
        <v>2</v>
      </c>
      <c r="R997" s="10">
        <f>SUMIF(Orders[Order ID], Orders[[#This Row],[Order ID]],Orders[Sales])/Orders[[#This Row],[Order Frequency]]</f>
        <v>35.575000000000003</v>
      </c>
      <c r="S997" t="str">
        <f>IF(Orders[[#This Row],[Order Frequency]]&gt;4, "More than 4", IF(AND(Orders[[#This Row],[Order Frequency]]&lt;=4,Orders[[#This Row],[Order Frequency]]&gt;=2), "Between 4 and 2", "Less than 2"))</f>
        <v>Between 4 and 2</v>
      </c>
      <c r="T997" t="str">
        <f>IF(Orders[[#This Row],[Frequency Group]]="less than 2", "Low Value", IF(Orders[[#This Row],[Frequency Group]]="between 4 and 2", "Medium Value", "High Value"))</f>
        <v>Medium Value</v>
      </c>
      <c r="U997" t="str">
        <f>IF(Orders[[#This Row],[Sales]]&lt;50, "$0-50", IF(AND(Orders[[#This Row],[Sales]]&gt;=50,Orders[[#This Row],[Sales]]&lt;=100), "$50-100", IF(AND(Orders[[#This Row],[Sales]]&gt;100,Orders[[#This Row],[Sales]]&lt;=150), "$101-150", "$150+")))</f>
        <v>$0-50</v>
      </c>
      <c r="V997" t="str">
        <f>IF(Orders[[#This Row],[Sales]]&gt;MEDIAN(M:M), "High Price", "Low Price")</f>
        <v>High Price</v>
      </c>
      <c r="W997" t="str">
        <f>IF(Orders[[#This Row],[Quantity]]&gt;MEDIAN(E:E), "High Volume", "Low Volume")</f>
        <v>Low Volume</v>
      </c>
      <c r="X997" t="str">
        <f>Orders[[#This Row],[Sales Tier]] &amp; "-" &amp; Orders[[#This Row],[Quantity Tier]]</f>
        <v>High Price-Low Volume</v>
      </c>
      <c r="Y997" t="str">
        <f>TEXT(Orders[[#This Row],[Order Date]], "mmmm")</f>
        <v>July</v>
      </c>
      <c r="Z997"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997" t="str">
        <f>Orders[[#This Row],[Coffee Type Name]] &amp; "-" &amp; Orders[[#This Row],[Roast Type Name]]</f>
        <v>Liberica-Medium</v>
      </c>
      <c r="AB997"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Summer</v>
      </c>
    </row>
    <row r="998" spans="1:28" x14ac:dyDescent="0.25">
      <c r="A998" s="2" t="s">
        <v>1475</v>
      </c>
      <c r="B998" s="4">
        <v>44296</v>
      </c>
      <c r="C998" s="2" t="s">
        <v>1476</v>
      </c>
      <c r="D998" t="s">
        <v>6166</v>
      </c>
      <c r="E998" s="2">
        <v>2</v>
      </c>
      <c r="F998" s="2" t="str">
        <f>_xlfn.XLOOKUP(C998,customers!$A$1:$A$1001,customers!$B$1:$B$1001,,0)</f>
        <v>Ethelda Hobbing</v>
      </c>
      <c r="G998" s="2" t="str">
        <f>IF(_xlfn.XLOOKUP(C998,customers!$A$1:$A$1001,customers!$C$1:$C$1001,,0)=0,"",_xlfn.XLOOKUP(C998,customers!$A$1:$A$1001,customers!$C$1:$C$1001,,0))</f>
        <v>ehobbing4v@nsw.gov.au</v>
      </c>
      <c r="H998" s="2" t="str">
        <f>_xlfn.XLOOKUP(C998,customers!$A$1:$A$1001,customers!$G$1:$G$1001,,0)</f>
        <v>United States</v>
      </c>
      <c r="I998" t="str">
        <f>INDEX(products!$A$1:$G$49, MATCH(orders!$D177,products!$A$1:$A224,0), MATCH(orders!I$1,products!$A$1:$G$1,0))</f>
        <v>Exc</v>
      </c>
      <c r="J998" t="str">
        <f>INDEX(products!$A$1:$G$49, MATCH(orders!$D177,products!$A$1:$A224,0), MATCH(orders!J$1,products!$A$1:$G$1,0))</f>
        <v>M</v>
      </c>
      <c r="K998" s="5">
        <f>INDEX(products!$A$1:$G$49, MATCH(orders!$D177,products!$A$1:$A224,0), MATCH(orders!K$1,products!$A$1:$G$1,0))</f>
        <v>2.5</v>
      </c>
      <c r="L998" s="6">
        <f>INDEX(products!$A$1:$G$49, MATCH(orders!$D177,products!$A$1:$A224,0), MATCH(orders!L$1,products!$A$1:$G$1,0))</f>
        <v>31.624999999999996</v>
      </c>
      <c r="M998" s="6">
        <f t="shared" si="45"/>
        <v>63.249999999999993</v>
      </c>
      <c r="N998" t="str">
        <f t="shared" si="46"/>
        <v>Excelsa</v>
      </c>
      <c r="O998" t="str">
        <f t="shared" si="47"/>
        <v>Medium</v>
      </c>
      <c r="P998" t="str">
        <f>_xlfn.XLOOKUP(Orders[[#This Row],[Customer ID]],customers!$A$1:$A$1001,customers!$I$1:$I$1001,,0)</f>
        <v>Yes</v>
      </c>
      <c r="Q998">
        <f>COUNTIF(Orders[Order ID],Orders[[#This Row],[Order ID]])</f>
        <v>1</v>
      </c>
      <c r="R998" s="10">
        <f>SUMIF(Orders[Order ID], Orders[[#This Row],[Order ID]],Orders[Sales])/Orders[[#This Row],[Order Frequency]]</f>
        <v>63.249999999999993</v>
      </c>
      <c r="S998" t="str">
        <f>IF(Orders[[#This Row],[Order Frequency]]&gt;4, "More than 4", IF(AND(Orders[[#This Row],[Order Frequency]]&lt;=4,Orders[[#This Row],[Order Frequency]]&gt;=2), "Between 4 and 2", "Less than 2"))</f>
        <v>Less than 2</v>
      </c>
      <c r="T998" t="str">
        <f>IF(Orders[[#This Row],[Frequency Group]]="less than 2", "Low Value", IF(Orders[[#This Row],[Frequency Group]]="between 4 and 2", "Medium Value", "High Value"))</f>
        <v>Low Value</v>
      </c>
      <c r="U998" t="str">
        <f>IF(Orders[[#This Row],[Sales]]&lt;50, "$0-50", IF(AND(Orders[[#This Row],[Sales]]&gt;=50,Orders[[#This Row],[Sales]]&lt;=100), "$50-100", IF(AND(Orders[[#This Row],[Sales]]&gt;100,Orders[[#This Row],[Sales]]&lt;=150), "$101-150", "$150+")))</f>
        <v>$50-100</v>
      </c>
      <c r="V998" t="str">
        <f>IF(Orders[[#This Row],[Sales]]&gt;MEDIAN(M:M), "High Price", "Low Price")</f>
        <v>High Price</v>
      </c>
      <c r="W998" t="str">
        <f>IF(Orders[[#This Row],[Quantity]]&gt;MEDIAN(E:E), "High Volume", "Low Volume")</f>
        <v>Low Volume</v>
      </c>
      <c r="X998" t="str">
        <f>Orders[[#This Row],[Sales Tier]] &amp; "-" &amp; Orders[[#This Row],[Quantity Tier]]</f>
        <v>High Price-Low Volume</v>
      </c>
      <c r="Y998" t="str">
        <f>TEXT(Orders[[#This Row],[Order Date]], "mmmm")</f>
        <v>April</v>
      </c>
      <c r="Z998"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Second Quarter</v>
      </c>
      <c r="AA998" t="str">
        <f>Orders[[#This Row],[Coffee Type Name]] &amp; "-" &amp; Orders[[#This Row],[Roast Type Name]]</f>
        <v>Excelsa-Medium</v>
      </c>
      <c r="AB998"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Spring</v>
      </c>
    </row>
    <row r="999" spans="1:28" x14ac:dyDescent="0.25">
      <c r="A999" s="2" t="s">
        <v>833</v>
      </c>
      <c r="B999" s="4">
        <v>43521</v>
      </c>
      <c r="C999" s="2" t="s">
        <v>834</v>
      </c>
      <c r="D999" t="s">
        <v>6172</v>
      </c>
      <c r="E999" s="2">
        <v>5</v>
      </c>
      <c r="F999" s="2" t="str">
        <f>_xlfn.XLOOKUP(C999,customers!$A$1:$A$1001,customers!$B$1:$B$1001,,0)</f>
        <v>Pammi Endacott</v>
      </c>
      <c r="G999" s="2" t="str">
        <f>IF(_xlfn.XLOOKUP(C999,customers!$A$1:$A$1001,customers!$C$1:$C$1001,,0)=0,"",_xlfn.XLOOKUP(C999,customers!$A$1:$A$1001,customers!$C$1:$C$1001,,0))</f>
        <v/>
      </c>
      <c r="H999" s="2" t="str">
        <f>_xlfn.XLOOKUP(C999,customers!$A$1:$A$1001,customers!$G$1:$G$1001,,0)</f>
        <v>United Kingdom</v>
      </c>
      <c r="I999" t="str">
        <f>INDEX(products!$A$1:$G$49, MATCH(orders!$D63,products!$A$1:$A110,0), MATCH(orders!I$1,products!$A$1:$G$1,0))</f>
        <v>Rob</v>
      </c>
      <c r="J999" t="str">
        <f>INDEX(products!$A$1:$G$49, MATCH(orders!$D63,products!$A$1:$A110,0), MATCH(orders!J$1,products!$A$1:$G$1,0))</f>
        <v>D</v>
      </c>
      <c r="K999" s="5">
        <f>INDEX(products!$A$1:$G$49, MATCH(orders!$D63,products!$A$1:$A110,0), MATCH(orders!K$1,products!$A$1:$G$1,0))</f>
        <v>0.5</v>
      </c>
      <c r="L999" s="6">
        <f>INDEX(products!$A$1:$G$49, MATCH(orders!$D63,products!$A$1:$A110,0), MATCH(orders!L$1,products!$A$1:$G$1,0))</f>
        <v>5.3699999999999992</v>
      </c>
      <c r="M999" s="6">
        <f t="shared" si="45"/>
        <v>26.849999999999994</v>
      </c>
      <c r="N999" t="str">
        <f t="shared" si="46"/>
        <v>Robusta</v>
      </c>
      <c r="O999" t="str">
        <f t="shared" si="47"/>
        <v>Dark</v>
      </c>
      <c r="P999" t="str">
        <f>_xlfn.XLOOKUP(Orders[[#This Row],[Customer ID]],customers!$A$1:$A$1001,customers!$I$1:$I$1001,,0)</f>
        <v>Yes</v>
      </c>
      <c r="Q999">
        <f>COUNTIF(Orders[Order ID],Orders[[#This Row],[Order ID]])</f>
        <v>1</v>
      </c>
      <c r="R999" s="10">
        <f>SUMIF(Orders[Order ID], Orders[[#This Row],[Order ID]],Orders[Sales])/Orders[[#This Row],[Order Frequency]]</f>
        <v>26.849999999999994</v>
      </c>
      <c r="S999" t="str">
        <f>IF(Orders[[#This Row],[Order Frequency]]&gt;4, "More than 4", IF(AND(Orders[[#This Row],[Order Frequency]]&lt;=4,Orders[[#This Row],[Order Frequency]]&gt;=2), "Between 4 and 2", "Less than 2"))</f>
        <v>Less than 2</v>
      </c>
      <c r="T999" t="str">
        <f>IF(Orders[[#This Row],[Frequency Group]]="less than 2", "Low Value", IF(Orders[[#This Row],[Frequency Group]]="between 4 and 2", "Medium Value", "High Value"))</f>
        <v>Low Value</v>
      </c>
      <c r="U999" t="str">
        <f>IF(Orders[[#This Row],[Sales]]&lt;50, "$0-50", IF(AND(Orders[[#This Row],[Sales]]&gt;=50,Orders[[#This Row],[Sales]]&lt;=100), "$50-100", IF(AND(Orders[[#This Row],[Sales]]&gt;100,Orders[[#This Row],[Sales]]&lt;=150), "$101-150", "$150+")))</f>
        <v>$0-50</v>
      </c>
      <c r="V999" t="str">
        <f>IF(Orders[[#This Row],[Sales]]&gt;MEDIAN(M:M), "High Price", "Low Price")</f>
        <v>Low Price</v>
      </c>
      <c r="W999" t="str">
        <f>IF(Orders[[#This Row],[Quantity]]&gt;MEDIAN(E:E), "High Volume", "Low Volume")</f>
        <v>High Volume</v>
      </c>
      <c r="X999" t="str">
        <f>Orders[[#This Row],[Sales Tier]] &amp; "-" &amp; Orders[[#This Row],[Quantity Tier]]</f>
        <v>Low Price-High Volume</v>
      </c>
      <c r="Y999" t="str">
        <f>TEXT(Orders[[#This Row],[Order Date]], "mmmm")</f>
        <v>February</v>
      </c>
      <c r="Z999"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999" t="str">
        <f>Orders[[#This Row],[Coffee Type Name]] &amp; "-" &amp; Orders[[#This Row],[Roast Type Name]]</f>
        <v>Robusta-Dark</v>
      </c>
      <c r="AB999"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000" spans="1:28" x14ac:dyDescent="0.25">
      <c r="A1000" s="2" t="s">
        <v>4313</v>
      </c>
      <c r="B1000" s="4">
        <v>44206</v>
      </c>
      <c r="C1000" s="2" t="s">
        <v>4314</v>
      </c>
      <c r="D1000" t="s">
        <v>6160</v>
      </c>
      <c r="E1000" s="2">
        <v>5</v>
      </c>
      <c r="F1000" s="2" t="str">
        <f>_xlfn.XLOOKUP(C1000,customers!$A$1:$A$1001,customers!$B$1:$B$1001,,0)</f>
        <v>Charin Penwarden</v>
      </c>
      <c r="G1000" s="2" t="str">
        <f>IF(_xlfn.XLOOKUP(C1000,customers!$A$1:$A$1001,customers!$C$1:$C$1001,,0)=0,"",_xlfn.XLOOKUP(C1000,customers!$A$1:$A$1001,customers!$C$1:$C$1001,,0))</f>
        <v>cpenwardenit@mlb.com</v>
      </c>
      <c r="H1000" s="2" t="str">
        <f>_xlfn.XLOOKUP(C1000,customers!$A$1:$A$1001,customers!$G$1:$G$1001,,0)</f>
        <v>Ireland</v>
      </c>
      <c r="I1000" t="str">
        <f>INDEX(products!$A$1:$G$49, MATCH(orders!$D679,products!$A$1:$A726,0), MATCH(orders!I$1,products!$A$1:$G$1,0))</f>
        <v>Lib</v>
      </c>
      <c r="J1000" t="str">
        <f>INDEX(products!$A$1:$G$49, MATCH(orders!$D679,products!$A$1:$A726,0), MATCH(orders!J$1,products!$A$1:$G$1,0))</f>
        <v>M</v>
      </c>
      <c r="K1000" s="5">
        <f>INDEX(products!$A$1:$G$49, MATCH(orders!$D679,products!$A$1:$A726,0), MATCH(orders!K$1,products!$A$1:$G$1,0))</f>
        <v>0.5</v>
      </c>
      <c r="L1000" s="6">
        <f>INDEX(products!$A$1:$G$49, MATCH(orders!$D679,products!$A$1:$A726,0), MATCH(orders!L$1,products!$A$1:$G$1,0))</f>
        <v>8.73</v>
      </c>
      <c r="M1000" s="6">
        <f t="shared" si="45"/>
        <v>43.650000000000006</v>
      </c>
      <c r="N1000" t="str">
        <f t="shared" si="46"/>
        <v>Liberica</v>
      </c>
      <c r="O1000" t="str">
        <f t="shared" si="47"/>
        <v>Medium</v>
      </c>
      <c r="P1000" t="str">
        <f>_xlfn.XLOOKUP(Orders[[#This Row],[Customer ID]],customers!$A$1:$A$1001,customers!$I$1:$I$1001,,0)</f>
        <v>No</v>
      </c>
      <c r="Q1000">
        <f>COUNTIF(Orders[Order ID],Orders[[#This Row],[Order ID]])</f>
        <v>1</v>
      </c>
      <c r="R1000" s="10">
        <f>SUMIF(Orders[Order ID], Orders[[#This Row],[Order ID]],Orders[Sales])/Orders[[#This Row],[Order Frequency]]</f>
        <v>43.650000000000006</v>
      </c>
      <c r="S1000" t="str">
        <f>IF(Orders[[#This Row],[Order Frequency]]&gt;4, "More than 4", IF(AND(Orders[[#This Row],[Order Frequency]]&lt;=4,Orders[[#This Row],[Order Frequency]]&gt;=2), "Between 4 and 2", "Less than 2"))</f>
        <v>Less than 2</v>
      </c>
      <c r="T1000" t="str">
        <f>IF(Orders[[#This Row],[Frequency Group]]="less than 2", "Low Value", IF(Orders[[#This Row],[Frequency Group]]="between 4 and 2", "Medium Value", "High Value"))</f>
        <v>Low Value</v>
      </c>
      <c r="U1000" t="str">
        <f>IF(Orders[[#This Row],[Sales]]&lt;50, "$0-50", IF(AND(Orders[[#This Row],[Sales]]&gt;=50,Orders[[#This Row],[Sales]]&lt;=100), "$50-100", IF(AND(Orders[[#This Row],[Sales]]&gt;100,Orders[[#This Row],[Sales]]&lt;=150), "$101-150", "$150+")))</f>
        <v>$0-50</v>
      </c>
      <c r="V1000" t="str">
        <f>IF(Orders[[#This Row],[Sales]]&gt;MEDIAN(M:M), "High Price", "Low Price")</f>
        <v>High Price</v>
      </c>
      <c r="W1000" t="str">
        <f>IF(Orders[[#This Row],[Quantity]]&gt;MEDIAN(E:E), "High Volume", "Low Volume")</f>
        <v>High Volume</v>
      </c>
      <c r="X1000" t="str">
        <f>Orders[[#This Row],[Sales Tier]] &amp; "-" &amp; Orders[[#This Row],[Quantity Tier]]</f>
        <v>High Price-High Volume</v>
      </c>
      <c r="Y1000" t="str">
        <f>TEXT(Orders[[#This Row],[Order Date]], "mmmm")</f>
        <v>January</v>
      </c>
      <c r="Z1000"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First Quarter</v>
      </c>
      <c r="AA1000" t="str">
        <f>Orders[[#This Row],[Coffee Type Name]] &amp; "-" &amp; Orders[[#This Row],[Roast Type Name]]</f>
        <v>Liberica-Medium</v>
      </c>
      <c r="AB1000"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Winter</v>
      </c>
    </row>
    <row r="1001" spans="1:28" x14ac:dyDescent="0.25">
      <c r="A1001" s="2" t="s">
        <v>2710</v>
      </c>
      <c r="B1001" s="4">
        <v>44083</v>
      </c>
      <c r="C1001" s="2" t="s">
        <v>2711</v>
      </c>
      <c r="D1001" t="s">
        <v>6142</v>
      </c>
      <c r="E1001" s="2">
        <v>4</v>
      </c>
      <c r="F1001" s="2" t="str">
        <f>_xlfn.XLOOKUP(C1001,customers!$A$1:$A$1001,customers!$B$1:$B$1001,,0)</f>
        <v>Randal Longfield</v>
      </c>
      <c r="G1001" s="2" t="str">
        <f>IF(_xlfn.XLOOKUP(C1001,customers!$A$1:$A$1001,customers!$C$1:$C$1001,,0)=0,"",_xlfn.XLOOKUP(C1001,customers!$A$1:$A$1001,customers!$C$1:$C$1001,,0))</f>
        <v>rlongfielday@bluehost.com</v>
      </c>
      <c r="H1001" s="2" t="str">
        <f>_xlfn.XLOOKUP(C1001,customers!$A$1:$A$1001,customers!$G$1:$G$1001,,0)</f>
        <v>United States</v>
      </c>
      <c r="I1001" t="str">
        <f>INDEX(products!$A$1:$G$49, MATCH(orders!$D396,products!$A$1:$A443,0), MATCH(orders!I$1,products!$A$1:$G$1,0))</f>
        <v>Rob</v>
      </c>
      <c r="J1001" t="str">
        <f>INDEX(products!$A$1:$G$49, MATCH(orders!$D396,products!$A$1:$A443,0), MATCH(orders!J$1,products!$A$1:$G$1,0))</f>
        <v>L</v>
      </c>
      <c r="K1001" s="5">
        <f>INDEX(products!$A$1:$G$49, MATCH(orders!$D396,products!$A$1:$A443,0), MATCH(orders!K$1,products!$A$1:$G$1,0))</f>
        <v>2.5</v>
      </c>
      <c r="L1001" s="6">
        <f>INDEX(products!$A$1:$G$49, MATCH(orders!$D396,products!$A$1:$A443,0), MATCH(orders!L$1,products!$A$1:$G$1,0))</f>
        <v>27.484999999999996</v>
      </c>
      <c r="M1001" s="6">
        <f t="shared" si="45"/>
        <v>109.93999999999998</v>
      </c>
      <c r="N1001" t="str">
        <f t="shared" si="46"/>
        <v>Robusta</v>
      </c>
      <c r="O1001" t="str">
        <f t="shared" si="47"/>
        <v>Light</v>
      </c>
      <c r="P1001" t="str">
        <f>_xlfn.XLOOKUP(Orders[[#This Row],[Customer ID]],customers!$A$1:$A$1001,customers!$I$1:$I$1001,,0)</f>
        <v>No</v>
      </c>
      <c r="Q1001">
        <f>COUNTIF(Orders[Order ID],Orders[[#This Row],[Order ID]])</f>
        <v>1</v>
      </c>
      <c r="R1001" s="10">
        <f>SUMIF(Orders[Order ID], Orders[[#This Row],[Order ID]],Orders[Sales])/Orders[[#This Row],[Order Frequency]]</f>
        <v>109.93999999999998</v>
      </c>
      <c r="S1001" t="str">
        <f>IF(Orders[[#This Row],[Order Frequency]]&gt;4, "More than 4", IF(AND(Orders[[#This Row],[Order Frequency]]&lt;=4,Orders[[#This Row],[Order Frequency]]&gt;=2), "Between 4 and 2", "Less than 2"))</f>
        <v>Less than 2</v>
      </c>
      <c r="T1001" t="str">
        <f>IF(Orders[[#This Row],[Frequency Group]]="less than 2", "Low Value", IF(Orders[[#This Row],[Frequency Group]]="between 4 and 2", "Medium Value", "High Value"))</f>
        <v>Low Value</v>
      </c>
      <c r="U1001" t="str">
        <f>IF(Orders[[#This Row],[Sales]]&lt;50, "$0-50", IF(AND(Orders[[#This Row],[Sales]]&gt;=50,Orders[[#This Row],[Sales]]&lt;=100), "$50-100", IF(AND(Orders[[#This Row],[Sales]]&gt;100,Orders[[#This Row],[Sales]]&lt;=150), "$101-150", "$150+")))</f>
        <v>$101-150</v>
      </c>
      <c r="V1001" t="str">
        <f>IF(Orders[[#This Row],[Sales]]&gt;MEDIAN(M:M), "High Price", "Low Price")</f>
        <v>High Price</v>
      </c>
      <c r="W1001" t="str">
        <f>IF(Orders[[#This Row],[Quantity]]&gt;MEDIAN(E:E), "High Volume", "Low Volume")</f>
        <v>Low Volume</v>
      </c>
      <c r="X1001" t="str">
        <f>Orders[[#This Row],[Sales Tier]] &amp; "-" &amp; Orders[[#This Row],[Quantity Tier]]</f>
        <v>High Price-Low Volume</v>
      </c>
      <c r="Y1001" t="str">
        <f>TEXT(Orders[[#This Row],[Order Date]], "mmmm")</f>
        <v>September</v>
      </c>
      <c r="Z1001" t="str">
        <f>IF(OR(MONTH(Orders[[#This Row],[Order Date]])=1, MONTH(Orders[[#This Row],[Order Date]])=2, MONTH(Orders[[#This Row],[Order Date]])=3), "First Quarter", IF(OR(MONTH(Orders[[#This Row],[Order Date]])=4, MONTH(Orders[[#This Row],[Order Date]])=5, MONTH(Orders[[#This Row],[Order Date]])=6), "Second Quarter", IF(OR(MONTH(Orders[[#This Row],[Order Date]])=7, MONTH(Orders[[#This Row],[Order Date]])=8, MONTH(Orders[[#This Row],[Order Date]])=9),"Third Quarter", "Fourth Quarter")))</f>
        <v>Third Quarter</v>
      </c>
      <c r="AA1001" t="str">
        <f>Orders[[#This Row],[Coffee Type Name]] &amp; "-" &amp; Orders[[#This Row],[Roast Type Name]]</f>
        <v>Robusta-Light</v>
      </c>
      <c r="AB1001" t="str">
        <f>IF(OR(MONTH(Orders[[#This Row],[Order Date]])=12, MONTH(Orders[[#This Row],[Order Date]])=1, MONTH(Orders[[#This Row],[Order Date]])=2), "Winter", IF(OR(MONTH(Orders[[#This Row],[Order Date]])=3, MONTH(Orders[[#This Row],[Order Date]])=4, MONTH(Orders[[#This Row],[Order Date]])=5), "Spring", IF(OR(MONTH(Orders[[#This Row],[Order Date]])=6, MONTH(Orders[[#This Row],[Order Date]])=7, MONTH(Orders[[#This Row],[Order Date]])=8),"Summer", "Autumn")))</f>
        <v>Autumn</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2C514C-7FEE-4D37-9BC9-B520E6A0E0AC}">
  <dimension ref="A1:S1895"/>
  <sheetViews>
    <sheetView zoomScaleNormal="100" workbookViewId="0">
      <selection activeCell="N5" sqref="N5"/>
    </sheetView>
  </sheetViews>
  <sheetFormatPr defaultRowHeight="15" x14ac:dyDescent="0.25"/>
  <cols>
    <col min="1" max="1" width="16" bestFit="1" customWidth="1"/>
    <col min="2" max="2" width="22" bestFit="1" customWidth="1"/>
    <col min="3" max="6" width="20" bestFit="1" customWidth="1"/>
    <col min="7" max="7" width="11.28515625" bestFit="1" customWidth="1"/>
    <col min="8" max="8" width="22.42578125" bestFit="1" customWidth="1"/>
    <col min="9" max="9" width="15.42578125" bestFit="1" customWidth="1"/>
    <col min="10" max="11" width="12.140625" bestFit="1" customWidth="1"/>
    <col min="12" max="12" width="16.7109375" bestFit="1" customWidth="1"/>
    <col min="13" max="13" width="12.140625" bestFit="1" customWidth="1"/>
    <col min="14" max="14" width="11.5703125" bestFit="1" customWidth="1"/>
    <col min="15" max="15" width="3.85546875" bestFit="1" customWidth="1"/>
    <col min="16" max="16" width="6.7109375" bestFit="1" customWidth="1"/>
    <col min="17" max="17" width="3.85546875" bestFit="1" customWidth="1"/>
    <col min="18" max="18" width="4.28515625" bestFit="1" customWidth="1"/>
    <col min="19" max="19" width="3.85546875" bestFit="1" customWidth="1"/>
    <col min="20" max="20" width="4.5703125" bestFit="1" customWidth="1"/>
    <col min="21" max="21" width="3.7109375" bestFit="1" customWidth="1"/>
    <col min="22" max="22" width="3.140625" bestFit="1" customWidth="1"/>
    <col min="23" max="23" width="4.140625" bestFit="1" customWidth="1"/>
    <col min="24" max="24" width="10.7109375" bestFit="1" customWidth="1"/>
    <col min="25" max="25" width="4.140625" bestFit="1" customWidth="1"/>
    <col min="26" max="26" width="3.85546875" bestFit="1" customWidth="1"/>
    <col min="27" max="27" width="6.7109375" bestFit="1" customWidth="1"/>
    <col min="28" max="28" width="3.85546875" bestFit="1" customWidth="1"/>
    <col min="29" max="29" width="4.28515625" bestFit="1" customWidth="1"/>
    <col min="30" max="30" width="3.85546875" bestFit="1" customWidth="1"/>
    <col min="31" max="31" width="4.5703125" bestFit="1" customWidth="1"/>
    <col min="32" max="32" width="3.7109375" bestFit="1" customWidth="1"/>
    <col min="33" max="33" width="3.140625" bestFit="1" customWidth="1"/>
    <col min="34" max="34" width="4.140625" bestFit="1" customWidth="1"/>
    <col min="35" max="35" width="10.7109375" bestFit="1" customWidth="1"/>
    <col min="36" max="36" width="4.140625" bestFit="1" customWidth="1"/>
    <col min="37" max="37" width="3.85546875" bestFit="1" customWidth="1"/>
    <col min="38" max="38" width="6.7109375" bestFit="1" customWidth="1"/>
    <col min="39" max="39" width="3.85546875" bestFit="1" customWidth="1"/>
    <col min="40" max="40" width="4.28515625" bestFit="1" customWidth="1"/>
    <col min="41" max="41" width="3.85546875" bestFit="1" customWidth="1"/>
    <col min="42" max="42" width="4.5703125" bestFit="1" customWidth="1"/>
    <col min="43" max="43" width="3.7109375" bestFit="1" customWidth="1"/>
    <col min="44" max="44" width="3.140625" bestFit="1" customWidth="1"/>
    <col min="45" max="45" width="4.140625" bestFit="1" customWidth="1"/>
    <col min="46" max="46" width="10.7109375" bestFit="1" customWidth="1"/>
    <col min="47" max="68" width="8" bestFit="1" customWidth="1"/>
    <col min="69" max="69" width="9" bestFit="1" customWidth="1"/>
    <col min="70" max="81" width="8" bestFit="1" customWidth="1"/>
    <col min="82" max="82" width="9" bestFit="1" customWidth="1"/>
    <col min="83" max="83" width="8" bestFit="1" customWidth="1"/>
    <col min="84" max="84" width="9" bestFit="1" customWidth="1"/>
    <col min="85" max="89" width="8" bestFit="1" customWidth="1"/>
    <col min="90" max="91" width="9" bestFit="1" customWidth="1"/>
    <col min="92" max="92" width="8" bestFit="1" customWidth="1"/>
    <col min="93" max="93" width="9" bestFit="1" customWidth="1"/>
    <col min="94" max="96" width="8" bestFit="1" customWidth="1"/>
    <col min="97" max="97" width="9" bestFit="1" customWidth="1"/>
    <col min="98" max="105" width="8" bestFit="1" customWidth="1"/>
    <col min="106" max="106" width="9" bestFit="1" customWidth="1"/>
    <col min="107" max="107" width="8" bestFit="1" customWidth="1"/>
    <col min="108" max="108" width="9" bestFit="1" customWidth="1"/>
    <col min="109" max="110" width="8" bestFit="1" customWidth="1"/>
    <col min="111" max="112" width="9" bestFit="1" customWidth="1"/>
    <col min="113" max="113" width="8" bestFit="1" customWidth="1"/>
    <col min="114" max="114" width="9" bestFit="1" customWidth="1"/>
    <col min="115" max="118" width="8" bestFit="1" customWidth="1"/>
    <col min="119" max="119" width="9" bestFit="1" customWidth="1"/>
    <col min="120" max="125" width="8" bestFit="1" customWidth="1"/>
    <col min="126" max="126" width="9" bestFit="1" customWidth="1"/>
    <col min="127" max="130" width="8" bestFit="1" customWidth="1"/>
    <col min="131" max="131" width="9" bestFit="1" customWidth="1"/>
    <col min="132" max="137" width="8" bestFit="1" customWidth="1"/>
    <col min="138" max="138" width="9" bestFit="1" customWidth="1"/>
    <col min="139" max="142" width="8" bestFit="1" customWidth="1"/>
    <col min="143" max="143" width="9" bestFit="1" customWidth="1"/>
    <col min="144" max="145" width="8" bestFit="1" customWidth="1"/>
    <col min="146" max="146" width="9" bestFit="1" customWidth="1"/>
    <col min="147" max="147" width="8" bestFit="1" customWidth="1"/>
    <col min="148" max="149" width="9" bestFit="1" customWidth="1"/>
    <col min="150" max="153" width="8" bestFit="1" customWidth="1"/>
    <col min="154" max="154" width="9" bestFit="1" customWidth="1"/>
    <col min="155" max="155" width="8" bestFit="1" customWidth="1"/>
    <col min="156" max="157" width="9" bestFit="1" customWidth="1"/>
    <col min="158" max="158" width="8" bestFit="1" customWidth="1"/>
    <col min="159" max="159" width="9" bestFit="1" customWidth="1"/>
    <col min="160" max="161" width="8" bestFit="1" customWidth="1"/>
    <col min="162" max="162" width="9" bestFit="1" customWidth="1"/>
    <col min="163" max="164" width="8" bestFit="1" customWidth="1"/>
    <col min="165" max="166" width="9" bestFit="1" customWidth="1"/>
    <col min="167" max="168" width="8" bestFit="1" customWidth="1"/>
    <col min="169" max="198" width="9" bestFit="1" customWidth="1"/>
    <col min="199" max="199" width="12.7109375" bestFit="1" customWidth="1"/>
  </cols>
  <sheetData>
    <row r="1" spans="1:15" x14ac:dyDescent="0.25">
      <c r="A1" s="7" t="s">
        <v>6209</v>
      </c>
      <c r="C1" s="7" t="s">
        <v>6196</v>
      </c>
      <c r="I1" s="7" t="s">
        <v>6210</v>
      </c>
      <c r="J1" t="s">
        <v>6209</v>
      </c>
      <c r="L1" s="7" t="s">
        <v>6210</v>
      </c>
      <c r="M1" t="s">
        <v>6209</v>
      </c>
    </row>
    <row r="2" spans="1:15" x14ac:dyDescent="0.25">
      <c r="A2" s="7" t="s">
        <v>6203</v>
      </c>
      <c r="B2" s="7" t="s">
        <v>6204</v>
      </c>
      <c r="C2" t="s">
        <v>6205</v>
      </c>
      <c r="D2" t="s">
        <v>6206</v>
      </c>
      <c r="E2" t="s">
        <v>6207</v>
      </c>
      <c r="F2" t="s">
        <v>6208</v>
      </c>
      <c r="G2" t="s">
        <v>6198</v>
      </c>
      <c r="I2" s="9" t="s">
        <v>28</v>
      </c>
      <c r="J2" s="8">
        <v>2798.5049999999997</v>
      </c>
      <c r="L2" s="9" t="s">
        <v>3753</v>
      </c>
      <c r="M2" s="8">
        <v>278.01</v>
      </c>
    </row>
    <row r="3" spans="1:15" x14ac:dyDescent="0.25">
      <c r="A3" t="s">
        <v>6199</v>
      </c>
      <c r="C3" s="8">
        <v>2926.6300000000006</v>
      </c>
      <c r="D3" s="8">
        <v>3481.4599999999987</v>
      </c>
      <c r="E3" s="8">
        <v>3378.0050000000001</v>
      </c>
      <c r="F3" s="8">
        <v>2401.0699999999993</v>
      </c>
      <c r="G3" s="8">
        <v>12187.164999999999</v>
      </c>
      <c r="I3" s="9" t="s">
        <v>318</v>
      </c>
      <c r="J3" s="8">
        <v>6696.864999999998</v>
      </c>
      <c r="L3" s="9" t="s">
        <v>1598</v>
      </c>
      <c r="M3" s="8">
        <v>281.67499999999995</v>
      </c>
    </row>
    <row r="4" spans="1:15" x14ac:dyDescent="0.25">
      <c r="A4" t="s">
        <v>6200</v>
      </c>
      <c r="C4" s="8">
        <v>3356.415</v>
      </c>
      <c r="D4" s="8">
        <v>3663.4100000000008</v>
      </c>
      <c r="E4" s="8">
        <v>2604.4549999999999</v>
      </c>
      <c r="F4" s="8">
        <v>2493.2649999999999</v>
      </c>
      <c r="G4" s="8">
        <v>12117.545</v>
      </c>
      <c r="I4" s="9" t="s">
        <v>19</v>
      </c>
      <c r="J4" s="8">
        <v>35638.885000000017</v>
      </c>
      <c r="L4" s="9" t="s">
        <v>2587</v>
      </c>
      <c r="M4" s="8">
        <v>289.11</v>
      </c>
    </row>
    <row r="5" spans="1:15" x14ac:dyDescent="0.25">
      <c r="A5" t="s">
        <v>6201</v>
      </c>
      <c r="C5" s="8">
        <v>4045.6299999999987</v>
      </c>
      <c r="D5" s="8">
        <v>3469.6399999999994</v>
      </c>
      <c r="E5" s="8">
        <v>3836.6949999999997</v>
      </c>
      <c r="F5" s="8">
        <v>2414.1449999999991</v>
      </c>
      <c r="G5" s="8">
        <v>13766.109999999997</v>
      </c>
      <c r="I5" s="9" t="s">
        <v>6198</v>
      </c>
      <c r="J5" s="8">
        <v>45134.255000000012</v>
      </c>
      <c r="L5" s="9" t="s">
        <v>5765</v>
      </c>
      <c r="M5" s="8">
        <v>307.04499999999996</v>
      </c>
    </row>
    <row r="6" spans="1:15" x14ac:dyDescent="0.25">
      <c r="A6" t="s">
        <v>6202</v>
      </c>
      <c r="C6" s="8">
        <v>1439.8199999999997</v>
      </c>
      <c r="D6" s="8">
        <v>1691.9299999999998</v>
      </c>
      <c r="E6" s="8">
        <v>2234.9199999999996</v>
      </c>
      <c r="F6" s="8">
        <v>1696.7650000000003</v>
      </c>
      <c r="G6" s="8">
        <v>7063.4349999999995</v>
      </c>
      <c r="L6" s="9" t="s">
        <v>5114</v>
      </c>
      <c r="M6" s="8">
        <v>317.06999999999994</v>
      </c>
    </row>
    <row r="7" spans="1:15" x14ac:dyDescent="0.25">
      <c r="A7" t="s">
        <v>6198</v>
      </c>
      <c r="C7" s="8">
        <v>11768.494999999999</v>
      </c>
      <c r="D7" s="8">
        <v>12306.439999999999</v>
      </c>
      <c r="E7" s="8">
        <v>12054.074999999999</v>
      </c>
      <c r="F7" s="8">
        <v>9005.244999999999</v>
      </c>
      <c r="G7" s="8">
        <v>45134.25499999999</v>
      </c>
      <c r="L7" s="9" t="s">
        <v>6198</v>
      </c>
      <c r="M7" s="8">
        <v>1472.9099999999999</v>
      </c>
    </row>
    <row r="8" spans="1:15" x14ac:dyDescent="0.25">
      <c r="C8" s="8"/>
      <c r="D8" s="8"/>
      <c r="E8" s="8"/>
      <c r="F8" s="8"/>
      <c r="G8" s="8"/>
      <c r="N8" s="9"/>
      <c r="O8" s="8"/>
    </row>
    <row r="9" spans="1:15" s="18" customFormat="1" x14ac:dyDescent="0.25">
      <c r="C9" s="19"/>
      <c r="D9" s="19"/>
      <c r="E9" s="19"/>
      <c r="F9" s="19"/>
      <c r="G9" s="19"/>
      <c r="N9" s="20"/>
      <c r="O9" s="19"/>
    </row>
    <row r="11" spans="1:15" x14ac:dyDescent="0.25">
      <c r="A11" s="7" t="s">
        <v>6210</v>
      </c>
      <c r="B11" t="s">
        <v>6214</v>
      </c>
      <c r="C11" t="s">
        <v>6213</v>
      </c>
      <c r="D11" t="s">
        <v>6276</v>
      </c>
      <c r="F11" s="7" t="s">
        <v>6210</v>
      </c>
      <c r="G11" t="s">
        <v>6212</v>
      </c>
      <c r="I11" s="7" t="s">
        <v>6210</v>
      </c>
      <c r="J11" t="s">
        <v>6209</v>
      </c>
    </row>
    <row r="12" spans="1:15" x14ac:dyDescent="0.25">
      <c r="A12" s="9" t="s">
        <v>6178</v>
      </c>
      <c r="B12">
        <v>100</v>
      </c>
      <c r="C12" s="10">
        <v>3.5849999999999995</v>
      </c>
      <c r="D12">
        <v>12.71</v>
      </c>
      <c r="F12" s="9" t="s">
        <v>6158</v>
      </c>
      <c r="G12">
        <v>89</v>
      </c>
      <c r="I12" s="9" t="s">
        <v>6181</v>
      </c>
      <c r="J12" s="6">
        <v>1372.0649999999996</v>
      </c>
    </row>
    <row r="13" spans="1:15" x14ac:dyDescent="0.25">
      <c r="A13" s="9" t="s">
        <v>6157</v>
      </c>
      <c r="B13">
        <v>99</v>
      </c>
      <c r="C13" s="10">
        <v>6.75</v>
      </c>
      <c r="D13">
        <v>12.71</v>
      </c>
      <c r="F13" s="9" t="s">
        <v>6141</v>
      </c>
      <c r="G13">
        <v>89</v>
      </c>
      <c r="I13" s="9" t="s">
        <v>6149</v>
      </c>
      <c r="J13" s="6">
        <v>1523.2899999999997</v>
      </c>
    </row>
    <row r="14" spans="1:15" x14ac:dyDescent="0.25">
      <c r="A14" s="9" t="s">
        <v>6175</v>
      </c>
      <c r="B14">
        <v>97</v>
      </c>
      <c r="C14" s="10">
        <v>25.874999999999996</v>
      </c>
      <c r="D14">
        <v>12.71</v>
      </c>
      <c r="F14" s="9" t="s">
        <v>6176</v>
      </c>
      <c r="G14">
        <v>91</v>
      </c>
      <c r="I14" s="9" t="s">
        <v>6168</v>
      </c>
      <c r="J14" s="6">
        <v>1739.2599999999995</v>
      </c>
    </row>
    <row r="15" spans="1:15" x14ac:dyDescent="0.25">
      <c r="A15" s="9" t="s">
        <v>6155</v>
      </c>
      <c r="B15">
        <v>97</v>
      </c>
      <c r="C15" s="10">
        <v>11.25</v>
      </c>
      <c r="D15">
        <v>12.71</v>
      </c>
      <c r="F15" s="9" t="s">
        <v>6179</v>
      </c>
      <c r="G15">
        <v>92</v>
      </c>
      <c r="I15" s="9" t="s">
        <v>6142</v>
      </c>
      <c r="J15" s="6">
        <v>1814.0099999999998</v>
      </c>
    </row>
    <row r="16" spans="1:15" x14ac:dyDescent="0.25">
      <c r="A16" s="9" t="s">
        <v>6154</v>
      </c>
      <c r="B16">
        <v>97</v>
      </c>
      <c r="C16" s="10">
        <v>2.9850000000000003</v>
      </c>
      <c r="D16">
        <v>12.71</v>
      </c>
      <c r="F16" s="9" t="s">
        <v>6163</v>
      </c>
      <c r="G16">
        <v>92</v>
      </c>
      <c r="I16" s="9" t="s">
        <v>6185</v>
      </c>
      <c r="J16" s="6">
        <v>1844.3700000000001</v>
      </c>
    </row>
    <row r="17" spans="1:15" x14ac:dyDescent="0.25">
      <c r="A17" s="9" t="s">
        <v>6179</v>
      </c>
      <c r="B17">
        <v>92</v>
      </c>
      <c r="C17" s="10">
        <v>11.95</v>
      </c>
      <c r="D17">
        <v>12.71</v>
      </c>
      <c r="F17" s="9" t="s">
        <v>6145</v>
      </c>
      <c r="G17">
        <v>92</v>
      </c>
      <c r="I17" s="9" t="s">
        <v>6166</v>
      </c>
      <c r="J17" s="6">
        <v>2087.2499999999995</v>
      </c>
    </row>
    <row r="18" spans="1:15" x14ac:dyDescent="0.25">
      <c r="A18" s="9" t="s">
        <v>6163</v>
      </c>
      <c r="B18">
        <v>92</v>
      </c>
      <c r="C18" s="10">
        <v>2.6850000000000009</v>
      </c>
      <c r="D18">
        <v>12.71</v>
      </c>
      <c r="F18" s="9" t="s">
        <v>6175</v>
      </c>
      <c r="G18">
        <v>97</v>
      </c>
      <c r="I18" s="9" t="s">
        <v>6164</v>
      </c>
      <c r="J18" s="6">
        <v>2150.8449999999998</v>
      </c>
    </row>
    <row r="19" spans="1:15" x14ac:dyDescent="0.25">
      <c r="A19" s="9" t="s">
        <v>6145</v>
      </c>
      <c r="B19">
        <v>92</v>
      </c>
      <c r="C19" s="10">
        <v>4.754999999999999</v>
      </c>
      <c r="D19">
        <v>12.71</v>
      </c>
      <c r="F19" s="9" t="s">
        <v>6154</v>
      </c>
      <c r="G19">
        <v>97</v>
      </c>
      <c r="I19" s="9" t="s">
        <v>6165</v>
      </c>
      <c r="J19" s="6">
        <v>2442.3699999999994</v>
      </c>
    </row>
    <row r="20" spans="1:15" x14ac:dyDescent="0.25">
      <c r="A20" s="9" t="s">
        <v>6176</v>
      </c>
      <c r="B20">
        <v>91</v>
      </c>
      <c r="C20" s="10">
        <v>8.9100000000000019</v>
      </c>
      <c r="D20">
        <v>12.71</v>
      </c>
      <c r="F20" s="9" t="s">
        <v>6155</v>
      </c>
      <c r="G20">
        <v>97</v>
      </c>
      <c r="I20" s="9" t="s">
        <v>6148</v>
      </c>
      <c r="J20" s="6">
        <v>2459.1599999999994</v>
      </c>
    </row>
    <row r="21" spans="1:15" x14ac:dyDescent="0.25">
      <c r="A21" s="9" t="s">
        <v>6141</v>
      </c>
      <c r="B21">
        <v>89</v>
      </c>
      <c r="C21" s="10">
        <v>13.75</v>
      </c>
      <c r="D21">
        <v>12.71</v>
      </c>
      <c r="F21" s="9" t="s">
        <v>6157</v>
      </c>
      <c r="G21">
        <v>99</v>
      </c>
      <c r="I21" s="9" t="s">
        <v>6175</v>
      </c>
      <c r="J21" s="6">
        <v>2509.8749999999995</v>
      </c>
    </row>
    <row r="22" spans="1:15" x14ac:dyDescent="0.25">
      <c r="A22" s="9" t="s">
        <v>6158</v>
      </c>
      <c r="B22">
        <v>89</v>
      </c>
      <c r="C22" s="10">
        <v>5.9700000000000015</v>
      </c>
      <c r="D22">
        <v>12.71</v>
      </c>
      <c r="F22" s="9" t="s">
        <v>6178</v>
      </c>
      <c r="G22">
        <v>100</v>
      </c>
      <c r="I22" s="9" t="s">
        <v>6182</v>
      </c>
      <c r="J22" s="6">
        <v>2561.5099999999998</v>
      </c>
    </row>
    <row r="23" spans="1:15" x14ac:dyDescent="0.25">
      <c r="A23" s="9" t="s">
        <v>6198</v>
      </c>
      <c r="B23">
        <v>1035</v>
      </c>
      <c r="C23" s="10">
        <v>8.9538067632850229</v>
      </c>
      <c r="D23">
        <v>12.71</v>
      </c>
      <c r="F23" s="9" t="s">
        <v>6198</v>
      </c>
      <c r="G23">
        <v>1035</v>
      </c>
      <c r="I23" s="9" t="s">
        <v>6198</v>
      </c>
      <c r="J23" s="6">
        <v>22504.004999999994</v>
      </c>
    </row>
    <row r="26" spans="1:15" x14ac:dyDescent="0.25">
      <c r="O26" s="6"/>
    </row>
    <row r="27" spans="1:15" s="18" customFormat="1" x14ac:dyDescent="0.25">
      <c r="O27" s="21"/>
    </row>
    <row r="28" spans="1:15" x14ac:dyDescent="0.25">
      <c r="O28" s="6"/>
    </row>
    <row r="29" spans="1:15" x14ac:dyDescent="0.25">
      <c r="A29" s="7" t="s">
        <v>4</v>
      </c>
      <c r="B29" t="s">
        <v>6222</v>
      </c>
      <c r="C29" t="s">
        <v>6223</v>
      </c>
      <c r="F29" s="7" t="s">
        <v>6217</v>
      </c>
      <c r="G29" t="s">
        <v>6218</v>
      </c>
      <c r="I29" s="7" t="s">
        <v>6210</v>
      </c>
      <c r="J29" t="s">
        <v>6221</v>
      </c>
      <c r="O29" s="6"/>
    </row>
    <row r="30" spans="1:15" x14ac:dyDescent="0.25">
      <c r="A30" t="s">
        <v>5765</v>
      </c>
      <c r="B30" s="10">
        <v>43.863571428571433</v>
      </c>
      <c r="C30">
        <v>7</v>
      </c>
      <c r="F30" t="s">
        <v>6277</v>
      </c>
      <c r="G30">
        <v>926</v>
      </c>
      <c r="I30" s="9" t="s">
        <v>6224</v>
      </c>
      <c r="J30" s="10">
        <v>56.334999999999994</v>
      </c>
      <c r="O30" s="6"/>
    </row>
    <row r="31" spans="1:15" x14ac:dyDescent="0.25">
      <c r="A31" t="s">
        <v>3369</v>
      </c>
      <c r="B31" s="10">
        <v>31.798999999999999</v>
      </c>
      <c r="C31">
        <v>5</v>
      </c>
      <c r="F31" t="s">
        <v>6278</v>
      </c>
      <c r="G31">
        <v>69</v>
      </c>
      <c r="I31" s="9" t="s">
        <v>6225</v>
      </c>
      <c r="J31" s="10">
        <v>45.604730021598314</v>
      </c>
      <c r="O31" s="6"/>
    </row>
    <row r="32" spans="1:15" x14ac:dyDescent="0.25">
      <c r="A32" t="s">
        <v>1598</v>
      </c>
      <c r="B32" s="10">
        <v>56.334999999999994</v>
      </c>
      <c r="C32">
        <v>5</v>
      </c>
      <c r="F32" t="s">
        <v>6279</v>
      </c>
      <c r="G32">
        <v>5</v>
      </c>
      <c r="I32" s="9" t="s">
        <v>6226</v>
      </c>
      <c r="J32" s="10">
        <v>38.008695652173913</v>
      </c>
      <c r="O32" s="6"/>
    </row>
    <row r="33" spans="1:15" x14ac:dyDescent="0.25">
      <c r="A33" t="s">
        <v>4435</v>
      </c>
      <c r="B33" s="10">
        <v>24.076999999999998</v>
      </c>
      <c r="C33">
        <v>5</v>
      </c>
      <c r="F33" t="s">
        <v>6198</v>
      </c>
      <c r="G33">
        <v>1000</v>
      </c>
      <c r="I33" s="9" t="s">
        <v>6198</v>
      </c>
      <c r="J33" s="10">
        <v>45.134255000000024</v>
      </c>
    </row>
    <row r="34" spans="1:15" x14ac:dyDescent="0.25">
      <c r="A34" t="s">
        <v>4037</v>
      </c>
      <c r="B34" s="10">
        <v>40.929999999999993</v>
      </c>
      <c r="C34">
        <v>4</v>
      </c>
    </row>
    <row r="35" spans="1:15" x14ac:dyDescent="0.25">
      <c r="A35" t="s">
        <v>6119</v>
      </c>
      <c r="B35" s="10">
        <v>22.653750000000002</v>
      </c>
      <c r="C35">
        <v>4</v>
      </c>
      <c r="F35" s="7" t="s">
        <v>6219</v>
      </c>
      <c r="G35" t="s">
        <v>6224</v>
      </c>
    </row>
    <row r="36" spans="1:15" x14ac:dyDescent="0.25">
      <c r="A36" t="s">
        <v>3841</v>
      </c>
      <c r="B36" s="10">
        <v>45.914999999999992</v>
      </c>
      <c r="C36">
        <v>4</v>
      </c>
    </row>
    <row r="37" spans="1:15" x14ac:dyDescent="0.25">
      <c r="A37" t="s">
        <v>3325</v>
      </c>
      <c r="B37" s="10">
        <v>23.626249999999999</v>
      </c>
      <c r="C37">
        <v>4</v>
      </c>
      <c r="F37" s="7" t="s">
        <v>6209</v>
      </c>
      <c r="G37" s="7" t="s">
        <v>6197</v>
      </c>
      <c r="H37" s="7" t="s">
        <v>12</v>
      </c>
    </row>
    <row r="38" spans="1:15" x14ac:dyDescent="0.25">
      <c r="A38" t="s">
        <v>3195</v>
      </c>
      <c r="B38" s="10">
        <v>51.65</v>
      </c>
      <c r="C38">
        <v>4</v>
      </c>
      <c r="G38" t="s">
        <v>6230</v>
      </c>
      <c r="H38" t="s">
        <v>6228</v>
      </c>
      <c r="I38" t="s">
        <v>6229</v>
      </c>
      <c r="J38" t="s">
        <v>6198</v>
      </c>
    </row>
    <row r="39" spans="1:15" x14ac:dyDescent="0.25">
      <c r="A39" t="s">
        <v>2587</v>
      </c>
      <c r="B39" s="10">
        <v>72.277499999999989</v>
      </c>
      <c r="C39">
        <v>4</v>
      </c>
      <c r="F39" s="7" t="s">
        <v>6196</v>
      </c>
      <c r="G39" s="5">
        <v>2.5</v>
      </c>
      <c r="H39" s="5">
        <v>0.5</v>
      </c>
      <c r="I39" s="5">
        <v>1</v>
      </c>
    </row>
    <row r="40" spans="1:15" x14ac:dyDescent="0.25">
      <c r="A40" t="s">
        <v>2332</v>
      </c>
      <c r="B40" s="10">
        <v>40.1</v>
      </c>
      <c r="C40">
        <v>4</v>
      </c>
      <c r="F40" t="s">
        <v>6206</v>
      </c>
      <c r="G40" s="6"/>
      <c r="H40" s="6">
        <v>53.46</v>
      </c>
      <c r="I40" s="6">
        <v>41.25</v>
      </c>
      <c r="J40" s="6">
        <v>94.710000000000008</v>
      </c>
    </row>
    <row r="41" spans="1:15" x14ac:dyDescent="0.25">
      <c r="A41" t="s">
        <v>5555</v>
      </c>
      <c r="B41" s="10">
        <v>83.708333333333329</v>
      </c>
      <c r="C41">
        <v>3</v>
      </c>
      <c r="F41" t="s">
        <v>6207</v>
      </c>
      <c r="G41" s="6">
        <v>148.92499999999998</v>
      </c>
      <c r="H41" s="6">
        <v>38.04</v>
      </c>
      <c r="I41" s="6"/>
      <c r="J41" s="6">
        <v>186.96499999999997</v>
      </c>
      <c r="O41" s="6"/>
    </row>
    <row r="42" spans="1:15" x14ac:dyDescent="0.25">
      <c r="A42" t="s">
        <v>3753</v>
      </c>
      <c r="B42" s="10">
        <v>92.67</v>
      </c>
      <c r="C42">
        <v>3</v>
      </c>
      <c r="F42" t="s">
        <v>6198</v>
      </c>
      <c r="G42" s="6">
        <v>148.92499999999998</v>
      </c>
      <c r="H42" s="6">
        <v>91.5</v>
      </c>
      <c r="I42" s="6">
        <v>41.25</v>
      </c>
      <c r="J42" s="6">
        <v>281.67499999999995</v>
      </c>
      <c r="O42" s="6"/>
    </row>
    <row r="43" spans="1:15" x14ac:dyDescent="0.25">
      <c r="A43" t="s">
        <v>5114</v>
      </c>
      <c r="B43" s="10">
        <v>105.68999999999998</v>
      </c>
      <c r="C43">
        <v>3</v>
      </c>
      <c r="O43" s="6"/>
    </row>
    <row r="44" spans="1:15" x14ac:dyDescent="0.25">
      <c r="A44" t="s">
        <v>1160</v>
      </c>
      <c r="B44" s="10">
        <v>25.58666666666667</v>
      </c>
      <c r="C44">
        <v>3</v>
      </c>
      <c r="O44" s="6"/>
    </row>
    <row r="45" spans="1:15" x14ac:dyDescent="0.25">
      <c r="A45" t="s">
        <v>663</v>
      </c>
      <c r="B45" s="10">
        <v>36.675000000000004</v>
      </c>
      <c r="C45">
        <v>3</v>
      </c>
      <c r="O45" s="6"/>
    </row>
    <row r="46" spans="1:15" x14ac:dyDescent="0.25">
      <c r="A46" t="s">
        <v>5189</v>
      </c>
      <c r="B46" s="10">
        <v>15.61</v>
      </c>
      <c r="C46">
        <v>3</v>
      </c>
      <c r="O46" s="6"/>
    </row>
    <row r="47" spans="1:15" x14ac:dyDescent="0.25">
      <c r="A47" t="s">
        <v>4760</v>
      </c>
      <c r="B47" s="10">
        <v>47.261666666666663</v>
      </c>
      <c r="C47">
        <v>3</v>
      </c>
      <c r="O47" s="6"/>
    </row>
    <row r="48" spans="1:15" x14ac:dyDescent="0.25">
      <c r="A48" t="s">
        <v>6198</v>
      </c>
      <c r="B48" s="10">
        <v>46.173450704225367</v>
      </c>
      <c r="C48">
        <v>71</v>
      </c>
      <c r="O48" s="6"/>
    </row>
    <row r="49" spans="15:15" x14ac:dyDescent="0.25">
      <c r="O49" s="6"/>
    </row>
    <row r="50" spans="15:15" x14ac:dyDescent="0.25">
      <c r="O50" s="6"/>
    </row>
    <row r="51" spans="15:15" x14ac:dyDescent="0.25">
      <c r="O51" s="6"/>
    </row>
    <row r="52" spans="15:15" x14ac:dyDescent="0.25">
      <c r="O52" s="6"/>
    </row>
    <row r="53" spans="15:15" x14ac:dyDescent="0.25">
      <c r="O53" s="6"/>
    </row>
    <row r="54" spans="15:15" x14ac:dyDescent="0.25">
      <c r="O54" s="6"/>
    </row>
    <row r="55" spans="15:15" x14ac:dyDescent="0.25">
      <c r="O55" s="6"/>
    </row>
    <row r="56" spans="15:15" x14ac:dyDescent="0.25">
      <c r="O56" s="6"/>
    </row>
    <row r="57" spans="15:15" x14ac:dyDescent="0.25">
      <c r="O57" s="6"/>
    </row>
    <row r="58" spans="15:15" x14ac:dyDescent="0.25">
      <c r="O58" s="6"/>
    </row>
    <row r="59" spans="15:15" x14ac:dyDescent="0.25">
      <c r="O59" s="6"/>
    </row>
    <row r="60" spans="15:15" x14ac:dyDescent="0.25">
      <c r="O60" s="6"/>
    </row>
    <row r="61" spans="15:15" x14ac:dyDescent="0.25">
      <c r="O61" s="6"/>
    </row>
    <row r="62" spans="15:15" s="18" customFormat="1" x14ac:dyDescent="0.25">
      <c r="O62" s="21"/>
    </row>
    <row r="63" spans="15:15" x14ac:dyDescent="0.25">
      <c r="O63" s="6"/>
    </row>
    <row r="64" spans="15:15" x14ac:dyDescent="0.25">
      <c r="O64" s="6"/>
    </row>
    <row r="65" spans="1:15" x14ac:dyDescent="0.25">
      <c r="A65" s="7" t="s">
        <v>6210</v>
      </c>
      <c r="B65" t="s">
        <v>6231</v>
      </c>
      <c r="D65" s="7" t="s">
        <v>6232</v>
      </c>
      <c r="E65" s="7" t="s">
        <v>6227</v>
      </c>
      <c r="O65" s="6"/>
    </row>
    <row r="66" spans="1:15" x14ac:dyDescent="0.25">
      <c r="A66" s="9" t="s">
        <v>4419</v>
      </c>
      <c r="B66" s="6">
        <v>182.27499999999998</v>
      </c>
      <c r="D66" s="7" t="s">
        <v>6210</v>
      </c>
      <c r="E66" t="s">
        <v>6205</v>
      </c>
      <c r="F66" t="s">
        <v>6206</v>
      </c>
      <c r="G66" t="s">
        <v>6207</v>
      </c>
      <c r="H66" t="s">
        <v>6208</v>
      </c>
      <c r="I66" s="10" t="s">
        <v>6198</v>
      </c>
      <c r="O66" s="6"/>
    </row>
    <row r="67" spans="1:15" x14ac:dyDescent="0.25">
      <c r="A67" s="9" t="s">
        <v>1820</v>
      </c>
      <c r="B67" s="6">
        <v>182.27499999999998</v>
      </c>
      <c r="D67" s="17" t="s">
        <v>6278</v>
      </c>
      <c r="E67" s="10">
        <v>29.752105263157897</v>
      </c>
      <c r="F67" s="10">
        <v>39.737619047619056</v>
      </c>
      <c r="G67" s="10">
        <v>42.046999999999997</v>
      </c>
      <c r="H67" s="10">
        <v>42.293928571428573</v>
      </c>
      <c r="I67" s="10">
        <v>38.008695652173913</v>
      </c>
      <c r="O67" s="6"/>
    </row>
    <row r="68" spans="1:15" x14ac:dyDescent="0.25">
      <c r="A68" s="9" t="s">
        <v>3656</v>
      </c>
      <c r="B68" s="6">
        <v>189.74999999999997</v>
      </c>
      <c r="D68" s="17" t="s">
        <v>6277</v>
      </c>
      <c r="E68" s="10">
        <v>45.727367346938777</v>
      </c>
      <c r="F68" s="10">
        <v>50.791249999999984</v>
      </c>
      <c r="G68" s="10">
        <v>48.853934782608668</v>
      </c>
      <c r="H68" s="10">
        <v>37.062246696035253</v>
      </c>
      <c r="I68" s="10">
        <v>45.604730021598321</v>
      </c>
      <c r="O68" s="6"/>
    </row>
    <row r="69" spans="1:15" x14ac:dyDescent="0.25">
      <c r="A69" s="9" t="s">
        <v>2930</v>
      </c>
      <c r="B69" s="6">
        <v>200.78999999999996</v>
      </c>
      <c r="D69" s="17" t="s">
        <v>6279</v>
      </c>
      <c r="E69" s="10"/>
      <c r="F69" s="10">
        <v>47.355000000000004</v>
      </c>
      <c r="G69" s="10">
        <v>62.321666666666658</v>
      </c>
      <c r="H69" s="10"/>
      <c r="I69" s="10">
        <v>56.334999999999994</v>
      </c>
      <c r="O69" s="6"/>
    </row>
    <row r="70" spans="1:15" x14ac:dyDescent="0.25">
      <c r="A70" s="9" t="s">
        <v>2177</v>
      </c>
      <c r="B70" s="6">
        <v>204.92999999999995</v>
      </c>
      <c r="D70" s="9" t="s">
        <v>6198</v>
      </c>
      <c r="E70" s="10">
        <v>44.577632575757576</v>
      </c>
      <c r="F70" s="10">
        <v>49.823643724696332</v>
      </c>
      <c r="G70" s="10">
        <v>48.605141129032241</v>
      </c>
      <c r="H70" s="10">
        <v>37.366161825726145</v>
      </c>
      <c r="I70" s="10">
        <v>45.134255000000046</v>
      </c>
      <c r="O70" s="6"/>
    </row>
    <row r="71" spans="1:15" x14ac:dyDescent="0.25">
      <c r="A71" s="9" t="s">
        <v>2275</v>
      </c>
      <c r="B71" s="6">
        <v>204.92999999999995</v>
      </c>
      <c r="O71" s="6"/>
    </row>
    <row r="72" spans="1:15" x14ac:dyDescent="0.25">
      <c r="A72" s="9" t="s">
        <v>3820</v>
      </c>
      <c r="B72" s="6">
        <v>204.92999999999995</v>
      </c>
      <c r="D72" s="7" t="s">
        <v>6210</v>
      </c>
      <c r="E72" t="s">
        <v>6218</v>
      </c>
      <c r="O72" s="6"/>
    </row>
    <row r="73" spans="1:15" x14ac:dyDescent="0.25">
      <c r="A73" s="9" t="s">
        <v>1472</v>
      </c>
      <c r="B73" s="6">
        <v>204.92999999999995</v>
      </c>
      <c r="D73" s="9" t="s">
        <v>6234</v>
      </c>
      <c r="E73">
        <v>694</v>
      </c>
      <c r="O73" s="6"/>
    </row>
    <row r="74" spans="1:15" x14ac:dyDescent="0.25">
      <c r="A74" s="9" t="s">
        <v>2454</v>
      </c>
      <c r="B74" s="6">
        <v>204.92999999999995</v>
      </c>
      <c r="D74" s="9" t="s">
        <v>6237</v>
      </c>
      <c r="E74">
        <v>190</v>
      </c>
      <c r="O74" s="6"/>
    </row>
    <row r="75" spans="1:15" x14ac:dyDescent="0.25">
      <c r="A75" s="9" t="s">
        <v>2046</v>
      </c>
      <c r="B75" s="6">
        <v>204.92999999999995</v>
      </c>
      <c r="D75" s="9" t="s">
        <v>6235</v>
      </c>
      <c r="E75">
        <v>81</v>
      </c>
      <c r="O75" s="6"/>
    </row>
    <row r="76" spans="1:15" x14ac:dyDescent="0.25">
      <c r="A76" s="9" t="s">
        <v>1386</v>
      </c>
      <c r="B76" s="6">
        <v>218.73</v>
      </c>
      <c r="D76" s="9" t="s">
        <v>6236</v>
      </c>
      <c r="E76">
        <v>35</v>
      </c>
      <c r="O76" s="6"/>
    </row>
    <row r="77" spans="1:15" x14ac:dyDescent="0.25">
      <c r="A77" s="9" t="s">
        <v>6198</v>
      </c>
      <c r="B77" s="6">
        <v>200.30909090909088</v>
      </c>
      <c r="D77" s="9" t="s">
        <v>6198</v>
      </c>
      <c r="E77">
        <v>1000</v>
      </c>
      <c r="O77" s="6"/>
    </row>
    <row r="78" spans="1:15" x14ac:dyDescent="0.25">
      <c r="O78" s="6"/>
    </row>
    <row r="79" spans="1:15" s="18" customFormat="1" x14ac:dyDescent="0.25">
      <c r="O79" s="21"/>
    </row>
    <row r="80" spans="1:15" x14ac:dyDescent="0.25">
      <c r="O80" s="6"/>
    </row>
    <row r="81" spans="1:15" x14ac:dyDescent="0.25">
      <c r="A81" s="7" t="s">
        <v>6210</v>
      </c>
      <c r="B81" t="s">
        <v>6238</v>
      </c>
      <c r="C81" t="s">
        <v>6239</v>
      </c>
      <c r="E81" s="7" t="s">
        <v>6210</v>
      </c>
      <c r="F81" t="s">
        <v>6209</v>
      </c>
      <c r="H81" s="7" t="s">
        <v>6210</v>
      </c>
      <c r="I81" t="s">
        <v>6209</v>
      </c>
      <c r="O81" s="6"/>
    </row>
    <row r="82" spans="1:15" x14ac:dyDescent="0.25">
      <c r="A82" s="9" t="s">
        <v>6205</v>
      </c>
      <c r="B82" s="6">
        <v>12.277102272727266</v>
      </c>
      <c r="C82">
        <v>947</v>
      </c>
      <c r="E82" s="22">
        <v>2.5</v>
      </c>
      <c r="F82" s="6">
        <v>23785.564999999977</v>
      </c>
      <c r="H82" s="9" t="s">
        <v>6243</v>
      </c>
      <c r="I82" s="6">
        <v>20642.304999999989</v>
      </c>
      <c r="O82" s="6"/>
    </row>
    <row r="83" spans="1:15" x14ac:dyDescent="0.25">
      <c r="A83" s="9" t="s">
        <v>6208</v>
      </c>
      <c r="B83" s="6">
        <v>10.45973029045642</v>
      </c>
      <c r="C83">
        <v>878</v>
      </c>
      <c r="E83" s="22">
        <v>1</v>
      </c>
      <c r="F83" s="6">
        <v>11010.749999999998</v>
      </c>
      <c r="H83" s="9" t="s">
        <v>6244</v>
      </c>
      <c r="I83" s="6">
        <v>16455.07</v>
      </c>
      <c r="O83" s="6"/>
    </row>
    <row r="84" spans="1:15" x14ac:dyDescent="0.25">
      <c r="A84" s="9" t="s">
        <v>6206</v>
      </c>
      <c r="B84" s="6">
        <v>14.286133603238866</v>
      </c>
      <c r="C84">
        <v>872</v>
      </c>
      <c r="E84" s="22">
        <v>0.5</v>
      </c>
      <c r="F84" s="6">
        <v>7029.9900000000034</v>
      </c>
      <c r="H84" s="9" t="s">
        <v>6246</v>
      </c>
      <c r="I84" s="6">
        <v>6058.7250000000049</v>
      </c>
      <c r="O84" s="6"/>
    </row>
    <row r="85" spans="1:15" x14ac:dyDescent="0.25">
      <c r="A85" s="9" t="s">
        <v>6207</v>
      </c>
      <c r="B85" s="6">
        <v>14.586512096774188</v>
      </c>
      <c r="C85">
        <v>854</v>
      </c>
      <c r="E85" s="22">
        <v>0.2</v>
      </c>
      <c r="F85" s="6">
        <v>3307.9500000000003</v>
      </c>
      <c r="H85" s="9" t="s">
        <v>6245</v>
      </c>
      <c r="I85" s="6">
        <v>1978.1549999999997</v>
      </c>
      <c r="O85" s="6"/>
    </row>
    <row r="86" spans="1:15" x14ac:dyDescent="0.25">
      <c r="A86" s="9" t="s">
        <v>6198</v>
      </c>
      <c r="B86" s="6">
        <v>12.908080000000002</v>
      </c>
      <c r="C86">
        <v>3551</v>
      </c>
      <c r="E86" s="22" t="s">
        <v>6198</v>
      </c>
      <c r="F86" s="6">
        <v>45134.254999999976</v>
      </c>
      <c r="H86" s="9" t="s">
        <v>6198</v>
      </c>
      <c r="I86" s="6">
        <v>45134.25499999999</v>
      </c>
      <c r="O86" s="6"/>
    </row>
    <row r="87" spans="1:15" x14ac:dyDescent="0.25">
      <c r="O87" s="6"/>
    </row>
    <row r="88" spans="1:15" s="18" customFormat="1" x14ac:dyDescent="0.25">
      <c r="O88" s="21"/>
    </row>
    <row r="89" spans="1:15" x14ac:dyDescent="0.25">
      <c r="O89" s="6"/>
    </row>
    <row r="90" spans="1:15" x14ac:dyDescent="0.25">
      <c r="A90" s="7" t="s">
        <v>6209</v>
      </c>
      <c r="C90" s="7" t="s">
        <v>6196</v>
      </c>
      <c r="I90" s="7" t="s">
        <v>6209</v>
      </c>
      <c r="J90" s="7" t="s">
        <v>6227</v>
      </c>
      <c r="O90" s="6"/>
    </row>
    <row r="91" spans="1:15" x14ac:dyDescent="0.25">
      <c r="A91" s="7" t="s">
        <v>6203</v>
      </c>
      <c r="B91" s="7" t="s">
        <v>6204</v>
      </c>
      <c r="C91" t="s">
        <v>6205</v>
      </c>
      <c r="D91" t="s">
        <v>6206</v>
      </c>
      <c r="E91" t="s">
        <v>6207</v>
      </c>
      <c r="F91" t="s">
        <v>6208</v>
      </c>
      <c r="G91" t="s">
        <v>6198</v>
      </c>
      <c r="I91" s="7" t="s">
        <v>6210</v>
      </c>
      <c r="J91" t="s">
        <v>6205</v>
      </c>
      <c r="K91" t="s">
        <v>6206</v>
      </c>
      <c r="L91" t="s">
        <v>6207</v>
      </c>
      <c r="M91" t="s">
        <v>6208</v>
      </c>
      <c r="N91" t="s">
        <v>6198</v>
      </c>
      <c r="O91" s="6"/>
    </row>
    <row r="92" spans="1:15" x14ac:dyDescent="0.25">
      <c r="A92" t="s">
        <v>6199</v>
      </c>
      <c r="C92" s="8">
        <v>2926.6300000000006</v>
      </c>
      <c r="D92" s="8">
        <v>3481.4599999999987</v>
      </c>
      <c r="E92" s="8">
        <v>3378.0050000000001</v>
      </c>
      <c r="F92" s="8">
        <v>2401.0699999999993</v>
      </c>
      <c r="G92" s="8">
        <v>12187.164999999999</v>
      </c>
      <c r="I92" s="9" t="s">
        <v>6251</v>
      </c>
      <c r="J92" s="6">
        <v>3111.1199999999994</v>
      </c>
      <c r="K92" s="6">
        <v>2918.27</v>
      </c>
      <c r="L92" s="6">
        <v>4052.1000000000017</v>
      </c>
      <c r="M92" s="6">
        <v>2355.5249999999992</v>
      </c>
      <c r="N92" s="6">
        <v>12437.015000000001</v>
      </c>
      <c r="O92" s="6"/>
    </row>
    <row r="93" spans="1:15" x14ac:dyDescent="0.25">
      <c r="A93" t="s">
        <v>6200</v>
      </c>
      <c r="C93" s="8">
        <v>3356.415</v>
      </c>
      <c r="D93" s="8">
        <v>3663.4100000000008</v>
      </c>
      <c r="E93" s="8">
        <v>2604.4549999999999</v>
      </c>
      <c r="F93" s="8">
        <v>2493.2649999999999</v>
      </c>
      <c r="G93" s="8">
        <v>12117.545</v>
      </c>
      <c r="I93" s="9" t="s">
        <v>6252</v>
      </c>
      <c r="J93" s="6">
        <v>2889.3899999999994</v>
      </c>
      <c r="K93" s="6">
        <v>2868.1849999999995</v>
      </c>
      <c r="L93" s="6">
        <v>3146.3549999999996</v>
      </c>
      <c r="M93" s="6">
        <v>1534.2349999999997</v>
      </c>
      <c r="N93" s="6">
        <v>10438.164999999997</v>
      </c>
      <c r="O93" s="6"/>
    </row>
    <row r="94" spans="1:15" x14ac:dyDescent="0.25">
      <c r="A94" t="s">
        <v>6201</v>
      </c>
      <c r="C94" s="8">
        <v>4045.6299999999987</v>
      </c>
      <c r="D94" s="8">
        <v>3469.6399999999994</v>
      </c>
      <c r="E94" s="8">
        <v>3836.6949999999997</v>
      </c>
      <c r="F94" s="8">
        <v>2414.1449999999991</v>
      </c>
      <c r="G94" s="8">
        <v>13766.109999999997</v>
      </c>
      <c r="I94" s="9" t="s">
        <v>6253</v>
      </c>
      <c r="J94" s="6">
        <v>2728.9499999999989</v>
      </c>
      <c r="K94" s="6">
        <v>4128.7549999999992</v>
      </c>
      <c r="L94" s="6">
        <v>3067.4650000000006</v>
      </c>
      <c r="M94" s="6">
        <v>2390.4449999999974</v>
      </c>
      <c r="N94" s="6">
        <v>12315.614999999996</v>
      </c>
      <c r="O94" s="6"/>
    </row>
    <row r="95" spans="1:15" x14ac:dyDescent="0.25">
      <c r="A95" t="s">
        <v>6202</v>
      </c>
      <c r="C95" s="8">
        <v>1439.8199999999997</v>
      </c>
      <c r="D95" s="8">
        <v>1691.9299999999998</v>
      </c>
      <c r="E95" s="8">
        <v>2234.9199999999996</v>
      </c>
      <c r="F95" s="8">
        <v>1696.7650000000003</v>
      </c>
      <c r="G95" s="8">
        <v>7063.4349999999995</v>
      </c>
      <c r="I95" s="9" t="s">
        <v>6254</v>
      </c>
      <c r="J95" s="6">
        <v>3039.0350000000003</v>
      </c>
      <c r="K95" s="6">
        <v>2391.2299999999996</v>
      </c>
      <c r="L95" s="6">
        <v>1788.1549999999997</v>
      </c>
      <c r="M95" s="6">
        <v>2725.0400000000004</v>
      </c>
      <c r="N95" s="6">
        <v>9943.4599999999991</v>
      </c>
      <c r="O95" s="6"/>
    </row>
    <row r="96" spans="1:15" x14ac:dyDescent="0.25">
      <c r="A96" t="s">
        <v>6198</v>
      </c>
      <c r="C96" s="8">
        <v>11768.494999999999</v>
      </c>
      <c r="D96" s="8">
        <v>12306.439999999999</v>
      </c>
      <c r="E96" s="8">
        <v>12054.074999999999</v>
      </c>
      <c r="F96" s="8">
        <v>9005.244999999999</v>
      </c>
      <c r="G96" s="8">
        <v>45134.25499999999</v>
      </c>
      <c r="I96" s="9" t="s">
        <v>6198</v>
      </c>
      <c r="J96" s="6">
        <v>11768.494999999997</v>
      </c>
      <c r="K96" s="6">
        <v>12306.439999999999</v>
      </c>
      <c r="L96" s="6">
        <v>12054.075000000001</v>
      </c>
      <c r="M96" s="6">
        <v>9005.2449999999972</v>
      </c>
      <c r="N96" s="6">
        <v>45134.254999999997</v>
      </c>
      <c r="O96" s="6"/>
    </row>
    <row r="97" spans="1:15" x14ac:dyDescent="0.25">
      <c r="O97" s="6"/>
    </row>
    <row r="98" spans="1:15" x14ac:dyDescent="0.25">
      <c r="A98" s="7" t="s">
        <v>6209</v>
      </c>
      <c r="B98" s="7" t="s">
        <v>6227</v>
      </c>
    </row>
    <row r="99" spans="1:15" x14ac:dyDescent="0.25">
      <c r="A99" s="7" t="s">
        <v>6210</v>
      </c>
      <c r="B99" t="s">
        <v>6256</v>
      </c>
      <c r="C99" t="s">
        <v>6257</v>
      </c>
      <c r="D99" t="s">
        <v>6258</v>
      </c>
      <c r="E99" t="s">
        <v>6259</v>
      </c>
      <c r="F99" t="s">
        <v>6260</v>
      </c>
      <c r="G99" t="s">
        <v>6261</v>
      </c>
      <c r="H99" t="s">
        <v>6262</v>
      </c>
      <c r="I99" t="s">
        <v>6263</v>
      </c>
      <c r="J99" t="s">
        <v>6264</v>
      </c>
      <c r="K99" t="s">
        <v>6265</v>
      </c>
      <c r="L99" t="s">
        <v>6266</v>
      </c>
      <c r="M99" t="s">
        <v>6267</v>
      </c>
      <c r="N99" t="s">
        <v>6198</v>
      </c>
    </row>
    <row r="100" spans="1:15" x14ac:dyDescent="0.25">
      <c r="A100" s="9" t="s">
        <v>6269</v>
      </c>
      <c r="B100" s="6">
        <v>1056.6899999999998</v>
      </c>
      <c r="C100" s="6">
        <v>1029.5249999999999</v>
      </c>
      <c r="D100" s="6">
        <v>1188</v>
      </c>
      <c r="E100" s="6">
        <v>750.87</v>
      </c>
      <c r="F100" s="6">
        <v>898.42499999999995</v>
      </c>
      <c r="G100" s="6">
        <v>830.5</v>
      </c>
      <c r="H100" s="6">
        <v>1297.5899999999995</v>
      </c>
      <c r="I100" s="6">
        <v>1001.72</v>
      </c>
      <c r="J100" s="6">
        <v>877.36500000000012</v>
      </c>
      <c r="K100" s="6">
        <v>222.85499999999999</v>
      </c>
      <c r="L100" s="6">
        <v>950.02499999999975</v>
      </c>
      <c r="M100" s="6">
        <v>878.58500000000004</v>
      </c>
      <c r="N100" s="6">
        <v>10982.149999999998</v>
      </c>
    </row>
    <row r="101" spans="1:15" x14ac:dyDescent="0.25">
      <c r="A101" s="9" t="s">
        <v>6270</v>
      </c>
      <c r="B101" s="6">
        <v>390.04000000000013</v>
      </c>
      <c r="C101" s="6">
        <v>964.77499999999964</v>
      </c>
      <c r="D101" s="6">
        <v>1067.625</v>
      </c>
      <c r="E101" s="6">
        <v>1023.0300000000001</v>
      </c>
      <c r="F101" s="6">
        <v>1517.67</v>
      </c>
      <c r="G101" s="6">
        <v>1254</v>
      </c>
      <c r="H101" s="6">
        <v>801.60499999999979</v>
      </c>
      <c r="I101" s="6">
        <v>1556.4700000000003</v>
      </c>
      <c r="J101" s="6">
        <v>1273.125</v>
      </c>
      <c r="K101" s="6">
        <v>867.255</v>
      </c>
      <c r="L101" s="6">
        <v>901.02999999999975</v>
      </c>
      <c r="M101" s="6">
        <v>651.72500000000002</v>
      </c>
      <c r="N101" s="6">
        <v>12268.35</v>
      </c>
    </row>
    <row r="102" spans="1:15" x14ac:dyDescent="0.25">
      <c r="A102" s="9" t="s">
        <v>6271</v>
      </c>
      <c r="B102" s="6">
        <v>869.63000000000011</v>
      </c>
      <c r="C102" s="6">
        <v>1319.6049999999998</v>
      </c>
      <c r="D102" s="6">
        <v>1062</v>
      </c>
      <c r="E102" s="6">
        <v>471.42</v>
      </c>
      <c r="F102" s="6">
        <v>1220.6699999999998</v>
      </c>
      <c r="G102" s="6">
        <v>1526.25</v>
      </c>
      <c r="H102" s="6">
        <v>779.58999999999992</v>
      </c>
      <c r="I102" s="6">
        <v>868.57999999999981</v>
      </c>
      <c r="J102" s="6">
        <v>346.29000000000008</v>
      </c>
      <c r="K102" s="6">
        <v>1175.135</v>
      </c>
      <c r="L102" s="6">
        <v>822.15999999999985</v>
      </c>
      <c r="M102" s="6">
        <v>691.52499999999998</v>
      </c>
      <c r="N102" s="6">
        <v>11152.855</v>
      </c>
    </row>
    <row r="103" spans="1:15" x14ac:dyDescent="0.25">
      <c r="A103" s="9" t="s">
        <v>6272</v>
      </c>
      <c r="B103" s="6">
        <v>731.32500000000027</v>
      </c>
      <c r="C103" s="6">
        <v>918.15499999999986</v>
      </c>
      <c r="D103" s="6">
        <v>1171.125</v>
      </c>
      <c r="E103" s="6">
        <v>1182.1949999999999</v>
      </c>
      <c r="F103" s="6">
        <v>1159.7849999999999</v>
      </c>
      <c r="G103" s="6">
        <v>471.625</v>
      </c>
      <c r="H103" s="6">
        <v>1217.2999999999997</v>
      </c>
      <c r="I103" s="6">
        <v>1139.6149999999998</v>
      </c>
      <c r="J103" s="6">
        <v>894.82499999999993</v>
      </c>
      <c r="K103" s="6">
        <v>342.78499999999997</v>
      </c>
      <c r="L103" s="6">
        <v>1086.2549999999999</v>
      </c>
      <c r="M103" s="6">
        <v>415.90999999999997</v>
      </c>
      <c r="N103" s="6">
        <v>10730.9</v>
      </c>
    </row>
    <row r="104" spans="1:15" x14ac:dyDescent="0.25">
      <c r="A104" s="9" t="s">
        <v>6198</v>
      </c>
      <c r="B104" s="6">
        <v>3047.6850000000004</v>
      </c>
      <c r="C104" s="6">
        <v>4232.0599999999995</v>
      </c>
      <c r="D104" s="6">
        <v>4488.75</v>
      </c>
      <c r="E104" s="6">
        <v>3427.5150000000003</v>
      </c>
      <c r="F104" s="6">
        <v>4796.55</v>
      </c>
      <c r="G104" s="6">
        <v>4082.375</v>
      </c>
      <c r="H104" s="6">
        <v>4096.0849999999991</v>
      </c>
      <c r="I104" s="6">
        <v>4566.3850000000002</v>
      </c>
      <c r="J104" s="6">
        <v>3391.605</v>
      </c>
      <c r="K104" s="6">
        <v>2608.0299999999997</v>
      </c>
      <c r="L104" s="6">
        <v>3759.4699999999993</v>
      </c>
      <c r="M104" s="6">
        <v>2637.7449999999999</v>
      </c>
      <c r="N104" s="6">
        <v>45134.254999999997</v>
      </c>
    </row>
    <row r="106" spans="1:15" x14ac:dyDescent="0.25">
      <c r="A106" s="7" t="s">
        <v>6210</v>
      </c>
      <c r="B106" t="s">
        <v>6273</v>
      </c>
      <c r="C106" t="s">
        <v>6274</v>
      </c>
    </row>
    <row r="107" spans="1:15" x14ac:dyDescent="0.25">
      <c r="A107" s="9" t="s">
        <v>6199</v>
      </c>
      <c r="B107" s="6">
        <v>12187.164999999995</v>
      </c>
      <c r="C107" s="23"/>
    </row>
    <row r="108" spans="1:15" x14ac:dyDescent="0.25">
      <c r="A108" s="9" t="s">
        <v>6200</v>
      </c>
      <c r="B108" s="6">
        <v>12117.544999999995</v>
      </c>
      <c r="C108" s="23">
        <v>-5.7125672787724487E-3</v>
      </c>
    </row>
    <row r="109" spans="1:15" x14ac:dyDescent="0.25">
      <c r="A109" s="9" t="s">
        <v>6201</v>
      </c>
      <c r="B109" s="6">
        <v>13766.109999999999</v>
      </c>
      <c r="C109" s="23">
        <v>0.13604777205283783</v>
      </c>
    </row>
    <row r="110" spans="1:15" x14ac:dyDescent="0.25">
      <c r="A110" s="9" t="s">
        <v>6202</v>
      </c>
      <c r="B110" s="6">
        <v>7063.4349999999995</v>
      </c>
      <c r="C110" s="23">
        <v>-0.48689680672317742</v>
      </c>
    </row>
    <row r="111" spans="1:15" x14ac:dyDescent="0.25">
      <c r="A111" s="9" t="s">
        <v>6198</v>
      </c>
      <c r="B111" s="6">
        <v>45134.25499999999</v>
      </c>
      <c r="C111" s="23"/>
    </row>
    <row r="114" spans="15:15" x14ac:dyDescent="0.25">
      <c r="O114" s="6"/>
    </row>
    <row r="115" spans="15:15" x14ac:dyDescent="0.25">
      <c r="O115" s="6"/>
    </row>
    <row r="116" spans="15:15" x14ac:dyDescent="0.25">
      <c r="O116" s="6"/>
    </row>
    <row r="117" spans="15:15" x14ac:dyDescent="0.25">
      <c r="O117" s="6"/>
    </row>
    <row r="118" spans="15:15" x14ac:dyDescent="0.25">
      <c r="O118" s="6"/>
    </row>
    <row r="119" spans="15:15" x14ac:dyDescent="0.25">
      <c r="O119" s="6"/>
    </row>
    <row r="120" spans="15:15" x14ac:dyDescent="0.25">
      <c r="O120" s="6"/>
    </row>
    <row r="121" spans="15:15" x14ac:dyDescent="0.25">
      <c r="O121" s="6"/>
    </row>
    <row r="122" spans="15:15" x14ac:dyDescent="0.25">
      <c r="O122" s="6"/>
    </row>
    <row r="123" spans="15:15" x14ac:dyDescent="0.25">
      <c r="O123" s="6"/>
    </row>
    <row r="124" spans="15:15" x14ac:dyDescent="0.25">
      <c r="O124" s="6"/>
    </row>
    <row r="125" spans="15:15" x14ac:dyDescent="0.25">
      <c r="O125" s="6"/>
    </row>
    <row r="126" spans="15:15" x14ac:dyDescent="0.25">
      <c r="O126" s="6"/>
    </row>
    <row r="127" spans="15:15" x14ac:dyDescent="0.25">
      <c r="O127" s="6"/>
    </row>
    <row r="128" spans="15:15" x14ac:dyDescent="0.25">
      <c r="O128" s="6"/>
    </row>
    <row r="129" spans="15:15" x14ac:dyDescent="0.25">
      <c r="O129" s="6"/>
    </row>
    <row r="130" spans="15:15" x14ac:dyDescent="0.25">
      <c r="O130" s="6"/>
    </row>
    <row r="131" spans="15:15" x14ac:dyDescent="0.25">
      <c r="O131" s="6"/>
    </row>
    <row r="132" spans="15:15" x14ac:dyDescent="0.25">
      <c r="O132" s="6"/>
    </row>
    <row r="133" spans="15:15" x14ac:dyDescent="0.25">
      <c r="O133" s="6"/>
    </row>
    <row r="134" spans="15:15" x14ac:dyDescent="0.25">
      <c r="O134" s="6"/>
    </row>
    <row r="135" spans="15:15" x14ac:dyDescent="0.25">
      <c r="O135" s="6"/>
    </row>
    <row r="136" spans="15:15" x14ac:dyDescent="0.25">
      <c r="O136" s="6"/>
    </row>
    <row r="137" spans="15:15" x14ac:dyDescent="0.25">
      <c r="O137" s="6"/>
    </row>
    <row r="138" spans="15:15" x14ac:dyDescent="0.25">
      <c r="O138" s="6"/>
    </row>
    <row r="139" spans="15:15" x14ac:dyDescent="0.25">
      <c r="O139" s="6"/>
    </row>
    <row r="140" spans="15:15" x14ac:dyDescent="0.25">
      <c r="O140" s="6"/>
    </row>
    <row r="141" spans="15:15" x14ac:dyDescent="0.25">
      <c r="O141" s="6"/>
    </row>
    <row r="142" spans="15:15" x14ac:dyDescent="0.25">
      <c r="O142" s="6"/>
    </row>
    <row r="143" spans="15:15" x14ac:dyDescent="0.25">
      <c r="O143" s="6"/>
    </row>
    <row r="144" spans="15:15" x14ac:dyDescent="0.25">
      <c r="O144" s="6"/>
    </row>
    <row r="145" spans="15:15" x14ac:dyDescent="0.25">
      <c r="O145" s="6"/>
    </row>
    <row r="146" spans="15:15" x14ac:dyDescent="0.25">
      <c r="O146" s="6"/>
    </row>
    <row r="147" spans="15:15" x14ac:dyDescent="0.25">
      <c r="O147" s="6"/>
    </row>
    <row r="148" spans="15:15" x14ac:dyDescent="0.25">
      <c r="O148" s="6"/>
    </row>
    <row r="149" spans="15:15" x14ac:dyDescent="0.25">
      <c r="O149" s="6"/>
    </row>
    <row r="150" spans="15:15" x14ac:dyDescent="0.25">
      <c r="O150" s="6"/>
    </row>
    <row r="151" spans="15:15" x14ac:dyDescent="0.25">
      <c r="O151" s="6"/>
    </row>
    <row r="152" spans="15:15" x14ac:dyDescent="0.25">
      <c r="O152" s="6"/>
    </row>
    <row r="153" spans="15:15" x14ac:dyDescent="0.25">
      <c r="O153" s="6"/>
    </row>
    <row r="154" spans="15:15" x14ac:dyDescent="0.25">
      <c r="O154" s="6"/>
    </row>
    <row r="155" spans="15:15" x14ac:dyDescent="0.25">
      <c r="O155" s="6"/>
    </row>
    <row r="156" spans="15:15" x14ac:dyDescent="0.25">
      <c r="O156" s="6"/>
    </row>
    <row r="157" spans="15:15" x14ac:dyDescent="0.25">
      <c r="O157" s="6"/>
    </row>
    <row r="158" spans="15:15" x14ac:dyDescent="0.25">
      <c r="O158" s="6"/>
    </row>
    <row r="159" spans="15:15" x14ac:dyDescent="0.25">
      <c r="O159" s="6"/>
    </row>
    <row r="160" spans="15:15" x14ac:dyDescent="0.25">
      <c r="O160" s="6"/>
    </row>
    <row r="161" spans="15:15" x14ac:dyDescent="0.25">
      <c r="O161" s="6"/>
    </row>
    <row r="162" spans="15:15" x14ac:dyDescent="0.25">
      <c r="O162" s="6"/>
    </row>
    <row r="163" spans="15:15" x14ac:dyDescent="0.25">
      <c r="O163" s="6"/>
    </row>
    <row r="164" spans="15:15" x14ac:dyDescent="0.25">
      <c r="O164" s="6"/>
    </row>
    <row r="165" spans="15:15" x14ac:dyDescent="0.25">
      <c r="O165" s="6"/>
    </row>
    <row r="166" spans="15:15" x14ac:dyDescent="0.25">
      <c r="O166" s="6"/>
    </row>
    <row r="167" spans="15:15" x14ac:dyDescent="0.25">
      <c r="O167" s="6"/>
    </row>
    <row r="168" spans="15:15" x14ac:dyDescent="0.25">
      <c r="O168" s="6"/>
    </row>
    <row r="169" spans="15:15" x14ac:dyDescent="0.25">
      <c r="O169" s="6"/>
    </row>
    <row r="170" spans="15:15" x14ac:dyDescent="0.25">
      <c r="O170" s="6"/>
    </row>
    <row r="171" spans="15:15" x14ac:dyDescent="0.25">
      <c r="O171" s="6"/>
    </row>
    <row r="172" spans="15:15" x14ac:dyDescent="0.25">
      <c r="O172" s="6"/>
    </row>
    <row r="173" spans="15:15" x14ac:dyDescent="0.25">
      <c r="O173" s="6"/>
    </row>
    <row r="174" spans="15:15" x14ac:dyDescent="0.25">
      <c r="O174" s="6"/>
    </row>
    <row r="175" spans="15:15" x14ac:dyDescent="0.25">
      <c r="O175" s="6"/>
    </row>
    <row r="176" spans="15:15" x14ac:dyDescent="0.25">
      <c r="O176" s="6"/>
    </row>
    <row r="177" spans="15:15" x14ac:dyDescent="0.25">
      <c r="O177" s="6"/>
    </row>
    <row r="178" spans="15:15" x14ac:dyDescent="0.25">
      <c r="O178" s="6"/>
    </row>
    <row r="179" spans="15:15" x14ac:dyDescent="0.25">
      <c r="O179" s="6"/>
    </row>
    <row r="180" spans="15:15" x14ac:dyDescent="0.25">
      <c r="O180" s="6"/>
    </row>
    <row r="181" spans="15:15" x14ac:dyDescent="0.25">
      <c r="O181" s="6"/>
    </row>
    <row r="182" spans="15:15" x14ac:dyDescent="0.25">
      <c r="O182" s="6"/>
    </row>
    <row r="183" spans="15:15" x14ac:dyDescent="0.25">
      <c r="O183" s="6"/>
    </row>
    <row r="184" spans="15:15" x14ac:dyDescent="0.25">
      <c r="O184" s="6"/>
    </row>
    <row r="185" spans="15:15" x14ac:dyDescent="0.25">
      <c r="O185" s="6"/>
    </row>
    <row r="186" spans="15:15" x14ac:dyDescent="0.25">
      <c r="O186" s="6"/>
    </row>
    <row r="187" spans="15:15" x14ac:dyDescent="0.25">
      <c r="O187" s="6"/>
    </row>
    <row r="188" spans="15:15" x14ac:dyDescent="0.25">
      <c r="O188" s="6"/>
    </row>
    <row r="189" spans="15:15" x14ac:dyDescent="0.25">
      <c r="O189" s="6"/>
    </row>
    <row r="190" spans="15:15" x14ac:dyDescent="0.25">
      <c r="O190" s="6"/>
    </row>
    <row r="191" spans="15:15" x14ac:dyDescent="0.25">
      <c r="O191" s="6"/>
    </row>
    <row r="192" spans="15:15" x14ac:dyDescent="0.25">
      <c r="O192" s="6"/>
    </row>
    <row r="193" spans="15:15" x14ac:dyDescent="0.25">
      <c r="O193" s="6"/>
    </row>
    <row r="194" spans="15:15" x14ac:dyDescent="0.25">
      <c r="O194" s="6"/>
    </row>
    <row r="195" spans="15:15" x14ac:dyDescent="0.25">
      <c r="O195" s="6"/>
    </row>
    <row r="196" spans="15:15" x14ac:dyDescent="0.25">
      <c r="O196" s="6"/>
    </row>
    <row r="197" spans="15:15" x14ac:dyDescent="0.25">
      <c r="O197" s="6"/>
    </row>
    <row r="198" spans="15:15" x14ac:dyDescent="0.25">
      <c r="O198" s="6"/>
    </row>
    <row r="199" spans="15:15" x14ac:dyDescent="0.25">
      <c r="O199" s="6"/>
    </row>
    <row r="200" spans="15:15" x14ac:dyDescent="0.25">
      <c r="O200" s="6"/>
    </row>
    <row r="201" spans="15:15" x14ac:dyDescent="0.25">
      <c r="O201" s="6"/>
    </row>
    <row r="202" spans="15:15" x14ac:dyDescent="0.25">
      <c r="O202" s="6"/>
    </row>
    <row r="203" spans="15:15" x14ac:dyDescent="0.25">
      <c r="O203" s="6"/>
    </row>
    <row r="204" spans="15:15" x14ac:dyDescent="0.25">
      <c r="O204" s="6"/>
    </row>
    <row r="205" spans="15:15" x14ac:dyDescent="0.25">
      <c r="O205" s="6"/>
    </row>
    <row r="206" spans="15:15" x14ac:dyDescent="0.25">
      <c r="O206" s="6"/>
    </row>
    <row r="207" spans="15:15" x14ac:dyDescent="0.25">
      <c r="O207" s="6"/>
    </row>
    <row r="208" spans="15:15" x14ac:dyDescent="0.25">
      <c r="O208" s="6"/>
    </row>
    <row r="209" spans="15:15" x14ac:dyDescent="0.25">
      <c r="O209" s="6"/>
    </row>
    <row r="210" spans="15:15" x14ac:dyDescent="0.25">
      <c r="O210" s="6"/>
    </row>
    <row r="211" spans="15:15" x14ac:dyDescent="0.25">
      <c r="O211" s="6"/>
    </row>
    <row r="212" spans="15:15" x14ac:dyDescent="0.25">
      <c r="O212" s="6"/>
    </row>
    <row r="213" spans="15:15" x14ac:dyDescent="0.25">
      <c r="O213" s="6"/>
    </row>
    <row r="214" spans="15:15" x14ac:dyDescent="0.25">
      <c r="O214" s="6"/>
    </row>
    <row r="215" spans="15:15" x14ac:dyDescent="0.25">
      <c r="O215" s="6"/>
    </row>
    <row r="216" spans="15:15" x14ac:dyDescent="0.25">
      <c r="O216" s="6"/>
    </row>
    <row r="217" spans="15:15" x14ac:dyDescent="0.25">
      <c r="O217" s="6"/>
    </row>
    <row r="218" spans="15:15" x14ac:dyDescent="0.25">
      <c r="O218" s="6"/>
    </row>
    <row r="219" spans="15:15" x14ac:dyDescent="0.25">
      <c r="O219" s="6"/>
    </row>
    <row r="220" spans="15:15" x14ac:dyDescent="0.25">
      <c r="O220" s="6"/>
    </row>
    <row r="221" spans="15:15" x14ac:dyDescent="0.25">
      <c r="O221" s="6"/>
    </row>
    <row r="222" spans="15:15" x14ac:dyDescent="0.25">
      <c r="O222" s="6"/>
    </row>
    <row r="223" spans="15:15" x14ac:dyDescent="0.25">
      <c r="O223" s="6"/>
    </row>
    <row r="224" spans="15:15" x14ac:dyDescent="0.25">
      <c r="O224" s="6"/>
    </row>
    <row r="225" spans="15:15" x14ac:dyDescent="0.25">
      <c r="O225" s="6"/>
    </row>
    <row r="226" spans="15:15" x14ac:dyDescent="0.25">
      <c r="O226" s="6"/>
    </row>
    <row r="227" spans="15:15" x14ac:dyDescent="0.25">
      <c r="O227" s="6"/>
    </row>
    <row r="228" spans="15:15" x14ac:dyDescent="0.25">
      <c r="O228" s="6"/>
    </row>
    <row r="229" spans="15:15" x14ac:dyDescent="0.25">
      <c r="O229" s="6"/>
    </row>
    <row r="230" spans="15:15" x14ac:dyDescent="0.25">
      <c r="O230" s="6"/>
    </row>
    <row r="231" spans="15:15" x14ac:dyDescent="0.25">
      <c r="O231" s="6"/>
    </row>
    <row r="232" spans="15:15" x14ac:dyDescent="0.25">
      <c r="O232" s="6"/>
    </row>
    <row r="233" spans="15:15" x14ac:dyDescent="0.25">
      <c r="O233" s="6"/>
    </row>
    <row r="234" spans="15:15" x14ac:dyDescent="0.25">
      <c r="O234" s="6"/>
    </row>
    <row r="235" spans="15:15" x14ac:dyDescent="0.25">
      <c r="O235" s="6"/>
    </row>
    <row r="236" spans="15:15" x14ac:dyDescent="0.25">
      <c r="O236" s="6"/>
    </row>
    <row r="237" spans="15:15" x14ac:dyDescent="0.25">
      <c r="O237" s="6"/>
    </row>
    <row r="238" spans="15:15" x14ac:dyDescent="0.25">
      <c r="O238" s="6"/>
    </row>
    <row r="239" spans="15:15" x14ac:dyDescent="0.25">
      <c r="O239" s="6"/>
    </row>
    <row r="240" spans="15:15" x14ac:dyDescent="0.25">
      <c r="O240" s="6"/>
    </row>
    <row r="241" spans="15:15" x14ac:dyDescent="0.25">
      <c r="O241" s="6"/>
    </row>
    <row r="242" spans="15:15" x14ac:dyDescent="0.25">
      <c r="O242" s="6"/>
    </row>
    <row r="243" spans="15:15" x14ac:dyDescent="0.25">
      <c r="O243" s="6"/>
    </row>
    <row r="244" spans="15:15" x14ac:dyDescent="0.25">
      <c r="O244" s="6"/>
    </row>
    <row r="245" spans="15:15" x14ac:dyDescent="0.25">
      <c r="O245" s="6"/>
    </row>
    <row r="246" spans="15:15" x14ac:dyDescent="0.25">
      <c r="O246" s="6"/>
    </row>
    <row r="247" spans="15:15" x14ac:dyDescent="0.25">
      <c r="O247" s="6"/>
    </row>
    <row r="248" spans="15:15" x14ac:dyDescent="0.25">
      <c r="O248" s="6"/>
    </row>
    <row r="249" spans="15:15" x14ac:dyDescent="0.25">
      <c r="O249" s="6"/>
    </row>
    <row r="250" spans="15:15" x14ac:dyDescent="0.25">
      <c r="O250" s="6"/>
    </row>
    <row r="251" spans="15:15" x14ac:dyDescent="0.25">
      <c r="O251" s="6"/>
    </row>
    <row r="252" spans="15:15" x14ac:dyDescent="0.25">
      <c r="O252" s="6"/>
    </row>
    <row r="253" spans="15:15" x14ac:dyDescent="0.25">
      <c r="O253" s="6"/>
    </row>
    <row r="254" spans="15:15" x14ac:dyDescent="0.25">
      <c r="O254" s="6"/>
    </row>
    <row r="255" spans="15:15" x14ac:dyDescent="0.25">
      <c r="O255" s="6"/>
    </row>
    <row r="256" spans="15:15" x14ac:dyDescent="0.25">
      <c r="O256" s="6"/>
    </row>
    <row r="257" spans="15:15" x14ac:dyDescent="0.25">
      <c r="O257" s="6"/>
    </row>
    <row r="258" spans="15:15" x14ac:dyDescent="0.25">
      <c r="O258" s="6"/>
    </row>
    <row r="259" spans="15:15" x14ac:dyDescent="0.25">
      <c r="O259" s="6"/>
    </row>
    <row r="260" spans="15:15" x14ac:dyDescent="0.25">
      <c r="O260" s="6"/>
    </row>
    <row r="261" spans="15:15" x14ac:dyDescent="0.25">
      <c r="O261" s="6"/>
    </row>
    <row r="262" spans="15:15" x14ac:dyDescent="0.25">
      <c r="O262" s="6"/>
    </row>
    <row r="263" spans="15:15" x14ac:dyDescent="0.25">
      <c r="O263" s="6"/>
    </row>
    <row r="264" spans="15:15" x14ac:dyDescent="0.25">
      <c r="O264" s="6"/>
    </row>
    <row r="265" spans="15:15" x14ac:dyDescent="0.25">
      <c r="O265" s="6"/>
    </row>
    <row r="266" spans="15:15" x14ac:dyDescent="0.25">
      <c r="O266" s="6"/>
    </row>
    <row r="267" spans="15:15" x14ac:dyDescent="0.25">
      <c r="O267" s="6"/>
    </row>
    <row r="268" spans="15:15" x14ac:dyDescent="0.25">
      <c r="O268" s="6"/>
    </row>
    <row r="269" spans="15:15" x14ac:dyDescent="0.25">
      <c r="O269" s="6"/>
    </row>
    <row r="270" spans="15:15" x14ac:dyDescent="0.25">
      <c r="O270" s="6"/>
    </row>
    <row r="271" spans="15:15" x14ac:dyDescent="0.25">
      <c r="O271" s="6"/>
    </row>
    <row r="272" spans="15:15" x14ac:dyDescent="0.25">
      <c r="O272" s="6"/>
    </row>
    <row r="273" spans="15:15" x14ac:dyDescent="0.25">
      <c r="O273" s="6"/>
    </row>
    <row r="274" spans="15:15" x14ac:dyDescent="0.25">
      <c r="O274" s="6"/>
    </row>
    <row r="275" spans="15:15" x14ac:dyDescent="0.25">
      <c r="O275" s="6"/>
    </row>
    <row r="276" spans="15:15" x14ac:dyDescent="0.25">
      <c r="O276" s="6"/>
    </row>
    <row r="277" spans="15:15" x14ac:dyDescent="0.25">
      <c r="O277" s="6"/>
    </row>
    <row r="278" spans="15:15" x14ac:dyDescent="0.25">
      <c r="O278" s="6"/>
    </row>
    <row r="279" spans="15:15" x14ac:dyDescent="0.25">
      <c r="O279" s="6"/>
    </row>
    <row r="280" spans="15:15" x14ac:dyDescent="0.25">
      <c r="O280" s="6"/>
    </row>
    <row r="281" spans="15:15" x14ac:dyDescent="0.25">
      <c r="O281" s="6"/>
    </row>
    <row r="282" spans="15:15" x14ac:dyDescent="0.25">
      <c r="O282" s="6"/>
    </row>
    <row r="283" spans="15:15" x14ac:dyDescent="0.25">
      <c r="O283" s="6"/>
    </row>
    <row r="284" spans="15:15" x14ac:dyDescent="0.25">
      <c r="O284" s="6"/>
    </row>
    <row r="285" spans="15:15" x14ac:dyDescent="0.25">
      <c r="O285" s="6"/>
    </row>
    <row r="286" spans="15:15" x14ac:dyDescent="0.25">
      <c r="O286" s="6"/>
    </row>
    <row r="287" spans="15:15" x14ac:dyDescent="0.25">
      <c r="O287" s="6"/>
    </row>
    <row r="288" spans="15:15" x14ac:dyDescent="0.25">
      <c r="O288" s="6"/>
    </row>
    <row r="289" spans="15:15" x14ac:dyDescent="0.25">
      <c r="O289" s="6"/>
    </row>
    <row r="290" spans="15:15" x14ac:dyDescent="0.25">
      <c r="O290" s="6"/>
    </row>
    <row r="291" spans="15:15" x14ac:dyDescent="0.25">
      <c r="O291" s="6"/>
    </row>
    <row r="292" spans="15:15" x14ac:dyDescent="0.25">
      <c r="O292" s="6"/>
    </row>
    <row r="293" spans="15:15" x14ac:dyDescent="0.25">
      <c r="O293" s="6"/>
    </row>
    <row r="294" spans="15:15" x14ac:dyDescent="0.25">
      <c r="O294" s="6"/>
    </row>
    <row r="295" spans="15:15" x14ac:dyDescent="0.25">
      <c r="O295" s="6"/>
    </row>
    <row r="296" spans="15:15" x14ac:dyDescent="0.25">
      <c r="O296" s="6"/>
    </row>
    <row r="297" spans="15:15" x14ac:dyDescent="0.25">
      <c r="O297" s="6"/>
    </row>
    <row r="298" spans="15:15" x14ac:dyDescent="0.25">
      <c r="O298" s="6"/>
    </row>
    <row r="299" spans="15:15" x14ac:dyDescent="0.25">
      <c r="O299" s="6"/>
    </row>
    <row r="300" spans="15:15" x14ac:dyDescent="0.25">
      <c r="O300" s="6"/>
    </row>
    <row r="301" spans="15:15" x14ac:dyDescent="0.25">
      <c r="O301" s="6"/>
    </row>
    <row r="302" spans="15:15" x14ac:dyDescent="0.25">
      <c r="O302" s="6"/>
    </row>
    <row r="303" spans="15:15" x14ac:dyDescent="0.25">
      <c r="O303" s="6"/>
    </row>
    <row r="304" spans="15:15" x14ac:dyDescent="0.25">
      <c r="O304" s="6"/>
    </row>
    <row r="305" spans="15:15" x14ac:dyDescent="0.25">
      <c r="O305" s="6"/>
    </row>
    <row r="306" spans="15:15" x14ac:dyDescent="0.25">
      <c r="O306" s="6"/>
    </row>
    <row r="307" spans="15:15" x14ac:dyDescent="0.25">
      <c r="O307" s="6"/>
    </row>
    <row r="308" spans="15:15" x14ac:dyDescent="0.25">
      <c r="O308" s="6"/>
    </row>
    <row r="309" spans="15:15" x14ac:dyDescent="0.25">
      <c r="O309" s="6"/>
    </row>
    <row r="310" spans="15:15" x14ac:dyDescent="0.25">
      <c r="O310" s="6"/>
    </row>
    <row r="311" spans="15:15" x14ac:dyDescent="0.25">
      <c r="O311" s="6"/>
    </row>
    <row r="312" spans="15:15" x14ac:dyDescent="0.25">
      <c r="O312" s="6"/>
    </row>
    <row r="313" spans="15:15" x14ac:dyDescent="0.25">
      <c r="O313" s="6"/>
    </row>
    <row r="314" spans="15:15" x14ac:dyDescent="0.25">
      <c r="O314" s="6"/>
    </row>
    <row r="315" spans="15:15" x14ac:dyDescent="0.25">
      <c r="O315" s="6"/>
    </row>
    <row r="316" spans="15:15" x14ac:dyDescent="0.25">
      <c r="O316" s="6"/>
    </row>
    <row r="317" spans="15:15" x14ac:dyDescent="0.25">
      <c r="O317" s="6"/>
    </row>
    <row r="318" spans="15:15" x14ac:dyDescent="0.25">
      <c r="O318" s="6"/>
    </row>
    <row r="319" spans="15:15" x14ac:dyDescent="0.25">
      <c r="O319" s="6"/>
    </row>
    <row r="320" spans="15:15" x14ac:dyDescent="0.25">
      <c r="O320" s="6"/>
    </row>
    <row r="321" spans="15:15" x14ac:dyDescent="0.25">
      <c r="O321" s="6"/>
    </row>
    <row r="322" spans="15:15" x14ac:dyDescent="0.25">
      <c r="O322" s="6"/>
    </row>
    <row r="323" spans="15:15" x14ac:dyDescent="0.25">
      <c r="O323" s="6"/>
    </row>
    <row r="324" spans="15:15" x14ac:dyDescent="0.25">
      <c r="O324" s="6"/>
    </row>
    <row r="325" spans="15:15" x14ac:dyDescent="0.25">
      <c r="O325" s="6"/>
    </row>
    <row r="326" spans="15:15" x14ac:dyDescent="0.25">
      <c r="O326" s="6"/>
    </row>
    <row r="327" spans="15:15" x14ac:dyDescent="0.25">
      <c r="O327" s="6"/>
    </row>
    <row r="328" spans="15:15" x14ac:dyDescent="0.25">
      <c r="O328" s="6"/>
    </row>
    <row r="329" spans="15:15" x14ac:dyDescent="0.25">
      <c r="O329" s="6"/>
    </row>
    <row r="330" spans="15:15" x14ac:dyDescent="0.25">
      <c r="O330" s="6"/>
    </row>
    <row r="331" spans="15:15" x14ac:dyDescent="0.25">
      <c r="O331" s="6"/>
    </row>
    <row r="332" spans="15:15" x14ac:dyDescent="0.25">
      <c r="O332" s="6"/>
    </row>
    <row r="333" spans="15:15" x14ac:dyDescent="0.25">
      <c r="O333" s="6"/>
    </row>
    <row r="334" spans="15:15" x14ac:dyDescent="0.25">
      <c r="O334" s="6"/>
    </row>
    <row r="335" spans="15:15" x14ac:dyDescent="0.25">
      <c r="O335" s="6"/>
    </row>
    <row r="336" spans="15:15" x14ac:dyDescent="0.25">
      <c r="O336" s="6"/>
    </row>
    <row r="337" spans="15:15" x14ac:dyDescent="0.25">
      <c r="O337" s="6"/>
    </row>
    <row r="338" spans="15:15" x14ac:dyDescent="0.25">
      <c r="O338" s="6"/>
    </row>
    <row r="339" spans="15:15" x14ac:dyDescent="0.25">
      <c r="O339" s="6"/>
    </row>
    <row r="340" spans="15:15" x14ac:dyDescent="0.25">
      <c r="O340" s="6"/>
    </row>
    <row r="341" spans="15:15" x14ac:dyDescent="0.25">
      <c r="O341" s="6"/>
    </row>
    <row r="342" spans="15:15" x14ac:dyDescent="0.25">
      <c r="O342" s="6"/>
    </row>
    <row r="343" spans="15:15" x14ac:dyDescent="0.25">
      <c r="O343" s="6"/>
    </row>
    <row r="344" spans="15:15" x14ac:dyDescent="0.25">
      <c r="O344" s="6"/>
    </row>
    <row r="345" spans="15:15" x14ac:dyDescent="0.25">
      <c r="O345" s="6"/>
    </row>
    <row r="346" spans="15:15" x14ac:dyDescent="0.25">
      <c r="O346" s="6"/>
    </row>
    <row r="347" spans="15:15" x14ac:dyDescent="0.25">
      <c r="O347" s="6"/>
    </row>
    <row r="348" spans="15:15" x14ac:dyDescent="0.25">
      <c r="O348" s="6"/>
    </row>
    <row r="349" spans="15:15" x14ac:dyDescent="0.25">
      <c r="O349" s="6"/>
    </row>
    <row r="350" spans="15:15" x14ac:dyDescent="0.25">
      <c r="O350" s="6"/>
    </row>
    <row r="351" spans="15:15" x14ac:dyDescent="0.25">
      <c r="O351" s="6"/>
    </row>
    <row r="352" spans="15:15" x14ac:dyDescent="0.25">
      <c r="O352" s="6"/>
    </row>
    <row r="353" spans="15:15" x14ac:dyDescent="0.25">
      <c r="O353" s="6"/>
    </row>
    <row r="354" spans="15:15" x14ac:dyDescent="0.25">
      <c r="O354" s="6"/>
    </row>
    <row r="355" spans="15:15" x14ac:dyDescent="0.25">
      <c r="O355" s="6"/>
    </row>
    <row r="356" spans="15:15" x14ac:dyDescent="0.25">
      <c r="O356" s="6"/>
    </row>
    <row r="357" spans="15:15" x14ac:dyDescent="0.25">
      <c r="O357" s="6"/>
    </row>
    <row r="358" spans="15:15" x14ac:dyDescent="0.25">
      <c r="O358" s="6"/>
    </row>
    <row r="359" spans="15:15" x14ac:dyDescent="0.25">
      <c r="O359" s="6"/>
    </row>
    <row r="360" spans="15:15" x14ac:dyDescent="0.25">
      <c r="O360" s="6"/>
    </row>
    <row r="361" spans="15:15" x14ac:dyDescent="0.25">
      <c r="O361" s="6"/>
    </row>
    <row r="362" spans="15:15" x14ac:dyDescent="0.25">
      <c r="O362" s="6"/>
    </row>
    <row r="363" spans="15:15" x14ac:dyDescent="0.25">
      <c r="O363" s="6"/>
    </row>
    <row r="364" spans="15:15" x14ac:dyDescent="0.25">
      <c r="O364" s="6"/>
    </row>
    <row r="365" spans="15:15" x14ac:dyDescent="0.25">
      <c r="O365" s="6"/>
    </row>
    <row r="366" spans="15:15" x14ac:dyDescent="0.25">
      <c r="O366" s="6"/>
    </row>
    <row r="367" spans="15:15" x14ac:dyDescent="0.25">
      <c r="O367" s="6"/>
    </row>
    <row r="368" spans="15:15" x14ac:dyDescent="0.25">
      <c r="O368" s="6"/>
    </row>
    <row r="369" spans="15:15" x14ac:dyDescent="0.25">
      <c r="O369" s="6"/>
    </row>
    <row r="370" spans="15:15" x14ac:dyDescent="0.25">
      <c r="O370" s="6"/>
    </row>
    <row r="371" spans="15:15" x14ac:dyDescent="0.25">
      <c r="O371" s="6"/>
    </row>
    <row r="372" spans="15:15" x14ac:dyDescent="0.25">
      <c r="O372" s="6"/>
    </row>
    <row r="373" spans="15:15" x14ac:dyDescent="0.25">
      <c r="O373" s="6"/>
    </row>
    <row r="374" spans="15:15" x14ac:dyDescent="0.25">
      <c r="O374" s="6"/>
    </row>
    <row r="375" spans="15:15" x14ac:dyDescent="0.25">
      <c r="O375" s="6"/>
    </row>
    <row r="376" spans="15:15" x14ac:dyDescent="0.25">
      <c r="O376" s="6"/>
    </row>
    <row r="377" spans="15:15" x14ac:dyDescent="0.25">
      <c r="O377" s="6"/>
    </row>
    <row r="378" spans="15:15" x14ac:dyDescent="0.25">
      <c r="O378" s="6"/>
    </row>
    <row r="379" spans="15:15" x14ac:dyDescent="0.25">
      <c r="O379" s="6"/>
    </row>
    <row r="380" spans="15:15" x14ac:dyDescent="0.25">
      <c r="O380" s="6"/>
    </row>
    <row r="381" spans="15:15" x14ac:dyDescent="0.25">
      <c r="O381" s="6"/>
    </row>
    <row r="382" spans="15:15" x14ac:dyDescent="0.25">
      <c r="O382" s="6"/>
    </row>
    <row r="383" spans="15:15" x14ac:dyDescent="0.25">
      <c r="O383" s="6"/>
    </row>
    <row r="384" spans="15:15" x14ac:dyDescent="0.25">
      <c r="O384" s="6"/>
    </row>
    <row r="385" spans="15:15" x14ac:dyDescent="0.25">
      <c r="O385" s="6"/>
    </row>
    <row r="386" spans="15:15" x14ac:dyDescent="0.25">
      <c r="O386" s="6"/>
    </row>
    <row r="387" spans="15:15" x14ac:dyDescent="0.25">
      <c r="O387" s="6"/>
    </row>
    <row r="388" spans="15:15" x14ac:dyDescent="0.25">
      <c r="O388" s="6"/>
    </row>
    <row r="389" spans="15:15" x14ac:dyDescent="0.25">
      <c r="O389" s="6"/>
    </row>
    <row r="390" spans="15:15" x14ac:dyDescent="0.25">
      <c r="O390" s="6"/>
    </row>
    <row r="391" spans="15:15" x14ac:dyDescent="0.25">
      <c r="O391" s="6"/>
    </row>
    <row r="392" spans="15:15" x14ac:dyDescent="0.25">
      <c r="O392" s="6"/>
    </row>
    <row r="393" spans="15:15" x14ac:dyDescent="0.25">
      <c r="O393" s="6"/>
    </row>
    <row r="394" spans="15:15" x14ac:dyDescent="0.25">
      <c r="O394" s="6"/>
    </row>
    <row r="395" spans="15:15" x14ac:dyDescent="0.25">
      <c r="O395" s="6"/>
    </row>
    <row r="396" spans="15:15" x14ac:dyDescent="0.25">
      <c r="O396" s="6"/>
    </row>
    <row r="397" spans="15:15" x14ac:dyDescent="0.25">
      <c r="O397" s="6"/>
    </row>
    <row r="398" spans="15:15" x14ac:dyDescent="0.25">
      <c r="O398" s="6"/>
    </row>
    <row r="399" spans="15:15" x14ac:dyDescent="0.25">
      <c r="O399" s="6"/>
    </row>
    <row r="400" spans="15:15" x14ac:dyDescent="0.25">
      <c r="O400" s="6"/>
    </row>
    <row r="401" spans="15:15" x14ac:dyDescent="0.25">
      <c r="O401" s="6"/>
    </row>
    <row r="402" spans="15:15" x14ac:dyDescent="0.25">
      <c r="O402" s="6"/>
    </row>
    <row r="403" spans="15:15" x14ac:dyDescent="0.25">
      <c r="O403" s="6"/>
    </row>
    <row r="404" spans="15:15" x14ac:dyDescent="0.25">
      <c r="O404" s="6"/>
    </row>
    <row r="405" spans="15:15" x14ac:dyDescent="0.25">
      <c r="O405" s="6"/>
    </row>
    <row r="406" spans="15:15" x14ac:dyDescent="0.25">
      <c r="O406" s="6"/>
    </row>
    <row r="407" spans="15:15" x14ac:dyDescent="0.25">
      <c r="O407" s="6"/>
    </row>
    <row r="408" spans="15:15" x14ac:dyDescent="0.25">
      <c r="O408" s="6"/>
    </row>
    <row r="409" spans="15:15" x14ac:dyDescent="0.25">
      <c r="O409" s="6"/>
    </row>
    <row r="410" spans="15:15" x14ac:dyDescent="0.25">
      <c r="O410" s="6"/>
    </row>
    <row r="411" spans="15:15" x14ac:dyDescent="0.25">
      <c r="O411" s="6"/>
    </row>
    <row r="412" spans="15:15" x14ac:dyDescent="0.25">
      <c r="O412" s="6"/>
    </row>
    <row r="413" spans="15:15" x14ac:dyDescent="0.25">
      <c r="O413" s="6"/>
    </row>
    <row r="414" spans="15:15" x14ac:dyDescent="0.25">
      <c r="O414" s="6"/>
    </row>
    <row r="415" spans="15:15" x14ac:dyDescent="0.25">
      <c r="O415" s="6"/>
    </row>
    <row r="416" spans="15:15" x14ac:dyDescent="0.25">
      <c r="O416" s="6"/>
    </row>
    <row r="417" spans="15:15" x14ac:dyDescent="0.25">
      <c r="O417" s="6"/>
    </row>
    <row r="418" spans="15:15" x14ac:dyDescent="0.25">
      <c r="O418" s="6"/>
    </row>
    <row r="419" spans="15:15" x14ac:dyDescent="0.25">
      <c r="O419" s="6"/>
    </row>
    <row r="420" spans="15:15" x14ac:dyDescent="0.25">
      <c r="O420" s="6"/>
    </row>
    <row r="421" spans="15:15" x14ac:dyDescent="0.25">
      <c r="O421" s="6"/>
    </row>
    <row r="422" spans="15:15" x14ac:dyDescent="0.25">
      <c r="O422" s="6"/>
    </row>
    <row r="423" spans="15:15" x14ac:dyDescent="0.25">
      <c r="O423" s="6"/>
    </row>
    <row r="424" spans="15:15" x14ac:dyDescent="0.25">
      <c r="O424" s="6"/>
    </row>
    <row r="425" spans="15:15" x14ac:dyDescent="0.25">
      <c r="O425" s="6"/>
    </row>
    <row r="426" spans="15:15" x14ac:dyDescent="0.25">
      <c r="O426" s="6"/>
    </row>
    <row r="427" spans="15:15" x14ac:dyDescent="0.25">
      <c r="O427" s="6"/>
    </row>
    <row r="428" spans="15:15" x14ac:dyDescent="0.25">
      <c r="O428" s="6"/>
    </row>
    <row r="429" spans="15:15" x14ac:dyDescent="0.25">
      <c r="O429" s="6"/>
    </row>
    <row r="430" spans="15:15" x14ac:dyDescent="0.25">
      <c r="O430" s="6"/>
    </row>
    <row r="431" spans="15:15" x14ac:dyDescent="0.25">
      <c r="O431" s="6"/>
    </row>
    <row r="432" spans="15:15" x14ac:dyDescent="0.25">
      <c r="O432" s="6"/>
    </row>
    <row r="433" spans="15:15" x14ac:dyDescent="0.25">
      <c r="O433" s="6"/>
    </row>
    <row r="434" spans="15:15" x14ac:dyDescent="0.25">
      <c r="O434" s="6"/>
    </row>
    <row r="435" spans="15:15" x14ac:dyDescent="0.25">
      <c r="O435" s="6"/>
    </row>
    <row r="436" spans="15:15" x14ac:dyDescent="0.25">
      <c r="O436" s="6"/>
    </row>
    <row r="437" spans="15:15" x14ac:dyDescent="0.25">
      <c r="O437" s="6"/>
    </row>
    <row r="438" spans="15:15" x14ac:dyDescent="0.25">
      <c r="O438" s="6"/>
    </row>
    <row r="439" spans="15:15" x14ac:dyDescent="0.25">
      <c r="O439" s="6"/>
    </row>
    <row r="440" spans="15:15" x14ac:dyDescent="0.25">
      <c r="O440" s="6"/>
    </row>
    <row r="441" spans="15:15" x14ac:dyDescent="0.25">
      <c r="O441" s="6"/>
    </row>
    <row r="442" spans="15:15" x14ac:dyDescent="0.25">
      <c r="O442" s="6"/>
    </row>
    <row r="443" spans="15:15" x14ac:dyDescent="0.25">
      <c r="O443" s="6"/>
    </row>
    <row r="444" spans="15:15" x14ac:dyDescent="0.25">
      <c r="O444" s="6"/>
    </row>
    <row r="445" spans="15:15" x14ac:dyDescent="0.25">
      <c r="O445" s="6"/>
    </row>
    <row r="446" spans="15:15" x14ac:dyDescent="0.25">
      <c r="O446" s="6"/>
    </row>
    <row r="447" spans="15:15" x14ac:dyDescent="0.25">
      <c r="O447" s="6"/>
    </row>
    <row r="448" spans="15:15" x14ac:dyDescent="0.25">
      <c r="O448" s="6"/>
    </row>
    <row r="449" spans="15:15" x14ac:dyDescent="0.25">
      <c r="O449" s="6"/>
    </row>
    <row r="450" spans="15:15" x14ac:dyDescent="0.25">
      <c r="O450" s="6"/>
    </row>
    <row r="451" spans="15:15" x14ac:dyDescent="0.25">
      <c r="O451" s="6"/>
    </row>
    <row r="452" spans="15:15" x14ac:dyDescent="0.25">
      <c r="O452" s="6"/>
    </row>
    <row r="453" spans="15:15" x14ac:dyDescent="0.25">
      <c r="O453" s="6"/>
    </row>
    <row r="454" spans="15:15" x14ac:dyDescent="0.25">
      <c r="O454" s="6"/>
    </row>
    <row r="455" spans="15:15" x14ac:dyDescent="0.25">
      <c r="O455" s="6"/>
    </row>
    <row r="456" spans="15:15" x14ac:dyDescent="0.25">
      <c r="O456" s="6"/>
    </row>
    <row r="457" spans="15:15" x14ac:dyDescent="0.25">
      <c r="O457" s="6"/>
    </row>
    <row r="458" spans="15:15" x14ac:dyDescent="0.25">
      <c r="O458" s="6"/>
    </row>
    <row r="459" spans="15:15" x14ac:dyDescent="0.25">
      <c r="O459" s="6"/>
    </row>
    <row r="460" spans="15:15" x14ac:dyDescent="0.25">
      <c r="O460" s="6"/>
    </row>
    <row r="461" spans="15:15" x14ac:dyDescent="0.25">
      <c r="O461" s="6"/>
    </row>
    <row r="462" spans="15:15" x14ac:dyDescent="0.25">
      <c r="O462" s="6"/>
    </row>
    <row r="463" spans="15:15" x14ac:dyDescent="0.25">
      <c r="O463" s="6"/>
    </row>
    <row r="464" spans="15:15" x14ac:dyDescent="0.25">
      <c r="O464" s="6"/>
    </row>
    <row r="465" spans="15:15" x14ac:dyDescent="0.25">
      <c r="O465" s="6"/>
    </row>
    <row r="466" spans="15:15" x14ac:dyDescent="0.25">
      <c r="O466" s="6"/>
    </row>
    <row r="467" spans="15:15" x14ac:dyDescent="0.25">
      <c r="O467" s="6"/>
    </row>
    <row r="468" spans="15:15" x14ac:dyDescent="0.25">
      <c r="O468" s="6"/>
    </row>
    <row r="469" spans="15:15" x14ac:dyDescent="0.25">
      <c r="O469" s="6"/>
    </row>
    <row r="470" spans="15:15" x14ac:dyDescent="0.25">
      <c r="O470" s="6"/>
    </row>
    <row r="471" spans="15:15" x14ac:dyDescent="0.25">
      <c r="O471" s="6"/>
    </row>
    <row r="472" spans="15:15" x14ac:dyDescent="0.25">
      <c r="O472" s="6"/>
    </row>
    <row r="473" spans="15:15" x14ac:dyDescent="0.25">
      <c r="O473" s="6"/>
    </row>
    <row r="474" spans="15:15" x14ac:dyDescent="0.25">
      <c r="O474" s="6"/>
    </row>
    <row r="475" spans="15:15" x14ac:dyDescent="0.25">
      <c r="O475" s="6"/>
    </row>
    <row r="476" spans="15:15" x14ac:dyDescent="0.25">
      <c r="O476" s="6"/>
    </row>
    <row r="477" spans="15:15" x14ac:dyDescent="0.25">
      <c r="O477" s="6"/>
    </row>
    <row r="478" spans="15:15" x14ac:dyDescent="0.25">
      <c r="O478" s="6"/>
    </row>
    <row r="479" spans="15:15" x14ac:dyDescent="0.25">
      <c r="O479" s="6"/>
    </row>
    <row r="480" spans="15:15" x14ac:dyDescent="0.25">
      <c r="O480" s="6"/>
    </row>
    <row r="481" spans="15:15" x14ac:dyDescent="0.25">
      <c r="O481" s="6"/>
    </row>
    <row r="482" spans="15:15" x14ac:dyDescent="0.25">
      <c r="O482" s="6"/>
    </row>
    <row r="483" spans="15:15" x14ac:dyDescent="0.25">
      <c r="O483" s="6"/>
    </row>
    <row r="484" spans="15:15" x14ac:dyDescent="0.25">
      <c r="O484" s="6"/>
    </row>
    <row r="485" spans="15:15" x14ac:dyDescent="0.25">
      <c r="O485" s="6"/>
    </row>
    <row r="486" spans="15:15" x14ac:dyDescent="0.25">
      <c r="O486" s="6"/>
    </row>
    <row r="487" spans="15:15" x14ac:dyDescent="0.25">
      <c r="O487" s="6"/>
    </row>
    <row r="488" spans="15:15" x14ac:dyDescent="0.25">
      <c r="O488" s="6"/>
    </row>
    <row r="489" spans="15:15" x14ac:dyDescent="0.25">
      <c r="O489" s="6"/>
    </row>
    <row r="490" spans="15:15" x14ac:dyDescent="0.25">
      <c r="O490" s="6"/>
    </row>
    <row r="491" spans="15:15" x14ac:dyDescent="0.25">
      <c r="O491" s="6"/>
    </row>
    <row r="492" spans="15:15" x14ac:dyDescent="0.25">
      <c r="O492" s="6"/>
    </row>
    <row r="493" spans="15:15" x14ac:dyDescent="0.25">
      <c r="O493" s="6"/>
    </row>
    <row r="494" spans="15:15" x14ac:dyDescent="0.25">
      <c r="O494" s="6"/>
    </row>
    <row r="495" spans="15:15" x14ac:dyDescent="0.25">
      <c r="O495" s="6"/>
    </row>
    <row r="496" spans="15:15" x14ac:dyDescent="0.25">
      <c r="O496" s="6"/>
    </row>
    <row r="497" spans="15:15" x14ac:dyDescent="0.25">
      <c r="O497" s="6"/>
    </row>
    <row r="498" spans="15:15" x14ac:dyDescent="0.25">
      <c r="O498" s="6"/>
    </row>
    <row r="499" spans="15:15" x14ac:dyDescent="0.25">
      <c r="O499" s="6"/>
    </row>
    <row r="500" spans="15:15" x14ac:dyDescent="0.25">
      <c r="O500" s="6"/>
    </row>
    <row r="501" spans="15:15" x14ac:dyDescent="0.25">
      <c r="O501" s="6"/>
    </row>
    <row r="502" spans="15:15" x14ac:dyDescent="0.25">
      <c r="O502" s="6"/>
    </row>
    <row r="503" spans="15:15" x14ac:dyDescent="0.25">
      <c r="O503" s="6"/>
    </row>
    <row r="504" spans="15:15" x14ac:dyDescent="0.25">
      <c r="O504" s="6"/>
    </row>
    <row r="505" spans="15:15" x14ac:dyDescent="0.25">
      <c r="O505" s="6"/>
    </row>
    <row r="506" spans="15:15" x14ac:dyDescent="0.25">
      <c r="O506" s="6"/>
    </row>
    <row r="507" spans="15:15" x14ac:dyDescent="0.25">
      <c r="O507" s="6"/>
    </row>
    <row r="508" spans="15:15" x14ac:dyDescent="0.25">
      <c r="O508" s="6"/>
    </row>
    <row r="509" spans="15:15" x14ac:dyDescent="0.25">
      <c r="O509" s="6"/>
    </row>
    <row r="510" spans="15:15" x14ac:dyDescent="0.25">
      <c r="O510" s="6"/>
    </row>
    <row r="511" spans="15:15" x14ac:dyDescent="0.25">
      <c r="O511" s="6"/>
    </row>
    <row r="512" spans="15:15" x14ac:dyDescent="0.25">
      <c r="O512" s="6"/>
    </row>
    <row r="513" spans="15:15" x14ac:dyDescent="0.25">
      <c r="O513" s="6"/>
    </row>
    <row r="514" spans="15:15" x14ac:dyDescent="0.25">
      <c r="O514" s="6"/>
    </row>
    <row r="515" spans="15:15" x14ac:dyDescent="0.25">
      <c r="O515" s="6"/>
    </row>
    <row r="516" spans="15:15" x14ac:dyDescent="0.25">
      <c r="O516" s="6"/>
    </row>
    <row r="517" spans="15:15" x14ac:dyDescent="0.25">
      <c r="O517" s="6"/>
    </row>
    <row r="518" spans="15:15" x14ac:dyDescent="0.25">
      <c r="O518" s="6"/>
    </row>
    <row r="519" spans="15:15" x14ac:dyDescent="0.25">
      <c r="O519" s="6"/>
    </row>
    <row r="520" spans="15:15" x14ac:dyDescent="0.25">
      <c r="O520" s="6"/>
    </row>
    <row r="521" spans="15:15" x14ac:dyDescent="0.25">
      <c r="O521" s="6"/>
    </row>
    <row r="522" spans="15:15" x14ac:dyDescent="0.25">
      <c r="O522" s="6"/>
    </row>
    <row r="523" spans="15:15" x14ac:dyDescent="0.25">
      <c r="O523" s="6"/>
    </row>
    <row r="524" spans="15:15" x14ac:dyDescent="0.25">
      <c r="O524" s="6"/>
    </row>
    <row r="525" spans="15:15" x14ac:dyDescent="0.25">
      <c r="O525" s="6"/>
    </row>
    <row r="526" spans="15:15" x14ac:dyDescent="0.25">
      <c r="O526" s="6"/>
    </row>
    <row r="527" spans="15:15" x14ac:dyDescent="0.25">
      <c r="O527" s="6"/>
    </row>
    <row r="528" spans="15:15" x14ac:dyDescent="0.25">
      <c r="O528" s="6"/>
    </row>
    <row r="529" spans="15:15" x14ac:dyDescent="0.25">
      <c r="O529" s="6"/>
    </row>
    <row r="530" spans="15:15" x14ac:dyDescent="0.25">
      <c r="O530" s="6"/>
    </row>
    <row r="531" spans="15:15" x14ac:dyDescent="0.25">
      <c r="O531" s="6"/>
    </row>
    <row r="532" spans="15:15" x14ac:dyDescent="0.25">
      <c r="O532" s="6"/>
    </row>
    <row r="533" spans="15:15" x14ac:dyDescent="0.25">
      <c r="O533" s="6"/>
    </row>
    <row r="534" spans="15:15" x14ac:dyDescent="0.25">
      <c r="O534" s="6"/>
    </row>
    <row r="535" spans="15:15" x14ac:dyDescent="0.25">
      <c r="O535" s="6"/>
    </row>
    <row r="536" spans="15:15" x14ac:dyDescent="0.25">
      <c r="O536" s="6"/>
    </row>
    <row r="537" spans="15:15" x14ac:dyDescent="0.25">
      <c r="O537" s="6"/>
    </row>
    <row r="538" spans="15:15" x14ac:dyDescent="0.25">
      <c r="O538" s="6"/>
    </row>
    <row r="539" spans="15:15" x14ac:dyDescent="0.25">
      <c r="O539" s="6"/>
    </row>
    <row r="540" spans="15:15" x14ac:dyDescent="0.25">
      <c r="O540" s="6"/>
    </row>
    <row r="541" spans="15:15" x14ac:dyDescent="0.25">
      <c r="O541" s="6"/>
    </row>
    <row r="542" spans="15:15" x14ac:dyDescent="0.25">
      <c r="O542" s="6"/>
    </row>
    <row r="543" spans="15:15" x14ac:dyDescent="0.25">
      <c r="O543" s="6"/>
    </row>
    <row r="544" spans="15:15" x14ac:dyDescent="0.25">
      <c r="O544" s="6"/>
    </row>
    <row r="545" spans="15:15" x14ac:dyDescent="0.25">
      <c r="O545" s="6"/>
    </row>
    <row r="546" spans="15:15" x14ac:dyDescent="0.25">
      <c r="O546" s="6"/>
    </row>
    <row r="547" spans="15:15" x14ac:dyDescent="0.25">
      <c r="O547" s="6"/>
    </row>
    <row r="548" spans="15:15" x14ac:dyDescent="0.25">
      <c r="O548" s="6"/>
    </row>
    <row r="549" spans="15:15" x14ac:dyDescent="0.25">
      <c r="O549" s="6"/>
    </row>
    <row r="550" spans="15:15" x14ac:dyDescent="0.25">
      <c r="O550" s="6"/>
    </row>
    <row r="551" spans="15:15" x14ac:dyDescent="0.25">
      <c r="O551" s="6"/>
    </row>
    <row r="552" spans="15:15" x14ac:dyDescent="0.25">
      <c r="O552" s="6"/>
    </row>
    <row r="553" spans="15:15" x14ac:dyDescent="0.25">
      <c r="O553" s="6"/>
    </row>
    <row r="554" spans="15:15" x14ac:dyDescent="0.25">
      <c r="O554" s="6"/>
    </row>
    <row r="555" spans="15:15" x14ac:dyDescent="0.25">
      <c r="O555" s="6"/>
    </row>
    <row r="556" spans="15:15" x14ac:dyDescent="0.25">
      <c r="O556" s="6"/>
    </row>
    <row r="557" spans="15:15" x14ac:dyDescent="0.25">
      <c r="O557" s="6"/>
    </row>
    <row r="558" spans="15:15" x14ac:dyDescent="0.25">
      <c r="O558" s="6"/>
    </row>
    <row r="559" spans="15:15" x14ac:dyDescent="0.25">
      <c r="O559" s="6"/>
    </row>
    <row r="560" spans="15:15" x14ac:dyDescent="0.25">
      <c r="O560" s="6"/>
    </row>
    <row r="561" spans="15:15" x14ac:dyDescent="0.25">
      <c r="O561" s="6"/>
    </row>
    <row r="562" spans="15:15" x14ac:dyDescent="0.25">
      <c r="O562" s="6"/>
    </row>
    <row r="563" spans="15:15" x14ac:dyDescent="0.25">
      <c r="O563" s="6"/>
    </row>
    <row r="564" spans="15:15" x14ac:dyDescent="0.25">
      <c r="O564" s="6"/>
    </row>
    <row r="565" spans="15:15" x14ac:dyDescent="0.25">
      <c r="O565" s="6"/>
    </row>
    <row r="566" spans="15:15" x14ac:dyDescent="0.25">
      <c r="O566" s="6"/>
    </row>
    <row r="567" spans="15:15" x14ac:dyDescent="0.25">
      <c r="O567" s="6"/>
    </row>
    <row r="568" spans="15:15" x14ac:dyDescent="0.25">
      <c r="O568" s="6"/>
    </row>
    <row r="569" spans="15:15" x14ac:dyDescent="0.25">
      <c r="O569" s="6"/>
    </row>
    <row r="570" spans="15:15" x14ac:dyDescent="0.25">
      <c r="O570" s="6"/>
    </row>
    <row r="571" spans="15:15" x14ac:dyDescent="0.25">
      <c r="O571" s="6"/>
    </row>
    <row r="572" spans="15:15" x14ac:dyDescent="0.25">
      <c r="O572" s="6"/>
    </row>
    <row r="573" spans="15:15" x14ac:dyDescent="0.25">
      <c r="O573" s="6"/>
    </row>
    <row r="574" spans="15:15" x14ac:dyDescent="0.25">
      <c r="O574" s="6"/>
    </row>
    <row r="575" spans="15:15" x14ac:dyDescent="0.25">
      <c r="O575" s="6"/>
    </row>
    <row r="576" spans="15:15" x14ac:dyDescent="0.25">
      <c r="O576" s="6"/>
    </row>
    <row r="577" spans="15:15" x14ac:dyDescent="0.25">
      <c r="O577" s="6"/>
    </row>
    <row r="578" spans="15:15" x14ac:dyDescent="0.25">
      <c r="O578" s="6"/>
    </row>
    <row r="579" spans="15:15" x14ac:dyDescent="0.25">
      <c r="O579" s="6"/>
    </row>
    <row r="580" spans="15:15" x14ac:dyDescent="0.25">
      <c r="O580" s="6"/>
    </row>
    <row r="581" spans="15:15" x14ac:dyDescent="0.25">
      <c r="O581" s="6"/>
    </row>
    <row r="582" spans="15:15" x14ac:dyDescent="0.25">
      <c r="O582" s="6"/>
    </row>
    <row r="583" spans="15:15" x14ac:dyDescent="0.25">
      <c r="O583" s="6"/>
    </row>
    <row r="584" spans="15:15" x14ac:dyDescent="0.25">
      <c r="O584" s="6"/>
    </row>
    <row r="585" spans="15:15" x14ac:dyDescent="0.25">
      <c r="O585" s="6"/>
    </row>
    <row r="586" spans="15:15" x14ac:dyDescent="0.25">
      <c r="O586" s="6"/>
    </row>
    <row r="587" spans="15:15" x14ac:dyDescent="0.25">
      <c r="O587" s="6"/>
    </row>
    <row r="588" spans="15:15" x14ac:dyDescent="0.25">
      <c r="O588" s="6"/>
    </row>
    <row r="589" spans="15:15" x14ac:dyDescent="0.25">
      <c r="O589" s="6"/>
    </row>
    <row r="590" spans="15:15" x14ac:dyDescent="0.25">
      <c r="O590" s="6"/>
    </row>
    <row r="591" spans="15:15" x14ac:dyDescent="0.25">
      <c r="O591" s="6"/>
    </row>
    <row r="592" spans="15:15" x14ac:dyDescent="0.25">
      <c r="O592" s="6"/>
    </row>
    <row r="593" spans="15:15" x14ac:dyDescent="0.25">
      <c r="O593" s="6"/>
    </row>
    <row r="594" spans="15:15" x14ac:dyDescent="0.25">
      <c r="O594" s="6"/>
    </row>
    <row r="595" spans="15:15" x14ac:dyDescent="0.25">
      <c r="O595" s="6"/>
    </row>
    <row r="596" spans="15:15" x14ac:dyDescent="0.25">
      <c r="O596" s="6"/>
    </row>
    <row r="597" spans="15:15" x14ac:dyDescent="0.25">
      <c r="O597" s="6"/>
    </row>
    <row r="598" spans="15:15" x14ac:dyDescent="0.25">
      <c r="O598" s="6"/>
    </row>
    <row r="599" spans="15:15" x14ac:dyDescent="0.25">
      <c r="O599" s="6"/>
    </row>
    <row r="600" spans="15:15" x14ac:dyDescent="0.25">
      <c r="O600" s="6"/>
    </row>
    <row r="601" spans="15:15" x14ac:dyDescent="0.25">
      <c r="O601" s="6"/>
    </row>
    <row r="602" spans="15:15" x14ac:dyDescent="0.25">
      <c r="O602" s="6"/>
    </row>
    <row r="603" spans="15:15" x14ac:dyDescent="0.25">
      <c r="O603" s="6"/>
    </row>
    <row r="604" spans="15:15" x14ac:dyDescent="0.25">
      <c r="O604" s="6"/>
    </row>
    <row r="605" spans="15:15" x14ac:dyDescent="0.25">
      <c r="O605" s="6"/>
    </row>
    <row r="606" spans="15:15" x14ac:dyDescent="0.25">
      <c r="O606" s="6"/>
    </row>
    <row r="607" spans="15:15" x14ac:dyDescent="0.25">
      <c r="O607" s="6"/>
    </row>
    <row r="608" spans="15:15" x14ac:dyDescent="0.25">
      <c r="O608" s="6"/>
    </row>
    <row r="609" spans="15:15" x14ac:dyDescent="0.25">
      <c r="O609" s="6"/>
    </row>
    <row r="610" spans="15:15" x14ac:dyDescent="0.25">
      <c r="O610" s="6"/>
    </row>
    <row r="611" spans="15:15" x14ac:dyDescent="0.25">
      <c r="O611" s="6"/>
    </row>
    <row r="612" spans="15:15" x14ac:dyDescent="0.25">
      <c r="O612" s="6"/>
    </row>
    <row r="613" spans="15:15" x14ac:dyDescent="0.25">
      <c r="O613" s="6"/>
    </row>
    <row r="614" spans="15:15" x14ac:dyDescent="0.25">
      <c r="O614" s="6"/>
    </row>
    <row r="615" spans="15:15" x14ac:dyDescent="0.25">
      <c r="O615" s="6"/>
    </row>
    <row r="616" spans="15:15" x14ac:dyDescent="0.25">
      <c r="O616" s="6"/>
    </row>
    <row r="617" spans="15:15" x14ac:dyDescent="0.25">
      <c r="O617" s="6"/>
    </row>
    <row r="618" spans="15:15" x14ac:dyDescent="0.25">
      <c r="O618" s="6"/>
    </row>
    <row r="619" spans="15:15" x14ac:dyDescent="0.25">
      <c r="O619" s="6"/>
    </row>
    <row r="620" spans="15:15" x14ac:dyDescent="0.25">
      <c r="O620" s="6"/>
    </row>
    <row r="621" spans="15:15" x14ac:dyDescent="0.25">
      <c r="O621" s="6"/>
    </row>
    <row r="622" spans="15:15" x14ac:dyDescent="0.25">
      <c r="O622" s="6"/>
    </row>
    <row r="623" spans="15:15" x14ac:dyDescent="0.25">
      <c r="O623" s="6"/>
    </row>
    <row r="624" spans="15:15" x14ac:dyDescent="0.25">
      <c r="O624" s="6"/>
    </row>
    <row r="625" spans="15:15" x14ac:dyDescent="0.25">
      <c r="O625" s="6"/>
    </row>
    <row r="626" spans="15:15" x14ac:dyDescent="0.25">
      <c r="O626" s="6"/>
    </row>
    <row r="627" spans="15:15" x14ac:dyDescent="0.25">
      <c r="O627" s="6"/>
    </row>
    <row r="628" spans="15:15" x14ac:dyDescent="0.25">
      <c r="O628" s="6"/>
    </row>
    <row r="629" spans="15:15" x14ac:dyDescent="0.25">
      <c r="O629" s="6"/>
    </row>
    <row r="630" spans="15:15" x14ac:dyDescent="0.25">
      <c r="O630" s="6"/>
    </row>
    <row r="631" spans="15:15" x14ac:dyDescent="0.25">
      <c r="O631" s="6"/>
    </row>
    <row r="632" spans="15:15" x14ac:dyDescent="0.25">
      <c r="O632" s="6"/>
    </row>
    <row r="633" spans="15:15" x14ac:dyDescent="0.25">
      <c r="O633" s="6"/>
    </row>
    <row r="634" spans="15:15" x14ac:dyDescent="0.25">
      <c r="O634" s="6"/>
    </row>
    <row r="635" spans="15:15" x14ac:dyDescent="0.25">
      <c r="O635" s="6"/>
    </row>
    <row r="636" spans="15:15" x14ac:dyDescent="0.25">
      <c r="O636" s="6"/>
    </row>
    <row r="637" spans="15:15" x14ac:dyDescent="0.25">
      <c r="O637" s="6"/>
    </row>
    <row r="638" spans="15:15" x14ac:dyDescent="0.25">
      <c r="O638" s="6"/>
    </row>
    <row r="639" spans="15:15" x14ac:dyDescent="0.25">
      <c r="O639" s="6"/>
    </row>
    <row r="640" spans="15:15" x14ac:dyDescent="0.25">
      <c r="O640" s="6"/>
    </row>
    <row r="641" spans="15:15" x14ac:dyDescent="0.25">
      <c r="O641" s="6"/>
    </row>
    <row r="642" spans="15:15" x14ac:dyDescent="0.25">
      <c r="O642" s="6"/>
    </row>
    <row r="643" spans="15:15" x14ac:dyDescent="0.25">
      <c r="O643" s="6"/>
    </row>
    <row r="644" spans="15:15" x14ac:dyDescent="0.25">
      <c r="O644" s="6"/>
    </row>
    <row r="645" spans="15:15" x14ac:dyDescent="0.25">
      <c r="O645" s="6"/>
    </row>
    <row r="646" spans="15:15" x14ac:dyDescent="0.25">
      <c r="O646" s="6"/>
    </row>
    <row r="647" spans="15:15" x14ac:dyDescent="0.25">
      <c r="O647" s="6"/>
    </row>
    <row r="648" spans="15:15" x14ac:dyDescent="0.25">
      <c r="O648" s="6"/>
    </row>
    <row r="649" spans="15:15" x14ac:dyDescent="0.25">
      <c r="O649" s="6"/>
    </row>
    <row r="650" spans="15:15" x14ac:dyDescent="0.25">
      <c r="O650" s="6"/>
    </row>
    <row r="651" spans="15:15" x14ac:dyDescent="0.25">
      <c r="O651" s="6"/>
    </row>
    <row r="652" spans="15:15" x14ac:dyDescent="0.25">
      <c r="O652" s="6"/>
    </row>
    <row r="653" spans="15:15" x14ac:dyDescent="0.25">
      <c r="O653" s="6"/>
    </row>
    <row r="654" spans="15:15" x14ac:dyDescent="0.25">
      <c r="O654" s="6"/>
    </row>
    <row r="655" spans="15:15" x14ac:dyDescent="0.25">
      <c r="O655" s="6"/>
    </row>
    <row r="656" spans="15:15" x14ac:dyDescent="0.25">
      <c r="O656" s="6"/>
    </row>
    <row r="657" spans="15:15" x14ac:dyDescent="0.25">
      <c r="O657" s="6"/>
    </row>
    <row r="658" spans="15:15" x14ac:dyDescent="0.25">
      <c r="O658" s="6"/>
    </row>
    <row r="659" spans="15:15" x14ac:dyDescent="0.25">
      <c r="O659" s="6"/>
    </row>
    <row r="660" spans="15:15" x14ac:dyDescent="0.25">
      <c r="O660" s="6"/>
    </row>
    <row r="661" spans="15:15" x14ac:dyDescent="0.25">
      <c r="O661" s="6"/>
    </row>
    <row r="662" spans="15:15" x14ac:dyDescent="0.25">
      <c r="O662" s="6"/>
    </row>
    <row r="663" spans="15:15" x14ac:dyDescent="0.25">
      <c r="O663" s="6"/>
    </row>
    <row r="664" spans="15:15" x14ac:dyDescent="0.25">
      <c r="O664" s="6"/>
    </row>
    <row r="665" spans="15:15" x14ac:dyDescent="0.25">
      <c r="O665" s="6"/>
    </row>
    <row r="666" spans="15:15" x14ac:dyDescent="0.25">
      <c r="O666" s="6"/>
    </row>
    <row r="667" spans="15:15" x14ac:dyDescent="0.25">
      <c r="O667" s="6"/>
    </row>
    <row r="668" spans="15:15" x14ac:dyDescent="0.25">
      <c r="O668" s="6"/>
    </row>
    <row r="669" spans="15:15" x14ac:dyDescent="0.25">
      <c r="O669" s="6"/>
    </row>
    <row r="670" spans="15:15" x14ac:dyDescent="0.25">
      <c r="O670" s="6"/>
    </row>
    <row r="671" spans="15:15" x14ac:dyDescent="0.25">
      <c r="O671" s="6"/>
    </row>
    <row r="672" spans="15:15" x14ac:dyDescent="0.25">
      <c r="O672" s="6"/>
    </row>
    <row r="673" spans="15:15" x14ac:dyDescent="0.25">
      <c r="O673" s="6"/>
    </row>
    <row r="674" spans="15:15" x14ac:dyDescent="0.25">
      <c r="O674" s="6"/>
    </row>
    <row r="675" spans="15:15" x14ac:dyDescent="0.25">
      <c r="O675" s="6"/>
    </row>
    <row r="676" spans="15:15" x14ac:dyDescent="0.25">
      <c r="O676" s="6"/>
    </row>
    <row r="677" spans="15:15" x14ac:dyDescent="0.25">
      <c r="O677" s="6"/>
    </row>
    <row r="678" spans="15:15" x14ac:dyDescent="0.25">
      <c r="O678" s="6"/>
    </row>
    <row r="679" spans="15:15" x14ac:dyDescent="0.25">
      <c r="O679" s="6"/>
    </row>
    <row r="680" spans="15:15" x14ac:dyDescent="0.25">
      <c r="O680" s="6"/>
    </row>
    <row r="681" spans="15:15" x14ac:dyDescent="0.25">
      <c r="O681" s="6"/>
    </row>
    <row r="682" spans="15:15" x14ac:dyDescent="0.25">
      <c r="O682" s="6"/>
    </row>
    <row r="683" spans="15:15" x14ac:dyDescent="0.25">
      <c r="O683" s="6"/>
    </row>
    <row r="684" spans="15:15" x14ac:dyDescent="0.25">
      <c r="O684" s="6"/>
    </row>
    <row r="685" spans="15:15" x14ac:dyDescent="0.25">
      <c r="O685" s="6"/>
    </row>
    <row r="686" spans="15:15" x14ac:dyDescent="0.25">
      <c r="O686" s="6"/>
    </row>
    <row r="687" spans="15:15" x14ac:dyDescent="0.25">
      <c r="O687" s="6"/>
    </row>
    <row r="688" spans="15:15" x14ac:dyDescent="0.25">
      <c r="O688" s="6"/>
    </row>
    <row r="689" spans="15:15" x14ac:dyDescent="0.25">
      <c r="O689" s="6"/>
    </row>
    <row r="690" spans="15:15" x14ac:dyDescent="0.25">
      <c r="O690" s="6"/>
    </row>
    <row r="691" spans="15:15" x14ac:dyDescent="0.25">
      <c r="O691" s="6"/>
    </row>
    <row r="692" spans="15:15" x14ac:dyDescent="0.25">
      <c r="O692" s="6"/>
    </row>
    <row r="693" spans="15:15" x14ac:dyDescent="0.25">
      <c r="O693" s="6"/>
    </row>
    <row r="694" spans="15:15" x14ac:dyDescent="0.25">
      <c r="O694" s="6"/>
    </row>
    <row r="695" spans="15:15" x14ac:dyDescent="0.25">
      <c r="O695" s="6"/>
    </row>
    <row r="696" spans="15:15" x14ac:dyDescent="0.25">
      <c r="O696" s="6"/>
    </row>
    <row r="697" spans="15:15" x14ac:dyDescent="0.25">
      <c r="O697" s="6"/>
    </row>
    <row r="698" spans="15:15" x14ac:dyDescent="0.25">
      <c r="O698" s="6"/>
    </row>
    <row r="699" spans="15:15" x14ac:dyDescent="0.25">
      <c r="O699" s="6"/>
    </row>
    <row r="700" spans="15:15" x14ac:dyDescent="0.25">
      <c r="O700" s="6"/>
    </row>
    <row r="701" spans="15:15" x14ac:dyDescent="0.25">
      <c r="O701" s="6"/>
    </row>
    <row r="702" spans="15:15" x14ac:dyDescent="0.25">
      <c r="O702" s="6"/>
    </row>
    <row r="703" spans="15:15" x14ac:dyDescent="0.25">
      <c r="O703" s="6"/>
    </row>
    <row r="704" spans="15:15" x14ac:dyDescent="0.25">
      <c r="O704" s="6"/>
    </row>
    <row r="705" spans="15:15" x14ac:dyDescent="0.25">
      <c r="O705" s="6"/>
    </row>
    <row r="706" spans="15:15" x14ac:dyDescent="0.25">
      <c r="O706" s="6"/>
    </row>
    <row r="707" spans="15:15" x14ac:dyDescent="0.25">
      <c r="O707" s="6"/>
    </row>
    <row r="708" spans="15:15" x14ac:dyDescent="0.25">
      <c r="O708" s="6"/>
    </row>
    <row r="709" spans="15:15" x14ac:dyDescent="0.25">
      <c r="O709" s="6"/>
    </row>
    <row r="710" spans="15:15" x14ac:dyDescent="0.25">
      <c r="O710" s="6"/>
    </row>
    <row r="711" spans="15:15" x14ac:dyDescent="0.25">
      <c r="O711" s="6"/>
    </row>
    <row r="712" spans="15:15" x14ac:dyDescent="0.25">
      <c r="O712" s="6"/>
    </row>
    <row r="713" spans="15:15" x14ac:dyDescent="0.25">
      <c r="O713" s="6"/>
    </row>
    <row r="714" spans="15:15" x14ac:dyDescent="0.25">
      <c r="O714" s="6"/>
    </row>
    <row r="715" spans="15:15" x14ac:dyDescent="0.25">
      <c r="O715" s="6"/>
    </row>
    <row r="716" spans="15:15" x14ac:dyDescent="0.25">
      <c r="O716" s="6"/>
    </row>
    <row r="717" spans="15:15" x14ac:dyDescent="0.25">
      <c r="O717" s="6"/>
    </row>
    <row r="718" spans="15:15" x14ac:dyDescent="0.25">
      <c r="O718" s="6"/>
    </row>
    <row r="719" spans="15:15" x14ac:dyDescent="0.25">
      <c r="O719" s="6"/>
    </row>
    <row r="720" spans="15:15" x14ac:dyDescent="0.25">
      <c r="O720" s="6"/>
    </row>
    <row r="721" spans="15:15" x14ac:dyDescent="0.25">
      <c r="O721" s="6"/>
    </row>
    <row r="722" spans="15:15" x14ac:dyDescent="0.25">
      <c r="O722" s="6"/>
    </row>
    <row r="723" spans="15:15" x14ac:dyDescent="0.25">
      <c r="O723" s="6"/>
    </row>
    <row r="724" spans="15:15" x14ac:dyDescent="0.25">
      <c r="O724" s="6"/>
    </row>
    <row r="725" spans="15:15" x14ac:dyDescent="0.25">
      <c r="O725" s="6"/>
    </row>
    <row r="726" spans="15:15" x14ac:dyDescent="0.25">
      <c r="O726" s="6"/>
    </row>
    <row r="727" spans="15:15" x14ac:dyDescent="0.25">
      <c r="O727" s="6"/>
    </row>
    <row r="728" spans="15:15" x14ac:dyDescent="0.25">
      <c r="O728" s="6"/>
    </row>
    <row r="729" spans="15:15" x14ac:dyDescent="0.25">
      <c r="O729" s="6"/>
    </row>
    <row r="730" spans="15:15" x14ac:dyDescent="0.25">
      <c r="O730" s="6"/>
    </row>
    <row r="731" spans="15:15" x14ac:dyDescent="0.25">
      <c r="O731" s="6"/>
    </row>
    <row r="732" spans="15:15" x14ac:dyDescent="0.25">
      <c r="O732" s="6"/>
    </row>
    <row r="733" spans="15:15" x14ac:dyDescent="0.25">
      <c r="O733" s="6"/>
    </row>
    <row r="734" spans="15:15" x14ac:dyDescent="0.25">
      <c r="O734" s="6"/>
    </row>
    <row r="735" spans="15:15" x14ac:dyDescent="0.25">
      <c r="O735" s="6"/>
    </row>
    <row r="736" spans="15:15" x14ac:dyDescent="0.25">
      <c r="O736" s="6"/>
    </row>
    <row r="737" spans="15:15" x14ac:dyDescent="0.25">
      <c r="O737" s="6"/>
    </row>
    <row r="738" spans="15:15" x14ac:dyDescent="0.25">
      <c r="O738" s="6"/>
    </row>
    <row r="739" spans="15:15" x14ac:dyDescent="0.25">
      <c r="O739" s="6"/>
    </row>
    <row r="740" spans="15:15" x14ac:dyDescent="0.25">
      <c r="O740" s="6"/>
    </row>
    <row r="741" spans="15:15" x14ac:dyDescent="0.25">
      <c r="O741" s="6"/>
    </row>
    <row r="742" spans="15:15" x14ac:dyDescent="0.25">
      <c r="O742" s="6"/>
    </row>
    <row r="743" spans="15:15" x14ac:dyDescent="0.25">
      <c r="O743" s="6"/>
    </row>
    <row r="744" spans="15:15" x14ac:dyDescent="0.25">
      <c r="O744" s="6"/>
    </row>
    <row r="745" spans="15:15" x14ac:dyDescent="0.25">
      <c r="O745" s="6"/>
    </row>
    <row r="746" spans="15:15" x14ac:dyDescent="0.25">
      <c r="O746" s="6"/>
    </row>
    <row r="747" spans="15:15" x14ac:dyDescent="0.25">
      <c r="O747" s="6"/>
    </row>
    <row r="748" spans="15:15" x14ac:dyDescent="0.25">
      <c r="O748" s="6"/>
    </row>
    <row r="749" spans="15:15" x14ac:dyDescent="0.25">
      <c r="O749" s="6"/>
    </row>
    <row r="750" spans="15:15" x14ac:dyDescent="0.25">
      <c r="O750" s="6"/>
    </row>
    <row r="751" spans="15:15" x14ac:dyDescent="0.25">
      <c r="O751" s="6"/>
    </row>
    <row r="752" spans="15:15" x14ac:dyDescent="0.25">
      <c r="O752" s="6"/>
    </row>
    <row r="753" spans="15:15" x14ac:dyDescent="0.25">
      <c r="O753" s="6"/>
    </row>
    <row r="754" spans="15:15" x14ac:dyDescent="0.25">
      <c r="O754" s="6"/>
    </row>
    <row r="755" spans="15:15" x14ac:dyDescent="0.25">
      <c r="O755" s="6"/>
    </row>
    <row r="756" spans="15:15" x14ac:dyDescent="0.25">
      <c r="O756" s="6"/>
    </row>
    <row r="757" spans="15:15" x14ac:dyDescent="0.25">
      <c r="O757" s="6"/>
    </row>
    <row r="758" spans="15:15" x14ac:dyDescent="0.25">
      <c r="O758" s="6"/>
    </row>
    <row r="759" spans="15:15" x14ac:dyDescent="0.25">
      <c r="O759" s="6"/>
    </row>
    <row r="760" spans="15:15" x14ac:dyDescent="0.25">
      <c r="O760" s="6"/>
    </row>
    <row r="761" spans="15:15" x14ac:dyDescent="0.25">
      <c r="O761" s="6"/>
    </row>
    <row r="762" spans="15:15" x14ac:dyDescent="0.25">
      <c r="O762" s="6"/>
    </row>
    <row r="763" spans="15:15" x14ac:dyDescent="0.25">
      <c r="O763" s="6"/>
    </row>
    <row r="764" spans="15:15" x14ac:dyDescent="0.25">
      <c r="O764" s="6"/>
    </row>
    <row r="765" spans="15:15" x14ac:dyDescent="0.25">
      <c r="O765" s="6"/>
    </row>
    <row r="766" spans="15:15" x14ac:dyDescent="0.25">
      <c r="O766" s="6"/>
    </row>
    <row r="767" spans="15:15" x14ac:dyDescent="0.25">
      <c r="O767" s="6"/>
    </row>
    <row r="768" spans="15:15" x14ac:dyDescent="0.25">
      <c r="O768" s="6"/>
    </row>
    <row r="769" spans="15:15" x14ac:dyDescent="0.25">
      <c r="O769" s="6"/>
    </row>
    <row r="770" spans="15:15" x14ac:dyDescent="0.25">
      <c r="O770" s="6"/>
    </row>
    <row r="771" spans="15:15" x14ac:dyDescent="0.25">
      <c r="O771" s="6"/>
    </row>
    <row r="772" spans="15:15" x14ac:dyDescent="0.25">
      <c r="O772" s="6"/>
    </row>
    <row r="773" spans="15:15" x14ac:dyDescent="0.25">
      <c r="O773" s="6"/>
    </row>
    <row r="774" spans="15:15" x14ac:dyDescent="0.25">
      <c r="O774" s="6"/>
    </row>
    <row r="775" spans="15:15" x14ac:dyDescent="0.25">
      <c r="O775" s="6"/>
    </row>
    <row r="776" spans="15:15" x14ac:dyDescent="0.25">
      <c r="O776" s="6"/>
    </row>
    <row r="777" spans="15:15" x14ac:dyDescent="0.25">
      <c r="O777" s="6"/>
    </row>
    <row r="778" spans="15:15" x14ac:dyDescent="0.25">
      <c r="O778" s="6"/>
    </row>
    <row r="779" spans="15:15" x14ac:dyDescent="0.25">
      <c r="O779" s="6"/>
    </row>
    <row r="780" spans="15:15" x14ac:dyDescent="0.25">
      <c r="O780" s="6"/>
    </row>
    <row r="781" spans="15:15" x14ac:dyDescent="0.25">
      <c r="O781" s="6"/>
    </row>
    <row r="782" spans="15:15" x14ac:dyDescent="0.25">
      <c r="O782" s="6"/>
    </row>
    <row r="783" spans="15:15" x14ac:dyDescent="0.25">
      <c r="O783" s="6"/>
    </row>
    <row r="784" spans="15:15" x14ac:dyDescent="0.25">
      <c r="O784" s="6"/>
    </row>
    <row r="785" spans="15:15" x14ac:dyDescent="0.25">
      <c r="O785" s="6"/>
    </row>
    <row r="786" spans="15:15" x14ac:dyDescent="0.25">
      <c r="O786" s="6"/>
    </row>
    <row r="787" spans="15:15" x14ac:dyDescent="0.25">
      <c r="O787" s="6"/>
    </row>
    <row r="788" spans="15:15" x14ac:dyDescent="0.25">
      <c r="O788" s="6"/>
    </row>
    <row r="789" spans="15:15" x14ac:dyDescent="0.25">
      <c r="O789" s="6"/>
    </row>
    <row r="790" spans="15:15" x14ac:dyDescent="0.25">
      <c r="O790" s="6"/>
    </row>
    <row r="791" spans="15:15" x14ac:dyDescent="0.25">
      <c r="O791" s="6"/>
    </row>
    <row r="792" spans="15:15" x14ac:dyDescent="0.25">
      <c r="O792" s="6"/>
    </row>
    <row r="793" spans="15:15" x14ac:dyDescent="0.25">
      <c r="O793" s="6"/>
    </row>
    <row r="794" spans="15:15" x14ac:dyDescent="0.25">
      <c r="O794" s="6"/>
    </row>
    <row r="795" spans="15:15" x14ac:dyDescent="0.25">
      <c r="O795" s="6"/>
    </row>
    <row r="796" spans="15:15" x14ac:dyDescent="0.25">
      <c r="O796" s="6"/>
    </row>
    <row r="797" spans="15:15" x14ac:dyDescent="0.25">
      <c r="O797" s="6"/>
    </row>
    <row r="798" spans="15:15" x14ac:dyDescent="0.25">
      <c r="O798" s="6"/>
    </row>
    <row r="799" spans="15:15" x14ac:dyDescent="0.25">
      <c r="O799" s="6"/>
    </row>
    <row r="800" spans="15:15" x14ac:dyDescent="0.25">
      <c r="O800" s="6"/>
    </row>
    <row r="801" spans="15:15" x14ac:dyDescent="0.25">
      <c r="O801" s="6"/>
    </row>
    <row r="802" spans="15:15" x14ac:dyDescent="0.25">
      <c r="O802" s="6"/>
    </row>
    <row r="803" spans="15:15" x14ac:dyDescent="0.25">
      <c r="O803" s="6"/>
    </row>
    <row r="804" spans="15:15" x14ac:dyDescent="0.25">
      <c r="O804" s="6"/>
    </row>
    <row r="805" spans="15:15" x14ac:dyDescent="0.25">
      <c r="O805" s="6"/>
    </row>
    <row r="806" spans="15:15" x14ac:dyDescent="0.25">
      <c r="O806" s="6"/>
    </row>
    <row r="807" spans="15:15" x14ac:dyDescent="0.25">
      <c r="O807" s="6"/>
    </row>
    <row r="808" spans="15:15" x14ac:dyDescent="0.25">
      <c r="O808" s="6"/>
    </row>
    <row r="809" spans="15:15" x14ac:dyDescent="0.25">
      <c r="O809" s="6"/>
    </row>
    <row r="810" spans="15:15" x14ac:dyDescent="0.25">
      <c r="O810" s="6"/>
    </row>
    <row r="811" spans="15:15" x14ac:dyDescent="0.25">
      <c r="O811" s="6"/>
    </row>
    <row r="812" spans="15:15" x14ac:dyDescent="0.25">
      <c r="O812" s="6"/>
    </row>
    <row r="813" spans="15:15" x14ac:dyDescent="0.25">
      <c r="O813" s="6"/>
    </row>
    <row r="814" spans="15:15" x14ac:dyDescent="0.25">
      <c r="O814" s="6"/>
    </row>
    <row r="815" spans="15:15" x14ac:dyDescent="0.25">
      <c r="O815" s="6"/>
    </row>
    <row r="816" spans="15:15" x14ac:dyDescent="0.25">
      <c r="O816" s="6"/>
    </row>
    <row r="817" spans="15:15" x14ac:dyDescent="0.25">
      <c r="O817" s="6"/>
    </row>
    <row r="818" spans="15:15" x14ac:dyDescent="0.25">
      <c r="O818" s="6"/>
    </row>
    <row r="819" spans="15:15" x14ac:dyDescent="0.25">
      <c r="O819" s="6"/>
    </row>
    <row r="820" spans="15:15" x14ac:dyDescent="0.25">
      <c r="O820" s="6"/>
    </row>
    <row r="821" spans="15:15" x14ac:dyDescent="0.25">
      <c r="O821" s="6"/>
    </row>
    <row r="822" spans="15:15" x14ac:dyDescent="0.25">
      <c r="O822" s="6"/>
    </row>
    <row r="823" spans="15:15" x14ac:dyDescent="0.25">
      <c r="O823" s="6"/>
    </row>
    <row r="824" spans="15:15" x14ac:dyDescent="0.25">
      <c r="O824" s="6"/>
    </row>
    <row r="825" spans="15:15" x14ac:dyDescent="0.25">
      <c r="O825" s="6"/>
    </row>
    <row r="826" spans="15:15" x14ac:dyDescent="0.25">
      <c r="O826" s="6"/>
    </row>
    <row r="827" spans="15:15" x14ac:dyDescent="0.25">
      <c r="O827" s="6"/>
    </row>
    <row r="828" spans="15:15" x14ac:dyDescent="0.25">
      <c r="O828" s="6"/>
    </row>
    <row r="829" spans="15:15" x14ac:dyDescent="0.25">
      <c r="O829" s="6"/>
    </row>
    <row r="830" spans="15:15" x14ac:dyDescent="0.25">
      <c r="O830" s="6"/>
    </row>
    <row r="831" spans="15:15" x14ac:dyDescent="0.25">
      <c r="O831" s="6"/>
    </row>
    <row r="832" spans="15:15" x14ac:dyDescent="0.25">
      <c r="O832" s="6"/>
    </row>
    <row r="833" spans="15:15" x14ac:dyDescent="0.25">
      <c r="O833" s="6"/>
    </row>
    <row r="834" spans="15:15" x14ac:dyDescent="0.25">
      <c r="O834" s="6"/>
    </row>
    <row r="835" spans="15:15" x14ac:dyDescent="0.25">
      <c r="O835" s="6"/>
    </row>
    <row r="836" spans="15:15" x14ac:dyDescent="0.25">
      <c r="O836" s="6"/>
    </row>
    <row r="837" spans="15:15" x14ac:dyDescent="0.25">
      <c r="O837" s="6"/>
    </row>
    <row r="838" spans="15:15" x14ac:dyDescent="0.25">
      <c r="O838" s="6"/>
    </row>
    <row r="839" spans="15:15" x14ac:dyDescent="0.25">
      <c r="O839" s="6"/>
    </row>
    <row r="840" spans="15:15" x14ac:dyDescent="0.25">
      <c r="O840" s="6"/>
    </row>
    <row r="841" spans="15:15" x14ac:dyDescent="0.25">
      <c r="O841" s="6"/>
    </row>
    <row r="842" spans="15:15" x14ac:dyDescent="0.25">
      <c r="O842" s="6"/>
    </row>
    <row r="843" spans="15:15" x14ac:dyDescent="0.25">
      <c r="O843" s="6"/>
    </row>
    <row r="844" spans="15:15" x14ac:dyDescent="0.25">
      <c r="O844" s="6"/>
    </row>
    <row r="845" spans="15:15" x14ac:dyDescent="0.25">
      <c r="O845" s="6"/>
    </row>
    <row r="846" spans="15:15" x14ac:dyDescent="0.25">
      <c r="O846" s="6"/>
    </row>
    <row r="847" spans="15:15" x14ac:dyDescent="0.25">
      <c r="O847" s="6"/>
    </row>
    <row r="848" spans="15:15" x14ac:dyDescent="0.25">
      <c r="O848" s="6"/>
    </row>
    <row r="849" spans="15:15" x14ac:dyDescent="0.25">
      <c r="O849" s="6"/>
    </row>
    <row r="850" spans="15:15" x14ac:dyDescent="0.25">
      <c r="O850" s="6"/>
    </row>
    <row r="851" spans="15:15" x14ac:dyDescent="0.25">
      <c r="O851" s="6"/>
    </row>
    <row r="852" spans="15:15" x14ac:dyDescent="0.25">
      <c r="O852" s="6"/>
    </row>
    <row r="853" spans="15:15" x14ac:dyDescent="0.25">
      <c r="O853" s="6"/>
    </row>
    <row r="854" spans="15:15" x14ac:dyDescent="0.25">
      <c r="O854" s="6"/>
    </row>
    <row r="855" spans="15:15" x14ac:dyDescent="0.25">
      <c r="O855" s="6"/>
    </row>
    <row r="856" spans="15:15" x14ac:dyDescent="0.25">
      <c r="O856" s="6"/>
    </row>
    <row r="857" spans="15:15" x14ac:dyDescent="0.25">
      <c r="O857" s="6"/>
    </row>
    <row r="858" spans="15:15" x14ac:dyDescent="0.25">
      <c r="O858" s="6"/>
    </row>
    <row r="859" spans="15:15" x14ac:dyDescent="0.25">
      <c r="O859" s="6"/>
    </row>
    <row r="860" spans="15:15" x14ac:dyDescent="0.25">
      <c r="O860" s="6"/>
    </row>
    <row r="861" spans="15:15" x14ac:dyDescent="0.25">
      <c r="O861" s="6"/>
    </row>
    <row r="862" spans="15:15" x14ac:dyDescent="0.25">
      <c r="O862" s="6"/>
    </row>
    <row r="863" spans="15:15" x14ac:dyDescent="0.25">
      <c r="O863" s="6"/>
    </row>
    <row r="864" spans="15:15" x14ac:dyDescent="0.25">
      <c r="O864" s="6"/>
    </row>
    <row r="865" spans="15:15" x14ac:dyDescent="0.25">
      <c r="O865" s="6"/>
    </row>
    <row r="866" spans="15:15" x14ac:dyDescent="0.25">
      <c r="O866" s="6"/>
    </row>
    <row r="867" spans="15:15" x14ac:dyDescent="0.25">
      <c r="O867" s="6"/>
    </row>
    <row r="868" spans="15:15" x14ac:dyDescent="0.25">
      <c r="O868" s="6"/>
    </row>
    <row r="869" spans="15:15" x14ac:dyDescent="0.25">
      <c r="O869" s="6"/>
    </row>
    <row r="870" spans="15:15" x14ac:dyDescent="0.25">
      <c r="O870" s="6"/>
    </row>
    <row r="871" spans="15:15" x14ac:dyDescent="0.25">
      <c r="O871" s="6"/>
    </row>
    <row r="872" spans="15:15" x14ac:dyDescent="0.25">
      <c r="O872" s="6"/>
    </row>
    <row r="873" spans="15:15" x14ac:dyDescent="0.25">
      <c r="O873" s="6"/>
    </row>
    <row r="874" spans="15:15" x14ac:dyDescent="0.25">
      <c r="O874" s="6"/>
    </row>
    <row r="875" spans="15:15" x14ac:dyDescent="0.25">
      <c r="O875" s="6"/>
    </row>
    <row r="876" spans="15:15" x14ac:dyDescent="0.25">
      <c r="O876" s="6"/>
    </row>
    <row r="877" spans="15:15" x14ac:dyDescent="0.25">
      <c r="O877" s="6"/>
    </row>
    <row r="878" spans="15:15" x14ac:dyDescent="0.25">
      <c r="O878" s="6"/>
    </row>
    <row r="879" spans="15:15" x14ac:dyDescent="0.25">
      <c r="O879" s="6"/>
    </row>
    <row r="880" spans="15:15" x14ac:dyDescent="0.25">
      <c r="O880" s="6"/>
    </row>
    <row r="881" spans="15:15" x14ac:dyDescent="0.25">
      <c r="O881" s="6"/>
    </row>
    <row r="882" spans="15:15" x14ac:dyDescent="0.25">
      <c r="O882" s="6"/>
    </row>
    <row r="883" spans="15:15" x14ac:dyDescent="0.25">
      <c r="O883" s="6"/>
    </row>
    <row r="884" spans="15:15" x14ac:dyDescent="0.25">
      <c r="O884" s="6"/>
    </row>
    <row r="885" spans="15:15" x14ac:dyDescent="0.25">
      <c r="O885" s="6"/>
    </row>
    <row r="886" spans="15:15" x14ac:dyDescent="0.25">
      <c r="O886" s="6"/>
    </row>
    <row r="887" spans="15:15" x14ac:dyDescent="0.25">
      <c r="O887" s="6"/>
    </row>
    <row r="888" spans="15:15" x14ac:dyDescent="0.25">
      <c r="O888" s="6"/>
    </row>
    <row r="889" spans="15:15" x14ac:dyDescent="0.25">
      <c r="O889" s="6"/>
    </row>
    <row r="890" spans="15:15" x14ac:dyDescent="0.25">
      <c r="O890" s="6"/>
    </row>
    <row r="891" spans="15:15" x14ac:dyDescent="0.25">
      <c r="O891" s="6"/>
    </row>
    <row r="892" spans="15:15" x14ac:dyDescent="0.25">
      <c r="O892" s="6"/>
    </row>
    <row r="893" spans="15:15" x14ac:dyDescent="0.25">
      <c r="O893" s="6"/>
    </row>
    <row r="894" spans="15:15" x14ac:dyDescent="0.25">
      <c r="O894" s="6"/>
    </row>
    <row r="895" spans="15:15" x14ac:dyDescent="0.25">
      <c r="O895" s="6"/>
    </row>
    <row r="896" spans="15:15" x14ac:dyDescent="0.25">
      <c r="O896" s="6"/>
    </row>
    <row r="897" spans="15:15" x14ac:dyDescent="0.25">
      <c r="O897" s="6"/>
    </row>
    <row r="898" spans="15:15" x14ac:dyDescent="0.25">
      <c r="O898" s="6"/>
    </row>
    <row r="899" spans="15:15" x14ac:dyDescent="0.25">
      <c r="O899" s="6"/>
    </row>
    <row r="900" spans="15:15" x14ac:dyDescent="0.25">
      <c r="O900" s="6"/>
    </row>
    <row r="901" spans="15:15" x14ac:dyDescent="0.25">
      <c r="O901" s="6"/>
    </row>
    <row r="902" spans="15:15" x14ac:dyDescent="0.25">
      <c r="O902" s="6"/>
    </row>
    <row r="903" spans="15:15" x14ac:dyDescent="0.25">
      <c r="O903" s="6"/>
    </row>
    <row r="904" spans="15:15" x14ac:dyDescent="0.25">
      <c r="O904" s="6"/>
    </row>
    <row r="905" spans="15:15" x14ac:dyDescent="0.25">
      <c r="O905" s="6"/>
    </row>
    <row r="906" spans="15:15" x14ac:dyDescent="0.25">
      <c r="O906" s="6"/>
    </row>
    <row r="907" spans="15:15" x14ac:dyDescent="0.25">
      <c r="O907" s="6"/>
    </row>
    <row r="908" spans="15:15" x14ac:dyDescent="0.25">
      <c r="O908" s="6"/>
    </row>
    <row r="909" spans="15:15" x14ac:dyDescent="0.25">
      <c r="O909" s="6"/>
    </row>
    <row r="910" spans="15:15" x14ac:dyDescent="0.25">
      <c r="O910" s="6"/>
    </row>
    <row r="911" spans="15:15" x14ac:dyDescent="0.25">
      <c r="O911" s="6"/>
    </row>
    <row r="912" spans="15:15" x14ac:dyDescent="0.25">
      <c r="O912" s="6"/>
    </row>
    <row r="913" spans="15:15" x14ac:dyDescent="0.25">
      <c r="O913" s="6"/>
    </row>
    <row r="914" spans="15:15" x14ac:dyDescent="0.25">
      <c r="O914" s="6"/>
    </row>
    <row r="915" spans="15:15" x14ac:dyDescent="0.25">
      <c r="O915" s="6"/>
    </row>
    <row r="916" spans="15:15" x14ac:dyDescent="0.25">
      <c r="O916" s="6"/>
    </row>
    <row r="917" spans="15:15" x14ac:dyDescent="0.25">
      <c r="O917" s="6"/>
    </row>
    <row r="918" spans="15:15" x14ac:dyDescent="0.25">
      <c r="O918" s="6"/>
    </row>
    <row r="919" spans="15:15" x14ac:dyDescent="0.25">
      <c r="O919" s="6"/>
    </row>
    <row r="920" spans="15:15" x14ac:dyDescent="0.25">
      <c r="O920" s="6"/>
    </row>
    <row r="921" spans="15:15" x14ac:dyDescent="0.25">
      <c r="O921" s="6"/>
    </row>
    <row r="922" spans="15:15" x14ac:dyDescent="0.25">
      <c r="O922" s="6"/>
    </row>
    <row r="923" spans="15:15" x14ac:dyDescent="0.25">
      <c r="O923" s="6"/>
    </row>
    <row r="924" spans="15:15" x14ac:dyDescent="0.25">
      <c r="O924" s="6"/>
    </row>
    <row r="925" spans="15:15" x14ac:dyDescent="0.25">
      <c r="O925" s="6"/>
    </row>
    <row r="926" spans="15:15" x14ac:dyDescent="0.25">
      <c r="O926" s="6"/>
    </row>
    <row r="927" spans="15:15" x14ac:dyDescent="0.25">
      <c r="O927" s="6"/>
    </row>
    <row r="928" spans="15:15" x14ac:dyDescent="0.25">
      <c r="O928" s="6"/>
    </row>
    <row r="929" spans="15:15" x14ac:dyDescent="0.25">
      <c r="O929" s="6"/>
    </row>
    <row r="930" spans="15:15" x14ac:dyDescent="0.25">
      <c r="O930" s="6"/>
    </row>
    <row r="931" spans="15:15" x14ac:dyDescent="0.25">
      <c r="O931" s="6"/>
    </row>
    <row r="932" spans="15:15" x14ac:dyDescent="0.25">
      <c r="O932" s="6"/>
    </row>
    <row r="933" spans="15:15" x14ac:dyDescent="0.25">
      <c r="O933" s="6"/>
    </row>
    <row r="934" spans="15:15" x14ac:dyDescent="0.25">
      <c r="O934" s="6"/>
    </row>
    <row r="935" spans="15:15" x14ac:dyDescent="0.25">
      <c r="O935" s="6"/>
    </row>
    <row r="936" spans="15:15" x14ac:dyDescent="0.25">
      <c r="O936" s="6"/>
    </row>
    <row r="937" spans="15:15" x14ac:dyDescent="0.25">
      <c r="O937" s="6"/>
    </row>
    <row r="938" spans="15:15" x14ac:dyDescent="0.25">
      <c r="O938" s="6"/>
    </row>
    <row r="939" spans="15:15" x14ac:dyDescent="0.25">
      <c r="O939" s="6"/>
    </row>
    <row r="940" spans="15:15" x14ac:dyDescent="0.25">
      <c r="O940" s="6"/>
    </row>
    <row r="941" spans="15:15" x14ac:dyDescent="0.25">
      <c r="O941" s="6"/>
    </row>
    <row r="942" spans="15:15" x14ac:dyDescent="0.25">
      <c r="O942" s="6"/>
    </row>
    <row r="943" spans="15:15" x14ac:dyDescent="0.25">
      <c r="O943" s="6"/>
    </row>
    <row r="944" spans="15:15" x14ac:dyDescent="0.25">
      <c r="O944" s="6"/>
    </row>
    <row r="945" spans="15:15" x14ac:dyDescent="0.25">
      <c r="O945" s="6"/>
    </row>
    <row r="946" spans="15:15" x14ac:dyDescent="0.25">
      <c r="O946" s="6"/>
    </row>
    <row r="947" spans="15:15" x14ac:dyDescent="0.25">
      <c r="O947" s="6"/>
    </row>
    <row r="948" spans="15:15" x14ac:dyDescent="0.25">
      <c r="O948" s="6"/>
    </row>
    <row r="949" spans="15:15" x14ac:dyDescent="0.25">
      <c r="O949" s="6"/>
    </row>
    <row r="950" spans="15:15" x14ac:dyDescent="0.25">
      <c r="O950" s="6"/>
    </row>
    <row r="951" spans="15:15" x14ac:dyDescent="0.25">
      <c r="O951" s="6"/>
    </row>
    <row r="952" spans="15:15" x14ac:dyDescent="0.25">
      <c r="O952" s="6"/>
    </row>
    <row r="953" spans="15:15" x14ac:dyDescent="0.25">
      <c r="O953" s="6"/>
    </row>
    <row r="954" spans="15:15" x14ac:dyDescent="0.25">
      <c r="O954" s="6"/>
    </row>
    <row r="955" spans="15:15" x14ac:dyDescent="0.25">
      <c r="O955" s="6"/>
    </row>
    <row r="956" spans="15:15" x14ac:dyDescent="0.25">
      <c r="O956" s="6"/>
    </row>
    <row r="957" spans="15:15" x14ac:dyDescent="0.25">
      <c r="O957" s="6"/>
    </row>
    <row r="958" spans="15:15" x14ac:dyDescent="0.25">
      <c r="O958" s="6"/>
    </row>
    <row r="959" spans="15:15" x14ac:dyDescent="0.25">
      <c r="O959" s="6"/>
    </row>
    <row r="960" spans="15:15" x14ac:dyDescent="0.25">
      <c r="O960" s="6"/>
    </row>
    <row r="961" spans="15:15" x14ac:dyDescent="0.25">
      <c r="O961" s="6"/>
    </row>
    <row r="962" spans="15:15" x14ac:dyDescent="0.25">
      <c r="O962" s="6"/>
    </row>
    <row r="963" spans="15:15" x14ac:dyDescent="0.25">
      <c r="O963" s="6"/>
    </row>
    <row r="964" spans="15:15" x14ac:dyDescent="0.25">
      <c r="O964" s="6"/>
    </row>
    <row r="965" spans="15:15" x14ac:dyDescent="0.25">
      <c r="O965" s="6"/>
    </row>
    <row r="966" spans="15:15" x14ac:dyDescent="0.25">
      <c r="O966" s="6"/>
    </row>
    <row r="967" spans="15:15" x14ac:dyDescent="0.25">
      <c r="O967" s="6"/>
    </row>
    <row r="968" spans="15:15" x14ac:dyDescent="0.25">
      <c r="O968" s="6"/>
    </row>
    <row r="969" spans="15:15" x14ac:dyDescent="0.25">
      <c r="O969" s="6"/>
    </row>
    <row r="970" spans="15:15" x14ac:dyDescent="0.25">
      <c r="O970" s="6"/>
    </row>
    <row r="971" spans="15:15" x14ac:dyDescent="0.25">
      <c r="O971" s="6"/>
    </row>
    <row r="972" spans="15:15" x14ac:dyDescent="0.25">
      <c r="O972" s="6"/>
    </row>
    <row r="973" spans="15:15" x14ac:dyDescent="0.25">
      <c r="O973" s="6"/>
    </row>
    <row r="974" spans="15:15" x14ac:dyDescent="0.25">
      <c r="O974" s="6"/>
    </row>
    <row r="975" spans="15:15" x14ac:dyDescent="0.25">
      <c r="O975" s="6"/>
    </row>
    <row r="976" spans="15:15" x14ac:dyDescent="0.25">
      <c r="O976" s="6"/>
    </row>
    <row r="977" spans="15:19" x14ac:dyDescent="0.25">
      <c r="O977" s="6"/>
    </row>
    <row r="978" spans="15:19" x14ac:dyDescent="0.25">
      <c r="O978" s="6"/>
    </row>
    <row r="979" spans="15:19" x14ac:dyDescent="0.25">
      <c r="O979" s="6"/>
    </row>
    <row r="980" spans="15:19" x14ac:dyDescent="0.25">
      <c r="O980" s="6"/>
    </row>
    <row r="981" spans="15:19" x14ac:dyDescent="0.25">
      <c r="O981" s="6"/>
    </row>
    <row r="982" spans="15:19" x14ac:dyDescent="0.25">
      <c r="O982" s="6"/>
    </row>
    <row r="983" spans="15:19" ht="15.75" thickBot="1" x14ac:dyDescent="0.3">
      <c r="O983" s="6"/>
      <c r="Q983" s="14"/>
      <c r="R983" s="14"/>
      <c r="S983" s="15"/>
    </row>
    <row r="984" spans="15:19" x14ac:dyDescent="0.25">
      <c r="Q984" s="13"/>
      <c r="R984" s="6"/>
    </row>
    <row r="985" spans="15:19" x14ac:dyDescent="0.25">
      <c r="Q985" s="11"/>
      <c r="R985" s="12"/>
    </row>
    <row r="986" spans="15:19" x14ac:dyDescent="0.25">
      <c r="Q986" s="13"/>
      <c r="R986" s="6"/>
    </row>
    <row r="987" spans="15:19" x14ac:dyDescent="0.25">
      <c r="Q987" s="11"/>
      <c r="R987" s="12"/>
    </row>
    <row r="988" spans="15:19" x14ac:dyDescent="0.25">
      <c r="Q988" s="13"/>
      <c r="R988" s="6"/>
    </row>
    <row r="989" spans="15:19" x14ac:dyDescent="0.25">
      <c r="Q989" s="11"/>
      <c r="R989" s="12"/>
    </row>
    <row r="990" spans="15:19" x14ac:dyDescent="0.25">
      <c r="Q990" s="13"/>
      <c r="R990" s="6"/>
    </row>
    <row r="991" spans="15:19" x14ac:dyDescent="0.25">
      <c r="Q991" s="11"/>
      <c r="R991" s="12"/>
    </row>
    <row r="992" spans="15:19" x14ac:dyDescent="0.25">
      <c r="Q992" s="13"/>
      <c r="R992" s="6"/>
    </row>
    <row r="993" spans="17:18" x14ac:dyDescent="0.25">
      <c r="Q993" s="11"/>
      <c r="R993" s="12"/>
    </row>
    <row r="994" spans="17:18" x14ac:dyDescent="0.25">
      <c r="Q994" s="13"/>
      <c r="R994" s="6"/>
    </row>
    <row r="995" spans="17:18" x14ac:dyDescent="0.25">
      <c r="Q995" s="11"/>
      <c r="R995" s="12"/>
    </row>
    <row r="996" spans="17:18" x14ac:dyDescent="0.25">
      <c r="Q996" s="13"/>
      <c r="R996" s="6"/>
    </row>
    <row r="997" spans="17:18" x14ac:dyDescent="0.25">
      <c r="Q997" s="11"/>
      <c r="R997" s="12"/>
    </row>
    <row r="998" spans="17:18" x14ac:dyDescent="0.25">
      <c r="Q998" s="13"/>
      <c r="R998" s="6"/>
    </row>
    <row r="999" spans="17:18" x14ac:dyDescent="0.25">
      <c r="Q999" s="11"/>
      <c r="R999" s="12"/>
    </row>
    <row r="1000" spans="17:18" x14ac:dyDescent="0.25">
      <c r="Q1000" s="13"/>
      <c r="R1000" s="6"/>
    </row>
    <row r="1001" spans="17:18" x14ac:dyDescent="0.25">
      <c r="Q1001" s="11"/>
      <c r="R1001" s="12"/>
    </row>
    <row r="1002" spans="17:18" x14ac:dyDescent="0.25">
      <c r="Q1002" s="13"/>
      <c r="R1002" s="6"/>
    </row>
    <row r="1003" spans="17:18" x14ac:dyDescent="0.25">
      <c r="Q1003" s="11"/>
      <c r="R1003" s="12"/>
    </row>
    <row r="1004" spans="17:18" x14ac:dyDescent="0.25">
      <c r="Q1004" s="13"/>
      <c r="R1004" s="6"/>
    </row>
    <row r="1005" spans="17:18" x14ac:dyDescent="0.25">
      <c r="Q1005" s="11"/>
      <c r="R1005" s="12"/>
    </row>
    <row r="1006" spans="17:18" x14ac:dyDescent="0.25">
      <c r="Q1006" s="13"/>
      <c r="R1006" s="6"/>
    </row>
    <row r="1007" spans="17:18" x14ac:dyDescent="0.25">
      <c r="Q1007" s="11"/>
      <c r="R1007" s="12"/>
    </row>
    <row r="1008" spans="17:18" x14ac:dyDescent="0.25">
      <c r="Q1008" s="13"/>
      <c r="R1008" s="6"/>
    </row>
    <row r="1009" spans="17:18" x14ac:dyDescent="0.25">
      <c r="Q1009" s="11"/>
      <c r="R1009" s="12"/>
    </row>
    <row r="1010" spans="17:18" x14ac:dyDescent="0.25">
      <c r="Q1010" s="13"/>
      <c r="R1010" s="6"/>
    </row>
    <row r="1011" spans="17:18" x14ac:dyDescent="0.25">
      <c r="Q1011" s="11"/>
      <c r="R1011" s="12"/>
    </row>
    <row r="1012" spans="17:18" x14ac:dyDescent="0.25">
      <c r="Q1012" s="13"/>
      <c r="R1012" s="6"/>
    </row>
    <row r="1013" spans="17:18" x14ac:dyDescent="0.25">
      <c r="Q1013" s="11"/>
      <c r="R1013" s="12"/>
    </row>
    <row r="1014" spans="17:18" x14ac:dyDescent="0.25">
      <c r="Q1014" s="13"/>
      <c r="R1014" s="6"/>
    </row>
    <row r="1015" spans="17:18" x14ac:dyDescent="0.25">
      <c r="Q1015" s="11"/>
      <c r="R1015" s="12"/>
    </row>
    <row r="1016" spans="17:18" x14ac:dyDescent="0.25">
      <c r="Q1016" s="13"/>
      <c r="R1016" s="6"/>
    </row>
    <row r="1017" spans="17:18" x14ac:dyDescent="0.25">
      <c r="Q1017" s="11"/>
      <c r="R1017" s="12"/>
    </row>
    <row r="1018" spans="17:18" x14ac:dyDescent="0.25">
      <c r="Q1018" s="13"/>
      <c r="R1018" s="6"/>
    </row>
    <row r="1019" spans="17:18" x14ac:dyDescent="0.25">
      <c r="Q1019" s="11"/>
      <c r="R1019" s="12"/>
    </row>
    <row r="1020" spans="17:18" x14ac:dyDescent="0.25">
      <c r="Q1020" s="13"/>
      <c r="R1020" s="6"/>
    </row>
    <row r="1021" spans="17:18" x14ac:dyDescent="0.25">
      <c r="Q1021" s="11"/>
      <c r="R1021" s="12"/>
    </row>
    <row r="1022" spans="17:18" x14ac:dyDescent="0.25">
      <c r="Q1022" s="13"/>
      <c r="R1022" s="6"/>
    </row>
    <row r="1023" spans="17:18" x14ac:dyDescent="0.25">
      <c r="Q1023" s="11"/>
      <c r="R1023" s="12"/>
    </row>
    <row r="1024" spans="17:18" x14ac:dyDescent="0.25">
      <c r="Q1024" s="13"/>
      <c r="R1024" s="6"/>
    </row>
    <row r="1025" spans="17:18" x14ac:dyDescent="0.25">
      <c r="Q1025" s="11"/>
      <c r="R1025" s="12"/>
    </row>
    <row r="1026" spans="17:18" x14ac:dyDescent="0.25">
      <c r="Q1026" s="13"/>
      <c r="R1026" s="6"/>
    </row>
    <row r="1027" spans="17:18" x14ac:dyDescent="0.25">
      <c r="Q1027" s="11"/>
      <c r="R1027" s="12"/>
    </row>
    <row r="1028" spans="17:18" x14ac:dyDescent="0.25">
      <c r="Q1028" s="13"/>
      <c r="R1028" s="6"/>
    </row>
    <row r="1029" spans="17:18" x14ac:dyDescent="0.25">
      <c r="Q1029" s="11"/>
      <c r="R1029" s="12"/>
    </row>
    <row r="1030" spans="17:18" x14ac:dyDescent="0.25">
      <c r="Q1030" s="13"/>
      <c r="R1030" s="6"/>
    </row>
    <row r="1031" spans="17:18" x14ac:dyDescent="0.25">
      <c r="Q1031" s="11"/>
      <c r="R1031" s="12"/>
    </row>
    <row r="1032" spans="17:18" x14ac:dyDescent="0.25">
      <c r="Q1032" s="13"/>
      <c r="R1032" s="6"/>
    </row>
    <row r="1033" spans="17:18" x14ac:dyDescent="0.25">
      <c r="Q1033" s="11"/>
      <c r="R1033" s="12"/>
    </row>
    <row r="1034" spans="17:18" x14ac:dyDescent="0.25">
      <c r="Q1034" s="13"/>
      <c r="R1034" s="6"/>
    </row>
    <row r="1035" spans="17:18" x14ac:dyDescent="0.25">
      <c r="Q1035" s="11"/>
      <c r="R1035" s="12"/>
    </row>
    <row r="1036" spans="17:18" x14ac:dyDescent="0.25">
      <c r="Q1036" s="13"/>
      <c r="R1036" s="6"/>
    </row>
    <row r="1037" spans="17:18" x14ac:dyDescent="0.25">
      <c r="Q1037" s="11"/>
      <c r="R1037" s="12"/>
    </row>
    <row r="1038" spans="17:18" x14ac:dyDescent="0.25">
      <c r="Q1038" s="13"/>
      <c r="R1038" s="6"/>
    </row>
    <row r="1039" spans="17:18" x14ac:dyDescent="0.25">
      <c r="Q1039" s="11"/>
      <c r="R1039" s="12"/>
    </row>
    <row r="1040" spans="17:18" x14ac:dyDescent="0.25">
      <c r="Q1040" s="13"/>
      <c r="R1040" s="6"/>
    </row>
    <row r="1041" spans="17:18" x14ac:dyDescent="0.25">
      <c r="Q1041" s="11"/>
      <c r="R1041" s="12"/>
    </row>
    <row r="1042" spans="17:18" x14ac:dyDescent="0.25">
      <c r="Q1042" s="13"/>
      <c r="R1042" s="6"/>
    </row>
    <row r="1043" spans="17:18" x14ac:dyDescent="0.25">
      <c r="Q1043" s="11"/>
      <c r="R1043" s="12"/>
    </row>
    <row r="1044" spans="17:18" x14ac:dyDescent="0.25">
      <c r="Q1044" s="13"/>
      <c r="R1044" s="6"/>
    </row>
    <row r="1045" spans="17:18" x14ac:dyDescent="0.25">
      <c r="Q1045" s="11"/>
      <c r="R1045" s="12"/>
    </row>
    <row r="1046" spans="17:18" x14ac:dyDescent="0.25">
      <c r="Q1046" s="13"/>
      <c r="R1046" s="6"/>
    </row>
    <row r="1047" spans="17:18" x14ac:dyDescent="0.25">
      <c r="Q1047" s="11"/>
      <c r="R1047" s="12"/>
    </row>
    <row r="1048" spans="17:18" x14ac:dyDescent="0.25">
      <c r="Q1048" s="13"/>
      <c r="R1048" s="6"/>
    </row>
    <row r="1049" spans="17:18" x14ac:dyDescent="0.25">
      <c r="Q1049" s="11"/>
      <c r="R1049" s="12"/>
    </row>
    <row r="1050" spans="17:18" x14ac:dyDescent="0.25">
      <c r="Q1050" s="13"/>
      <c r="R1050" s="6"/>
    </row>
    <row r="1051" spans="17:18" x14ac:dyDescent="0.25">
      <c r="Q1051" s="11"/>
      <c r="R1051" s="12"/>
    </row>
    <row r="1052" spans="17:18" x14ac:dyDescent="0.25">
      <c r="Q1052" s="13"/>
      <c r="R1052" s="6"/>
    </row>
    <row r="1053" spans="17:18" x14ac:dyDescent="0.25">
      <c r="Q1053" s="11"/>
      <c r="R1053" s="12"/>
    </row>
    <row r="1054" spans="17:18" x14ac:dyDescent="0.25">
      <c r="Q1054" s="13"/>
      <c r="R1054" s="6"/>
    </row>
    <row r="1055" spans="17:18" x14ac:dyDescent="0.25">
      <c r="Q1055" s="11"/>
      <c r="R1055" s="12"/>
    </row>
    <row r="1056" spans="17:18" x14ac:dyDescent="0.25">
      <c r="Q1056" s="13"/>
      <c r="R1056" s="6"/>
    </row>
    <row r="1057" spans="17:18" x14ac:dyDescent="0.25">
      <c r="Q1057" s="11"/>
      <c r="R1057" s="12"/>
    </row>
    <row r="1058" spans="17:18" x14ac:dyDescent="0.25">
      <c r="Q1058" s="13"/>
      <c r="R1058" s="6"/>
    </row>
    <row r="1059" spans="17:18" x14ac:dyDescent="0.25">
      <c r="Q1059" s="11"/>
      <c r="R1059" s="12"/>
    </row>
    <row r="1060" spans="17:18" x14ac:dyDescent="0.25">
      <c r="Q1060" s="13"/>
      <c r="R1060" s="6"/>
    </row>
    <row r="1061" spans="17:18" x14ac:dyDescent="0.25">
      <c r="Q1061" s="11"/>
      <c r="R1061" s="12"/>
    </row>
    <row r="1062" spans="17:18" x14ac:dyDescent="0.25">
      <c r="Q1062" s="13"/>
      <c r="R1062" s="6"/>
    </row>
    <row r="1063" spans="17:18" x14ac:dyDescent="0.25">
      <c r="Q1063" s="13"/>
      <c r="R1063" s="6"/>
    </row>
    <row r="1064" spans="17:18" x14ac:dyDescent="0.25">
      <c r="Q1064" s="11"/>
      <c r="R1064" s="12"/>
    </row>
    <row r="1065" spans="17:18" x14ac:dyDescent="0.25">
      <c r="Q1065" s="13"/>
      <c r="R1065" s="6"/>
    </row>
    <row r="1066" spans="17:18" x14ac:dyDescent="0.25">
      <c r="Q1066" s="11"/>
      <c r="R1066" s="12"/>
    </row>
    <row r="1067" spans="17:18" x14ac:dyDescent="0.25">
      <c r="Q1067" s="13"/>
      <c r="R1067" s="6"/>
    </row>
    <row r="1068" spans="17:18" x14ac:dyDescent="0.25">
      <c r="Q1068" s="11"/>
      <c r="R1068" s="12"/>
    </row>
    <row r="1069" spans="17:18" x14ac:dyDescent="0.25">
      <c r="Q1069" s="13"/>
      <c r="R1069" s="6"/>
    </row>
    <row r="1070" spans="17:18" x14ac:dyDescent="0.25">
      <c r="Q1070" s="11"/>
      <c r="R1070" s="12"/>
    </row>
    <row r="1071" spans="17:18" x14ac:dyDescent="0.25">
      <c r="Q1071" s="13"/>
      <c r="R1071" s="6"/>
    </row>
    <row r="1072" spans="17:18" x14ac:dyDescent="0.25">
      <c r="Q1072" s="11"/>
      <c r="R1072" s="12"/>
    </row>
    <row r="1073" spans="17:18" x14ac:dyDescent="0.25">
      <c r="Q1073" s="13"/>
      <c r="R1073" s="6"/>
    </row>
    <row r="1074" spans="17:18" x14ac:dyDescent="0.25">
      <c r="Q1074" s="11"/>
      <c r="R1074" s="12"/>
    </row>
    <row r="1075" spans="17:18" x14ac:dyDescent="0.25">
      <c r="Q1075" s="13"/>
      <c r="R1075" s="6"/>
    </row>
    <row r="1076" spans="17:18" x14ac:dyDescent="0.25">
      <c r="Q1076" s="11"/>
      <c r="R1076" s="12"/>
    </row>
    <row r="1077" spans="17:18" x14ac:dyDescent="0.25">
      <c r="Q1077" s="13"/>
      <c r="R1077" s="6"/>
    </row>
    <row r="1078" spans="17:18" x14ac:dyDescent="0.25">
      <c r="Q1078" s="11"/>
      <c r="R1078" s="12"/>
    </row>
    <row r="1079" spans="17:18" x14ac:dyDescent="0.25">
      <c r="Q1079" s="13"/>
      <c r="R1079" s="6"/>
    </row>
    <row r="1080" spans="17:18" x14ac:dyDescent="0.25">
      <c r="Q1080" s="11"/>
      <c r="R1080" s="12"/>
    </row>
    <row r="1081" spans="17:18" x14ac:dyDescent="0.25">
      <c r="Q1081" s="13"/>
      <c r="R1081" s="6"/>
    </row>
    <row r="1082" spans="17:18" x14ac:dyDescent="0.25">
      <c r="Q1082" s="11"/>
      <c r="R1082" s="12"/>
    </row>
    <row r="1083" spans="17:18" x14ac:dyDescent="0.25">
      <c r="Q1083" s="13"/>
      <c r="R1083" s="6"/>
    </row>
    <row r="1084" spans="17:18" x14ac:dyDescent="0.25">
      <c r="Q1084" s="11"/>
      <c r="R1084" s="12"/>
    </row>
    <row r="1085" spans="17:18" x14ac:dyDescent="0.25">
      <c r="Q1085" s="13"/>
      <c r="R1085" s="6"/>
    </row>
    <row r="1086" spans="17:18" x14ac:dyDescent="0.25">
      <c r="Q1086" s="11"/>
      <c r="R1086" s="12"/>
    </row>
    <row r="1087" spans="17:18" x14ac:dyDescent="0.25">
      <c r="Q1087" s="13"/>
      <c r="R1087" s="6"/>
    </row>
    <row r="1088" spans="17:18" x14ac:dyDescent="0.25">
      <c r="Q1088" s="11"/>
      <c r="R1088" s="12"/>
    </row>
    <row r="1089" spans="17:18" x14ac:dyDescent="0.25">
      <c r="Q1089" s="13"/>
      <c r="R1089" s="6"/>
    </row>
    <row r="1090" spans="17:18" x14ac:dyDescent="0.25">
      <c r="Q1090" s="11"/>
      <c r="R1090" s="12"/>
    </row>
    <row r="1091" spans="17:18" x14ac:dyDescent="0.25">
      <c r="Q1091" s="13"/>
      <c r="R1091" s="6"/>
    </row>
    <row r="1092" spans="17:18" x14ac:dyDescent="0.25">
      <c r="Q1092" s="11"/>
      <c r="R1092" s="12"/>
    </row>
    <row r="1093" spans="17:18" x14ac:dyDescent="0.25">
      <c r="Q1093" s="13"/>
      <c r="R1093" s="6"/>
    </row>
    <row r="1094" spans="17:18" x14ac:dyDescent="0.25">
      <c r="Q1094" s="11"/>
      <c r="R1094" s="12"/>
    </row>
    <row r="1095" spans="17:18" x14ac:dyDescent="0.25">
      <c r="Q1095" s="13"/>
      <c r="R1095" s="6"/>
    </row>
    <row r="1096" spans="17:18" x14ac:dyDescent="0.25">
      <c r="Q1096" s="11"/>
      <c r="R1096" s="12"/>
    </row>
    <row r="1097" spans="17:18" x14ac:dyDescent="0.25">
      <c r="Q1097" s="13"/>
      <c r="R1097" s="6"/>
    </row>
    <row r="1098" spans="17:18" x14ac:dyDescent="0.25">
      <c r="Q1098" s="11"/>
      <c r="R1098" s="12"/>
    </row>
    <row r="1099" spans="17:18" x14ac:dyDescent="0.25">
      <c r="Q1099" s="13"/>
      <c r="R1099" s="6"/>
    </row>
    <row r="1100" spans="17:18" x14ac:dyDescent="0.25">
      <c r="Q1100" s="11"/>
      <c r="R1100" s="12"/>
    </row>
    <row r="1101" spans="17:18" x14ac:dyDescent="0.25">
      <c r="Q1101" s="13"/>
      <c r="R1101" s="6"/>
    </row>
    <row r="1102" spans="17:18" x14ac:dyDescent="0.25">
      <c r="Q1102" s="11"/>
      <c r="R1102" s="12"/>
    </row>
    <row r="1103" spans="17:18" x14ac:dyDescent="0.25">
      <c r="Q1103" s="13"/>
      <c r="R1103" s="6"/>
    </row>
    <row r="1104" spans="17:18" x14ac:dyDescent="0.25">
      <c r="Q1104" s="11"/>
      <c r="R1104" s="12"/>
    </row>
    <row r="1105" spans="17:18" x14ac:dyDescent="0.25">
      <c r="Q1105" s="13"/>
      <c r="R1105" s="6"/>
    </row>
    <row r="1106" spans="17:18" x14ac:dyDescent="0.25">
      <c r="Q1106" s="11"/>
      <c r="R1106" s="12"/>
    </row>
    <row r="1107" spans="17:18" x14ac:dyDescent="0.25">
      <c r="Q1107" s="13"/>
      <c r="R1107" s="6"/>
    </row>
    <row r="1108" spans="17:18" x14ac:dyDescent="0.25">
      <c r="Q1108" s="11"/>
      <c r="R1108" s="12"/>
    </row>
    <row r="1109" spans="17:18" x14ac:dyDescent="0.25">
      <c r="Q1109" s="13"/>
      <c r="R1109" s="6"/>
    </row>
    <row r="1110" spans="17:18" x14ac:dyDescent="0.25">
      <c r="Q1110" s="11"/>
      <c r="R1110" s="12"/>
    </row>
    <row r="1111" spans="17:18" x14ac:dyDescent="0.25">
      <c r="Q1111" s="13"/>
      <c r="R1111" s="6"/>
    </row>
    <row r="1112" spans="17:18" x14ac:dyDescent="0.25">
      <c r="Q1112" s="11"/>
      <c r="R1112" s="12"/>
    </row>
    <row r="1113" spans="17:18" x14ac:dyDescent="0.25">
      <c r="Q1113" s="13"/>
      <c r="R1113" s="6"/>
    </row>
    <row r="1114" spans="17:18" x14ac:dyDescent="0.25">
      <c r="Q1114" s="11"/>
      <c r="R1114" s="12"/>
    </row>
    <row r="1115" spans="17:18" x14ac:dyDescent="0.25">
      <c r="Q1115" s="13"/>
      <c r="R1115" s="6"/>
    </row>
    <row r="1116" spans="17:18" x14ac:dyDescent="0.25">
      <c r="Q1116" s="11"/>
      <c r="R1116" s="12"/>
    </row>
    <row r="1117" spans="17:18" x14ac:dyDescent="0.25">
      <c r="Q1117" s="13"/>
      <c r="R1117" s="6"/>
    </row>
    <row r="1118" spans="17:18" x14ac:dyDescent="0.25">
      <c r="Q1118" s="11"/>
      <c r="R1118" s="12"/>
    </row>
    <row r="1119" spans="17:18" x14ac:dyDescent="0.25">
      <c r="Q1119" s="13"/>
      <c r="R1119" s="6"/>
    </row>
    <row r="1120" spans="17:18" x14ac:dyDescent="0.25">
      <c r="Q1120" s="11"/>
      <c r="R1120" s="12"/>
    </row>
    <row r="1121" spans="17:18" x14ac:dyDescent="0.25">
      <c r="Q1121" s="13"/>
      <c r="R1121" s="6"/>
    </row>
    <row r="1122" spans="17:18" x14ac:dyDescent="0.25">
      <c r="Q1122" s="11"/>
      <c r="R1122" s="12"/>
    </row>
    <row r="1123" spans="17:18" x14ac:dyDescent="0.25">
      <c r="Q1123" s="13"/>
      <c r="R1123" s="6"/>
    </row>
    <row r="1124" spans="17:18" x14ac:dyDescent="0.25">
      <c r="Q1124" s="11"/>
      <c r="R1124" s="12"/>
    </row>
    <row r="1125" spans="17:18" x14ac:dyDescent="0.25">
      <c r="Q1125" s="13"/>
      <c r="R1125" s="6"/>
    </row>
    <row r="1126" spans="17:18" x14ac:dyDescent="0.25">
      <c r="Q1126" s="11"/>
      <c r="R1126" s="12"/>
    </row>
    <row r="1127" spans="17:18" x14ac:dyDescent="0.25">
      <c r="Q1127" s="13"/>
      <c r="R1127" s="6"/>
    </row>
    <row r="1128" spans="17:18" x14ac:dyDescent="0.25">
      <c r="Q1128" s="11"/>
      <c r="R1128" s="12"/>
    </row>
    <row r="1129" spans="17:18" x14ac:dyDescent="0.25">
      <c r="Q1129" s="13"/>
      <c r="R1129" s="6"/>
    </row>
    <row r="1130" spans="17:18" x14ac:dyDescent="0.25">
      <c r="Q1130" s="11"/>
      <c r="R1130" s="12"/>
    </row>
    <row r="1131" spans="17:18" x14ac:dyDescent="0.25">
      <c r="Q1131" s="13"/>
      <c r="R1131" s="6"/>
    </row>
    <row r="1132" spans="17:18" x14ac:dyDescent="0.25">
      <c r="Q1132" s="11"/>
      <c r="R1132" s="12"/>
    </row>
    <row r="1133" spans="17:18" x14ac:dyDescent="0.25">
      <c r="Q1133" s="13"/>
      <c r="R1133" s="6"/>
    </row>
    <row r="1134" spans="17:18" x14ac:dyDescent="0.25">
      <c r="Q1134" s="11"/>
      <c r="R1134" s="12"/>
    </row>
    <row r="1135" spans="17:18" x14ac:dyDescent="0.25">
      <c r="Q1135" s="13"/>
      <c r="R1135" s="6"/>
    </row>
    <row r="1136" spans="17:18" x14ac:dyDescent="0.25">
      <c r="Q1136" s="11"/>
      <c r="R1136" s="12"/>
    </row>
    <row r="1137" spans="17:18" x14ac:dyDescent="0.25">
      <c r="Q1137" s="13"/>
      <c r="R1137" s="6"/>
    </row>
    <row r="1138" spans="17:18" x14ac:dyDescent="0.25">
      <c r="Q1138" s="11"/>
      <c r="R1138" s="12"/>
    </row>
    <row r="1139" spans="17:18" x14ac:dyDescent="0.25">
      <c r="Q1139" s="13"/>
      <c r="R1139" s="6"/>
    </row>
    <row r="1140" spans="17:18" x14ac:dyDescent="0.25">
      <c r="Q1140" s="11"/>
      <c r="R1140" s="12"/>
    </row>
    <row r="1141" spans="17:18" x14ac:dyDescent="0.25">
      <c r="Q1141" s="13"/>
      <c r="R1141" s="6"/>
    </row>
    <row r="1142" spans="17:18" x14ac:dyDescent="0.25">
      <c r="Q1142" s="11"/>
      <c r="R1142" s="12"/>
    </row>
    <row r="1143" spans="17:18" x14ac:dyDescent="0.25">
      <c r="Q1143" s="13"/>
      <c r="R1143" s="6"/>
    </row>
    <row r="1144" spans="17:18" x14ac:dyDescent="0.25">
      <c r="Q1144" s="11"/>
      <c r="R1144" s="12"/>
    </row>
    <row r="1145" spans="17:18" x14ac:dyDescent="0.25">
      <c r="Q1145" s="13"/>
      <c r="R1145" s="6"/>
    </row>
    <row r="1146" spans="17:18" x14ac:dyDescent="0.25">
      <c r="Q1146" s="11"/>
      <c r="R1146" s="12"/>
    </row>
    <row r="1147" spans="17:18" x14ac:dyDescent="0.25">
      <c r="Q1147" s="13"/>
      <c r="R1147" s="6"/>
    </row>
    <row r="1148" spans="17:18" x14ac:dyDescent="0.25">
      <c r="Q1148" s="11"/>
      <c r="R1148" s="12"/>
    </row>
    <row r="1149" spans="17:18" x14ac:dyDescent="0.25">
      <c r="Q1149" s="13"/>
      <c r="R1149" s="6"/>
    </row>
    <row r="1150" spans="17:18" x14ac:dyDescent="0.25">
      <c r="Q1150" s="11"/>
      <c r="R1150" s="12"/>
    </row>
    <row r="1151" spans="17:18" x14ac:dyDescent="0.25">
      <c r="Q1151" s="13"/>
      <c r="R1151" s="6"/>
    </row>
    <row r="1152" spans="17:18" x14ac:dyDescent="0.25">
      <c r="Q1152" s="11"/>
      <c r="R1152" s="12"/>
    </row>
    <row r="1153" spans="17:18" x14ac:dyDescent="0.25">
      <c r="Q1153" s="13"/>
      <c r="R1153" s="6"/>
    </row>
    <row r="1154" spans="17:18" x14ac:dyDescent="0.25">
      <c r="Q1154" s="11"/>
      <c r="R1154" s="12"/>
    </row>
    <row r="1155" spans="17:18" x14ac:dyDescent="0.25">
      <c r="Q1155" s="13"/>
      <c r="R1155" s="6"/>
    </row>
    <row r="1156" spans="17:18" x14ac:dyDescent="0.25">
      <c r="Q1156" s="11"/>
      <c r="R1156" s="12"/>
    </row>
    <row r="1157" spans="17:18" x14ac:dyDescent="0.25">
      <c r="Q1157" s="13"/>
      <c r="R1157" s="6"/>
    </row>
    <row r="1158" spans="17:18" x14ac:dyDescent="0.25">
      <c r="Q1158" s="11"/>
      <c r="R1158" s="12"/>
    </row>
    <row r="1159" spans="17:18" x14ac:dyDescent="0.25">
      <c r="Q1159" s="13"/>
      <c r="R1159" s="6"/>
    </row>
    <row r="1160" spans="17:18" x14ac:dyDescent="0.25">
      <c r="Q1160" s="11"/>
      <c r="R1160" s="12"/>
    </row>
    <row r="1161" spans="17:18" x14ac:dyDescent="0.25">
      <c r="Q1161" s="13"/>
      <c r="R1161" s="6"/>
    </row>
    <row r="1162" spans="17:18" x14ac:dyDescent="0.25">
      <c r="Q1162" s="11"/>
      <c r="R1162" s="12"/>
    </row>
    <row r="1163" spans="17:18" x14ac:dyDescent="0.25">
      <c r="Q1163" s="13"/>
      <c r="R1163" s="6"/>
    </row>
    <row r="1164" spans="17:18" x14ac:dyDescent="0.25">
      <c r="Q1164" s="11"/>
      <c r="R1164" s="12"/>
    </row>
    <row r="1165" spans="17:18" x14ac:dyDescent="0.25">
      <c r="Q1165" s="13"/>
      <c r="R1165" s="6"/>
    </row>
    <row r="1166" spans="17:18" x14ac:dyDescent="0.25">
      <c r="Q1166" s="11"/>
      <c r="R1166" s="12"/>
    </row>
    <row r="1167" spans="17:18" x14ac:dyDescent="0.25">
      <c r="Q1167" s="13"/>
      <c r="R1167" s="6"/>
    </row>
    <row r="1168" spans="17:18" x14ac:dyDescent="0.25">
      <c r="Q1168" s="11"/>
      <c r="R1168" s="12"/>
    </row>
    <row r="1169" spans="17:18" x14ac:dyDescent="0.25">
      <c r="Q1169" s="13"/>
      <c r="R1169" s="6"/>
    </row>
    <row r="1170" spans="17:18" x14ac:dyDescent="0.25">
      <c r="Q1170" s="11"/>
      <c r="R1170" s="12"/>
    </row>
    <row r="1171" spans="17:18" x14ac:dyDescent="0.25">
      <c r="Q1171" s="13"/>
      <c r="R1171" s="6"/>
    </row>
    <row r="1172" spans="17:18" x14ac:dyDescent="0.25">
      <c r="Q1172" s="11"/>
      <c r="R1172" s="12"/>
    </row>
    <row r="1173" spans="17:18" x14ac:dyDescent="0.25">
      <c r="Q1173" s="13"/>
      <c r="R1173" s="6"/>
    </row>
    <row r="1174" spans="17:18" x14ac:dyDescent="0.25">
      <c r="Q1174" s="11"/>
      <c r="R1174" s="12"/>
    </row>
    <row r="1175" spans="17:18" x14ac:dyDescent="0.25">
      <c r="Q1175" s="13"/>
      <c r="R1175" s="6"/>
    </row>
    <row r="1176" spans="17:18" x14ac:dyDescent="0.25">
      <c r="Q1176" s="11"/>
      <c r="R1176" s="12"/>
    </row>
    <row r="1177" spans="17:18" x14ac:dyDescent="0.25">
      <c r="Q1177" s="13"/>
      <c r="R1177" s="6"/>
    </row>
    <row r="1178" spans="17:18" x14ac:dyDescent="0.25">
      <c r="Q1178" s="11"/>
      <c r="R1178" s="12"/>
    </row>
    <row r="1179" spans="17:18" x14ac:dyDescent="0.25">
      <c r="Q1179" s="13"/>
      <c r="R1179" s="6"/>
    </row>
    <row r="1180" spans="17:18" x14ac:dyDescent="0.25">
      <c r="Q1180" s="11"/>
      <c r="R1180" s="12"/>
    </row>
    <row r="1181" spans="17:18" x14ac:dyDescent="0.25">
      <c r="Q1181" s="13"/>
      <c r="R1181" s="6"/>
    </row>
    <row r="1182" spans="17:18" x14ac:dyDescent="0.25">
      <c r="Q1182" s="11"/>
      <c r="R1182" s="12"/>
    </row>
    <row r="1183" spans="17:18" x14ac:dyDescent="0.25">
      <c r="Q1183" s="13"/>
      <c r="R1183" s="6"/>
    </row>
    <row r="1184" spans="17:18" x14ac:dyDescent="0.25">
      <c r="Q1184" s="11"/>
      <c r="R1184" s="12"/>
    </row>
    <row r="1185" spans="17:18" x14ac:dyDescent="0.25">
      <c r="Q1185" s="13"/>
      <c r="R1185" s="6"/>
    </row>
    <row r="1186" spans="17:18" x14ac:dyDescent="0.25">
      <c r="Q1186" s="11"/>
      <c r="R1186" s="12"/>
    </row>
    <row r="1187" spans="17:18" x14ac:dyDescent="0.25">
      <c r="Q1187" s="13"/>
      <c r="R1187" s="6"/>
    </row>
    <row r="1188" spans="17:18" x14ac:dyDescent="0.25">
      <c r="Q1188" s="11"/>
      <c r="R1188" s="12"/>
    </row>
    <row r="1189" spans="17:18" x14ac:dyDescent="0.25">
      <c r="Q1189" s="13"/>
      <c r="R1189" s="6"/>
    </row>
    <row r="1190" spans="17:18" x14ac:dyDescent="0.25">
      <c r="Q1190" s="11"/>
      <c r="R1190" s="12"/>
    </row>
    <row r="1191" spans="17:18" x14ac:dyDescent="0.25">
      <c r="Q1191" s="13"/>
      <c r="R1191" s="6"/>
    </row>
    <row r="1192" spans="17:18" x14ac:dyDescent="0.25">
      <c r="Q1192" s="11"/>
      <c r="R1192" s="12"/>
    </row>
    <row r="1193" spans="17:18" x14ac:dyDescent="0.25">
      <c r="Q1193" s="13"/>
      <c r="R1193" s="6"/>
    </row>
    <row r="1194" spans="17:18" x14ac:dyDescent="0.25">
      <c r="Q1194" s="11"/>
      <c r="R1194" s="12"/>
    </row>
    <row r="1195" spans="17:18" x14ac:dyDescent="0.25">
      <c r="Q1195" s="13"/>
      <c r="R1195" s="6"/>
    </row>
    <row r="1196" spans="17:18" x14ac:dyDescent="0.25">
      <c r="Q1196" s="11"/>
      <c r="R1196" s="12"/>
    </row>
    <row r="1197" spans="17:18" x14ac:dyDescent="0.25">
      <c r="Q1197" s="13"/>
      <c r="R1197" s="6"/>
    </row>
    <row r="1198" spans="17:18" x14ac:dyDescent="0.25">
      <c r="Q1198" s="11"/>
      <c r="R1198" s="12"/>
    </row>
    <row r="1199" spans="17:18" x14ac:dyDescent="0.25">
      <c r="Q1199" s="13"/>
      <c r="R1199" s="6"/>
    </row>
    <row r="1200" spans="17:18" x14ac:dyDescent="0.25">
      <c r="Q1200" s="11"/>
      <c r="R1200" s="12"/>
    </row>
    <row r="1201" spans="17:18" x14ac:dyDescent="0.25">
      <c r="Q1201" s="13"/>
      <c r="R1201" s="6"/>
    </row>
    <row r="1202" spans="17:18" x14ac:dyDescent="0.25">
      <c r="Q1202" s="11"/>
      <c r="R1202" s="12"/>
    </row>
    <row r="1203" spans="17:18" x14ac:dyDescent="0.25">
      <c r="Q1203" s="13"/>
      <c r="R1203" s="6"/>
    </row>
    <row r="1204" spans="17:18" x14ac:dyDescent="0.25">
      <c r="Q1204" s="11"/>
      <c r="R1204" s="12"/>
    </row>
    <row r="1205" spans="17:18" x14ac:dyDescent="0.25">
      <c r="Q1205" s="13"/>
      <c r="R1205" s="6"/>
    </row>
    <row r="1206" spans="17:18" x14ac:dyDescent="0.25">
      <c r="Q1206" s="11"/>
      <c r="R1206" s="12"/>
    </row>
    <row r="1207" spans="17:18" x14ac:dyDescent="0.25">
      <c r="Q1207" s="13"/>
      <c r="R1207" s="6"/>
    </row>
    <row r="1208" spans="17:18" x14ac:dyDescent="0.25">
      <c r="Q1208" s="11"/>
      <c r="R1208" s="12"/>
    </row>
    <row r="1209" spans="17:18" x14ac:dyDescent="0.25">
      <c r="Q1209" s="13"/>
      <c r="R1209" s="6"/>
    </row>
    <row r="1210" spans="17:18" x14ac:dyDescent="0.25">
      <c r="Q1210" s="11"/>
      <c r="R1210" s="12"/>
    </row>
    <row r="1211" spans="17:18" x14ac:dyDescent="0.25">
      <c r="Q1211" s="13"/>
      <c r="R1211" s="6"/>
    </row>
    <row r="1212" spans="17:18" x14ac:dyDescent="0.25">
      <c r="Q1212" s="11"/>
      <c r="R1212" s="12"/>
    </row>
    <row r="1213" spans="17:18" x14ac:dyDescent="0.25">
      <c r="Q1213" s="13"/>
      <c r="R1213" s="6"/>
    </row>
    <row r="1214" spans="17:18" x14ac:dyDescent="0.25">
      <c r="Q1214" s="11"/>
      <c r="R1214" s="12"/>
    </row>
    <row r="1215" spans="17:18" x14ac:dyDescent="0.25">
      <c r="Q1215" s="13"/>
      <c r="R1215" s="6"/>
    </row>
    <row r="1216" spans="17:18" x14ac:dyDescent="0.25">
      <c r="Q1216" s="13"/>
      <c r="R1216" s="6"/>
    </row>
    <row r="1217" spans="17:18" x14ac:dyDescent="0.25">
      <c r="Q1217" s="13"/>
      <c r="R1217" s="6"/>
    </row>
    <row r="1218" spans="17:18" x14ac:dyDescent="0.25">
      <c r="Q1218" s="11"/>
      <c r="R1218" s="12"/>
    </row>
    <row r="1219" spans="17:18" x14ac:dyDescent="0.25">
      <c r="Q1219" s="13"/>
      <c r="R1219" s="6"/>
    </row>
    <row r="1220" spans="17:18" x14ac:dyDescent="0.25">
      <c r="Q1220" s="11"/>
      <c r="R1220" s="12"/>
    </row>
    <row r="1221" spans="17:18" x14ac:dyDescent="0.25">
      <c r="Q1221" s="13"/>
      <c r="R1221" s="6"/>
    </row>
    <row r="1222" spans="17:18" x14ac:dyDescent="0.25">
      <c r="Q1222" s="11"/>
      <c r="R1222" s="12"/>
    </row>
    <row r="1223" spans="17:18" x14ac:dyDescent="0.25">
      <c r="Q1223" s="13"/>
      <c r="R1223" s="6"/>
    </row>
    <row r="1224" spans="17:18" x14ac:dyDescent="0.25">
      <c r="Q1224" s="13"/>
      <c r="R1224" s="6"/>
    </row>
    <row r="1225" spans="17:18" x14ac:dyDescent="0.25">
      <c r="Q1225" s="13"/>
      <c r="R1225" s="6"/>
    </row>
    <row r="1226" spans="17:18" x14ac:dyDescent="0.25">
      <c r="Q1226" s="13"/>
      <c r="R1226" s="6"/>
    </row>
    <row r="1227" spans="17:18" x14ac:dyDescent="0.25">
      <c r="Q1227" s="13"/>
      <c r="R1227" s="6"/>
    </row>
    <row r="1228" spans="17:18" x14ac:dyDescent="0.25">
      <c r="Q1228" s="11"/>
      <c r="R1228" s="12"/>
    </row>
    <row r="1229" spans="17:18" x14ac:dyDescent="0.25">
      <c r="Q1229" s="13"/>
      <c r="R1229" s="6"/>
    </row>
    <row r="1230" spans="17:18" x14ac:dyDescent="0.25">
      <c r="Q1230" s="11"/>
      <c r="R1230" s="12"/>
    </row>
    <row r="1231" spans="17:18" x14ac:dyDescent="0.25">
      <c r="Q1231" s="13"/>
      <c r="R1231" s="6"/>
    </row>
    <row r="1232" spans="17:18" x14ac:dyDescent="0.25">
      <c r="Q1232" s="11"/>
      <c r="R1232" s="12"/>
    </row>
    <row r="1233" spans="17:18" x14ac:dyDescent="0.25">
      <c r="Q1233" s="13"/>
      <c r="R1233" s="6"/>
    </row>
    <row r="1234" spans="17:18" x14ac:dyDescent="0.25">
      <c r="Q1234" s="11"/>
      <c r="R1234" s="12"/>
    </row>
    <row r="1235" spans="17:18" x14ac:dyDescent="0.25">
      <c r="Q1235" s="13"/>
      <c r="R1235" s="6"/>
    </row>
    <row r="1236" spans="17:18" x14ac:dyDescent="0.25">
      <c r="Q1236" s="11"/>
      <c r="R1236" s="12"/>
    </row>
    <row r="1237" spans="17:18" x14ac:dyDescent="0.25">
      <c r="Q1237" s="13"/>
      <c r="R1237" s="6"/>
    </row>
    <row r="1238" spans="17:18" x14ac:dyDescent="0.25">
      <c r="Q1238" s="11"/>
      <c r="R1238" s="12"/>
    </row>
    <row r="1239" spans="17:18" x14ac:dyDescent="0.25">
      <c r="Q1239" s="13"/>
      <c r="R1239" s="6"/>
    </row>
    <row r="1240" spans="17:18" x14ac:dyDescent="0.25">
      <c r="Q1240" s="11"/>
      <c r="R1240" s="12"/>
    </row>
    <row r="1241" spans="17:18" x14ac:dyDescent="0.25">
      <c r="Q1241" s="13"/>
      <c r="R1241" s="6"/>
    </row>
    <row r="1242" spans="17:18" x14ac:dyDescent="0.25">
      <c r="Q1242" s="11"/>
      <c r="R1242" s="12"/>
    </row>
    <row r="1243" spans="17:18" x14ac:dyDescent="0.25">
      <c r="Q1243" s="13"/>
      <c r="R1243" s="6"/>
    </row>
    <row r="1244" spans="17:18" x14ac:dyDescent="0.25">
      <c r="Q1244" s="11"/>
      <c r="R1244" s="12"/>
    </row>
    <row r="1245" spans="17:18" x14ac:dyDescent="0.25">
      <c r="Q1245" s="13"/>
      <c r="R1245" s="6"/>
    </row>
    <row r="1246" spans="17:18" x14ac:dyDescent="0.25">
      <c r="Q1246" s="11"/>
      <c r="R1246" s="12"/>
    </row>
    <row r="1247" spans="17:18" x14ac:dyDescent="0.25">
      <c r="Q1247" s="13"/>
      <c r="R1247" s="6"/>
    </row>
    <row r="1248" spans="17:18" x14ac:dyDescent="0.25">
      <c r="Q1248" s="11"/>
      <c r="R1248" s="12"/>
    </row>
    <row r="1249" spans="17:18" x14ac:dyDescent="0.25">
      <c r="Q1249" s="13"/>
      <c r="R1249" s="6"/>
    </row>
    <row r="1250" spans="17:18" x14ac:dyDescent="0.25">
      <c r="Q1250" s="11"/>
      <c r="R1250" s="12"/>
    </row>
    <row r="1251" spans="17:18" x14ac:dyDescent="0.25">
      <c r="Q1251" s="13"/>
      <c r="R1251" s="6"/>
    </row>
    <row r="1252" spans="17:18" x14ac:dyDescent="0.25">
      <c r="Q1252" s="11"/>
      <c r="R1252" s="12"/>
    </row>
    <row r="1253" spans="17:18" x14ac:dyDescent="0.25">
      <c r="Q1253" s="13"/>
      <c r="R1253" s="6"/>
    </row>
    <row r="1254" spans="17:18" x14ac:dyDescent="0.25">
      <c r="Q1254" s="11"/>
      <c r="R1254" s="12"/>
    </row>
    <row r="1255" spans="17:18" x14ac:dyDescent="0.25">
      <c r="Q1255" s="13"/>
      <c r="R1255" s="6"/>
    </row>
    <row r="1256" spans="17:18" x14ac:dyDescent="0.25">
      <c r="Q1256" s="11"/>
      <c r="R1256" s="12"/>
    </row>
    <row r="1257" spans="17:18" x14ac:dyDescent="0.25">
      <c r="Q1257" s="13"/>
      <c r="R1257" s="6"/>
    </row>
    <row r="1258" spans="17:18" x14ac:dyDescent="0.25">
      <c r="Q1258" s="11"/>
      <c r="R1258" s="12"/>
    </row>
    <row r="1259" spans="17:18" x14ac:dyDescent="0.25">
      <c r="Q1259" s="13"/>
      <c r="R1259" s="6"/>
    </row>
    <row r="1260" spans="17:18" x14ac:dyDescent="0.25">
      <c r="Q1260" s="11"/>
      <c r="R1260" s="12"/>
    </row>
    <row r="1261" spans="17:18" x14ac:dyDescent="0.25">
      <c r="Q1261" s="13"/>
      <c r="R1261" s="6"/>
    </row>
    <row r="1262" spans="17:18" x14ac:dyDescent="0.25">
      <c r="Q1262" s="11"/>
      <c r="R1262" s="12"/>
    </row>
    <row r="1263" spans="17:18" x14ac:dyDescent="0.25">
      <c r="Q1263" s="13"/>
      <c r="R1263" s="6"/>
    </row>
    <row r="1264" spans="17:18" x14ac:dyDescent="0.25">
      <c r="Q1264" s="11"/>
      <c r="R1264" s="12"/>
    </row>
    <row r="1265" spans="17:18" x14ac:dyDescent="0.25">
      <c r="Q1265" s="13"/>
      <c r="R1265" s="6"/>
    </row>
    <row r="1266" spans="17:18" x14ac:dyDescent="0.25">
      <c r="Q1266" s="11"/>
      <c r="R1266" s="12"/>
    </row>
    <row r="1267" spans="17:18" x14ac:dyDescent="0.25">
      <c r="Q1267" s="13"/>
      <c r="R1267" s="6"/>
    </row>
    <row r="1268" spans="17:18" x14ac:dyDescent="0.25">
      <c r="Q1268" s="11"/>
      <c r="R1268" s="12"/>
    </row>
    <row r="1269" spans="17:18" x14ac:dyDescent="0.25">
      <c r="Q1269" s="13"/>
      <c r="R1269" s="6"/>
    </row>
    <row r="1270" spans="17:18" x14ac:dyDescent="0.25">
      <c r="Q1270" s="11"/>
      <c r="R1270" s="12"/>
    </row>
    <row r="1271" spans="17:18" x14ac:dyDescent="0.25">
      <c r="Q1271" s="13"/>
      <c r="R1271" s="6"/>
    </row>
    <row r="1272" spans="17:18" x14ac:dyDescent="0.25">
      <c r="Q1272" s="11"/>
      <c r="R1272" s="12"/>
    </row>
    <row r="1273" spans="17:18" x14ac:dyDescent="0.25">
      <c r="Q1273" s="13"/>
      <c r="R1273" s="6"/>
    </row>
    <row r="1274" spans="17:18" x14ac:dyDescent="0.25">
      <c r="Q1274" s="11"/>
      <c r="R1274" s="12"/>
    </row>
    <row r="1275" spans="17:18" x14ac:dyDescent="0.25">
      <c r="Q1275" s="13"/>
      <c r="R1275" s="6"/>
    </row>
    <row r="1276" spans="17:18" x14ac:dyDescent="0.25">
      <c r="Q1276" s="11"/>
      <c r="R1276" s="12"/>
    </row>
    <row r="1277" spans="17:18" x14ac:dyDescent="0.25">
      <c r="Q1277" s="13"/>
      <c r="R1277" s="6"/>
    </row>
    <row r="1278" spans="17:18" x14ac:dyDescent="0.25">
      <c r="Q1278" s="11"/>
      <c r="R1278" s="12"/>
    </row>
    <row r="1279" spans="17:18" x14ac:dyDescent="0.25">
      <c r="Q1279" s="13"/>
      <c r="R1279" s="6"/>
    </row>
    <row r="1280" spans="17:18" x14ac:dyDescent="0.25">
      <c r="Q1280" s="11"/>
      <c r="R1280" s="12"/>
    </row>
    <row r="1281" spans="17:18" x14ac:dyDescent="0.25">
      <c r="Q1281" s="13"/>
      <c r="R1281" s="6"/>
    </row>
    <row r="1282" spans="17:18" x14ac:dyDescent="0.25">
      <c r="Q1282" s="11"/>
      <c r="R1282" s="12"/>
    </row>
    <row r="1283" spans="17:18" x14ac:dyDescent="0.25">
      <c r="Q1283" s="13"/>
      <c r="R1283" s="6"/>
    </row>
    <row r="1284" spans="17:18" x14ac:dyDescent="0.25">
      <c r="Q1284" s="11"/>
      <c r="R1284" s="12"/>
    </row>
    <row r="1285" spans="17:18" x14ac:dyDescent="0.25">
      <c r="Q1285" s="13"/>
      <c r="R1285" s="6"/>
    </row>
    <row r="1286" spans="17:18" x14ac:dyDescent="0.25">
      <c r="Q1286" s="11"/>
      <c r="R1286" s="12"/>
    </row>
    <row r="1287" spans="17:18" x14ac:dyDescent="0.25">
      <c r="Q1287" s="13"/>
      <c r="R1287" s="6"/>
    </row>
    <row r="1288" spans="17:18" x14ac:dyDescent="0.25">
      <c r="Q1288" s="11"/>
      <c r="R1288" s="12"/>
    </row>
    <row r="1289" spans="17:18" x14ac:dyDescent="0.25">
      <c r="Q1289" s="13"/>
      <c r="R1289" s="6"/>
    </row>
    <row r="1290" spans="17:18" x14ac:dyDescent="0.25">
      <c r="Q1290" s="11"/>
      <c r="R1290" s="12"/>
    </row>
    <row r="1291" spans="17:18" x14ac:dyDescent="0.25">
      <c r="Q1291" s="13"/>
      <c r="R1291" s="6"/>
    </row>
    <row r="1292" spans="17:18" x14ac:dyDescent="0.25">
      <c r="Q1292" s="11"/>
      <c r="R1292" s="12"/>
    </row>
    <row r="1293" spans="17:18" x14ac:dyDescent="0.25">
      <c r="Q1293" s="13"/>
      <c r="R1293" s="6"/>
    </row>
    <row r="1294" spans="17:18" x14ac:dyDescent="0.25">
      <c r="Q1294" s="11"/>
      <c r="R1294" s="12"/>
    </row>
    <row r="1295" spans="17:18" x14ac:dyDescent="0.25">
      <c r="Q1295" s="13"/>
      <c r="R1295" s="6"/>
    </row>
    <row r="1296" spans="17:18" x14ac:dyDescent="0.25">
      <c r="Q1296" s="11"/>
      <c r="R1296" s="12"/>
    </row>
    <row r="1297" spans="17:18" x14ac:dyDescent="0.25">
      <c r="Q1297" s="13"/>
      <c r="R1297" s="6"/>
    </row>
    <row r="1298" spans="17:18" x14ac:dyDescent="0.25">
      <c r="Q1298" s="11"/>
      <c r="R1298" s="12"/>
    </row>
    <row r="1299" spans="17:18" x14ac:dyDescent="0.25">
      <c r="Q1299" s="13"/>
      <c r="R1299" s="6"/>
    </row>
    <row r="1300" spans="17:18" x14ac:dyDescent="0.25">
      <c r="Q1300" s="13"/>
      <c r="R1300" s="6"/>
    </row>
    <row r="1301" spans="17:18" x14ac:dyDescent="0.25">
      <c r="Q1301" s="11"/>
      <c r="R1301" s="12"/>
    </row>
    <row r="1302" spans="17:18" x14ac:dyDescent="0.25">
      <c r="Q1302" s="13"/>
      <c r="R1302" s="6"/>
    </row>
    <row r="1303" spans="17:18" x14ac:dyDescent="0.25">
      <c r="Q1303" s="11"/>
      <c r="R1303" s="12"/>
    </row>
    <row r="1304" spans="17:18" x14ac:dyDescent="0.25">
      <c r="Q1304" s="13"/>
      <c r="R1304" s="6"/>
    </row>
    <row r="1305" spans="17:18" x14ac:dyDescent="0.25">
      <c r="Q1305" s="11"/>
      <c r="R1305" s="12"/>
    </row>
    <row r="1306" spans="17:18" x14ac:dyDescent="0.25">
      <c r="Q1306" s="13"/>
      <c r="R1306" s="6"/>
    </row>
    <row r="1307" spans="17:18" x14ac:dyDescent="0.25">
      <c r="Q1307" s="11"/>
      <c r="R1307" s="12"/>
    </row>
    <row r="1308" spans="17:18" x14ac:dyDescent="0.25">
      <c r="Q1308" s="13"/>
      <c r="R1308" s="6"/>
    </row>
    <row r="1309" spans="17:18" x14ac:dyDescent="0.25">
      <c r="Q1309" s="11"/>
      <c r="R1309" s="12"/>
    </row>
    <row r="1310" spans="17:18" x14ac:dyDescent="0.25">
      <c r="Q1310" s="13"/>
      <c r="R1310" s="6"/>
    </row>
    <row r="1311" spans="17:18" x14ac:dyDescent="0.25">
      <c r="Q1311" s="11"/>
      <c r="R1311" s="12"/>
    </row>
    <row r="1312" spans="17:18" x14ac:dyDescent="0.25">
      <c r="Q1312" s="13"/>
      <c r="R1312" s="6"/>
    </row>
    <row r="1313" spans="17:18" x14ac:dyDescent="0.25">
      <c r="Q1313" s="13"/>
      <c r="R1313" s="6"/>
    </row>
    <row r="1314" spans="17:18" x14ac:dyDescent="0.25">
      <c r="Q1314" s="11"/>
      <c r="R1314" s="12"/>
    </row>
    <row r="1315" spans="17:18" x14ac:dyDescent="0.25">
      <c r="Q1315" s="13"/>
      <c r="R1315" s="6"/>
    </row>
    <row r="1316" spans="17:18" x14ac:dyDescent="0.25">
      <c r="Q1316" s="11"/>
      <c r="R1316" s="12"/>
    </row>
    <row r="1317" spans="17:18" x14ac:dyDescent="0.25">
      <c r="Q1317" s="13"/>
      <c r="R1317" s="6"/>
    </row>
    <row r="1318" spans="17:18" x14ac:dyDescent="0.25">
      <c r="Q1318" s="11"/>
      <c r="R1318" s="12"/>
    </row>
    <row r="1319" spans="17:18" x14ac:dyDescent="0.25">
      <c r="Q1319" s="13"/>
      <c r="R1319" s="6"/>
    </row>
    <row r="1320" spans="17:18" x14ac:dyDescent="0.25">
      <c r="Q1320" s="11"/>
      <c r="R1320" s="12"/>
    </row>
    <row r="1321" spans="17:18" x14ac:dyDescent="0.25">
      <c r="Q1321" s="13"/>
      <c r="R1321" s="6"/>
    </row>
    <row r="1322" spans="17:18" x14ac:dyDescent="0.25">
      <c r="Q1322" s="11"/>
      <c r="R1322" s="12"/>
    </row>
    <row r="1323" spans="17:18" x14ac:dyDescent="0.25">
      <c r="Q1323" s="13"/>
      <c r="R1323" s="6"/>
    </row>
    <row r="1324" spans="17:18" x14ac:dyDescent="0.25">
      <c r="Q1324" s="11"/>
      <c r="R1324" s="12"/>
    </row>
    <row r="1325" spans="17:18" x14ac:dyDescent="0.25">
      <c r="Q1325" s="13"/>
      <c r="R1325" s="6"/>
    </row>
    <row r="1326" spans="17:18" x14ac:dyDescent="0.25">
      <c r="Q1326" s="11"/>
      <c r="R1326" s="12"/>
    </row>
    <row r="1327" spans="17:18" x14ac:dyDescent="0.25">
      <c r="Q1327" s="13"/>
      <c r="R1327" s="6"/>
    </row>
    <row r="1328" spans="17:18" x14ac:dyDescent="0.25">
      <c r="Q1328" s="11"/>
      <c r="R1328" s="12"/>
    </row>
    <row r="1329" spans="17:18" x14ac:dyDescent="0.25">
      <c r="Q1329" s="13"/>
      <c r="R1329" s="6"/>
    </row>
    <row r="1330" spans="17:18" x14ac:dyDescent="0.25">
      <c r="Q1330" s="11"/>
      <c r="R1330" s="12"/>
    </row>
    <row r="1331" spans="17:18" x14ac:dyDescent="0.25">
      <c r="Q1331" s="13"/>
      <c r="R1331" s="6"/>
    </row>
    <row r="1332" spans="17:18" x14ac:dyDescent="0.25">
      <c r="Q1332" s="11"/>
      <c r="R1332" s="12"/>
    </row>
    <row r="1333" spans="17:18" x14ac:dyDescent="0.25">
      <c r="Q1333" s="13"/>
      <c r="R1333" s="6"/>
    </row>
    <row r="1334" spans="17:18" x14ac:dyDescent="0.25">
      <c r="Q1334" s="11"/>
      <c r="R1334" s="12"/>
    </row>
    <row r="1335" spans="17:18" x14ac:dyDescent="0.25">
      <c r="Q1335" s="13"/>
      <c r="R1335" s="6"/>
    </row>
    <row r="1336" spans="17:18" x14ac:dyDescent="0.25">
      <c r="Q1336" s="11"/>
      <c r="R1336" s="12"/>
    </row>
    <row r="1337" spans="17:18" x14ac:dyDescent="0.25">
      <c r="Q1337" s="13"/>
      <c r="R1337" s="6"/>
    </row>
    <row r="1338" spans="17:18" x14ac:dyDescent="0.25">
      <c r="Q1338" s="11"/>
      <c r="R1338" s="12"/>
    </row>
    <row r="1339" spans="17:18" x14ac:dyDescent="0.25">
      <c r="Q1339" s="13"/>
      <c r="R1339" s="6"/>
    </row>
    <row r="1340" spans="17:18" x14ac:dyDescent="0.25">
      <c r="Q1340" s="11"/>
      <c r="R1340" s="12"/>
    </row>
    <row r="1341" spans="17:18" x14ac:dyDescent="0.25">
      <c r="Q1341" s="13"/>
      <c r="R1341" s="6"/>
    </row>
    <row r="1342" spans="17:18" x14ac:dyDescent="0.25">
      <c r="Q1342" s="11"/>
      <c r="R1342" s="12"/>
    </row>
    <row r="1343" spans="17:18" x14ac:dyDescent="0.25">
      <c r="Q1343" s="13"/>
      <c r="R1343" s="6"/>
    </row>
    <row r="1344" spans="17:18" x14ac:dyDescent="0.25">
      <c r="Q1344" s="11"/>
      <c r="R1344" s="12"/>
    </row>
    <row r="1345" spans="17:18" x14ac:dyDescent="0.25">
      <c r="Q1345" s="13"/>
      <c r="R1345" s="6"/>
    </row>
    <row r="1346" spans="17:18" x14ac:dyDescent="0.25">
      <c r="Q1346" s="11"/>
      <c r="R1346" s="12"/>
    </row>
    <row r="1347" spans="17:18" x14ac:dyDescent="0.25">
      <c r="Q1347" s="13"/>
      <c r="R1347" s="6"/>
    </row>
    <row r="1348" spans="17:18" x14ac:dyDescent="0.25">
      <c r="Q1348" s="11"/>
      <c r="R1348" s="12"/>
    </row>
    <row r="1349" spans="17:18" x14ac:dyDescent="0.25">
      <c r="Q1349" s="13"/>
      <c r="R1349" s="6"/>
    </row>
    <row r="1350" spans="17:18" x14ac:dyDescent="0.25">
      <c r="Q1350" s="11"/>
      <c r="R1350" s="12"/>
    </row>
    <row r="1351" spans="17:18" x14ac:dyDescent="0.25">
      <c r="Q1351" s="13"/>
      <c r="R1351" s="6"/>
    </row>
    <row r="1352" spans="17:18" x14ac:dyDescent="0.25">
      <c r="Q1352" s="11"/>
      <c r="R1352" s="12"/>
    </row>
    <row r="1353" spans="17:18" x14ac:dyDescent="0.25">
      <c r="Q1353" s="13"/>
      <c r="R1353" s="6"/>
    </row>
    <row r="1354" spans="17:18" x14ac:dyDescent="0.25">
      <c r="Q1354" s="11"/>
      <c r="R1354" s="12"/>
    </row>
    <row r="1355" spans="17:18" x14ac:dyDescent="0.25">
      <c r="Q1355" s="13"/>
      <c r="R1355" s="6"/>
    </row>
    <row r="1356" spans="17:18" x14ac:dyDescent="0.25">
      <c r="Q1356" s="11"/>
      <c r="R1356" s="12"/>
    </row>
    <row r="1357" spans="17:18" x14ac:dyDescent="0.25">
      <c r="Q1357" s="13"/>
      <c r="R1357" s="6"/>
    </row>
    <row r="1358" spans="17:18" x14ac:dyDescent="0.25">
      <c r="Q1358" s="11"/>
      <c r="R1358" s="12"/>
    </row>
    <row r="1359" spans="17:18" x14ac:dyDescent="0.25">
      <c r="Q1359" s="13"/>
      <c r="R1359" s="6"/>
    </row>
    <row r="1360" spans="17:18" x14ac:dyDescent="0.25">
      <c r="Q1360" s="11"/>
      <c r="R1360" s="12"/>
    </row>
    <row r="1361" spans="17:18" x14ac:dyDescent="0.25">
      <c r="Q1361" s="13"/>
      <c r="R1361" s="6"/>
    </row>
    <row r="1362" spans="17:18" x14ac:dyDescent="0.25">
      <c r="Q1362" s="11"/>
      <c r="R1362" s="12"/>
    </row>
    <row r="1363" spans="17:18" x14ac:dyDescent="0.25">
      <c r="Q1363" s="13"/>
      <c r="R1363" s="6"/>
    </row>
    <row r="1364" spans="17:18" x14ac:dyDescent="0.25">
      <c r="Q1364" s="11"/>
      <c r="R1364" s="12"/>
    </row>
    <row r="1365" spans="17:18" x14ac:dyDescent="0.25">
      <c r="Q1365" s="13"/>
      <c r="R1365" s="6"/>
    </row>
    <row r="1366" spans="17:18" x14ac:dyDescent="0.25">
      <c r="Q1366" s="11"/>
      <c r="R1366" s="12"/>
    </row>
    <row r="1367" spans="17:18" x14ac:dyDescent="0.25">
      <c r="Q1367" s="13"/>
      <c r="R1367" s="6"/>
    </row>
    <row r="1368" spans="17:18" x14ac:dyDescent="0.25">
      <c r="Q1368" s="11"/>
      <c r="R1368" s="12"/>
    </row>
    <row r="1369" spans="17:18" x14ac:dyDescent="0.25">
      <c r="Q1369" s="13"/>
      <c r="R1369" s="6"/>
    </row>
    <row r="1370" spans="17:18" x14ac:dyDescent="0.25">
      <c r="Q1370" s="11"/>
      <c r="R1370" s="12"/>
    </row>
    <row r="1371" spans="17:18" x14ac:dyDescent="0.25">
      <c r="Q1371" s="13"/>
      <c r="R1371" s="6"/>
    </row>
    <row r="1372" spans="17:18" x14ac:dyDescent="0.25">
      <c r="Q1372" s="11"/>
      <c r="R1372" s="12"/>
    </row>
    <row r="1373" spans="17:18" x14ac:dyDescent="0.25">
      <c r="Q1373" s="13"/>
      <c r="R1373" s="6"/>
    </row>
    <row r="1374" spans="17:18" x14ac:dyDescent="0.25">
      <c r="Q1374" s="11"/>
      <c r="R1374" s="12"/>
    </row>
    <row r="1375" spans="17:18" x14ac:dyDescent="0.25">
      <c r="Q1375" s="13"/>
      <c r="R1375" s="6"/>
    </row>
    <row r="1376" spans="17:18" x14ac:dyDescent="0.25">
      <c r="Q1376" s="11"/>
      <c r="R1376" s="12"/>
    </row>
    <row r="1377" spans="17:18" x14ac:dyDescent="0.25">
      <c r="Q1377" s="13"/>
      <c r="R1377" s="6"/>
    </row>
    <row r="1378" spans="17:18" x14ac:dyDescent="0.25">
      <c r="Q1378" s="11"/>
      <c r="R1378" s="12"/>
    </row>
    <row r="1379" spans="17:18" x14ac:dyDescent="0.25">
      <c r="Q1379" s="13"/>
      <c r="R1379" s="6"/>
    </row>
    <row r="1380" spans="17:18" x14ac:dyDescent="0.25">
      <c r="Q1380" s="11"/>
      <c r="R1380" s="12"/>
    </row>
    <row r="1381" spans="17:18" x14ac:dyDescent="0.25">
      <c r="Q1381" s="13"/>
      <c r="R1381" s="6"/>
    </row>
    <row r="1382" spans="17:18" x14ac:dyDescent="0.25">
      <c r="Q1382" s="11"/>
      <c r="R1382" s="12"/>
    </row>
    <row r="1383" spans="17:18" x14ac:dyDescent="0.25">
      <c r="Q1383" s="13"/>
      <c r="R1383" s="6"/>
    </row>
    <row r="1384" spans="17:18" x14ac:dyDescent="0.25">
      <c r="Q1384" s="11"/>
      <c r="R1384" s="12"/>
    </row>
    <row r="1385" spans="17:18" x14ac:dyDescent="0.25">
      <c r="Q1385" s="13"/>
      <c r="R1385" s="6"/>
    </row>
    <row r="1386" spans="17:18" x14ac:dyDescent="0.25">
      <c r="Q1386" s="11"/>
      <c r="R1386" s="12"/>
    </row>
    <row r="1387" spans="17:18" x14ac:dyDescent="0.25">
      <c r="Q1387" s="13"/>
      <c r="R1387" s="6"/>
    </row>
    <row r="1388" spans="17:18" x14ac:dyDescent="0.25">
      <c r="Q1388" s="11"/>
      <c r="R1388" s="12"/>
    </row>
    <row r="1389" spans="17:18" x14ac:dyDescent="0.25">
      <c r="Q1389" s="13"/>
      <c r="R1389" s="6"/>
    </row>
    <row r="1390" spans="17:18" x14ac:dyDescent="0.25">
      <c r="Q1390" s="11"/>
      <c r="R1390" s="12"/>
    </row>
    <row r="1391" spans="17:18" x14ac:dyDescent="0.25">
      <c r="Q1391" s="13"/>
      <c r="R1391" s="6"/>
    </row>
    <row r="1392" spans="17:18" x14ac:dyDescent="0.25">
      <c r="Q1392" s="11"/>
      <c r="R1392" s="12"/>
    </row>
    <row r="1393" spans="17:18" x14ac:dyDescent="0.25">
      <c r="Q1393" s="13"/>
      <c r="R1393" s="6"/>
    </row>
    <row r="1394" spans="17:18" x14ac:dyDescent="0.25">
      <c r="Q1394" s="11"/>
      <c r="R1394" s="12"/>
    </row>
    <row r="1395" spans="17:18" x14ac:dyDescent="0.25">
      <c r="Q1395" s="13"/>
      <c r="R1395" s="6"/>
    </row>
    <row r="1396" spans="17:18" x14ac:dyDescent="0.25">
      <c r="Q1396" s="11"/>
      <c r="R1396" s="12"/>
    </row>
    <row r="1397" spans="17:18" x14ac:dyDescent="0.25">
      <c r="Q1397" s="13"/>
      <c r="R1397" s="6"/>
    </row>
    <row r="1398" spans="17:18" x14ac:dyDescent="0.25">
      <c r="Q1398" s="11"/>
      <c r="R1398" s="12"/>
    </row>
    <row r="1399" spans="17:18" x14ac:dyDescent="0.25">
      <c r="Q1399" s="13"/>
      <c r="R1399" s="6"/>
    </row>
    <row r="1400" spans="17:18" x14ac:dyDescent="0.25">
      <c r="Q1400" s="11"/>
      <c r="R1400" s="12"/>
    </row>
    <row r="1401" spans="17:18" x14ac:dyDescent="0.25">
      <c r="Q1401" s="13"/>
      <c r="R1401" s="6"/>
    </row>
    <row r="1402" spans="17:18" x14ac:dyDescent="0.25">
      <c r="Q1402" s="11"/>
      <c r="R1402" s="12"/>
    </row>
    <row r="1403" spans="17:18" x14ac:dyDescent="0.25">
      <c r="Q1403" s="13"/>
      <c r="R1403" s="6"/>
    </row>
    <row r="1404" spans="17:18" x14ac:dyDescent="0.25">
      <c r="Q1404" s="13"/>
      <c r="R1404" s="6"/>
    </row>
    <row r="1405" spans="17:18" x14ac:dyDescent="0.25">
      <c r="Q1405" s="13"/>
      <c r="R1405" s="6"/>
    </row>
    <row r="1406" spans="17:18" x14ac:dyDescent="0.25">
      <c r="Q1406" s="11"/>
      <c r="R1406" s="12"/>
    </row>
    <row r="1407" spans="17:18" x14ac:dyDescent="0.25">
      <c r="Q1407" s="13"/>
      <c r="R1407" s="6"/>
    </row>
    <row r="1408" spans="17:18" x14ac:dyDescent="0.25">
      <c r="Q1408" s="11"/>
      <c r="R1408" s="12"/>
    </row>
    <row r="1409" spans="17:18" x14ac:dyDescent="0.25">
      <c r="Q1409" s="13"/>
      <c r="R1409" s="6"/>
    </row>
    <row r="1410" spans="17:18" x14ac:dyDescent="0.25">
      <c r="Q1410" s="11"/>
      <c r="R1410" s="12"/>
    </row>
    <row r="1411" spans="17:18" x14ac:dyDescent="0.25">
      <c r="Q1411" s="13"/>
      <c r="R1411" s="6"/>
    </row>
    <row r="1412" spans="17:18" x14ac:dyDescent="0.25">
      <c r="Q1412" s="11"/>
      <c r="R1412" s="12"/>
    </row>
    <row r="1413" spans="17:18" x14ac:dyDescent="0.25">
      <c r="Q1413" s="13"/>
      <c r="R1413" s="6"/>
    </row>
    <row r="1414" spans="17:18" x14ac:dyDescent="0.25">
      <c r="Q1414" s="11"/>
      <c r="R1414" s="12"/>
    </row>
    <row r="1415" spans="17:18" x14ac:dyDescent="0.25">
      <c r="Q1415" s="13"/>
      <c r="R1415" s="6"/>
    </row>
    <row r="1416" spans="17:18" x14ac:dyDescent="0.25">
      <c r="Q1416" s="11"/>
      <c r="R1416" s="12"/>
    </row>
    <row r="1417" spans="17:18" x14ac:dyDescent="0.25">
      <c r="Q1417" s="13"/>
      <c r="R1417" s="6"/>
    </row>
    <row r="1418" spans="17:18" x14ac:dyDescent="0.25">
      <c r="Q1418" s="11"/>
      <c r="R1418" s="12"/>
    </row>
    <row r="1419" spans="17:18" x14ac:dyDescent="0.25">
      <c r="Q1419" s="13"/>
      <c r="R1419" s="6"/>
    </row>
    <row r="1420" spans="17:18" x14ac:dyDescent="0.25">
      <c r="Q1420" s="11"/>
      <c r="R1420" s="12"/>
    </row>
    <row r="1421" spans="17:18" x14ac:dyDescent="0.25">
      <c r="Q1421" s="13"/>
      <c r="R1421" s="6"/>
    </row>
    <row r="1422" spans="17:18" x14ac:dyDescent="0.25">
      <c r="Q1422" s="11"/>
      <c r="R1422" s="12"/>
    </row>
    <row r="1423" spans="17:18" x14ac:dyDescent="0.25">
      <c r="Q1423" s="13"/>
      <c r="R1423" s="6"/>
    </row>
    <row r="1424" spans="17:18" x14ac:dyDescent="0.25">
      <c r="Q1424" s="11"/>
      <c r="R1424" s="12"/>
    </row>
    <row r="1425" spans="17:18" x14ac:dyDescent="0.25">
      <c r="Q1425" s="13"/>
      <c r="R1425" s="6"/>
    </row>
    <row r="1426" spans="17:18" x14ac:dyDescent="0.25">
      <c r="Q1426" s="11"/>
      <c r="R1426" s="12"/>
    </row>
    <row r="1427" spans="17:18" x14ac:dyDescent="0.25">
      <c r="Q1427" s="13"/>
      <c r="R1427" s="6"/>
    </row>
    <row r="1428" spans="17:18" x14ac:dyDescent="0.25">
      <c r="Q1428" s="11"/>
      <c r="R1428" s="12"/>
    </row>
    <row r="1429" spans="17:18" x14ac:dyDescent="0.25">
      <c r="Q1429" s="13"/>
      <c r="R1429" s="6"/>
    </row>
    <row r="1430" spans="17:18" x14ac:dyDescent="0.25">
      <c r="Q1430" s="11"/>
      <c r="R1430" s="12"/>
    </row>
    <row r="1431" spans="17:18" x14ac:dyDescent="0.25">
      <c r="Q1431" s="13"/>
      <c r="R1431" s="6"/>
    </row>
    <row r="1432" spans="17:18" x14ac:dyDescent="0.25">
      <c r="Q1432" s="11"/>
      <c r="R1432" s="12"/>
    </row>
    <row r="1433" spans="17:18" x14ac:dyDescent="0.25">
      <c r="Q1433" s="13"/>
      <c r="R1433" s="6"/>
    </row>
    <row r="1434" spans="17:18" x14ac:dyDescent="0.25">
      <c r="Q1434" s="11"/>
      <c r="R1434" s="12"/>
    </row>
    <row r="1435" spans="17:18" x14ac:dyDescent="0.25">
      <c r="Q1435" s="13"/>
      <c r="R1435" s="6"/>
    </row>
    <row r="1436" spans="17:18" x14ac:dyDescent="0.25">
      <c r="Q1436" s="11"/>
      <c r="R1436" s="12"/>
    </row>
    <row r="1437" spans="17:18" x14ac:dyDescent="0.25">
      <c r="Q1437" s="13"/>
      <c r="R1437" s="6"/>
    </row>
    <row r="1438" spans="17:18" x14ac:dyDescent="0.25">
      <c r="Q1438" s="11"/>
      <c r="R1438" s="12"/>
    </row>
    <row r="1439" spans="17:18" x14ac:dyDescent="0.25">
      <c r="Q1439" s="13"/>
      <c r="R1439" s="6"/>
    </row>
    <row r="1440" spans="17:18" x14ac:dyDescent="0.25">
      <c r="Q1440" s="11"/>
      <c r="R1440" s="12"/>
    </row>
    <row r="1441" spans="17:18" x14ac:dyDescent="0.25">
      <c r="Q1441" s="13"/>
      <c r="R1441" s="6"/>
    </row>
    <row r="1442" spans="17:18" x14ac:dyDescent="0.25">
      <c r="Q1442" s="11"/>
      <c r="R1442" s="12"/>
    </row>
    <row r="1443" spans="17:18" x14ac:dyDescent="0.25">
      <c r="Q1443" s="13"/>
      <c r="R1443" s="6"/>
    </row>
    <row r="1444" spans="17:18" x14ac:dyDescent="0.25">
      <c r="Q1444" s="11"/>
      <c r="R1444" s="12"/>
    </row>
    <row r="1445" spans="17:18" x14ac:dyDescent="0.25">
      <c r="Q1445" s="13"/>
      <c r="R1445" s="6"/>
    </row>
    <row r="1446" spans="17:18" x14ac:dyDescent="0.25">
      <c r="Q1446" s="11"/>
      <c r="R1446" s="12"/>
    </row>
    <row r="1447" spans="17:18" x14ac:dyDescent="0.25">
      <c r="Q1447" s="13"/>
      <c r="R1447" s="6"/>
    </row>
    <row r="1448" spans="17:18" x14ac:dyDescent="0.25">
      <c r="Q1448" s="11"/>
      <c r="R1448" s="12"/>
    </row>
    <row r="1449" spans="17:18" x14ac:dyDescent="0.25">
      <c r="Q1449" s="13"/>
      <c r="R1449" s="6"/>
    </row>
    <row r="1450" spans="17:18" x14ac:dyDescent="0.25">
      <c r="Q1450" s="11"/>
      <c r="R1450" s="12"/>
    </row>
    <row r="1451" spans="17:18" x14ac:dyDescent="0.25">
      <c r="Q1451" s="13"/>
      <c r="R1451" s="6"/>
    </row>
    <row r="1452" spans="17:18" x14ac:dyDescent="0.25">
      <c r="Q1452" s="11"/>
      <c r="R1452" s="12"/>
    </row>
    <row r="1453" spans="17:18" x14ac:dyDescent="0.25">
      <c r="Q1453" s="13"/>
      <c r="R1453" s="6"/>
    </row>
    <row r="1454" spans="17:18" x14ac:dyDescent="0.25">
      <c r="Q1454" s="11"/>
      <c r="R1454" s="12"/>
    </row>
    <row r="1455" spans="17:18" x14ac:dyDescent="0.25">
      <c r="Q1455" s="13"/>
      <c r="R1455" s="6"/>
    </row>
    <row r="1456" spans="17:18" x14ac:dyDescent="0.25">
      <c r="Q1456" s="11"/>
      <c r="R1456" s="12"/>
    </row>
    <row r="1457" spans="17:18" x14ac:dyDescent="0.25">
      <c r="Q1457" s="13"/>
      <c r="R1457" s="6"/>
    </row>
    <row r="1458" spans="17:18" x14ac:dyDescent="0.25">
      <c r="Q1458" s="11"/>
      <c r="R1458" s="12"/>
    </row>
    <row r="1459" spans="17:18" x14ac:dyDescent="0.25">
      <c r="Q1459" s="13"/>
      <c r="R1459" s="6"/>
    </row>
    <row r="1460" spans="17:18" x14ac:dyDescent="0.25">
      <c r="Q1460" s="11"/>
      <c r="R1460" s="12"/>
    </row>
    <row r="1461" spans="17:18" x14ac:dyDescent="0.25">
      <c r="Q1461" s="13"/>
      <c r="R1461" s="6"/>
    </row>
    <row r="1462" spans="17:18" x14ac:dyDescent="0.25">
      <c r="Q1462" s="11"/>
      <c r="R1462" s="12"/>
    </row>
    <row r="1463" spans="17:18" x14ac:dyDescent="0.25">
      <c r="Q1463" s="13"/>
      <c r="R1463" s="6"/>
    </row>
    <row r="1464" spans="17:18" x14ac:dyDescent="0.25">
      <c r="Q1464" s="11"/>
      <c r="R1464" s="12"/>
    </row>
    <row r="1465" spans="17:18" x14ac:dyDescent="0.25">
      <c r="Q1465" s="13"/>
      <c r="R1465" s="6"/>
    </row>
    <row r="1466" spans="17:18" x14ac:dyDescent="0.25">
      <c r="Q1466" s="11"/>
      <c r="R1466" s="12"/>
    </row>
    <row r="1467" spans="17:18" x14ac:dyDescent="0.25">
      <c r="Q1467" s="13"/>
      <c r="R1467" s="6"/>
    </row>
    <row r="1468" spans="17:18" x14ac:dyDescent="0.25">
      <c r="Q1468" s="11"/>
      <c r="R1468" s="12"/>
    </row>
    <row r="1469" spans="17:18" x14ac:dyDescent="0.25">
      <c r="Q1469" s="13"/>
      <c r="R1469" s="6"/>
    </row>
    <row r="1470" spans="17:18" x14ac:dyDescent="0.25">
      <c r="Q1470" s="11"/>
      <c r="R1470" s="12"/>
    </row>
    <row r="1471" spans="17:18" x14ac:dyDescent="0.25">
      <c r="Q1471" s="13"/>
      <c r="R1471" s="6"/>
    </row>
    <row r="1472" spans="17:18" x14ac:dyDescent="0.25">
      <c r="Q1472" s="11"/>
      <c r="R1472" s="12"/>
    </row>
    <row r="1473" spans="17:18" x14ac:dyDescent="0.25">
      <c r="Q1473" s="13"/>
      <c r="R1473" s="6"/>
    </row>
    <row r="1474" spans="17:18" x14ac:dyDescent="0.25">
      <c r="Q1474" s="11"/>
      <c r="R1474" s="12"/>
    </row>
    <row r="1475" spans="17:18" x14ac:dyDescent="0.25">
      <c r="Q1475" s="13"/>
      <c r="R1475" s="6"/>
    </row>
    <row r="1476" spans="17:18" x14ac:dyDescent="0.25">
      <c r="Q1476" s="11"/>
      <c r="R1476" s="12"/>
    </row>
    <row r="1477" spans="17:18" x14ac:dyDescent="0.25">
      <c r="Q1477" s="13"/>
      <c r="R1477" s="6"/>
    </row>
    <row r="1478" spans="17:18" x14ac:dyDescent="0.25">
      <c r="Q1478" s="11"/>
      <c r="R1478" s="12"/>
    </row>
    <row r="1479" spans="17:18" x14ac:dyDescent="0.25">
      <c r="Q1479" s="13"/>
      <c r="R1479" s="6"/>
    </row>
    <row r="1480" spans="17:18" x14ac:dyDescent="0.25">
      <c r="Q1480" s="11"/>
      <c r="R1480" s="12"/>
    </row>
    <row r="1481" spans="17:18" x14ac:dyDescent="0.25">
      <c r="Q1481" s="13"/>
      <c r="R1481" s="6"/>
    </row>
    <row r="1482" spans="17:18" x14ac:dyDescent="0.25">
      <c r="Q1482" s="11"/>
      <c r="R1482" s="12"/>
    </row>
    <row r="1483" spans="17:18" x14ac:dyDescent="0.25">
      <c r="Q1483" s="13"/>
      <c r="R1483" s="6"/>
    </row>
    <row r="1484" spans="17:18" x14ac:dyDescent="0.25">
      <c r="Q1484" s="11"/>
      <c r="R1484" s="12"/>
    </row>
    <row r="1485" spans="17:18" x14ac:dyDescent="0.25">
      <c r="Q1485" s="13"/>
      <c r="R1485" s="6"/>
    </row>
    <row r="1486" spans="17:18" x14ac:dyDescent="0.25">
      <c r="Q1486" s="11"/>
      <c r="R1486" s="12"/>
    </row>
    <row r="1487" spans="17:18" x14ac:dyDescent="0.25">
      <c r="Q1487" s="13"/>
      <c r="R1487" s="6"/>
    </row>
    <row r="1488" spans="17:18" x14ac:dyDescent="0.25">
      <c r="Q1488" s="11"/>
      <c r="R1488" s="12"/>
    </row>
    <row r="1489" spans="17:18" x14ac:dyDescent="0.25">
      <c r="Q1489" s="13"/>
      <c r="R1489" s="6"/>
    </row>
    <row r="1490" spans="17:18" x14ac:dyDescent="0.25">
      <c r="Q1490" s="11"/>
      <c r="R1490" s="12"/>
    </row>
    <row r="1491" spans="17:18" x14ac:dyDescent="0.25">
      <c r="Q1491" s="13"/>
      <c r="R1491" s="6"/>
    </row>
    <row r="1492" spans="17:18" x14ac:dyDescent="0.25">
      <c r="Q1492" s="11"/>
      <c r="R1492" s="12"/>
    </row>
    <row r="1493" spans="17:18" x14ac:dyDescent="0.25">
      <c r="Q1493" s="13"/>
      <c r="R1493" s="6"/>
    </row>
    <row r="1494" spans="17:18" x14ac:dyDescent="0.25">
      <c r="Q1494" s="11"/>
      <c r="R1494" s="12"/>
    </row>
    <row r="1495" spans="17:18" x14ac:dyDescent="0.25">
      <c r="Q1495" s="13"/>
      <c r="R1495" s="6"/>
    </row>
    <row r="1496" spans="17:18" x14ac:dyDescent="0.25">
      <c r="Q1496" s="11"/>
      <c r="R1496" s="12"/>
    </row>
    <row r="1497" spans="17:18" x14ac:dyDescent="0.25">
      <c r="Q1497" s="13"/>
      <c r="R1497" s="6"/>
    </row>
    <row r="1498" spans="17:18" x14ac:dyDescent="0.25">
      <c r="Q1498" s="11"/>
      <c r="R1498" s="12"/>
    </row>
    <row r="1499" spans="17:18" x14ac:dyDescent="0.25">
      <c r="Q1499" s="13"/>
      <c r="R1499" s="6"/>
    </row>
    <row r="1500" spans="17:18" x14ac:dyDescent="0.25">
      <c r="Q1500" s="11"/>
      <c r="R1500" s="12"/>
    </row>
    <row r="1501" spans="17:18" x14ac:dyDescent="0.25">
      <c r="Q1501" s="13"/>
      <c r="R1501" s="6"/>
    </row>
    <row r="1502" spans="17:18" x14ac:dyDescent="0.25">
      <c r="Q1502" s="11"/>
      <c r="R1502" s="12"/>
    </row>
    <row r="1503" spans="17:18" x14ac:dyDescent="0.25">
      <c r="Q1503" s="13"/>
      <c r="R1503" s="6"/>
    </row>
    <row r="1504" spans="17:18" x14ac:dyDescent="0.25">
      <c r="Q1504" s="11"/>
      <c r="R1504" s="12"/>
    </row>
    <row r="1505" spans="17:18" x14ac:dyDescent="0.25">
      <c r="Q1505" s="13"/>
      <c r="R1505" s="6"/>
    </row>
    <row r="1506" spans="17:18" x14ac:dyDescent="0.25">
      <c r="Q1506" s="11"/>
      <c r="R1506" s="12"/>
    </row>
    <row r="1507" spans="17:18" x14ac:dyDescent="0.25">
      <c r="Q1507" s="13"/>
      <c r="R1507" s="6"/>
    </row>
    <row r="1508" spans="17:18" x14ac:dyDescent="0.25">
      <c r="Q1508" s="11"/>
      <c r="R1508" s="12"/>
    </row>
    <row r="1509" spans="17:18" x14ac:dyDescent="0.25">
      <c r="Q1509" s="13"/>
      <c r="R1509" s="6"/>
    </row>
    <row r="1510" spans="17:18" x14ac:dyDescent="0.25">
      <c r="Q1510" s="11"/>
      <c r="R1510" s="12"/>
    </row>
    <row r="1511" spans="17:18" x14ac:dyDescent="0.25">
      <c r="Q1511" s="13"/>
      <c r="R1511" s="6"/>
    </row>
    <row r="1512" spans="17:18" x14ac:dyDescent="0.25">
      <c r="Q1512" s="11"/>
      <c r="R1512" s="12"/>
    </row>
    <row r="1513" spans="17:18" x14ac:dyDescent="0.25">
      <c r="Q1513" s="13"/>
      <c r="R1513" s="6"/>
    </row>
    <row r="1514" spans="17:18" x14ac:dyDescent="0.25">
      <c r="Q1514" s="11"/>
      <c r="R1514" s="12"/>
    </row>
    <row r="1515" spans="17:18" x14ac:dyDescent="0.25">
      <c r="Q1515" s="13"/>
      <c r="R1515" s="6"/>
    </row>
    <row r="1516" spans="17:18" x14ac:dyDescent="0.25">
      <c r="Q1516" s="11"/>
      <c r="R1516" s="12"/>
    </row>
    <row r="1517" spans="17:18" x14ac:dyDescent="0.25">
      <c r="Q1517" s="13"/>
      <c r="R1517" s="6"/>
    </row>
    <row r="1518" spans="17:18" x14ac:dyDescent="0.25">
      <c r="Q1518" s="11"/>
      <c r="R1518" s="12"/>
    </row>
    <row r="1519" spans="17:18" x14ac:dyDescent="0.25">
      <c r="Q1519" s="13"/>
      <c r="R1519" s="6"/>
    </row>
    <row r="1520" spans="17:18" x14ac:dyDescent="0.25">
      <c r="Q1520" s="11"/>
      <c r="R1520" s="12"/>
    </row>
    <row r="1521" spans="17:18" x14ac:dyDescent="0.25">
      <c r="Q1521" s="13"/>
      <c r="R1521" s="6"/>
    </row>
    <row r="1522" spans="17:18" x14ac:dyDescent="0.25">
      <c r="Q1522" s="11"/>
      <c r="R1522" s="12"/>
    </row>
    <row r="1523" spans="17:18" x14ac:dyDescent="0.25">
      <c r="Q1523" s="13"/>
      <c r="R1523" s="6"/>
    </row>
    <row r="1524" spans="17:18" x14ac:dyDescent="0.25">
      <c r="Q1524" s="11"/>
      <c r="R1524" s="12"/>
    </row>
    <row r="1525" spans="17:18" x14ac:dyDescent="0.25">
      <c r="Q1525" s="13"/>
      <c r="R1525" s="6"/>
    </row>
    <row r="1526" spans="17:18" x14ac:dyDescent="0.25">
      <c r="Q1526" s="11"/>
      <c r="R1526" s="12"/>
    </row>
    <row r="1527" spans="17:18" x14ac:dyDescent="0.25">
      <c r="Q1527" s="13"/>
      <c r="R1527" s="6"/>
    </row>
    <row r="1528" spans="17:18" x14ac:dyDescent="0.25">
      <c r="Q1528" s="11"/>
      <c r="R1528" s="12"/>
    </row>
    <row r="1529" spans="17:18" x14ac:dyDescent="0.25">
      <c r="Q1529" s="13"/>
      <c r="R1529" s="6"/>
    </row>
    <row r="1530" spans="17:18" x14ac:dyDescent="0.25">
      <c r="Q1530" s="11"/>
      <c r="R1530" s="12"/>
    </row>
    <row r="1531" spans="17:18" x14ac:dyDescent="0.25">
      <c r="Q1531" s="13"/>
      <c r="R1531" s="6"/>
    </row>
    <row r="1532" spans="17:18" x14ac:dyDescent="0.25">
      <c r="Q1532" s="11"/>
      <c r="R1532" s="12"/>
    </row>
    <row r="1533" spans="17:18" x14ac:dyDescent="0.25">
      <c r="Q1533" s="13"/>
      <c r="R1533" s="6"/>
    </row>
    <row r="1534" spans="17:18" x14ac:dyDescent="0.25">
      <c r="Q1534" s="11"/>
      <c r="R1534" s="12"/>
    </row>
    <row r="1535" spans="17:18" x14ac:dyDescent="0.25">
      <c r="Q1535" s="13"/>
      <c r="R1535" s="6"/>
    </row>
    <row r="1536" spans="17:18" x14ac:dyDescent="0.25">
      <c r="Q1536" s="11"/>
      <c r="R1536" s="12"/>
    </row>
    <row r="1537" spans="17:18" x14ac:dyDescent="0.25">
      <c r="Q1537" s="13"/>
      <c r="R1537" s="6"/>
    </row>
    <row r="1538" spans="17:18" x14ac:dyDescent="0.25">
      <c r="Q1538" s="11"/>
      <c r="R1538" s="12"/>
    </row>
    <row r="1539" spans="17:18" x14ac:dyDescent="0.25">
      <c r="Q1539" s="13"/>
      <c r="R1539" s="6"/>
    </row>
    <row r="1540" spans="17:18" x14ac:dyDescent="0.25">
      <c r="Q1540" s="11"/>
      <c r="R1540" s="12"/>
    </row>
    <row r="1541" spans="17:18" x14ac:dyDescent="0.25">
      <c r="Q1541" s="13"/>
      <c r="R1541" s="6"/>
    </row>
    <row r="1542" spans="17:18" x14ac:dyDescent="0.25">
      <c r="Q1542" s="11"/>
      <c r="R1542" s="12"/>
    </row>
    <row r="1543" spans="17:18" x14ac:dyDescent="0.25">
      <c r="Q1543" s="13"/>
      <c r="R1543" s="6"/>
    </row>
    <row r="1544" spans="17:18" x14ac:dyDescent="0.25">
      <c r="Q1544" s="11"/>
      <c r="R1544" s="12"/>
    </row>
    <row r="1545" spans="17:18" x14ac:dyDescent="0.25">
      <c r="Q1545" s="13"/>
      <c r="R1545" s="6"/>
    </row>
    <row r="1546" spans="17:18" x14ac:dyDescent="0.25">
      <c r="Q1546" s="11"/>
      <c r="R1546" s="12"/>
    </row>
    <row r="1547" spans="17:18" x14ac:dyDescent="0.25">
      <c r="Q1547" s="13"/>
      <c r="R1547" s="6"/>
    </row>
    <row r="1548" spans="17:18" x14ac:dyDescent="0.25">
      <c r="Q1548" s="11"/>
      <c r="R1548" s="12"/>
    </row>
    <row r="1549" spans="17:18" x14ac:dyDescent="0.25">
      <c r="Q1549" s="13"/>
      <c r="R1549" s="6"/>
    </row>
    <row r="1550" spans="17:18" x14ac:dyDescent="0.25">
      <c r="Q1550" s="11"/>
      <c r="R1550" s="12"/>
    </row>
    <row r="1551" spans="17:18" x14ac:dyDescent="0.25">
      <c r="Q1551" s="13"/>
      <c r="R1551" s="6"/>
    </row>
    <row r="1552" spans="17:18" x14ac:dyDescent="0.25">
      <c r="Q1552" s="11"/>
      <c r="R1552" s="12"/>
    </row>
    <row r="1553" spans="17:18" x14ac:dyDescent="0.25">
      <c r="Q1553" s="13"/>
      <c r="R1553" s="6"/>
    </row>
    <row r="1554" spans="17:18" x14ac:dyDescent="0.25">
      <c r="Q1554" s="11"/>
      <c r="R1554" s="12"/>
    </row>
    <row r="1555" spans="17:18" x14ac:dyDescent="0.25">
      <c r="Q1555" s="13"/>
      <c r="R1555" s="6"/>
    </row>
    <row r="1556" spans="17:18" x14ac:dyDescent="0.25">
      <c r="Q1556" s="11"/>
      <c r="R1556" s="12"/>
    </row>
    <row r="1557" spans="17:18" x14ac:dyDescent="0.25">
      <c r="Q1557" s="13"/>
      <c r="R1557" s="6"/>
    </row>
    <row r="1558" spans="17:18" x14ac:dyDescent="0.25">
      <c r="Q1558" s="11"/>
      <c r="R1558" s="12"/>
    </row>
    <row r="1559" spans="17:18" x14ac:dyDescent="0.25">
      <c r="Q1559" s="13"/>
      <c r="R1559" s="6"/>
    </row>
    <row r="1560" spans="17:18" x14ac:dyDescent="0.25">
      <c r="Q1560" s="11"/>
      <c r="R1560" s="12"/>
    </row>
    <row r="1561" spans="17:18" x14ac:dyDescent="0.25">
      <c r="Q1561" s="13"/>
      <c r="R1561" s="6"/>
    </row>
    <row r="1562" spans="17:18" x14ac:dyDescent="0.25">
      <c r="Q1562" s="11"/>
      <c r="R1562" s="12"/>
    </row>
    <row r="1563" spans="17:18" x14ac:dyDescent="0.25">
      <c r="Q1563" s="13"/>
      <c r="R1563" s="6"/>
    </row>
    <row r="1564" spans="17:18" x14ac:dyDescent="0.25">
      <c r="Q1564" s="11"/>
      <c r="R1564" s="12"/>
    </row>
    <row r="1565" spans="17:18" x14ac:dyDescent="0.25">
      <c r="Q1565" s="13"/>
      <c r="R1565" s="6"/>
    </row>
    <row r="1566" spans="17:18" x14ac:dyDescent="0.25">
      <c r="Q1566" s="11"/>
      <c r="R1566" s="12"/>
    </row>
    <row r="1567" spans="17:18" x14ac:dyDescent="0.25">
      <c r="Q1567" s="13"/>
      <c r="R1567" s="6"/>
    </row>
    <row r="1568" spans="17:18" x14ac:dyDescent="0.25">
      <c r="Q1568" s="11"/>
      <c r="R1568" s="12"/>
    </row>
    <row r="1569" spans="17:18" x14ac:dyDescent="0.25">
      <c r="Q1569" s="13"/>
      <c r="R1569" s="6"/>
    </row>
    <row r="1570" spans="17:18" x14ac:dyDescent="0.25">
      <c r="Q1570" s="11"/>
      <c r="R1570" s="12"/>
    </row>
    <row r="1571" spans="17:18" x14ac:dyDescent="0.25">
      <c r="Q1571" s="13"/>
      <c r="R1571" s="6"/>
    </row>
    <row r="1572" spans="17:18" x14ac:dyDescent="0.25">
      <c r="Q1572" s="11"/>
      <c r="R1572" s="12"/>
    </row>
    <row r="1573" spans="17:18" x14ac:dyDescent="0.25">
      <c r="Q1573" s="13"/>
      <c r="R1573" s="6"/>
    </row>
    <row r="1574" spans="17:18" x14ac:dyDescent="0.25">
      <c r="Q1574" s="11"/>
      <c r="R1574" s="12"/>
    </row>
    <row r="1575" spans="17:18" x14ac:dyDescent="0.25">
      <c r="Q1575" s="13"/>
      <c r="R1575" s="6"/>
    </row>
    <row r="1576" spans="17:18" x14ac:dyDescent="0.25">
      <c r="Q1576" s="11"/>
      <c r="R1576" s="12"/>
    </row>
    <row r="1577" spans="17:18" x14ac:dyDescent="0.25">
      <c r="Q1577" s="13"/>
      <c r="R1577" s="6"/>
    </row>
    <row r="1578" spans="17:18" x14ac:dyDescent="0.25">
      <c r="Q1578" s="11"/>
      <c r="R1578" s="12"/>
    </row>
    <row r="1579" spans="17:18" x14ac:dyDescent="0.25">
      <c r="Q1579" s="13"/>
      <c r="R1579" s="6"/>
    </row>
    <row r="1580" spans="17:18" x14ac:dyDescent="0.25">
      <c r="Q1580" s="11"/>
      <c r="R1580" s="12"/>
    </row>
    <row r="1581" spans="17:18" x14ac:dyDescent="0.25">
      <c r="Q1581" s="13"/>
      <c r="R1581" s="6"/>
    </row>
    <row r="1582" spans="17:18" x14ac:dyDescent="0.25">
      <c r="Q1582" s="11"/>
      <c r="R1582" s="12"/>
    </row>
    <row r="1583" spans="17:18" x14ac:dyDescent="0.25">
      <c r="Q1583" s="13"/>
      <c r="R1583" s="6"/>
    </row>
    <row r="1584" spans="17:18" x14ac:dyDescent="0.25">
      <c r="Q1584" s="11"/>
      <c r="R1584" s="12"/>
    </row>
    <row r="1585" spans="17:18" x14ac:dyDescent="0.25">
      <c r="Q1585" s="13"/>
      <c r="R1585" s="6"/>
    </row>
    <row r="1586" spans="17:18" x14ac:dyDescent="0.25">
      <c r="Q1586" s="11"/>
      <c r="R1586" s="12"/>
    </row>
    <row r="1587" spans="17:18" x14ac:dyDescent="0.25">
      <c r="Q1587" s="13"/>
      <c r="R1587" s="6"/>
    </row>
    <row r="1588" spans="17:18" x14ac:dyDescent="0.25">
      <c r="Q1588" s="11"/>
      <c r="R1588" s="12"/>
    </row>
    <row r="1589" spans="17:18" x14ac:dyDescent="0.25">
      <c r="Q1589" s="13"/>
      <c r="R1589" s="6"/>
    </row>
    <row r="1590" spans="17:18" x14ac:dyDescent="0.25">
      <c r="Q1590" s="11"/>
      <c r="R1590" s="12"/>
    </row>
    <row r="1591" spans="17:18" x14ac:dyDescent="0.25">
      <c r="Q1591" s="13"/>
      <c r="R1591" s="6"/>
    </row>
    <row r="1592" spans="17:18" x14ac:dyDescent="0.25">
      <c r="Q1592" s="11"/>
      <c r="R1592" s="12"/>
    </row>
    <row r="1593" spans="17:18" x14ac:dyDescent="0.25">
      <c r="Q1593" s="13"/>
      <c r="R1593" s="6"/>
    </row>
    <row r="1594" spans="17:18" x14ac:dyDescent="0.25">
      <c r="Q1594" s="11"/>
      <c r="R1594" s="12"/>
    </row>
    <row r="1595" spans="17:18" x14ac:dyDescent="0.25">
      <c r="Q1595" s="13"/>
      <c r="R1595" s="6"/>
    </row>
    <row r="1596" spans="17:18" x14ac:dyDescent="0.25">
      <c r="Q1596" s="11"/>
      <c r="R1596" s="12"/>
    </row>
    <row r="1597" spans="17:18" x14ac:dyDescent="0.25">
      <c r="Q1597" s="13"/>
      <c r="R1597" s="6"/>
    </row>
    <row r="1598" spans="17:18" x14ac:dyDescent="0.25">
      <c r="Q1598" s="11"/>
      <c r="R1598" s="12"/>
    </row>
    <row r="1599" spans="17:18" x14ac:dyDescent="0.25">
      <c r="Q1599" s="13"/>
      <c r="R1599" s="6"/>
    </row>
    <row r="1600" spans="17:18" x14ac:dyDescent="0.25">
      <c r="Q1600" s="11"/>
      <c r="R1600" s="12"/>
    </row>
    <row r="1601" spans="17:18" x14ac:dyDescent="0.25">
      <c r="Q1601" s="13"/>
      <c r="R1601" s="6"/>
    </row>
    <row r="1602" spans="17:18" x14ac:dyDescent="0.25">
      <c r="Q1602" s="11"/>
      <c r="R1602" s="12"/>
    </row>
    <row r="1603" spans="17:18" x14ac:dyDescent="0.25">
      <c r="Q1603" s="13"/>
      <c r="R1603" s="6"/>
    </row>
    <row r="1604" spans="17:18" x14ac:dyDescent="0.25">
      <c r="Q1604" s="11"/>
      <c r="R1604" s="12"/>
    </row>
    <row r="1605" spans="17:18" x14ac:dyDescent="0.25">
      <c r="Q1605" s="13"/>
      <c r="R1605" s="6"/>
    </row>
    <row r="1606" spans="17:18" x14ac:dyDescent="0.25">
      <c r="Q1606" s="11"/>
      <c r="R1606" s="12"/>
    </row>
    <row r="1607" spans="17:18" x14ac:dyDescent="0.25">
      <c r="Q1607" s="13"/>
      <c r="R1607" s="6"/>
    </row>
    <row r="1608" spans="17:18" x14ac:dyDescent="0.25">
      <c r="Q1608" s="11"/>
      <c r="R1608" s="12"/>
    </row>
    <row r="1609" spans="17:18" x14ac:dyDescent="0.25">
      <c r="Q1609" s="13"/>
      <c r="R1609" s="6"/>
    </row>
    <row r="1610" spans="17:18" x14ac:dyDescent="0.25">
      <c r="Q1610" s="11"/>
      <c r="R1610" s="12"/>
    </row>
    <row r="1611" spans="17:18" x14ac:dyDescent="0.25">
      <c r="Q1611" s="13"/>
      <c r="R1611" s="6"/>
    </row>
    <row r="1612" spans="17:18" x14ac:dyDescent="0.25">
      <c r="Q1612" s="13"/>
      <c r="R1612" s="6"/>
    </row>
    <row r="1613" spans="17:18" x14ac:dyDescent="0.25">
      <c r="Q1613" s="11"/>
      <c r="R1613" s="12"/>
    </row>
    <row r="1614" spans="17:18" x14ac:dyDescent="0.25">
      <c r="Q1614" s="13"/>
      <c r="R1614" s="6"/>
    </row>
    <row r="1615" spans="17:18" x14ac:dyDescent="0.25">
      <c r="Q1615" s="11"/>
      <c r="R1615" s="12"/>
    </row>
    <row r="1616" spans="17:18" x14ac:dyDescent="0.25">
      <c r="Q1616" s="13"/>
      <c r="R1616" s="6"/>
    </row>
    <row r="1617" spans="17:18" x14ac:dyDescent="0.25">
      <c r="Q1617" s="11"/>
      <c r="R1617" s="12"/>
    </row>
    <row r="1618" spans="17:18" x14ac:dyDescent="0.25">
      <c r="Q1618" s="13"/>
      <c r="R1618" s="6"/>
    </row>
    <row r="1619" spans="17:18" x14ac:dyDescent="0.25">
      <c r="Q1619" s="11"/>
      <c r="R1619" s="12"/>
    </row>
    <row r="1620" spans="17:18" x14ac:dyDescent="0.25">
      <c r="Q1620" s="13"/>
      <c r="R1620" s="6"/>
    </row>
    <row r="1621" spans="17:18" x14ac:dyDescent="0.25">
      <c r="Q1621" s="11"/>
      <c r="R1621" s="12"/>
    </row>
    <row r="1622" spans="17:18" x14ac:dyDescent="0.25">
      <c r="Q1622" s="13"/>
      <c r="R1622" s="6"/>
    </row>
    <row r="1623" spans="17:18" x14ac:dyDescent="0.25">
      <c r="Q1623" s="11"/>
      <c r="R1623" s="12"/>
    </row>
    <row r="1624" spans="17:18" x14ac:dyDescent="0.25">
      <c r="Q1624" s="13"/>
      <c r="R1624" s="6"/>
    </row>
    <row r="1625" spans="17:18" x14ac:dyDescent="0.25">
      <c r="Q1625" s="11"/>
      <c r="R1625" s="12"/>
    </row>
    <row r="1626" spans="17:18" x14ac:dyDescent="0.25">
      <c r="Q1626" s="13"/>
      <c r="R1626" s="6"/>
    </row>
    <row r="1627" spans="17:18" x14ac:dyDescent="0.25">
      <c r="Q1627" s="11"/>
      <c r="R1627" s="12"/>
    </row>
    <row r="1628" spans="17:18" x14ac:dyDescent="0.25">
      <c r="Q1628" s="13"/>
      <c r="R1628" s="6"/>
    </row>
    <row r="1629" spans="17:18" x14ac:dyDescent="0.25">
      <c r="Q1629" s="11"/>
      <c r="R1629" s="12"/>
    </row>
    <row r="1630" spans="17:18" x14ac:dyDescent="0.25">
      <c r="Q1630" s="13"/>
      <c r="R1630" s="6"/>
    </row>
    <row r="1631" spans="17:18" x14ac:dyDescent="0.25">
      <c r="Q1631" s="11"/>
      <c r="R1631" s="12"/>
    </row>
    <row r="1632" spans="17:18" x14ac:dyDescent="0.25">
      <c r="Q1632" s="13"/>
      <c r="R1632" s="6"/>
    </row>
    <row r="1633" spans="17:18" x14ac:dyDescent="0.25">
      <c r="Q1633" s="11"/>
      <c r="R1633" s="12"/>
    </row>
    <row r="1634" spans="17:18" x14ac:dyDescent="0.25">
      <c r="Q1634" s="13"/>
      <c r="R1634" s="6"/>
    </row>
    <row r="1635" spans="17:18" x14ac:dyDescent="0.25">
      <c r="Q1635" s="11"/>
      <c r="R1635" s="12"/>
    </row>
    <row r="1636" spans="17:18" x14ac:dyDescent="0.25">
      <c r="Q1636" s="13"/>
      <c r="R1636" s="6"/>
    </row>
    <row r="1637" spans="17:18" x14ac:dyDescent="0.25">
      <c r="Q1637" s="11"/>
      <c r="R1637" s="12"/>
    </row>
    <row r="1638" spans="17:18" x14ac:dyDescent="0.25">
      <c r="Q1638" s="13"/>
      <c r="R1638" s="6"/>
    </row>
    <row r="1639" spans="17:18" x14ac:dyDescent="0.25">
      <c r="Q1639" s="11"/>
      <c r="R1639" s="12"/>
    </row>
    <row r="1640" spans="17:18" x14ac:dyDescent="0.25">
      <c r="Q1640" s="13"/>
      <c r="R1640" s="6"/>
    </row>
    <row r="1641" spans="17:18" x14ac:dyDescent="0.25">
      <c r="Q1641" s="11"/>
      <c r="R1641" s="12"/>
    </row>
    <row r="1642" spans="17:18" x14ac:dyDescent="0.25">
      <c r="Q1642" s="13"/>
      <c r="R1642" s="6"/>
    </row>
    <row r="1643" spans="17:18" x14ac:dyDescent="0.25">
      <c r="Q1643" s="11"/>
      <c r="R1643" s="12"/>
    </row>
    <row r="1644" spans="17:18" x14ac:dyDescent="0.25">
      <c r="Q1644" s="13"/>
      <c r="R1644" s="6"/>
    </row>
    <row r="1645" spans="17:18" x14ac:dyDescent="0.25">
      <c r="Q1645" s="11"/>
      <c r="R1645" s="12"/>
    </row>
    <row r="1646" spans="17:18" x14ac:dyDescent="0.25">
      <c r="Q1646" s="13"/>
      <c r="R1646" s="6"/>
    </row>
    <row r="1647" spans="17:18" x14ac:dyDescent="0.25">
      <c r="Q1647" s="11"/>
      <c r="R1647" s="12"/>
    </row>
    <row r="1648" spans="17:18" x14ac:dyDescent="0.25">
      <c r="Q1648" s="13"/>
      <c r="R1648" s="6"/>
    </row>
    <row r="1649" spans="17:18" x14ac:dyDescent="0.25">
      <c r="Q1649" s="11"/>
      <c r="R1649" s="12"/>
    </row>
    <row r="1650" spans="17:18" x14ac:dyDescent="0.25">
      <c r="Q1650" s="13"/>
      <c r="R1650" s="6"/>
    </row>
    <row r="1651" spans="17:18" x14ac:dyDescent="0.25">
      <c r="Q1651" s="11"/>
      <c r="R1651" s="12"/>
    </row>
    <row r="1652" spans="17:18" x14ac:dyDescent="0.25">
      <c r="Q1652" s="13"/>
      <c r="R1652" s="6"/>
    </row>
    <row r="1653" spans="17:18" x14ac:dyDescent="0.25">
      <c r="Q1653" s="11"/>
      <c r="R1653" s="12"/>
    </row>
    <row r="1654" spans="17:18" x14ac:dyDescent="0.25">
      <c r="Q1654" s="13"/>
      <c r="R1654" s="6"/>
    </row>
    <row r="1655" spans="17:18" x14ac:dyDescent="0.25">
      <c r="Q1655" s="11"/>
      <c r="R1655" s="12"/>
    </row>
    <row r="1656" spans="17:18" x14ac:dyDescent="0.25">
      <c r="Q1656" s="13"/>
      <c r="R1656" s="6"/>
    </row>
    <row r="1657" spans="17:18" x14ac:dyDescent="0.25">
      <c r="Q1657" s="11"/>
      <c r="R1657" s="12"/>
    </row>
    <row r="1658" spans="17:18" x14ac:dyDescent="0.25">
      <c r="Q1658" s="13"/>
      <c r="R1658" s="6"/>
    </row>
    <row r="1659" spans="17:18" x14ac:dyDescent="0.25">
      <c r="Q1659" s="11"/>
      <c r="R1659" s="12"/>
    </row>
    <row r="1660" spans="17:18" x14ac:dyDescent="0.25">
      <c r="Q1660" s="13"/>
      <c r="R1660" s="6"/>
    </row>
    <row r="1661" spans="17:18" x14ac:dyDescent="0.25">
      <c r="Q1661" s="11"/>
      <c r="R1661" s="12"/>
    </row>
    <row r="1662" spans="17:18" x14ac:dyDescent="0.25">
      <c r="Q1662" s="13"/>
      <c r="R1662" s="6"/>
    </row>
    <row r="1663" spans="17:18" x14ac:dyDescent="0.25">
      <c r="Q1663" s="11"/>
      <c r="R1663" s="12"/>
    </row>
    <row r="1664" spans="17:18" x14ac:dyDescent="0.25">
      <c r="Q1664" s="13"/>
      <c r="R1664" s="6"/>
    </row>
    <row r="1665" spans="17:18" x14ac:dyDescent="0.25">
      <c r="Q1665" s="11"/>
      <c r="R1665" s="12"/>
    </row>
    <row r="1666" spans="17:18" x14ac:dyDescent="0.25">
      <c r="Q1666" s="13"/>
      <c r="R1666" s="6"/>
    </row>
    <row r="1667" spans="17:18" x14ac:dyDescent="0.25">
      <c r="Q1667" s="11"/>
      <c r="R1667" s="12"/>
    </row>
    <row r="1668" spans="17:18" x14ac:dyDescent="0.25">
      <c r="Q1668" s="13"/>
      <c r="R1668" s="6"/>
    </row>
    <row r="1669" spans="17:18" x14ac:dyDescent="0.25">
      <c r="Q1669" s="11"/>
      <c r="R1669" s="12"/>
    </row>
    <row r="1670" spans="17:18" x14ac:dyDescent="0.25">
      <c r="Q1670" s="13"/>
      <c r="R1670" s="6"/>
    </row>
    <row r="1671" spans="17:18" x14ac:dyDescent="0.25">
      <c r="Q1671" s="11"/>
      <c r="R1671" s="12"/>
    </row>
    <row r="1672" spans="17:18" x14ac:dyDescent="0.25">
      <c r="Q1672" s="13"/>
      <c r="R1672" s="6"/>
    </row>
    <row r="1673" spans="17:18" x14ac:dyDescent="0.25">
      <c r="Q1673" s="11"/>
      <c r="R1673" s="12"/>
    </row>
    <row r="1674" spans="17:18" x14ac:dyDescent="0.25">
      <c r="Q1674" s="13"/>
      <c r="R1674" s="6"/>
    </row>
    <row r="1675" spans="17:18" x14ac:dyDescent="0.25">
      <c r="Q1675" s="11"/>
      <c r="R1675" s="12"/>
    </row>
    <row r="1676" spans="17:18" x14ac:dyDescent="0.25">
      <c r="Q1676" s="13"/>
      <c r="R1676" s="6"/>
    </row>
    <row r="1677" spans="17:18" x14ac:dyDescent="0.25">
      <c r="Q1677" s="11"/>
      <c r="R1677" s="12"/>
    </row>
    <row r="1678" spans="17:18" x14ac:dyDescent="0.25">
      <c r="Q1678" s="13"/>
      <c r="R1678" s="6"/>
    </row>
    <row r="1679" spans="17:18" x14ac:dyDescent="0.25">
      <c r="Q1679" s="11"/>
      <c r="R1679" s="12"/>
    </row>
    <row r="1680" spans="17:18" x14ac:dyDescent="0.25">
      <c r="Q1680" s="13"/>
      <c r="R1680" s="6"/>
    </row>
    <row r="1681" spans="17:18" x14ac:dyDescent="0.25">
      <c r="Q1681" s="11"/>
      <c r="R1681" s="12"/>
    </row>
    <row r="1682" spans="17:18" x14ac:dyDescent="0.25">
      <c r="Q1682" s="13"/>
      <c r="R1682" s="6"/>
    </row>
    <row r="1683" spans="17:18" x14ac:dyDescent="0.25">
      <c r="Q1683" s="11"/>
      <c r="R1683" s="12"/>
    </row>
    <row r="1684" spans="17:18" x14ac:dyDescent="0.25">
      <c r="Q1684" s="13"/>
      <c r="R1684" s="6"/>
    </row>
    <row r="1685" spans="17:18" x14ac:dyDescent="0.25">
      <c r="Q1685" s="11"/>
      <c r="R1685" s="12"/>
    </row>
    <row r="1686" spans="17:18" x14ac:dyDescent="0.25">
      <c r="Q1686" s="13"/>
      <c r="R1686" s="6"/>
    </row>
    <row r="1687" spans="17:18" x14ac:dyDescent="0.25">
      <c r="Q1687" s="11"/>
      <c r="R1687" s="12"/>
    </row>
    <row r="1688" spans="17:18" x14ac:dyDescent="0.25">
      <c r="Q1688" s="13"/>
      <c r="R1688" s="6"/>
    </row>
    <row r="1689" spans="17:18" x14ac:dyDescent="0.25">
      <c r="Q1689" s="11"/>
      <c r="R1689" s="12"/>
    </row>
    <row r="1690" spans="17:18" x14ac:dyDescent="0.25">
      <c r="Q1690" s="13"/>
      <c r="R1690" s="6"/>
    </row>
    <row r="1691" spans="17:18" x14ac:dyDescent="0.25">
      <c r="Q1691" s="11"/>
      <c r="R1691" s="12"/>
    </row>
    <row r="1692" spans="17:18" x14ac:dyDescent="0.25">
      <c r="Q1692" s="13"/>
      <c r="R1692" s="6"/>
    </row>
    <row r="1693" spans="17:18" x14ac:dyDescent="0.25">
      <c r="Q1693" s="11"/>
      <c r="R1693" s="12"/>
    </row>
    <row r="1694" spans="17:18" x14ac:dyDescent="0.25">
      <c r="Q1694" s="13"/>
      <c r="R1694" s="6"/>
    </row>
    <row r="1695" spans="17:18" x14ac:dyDescent="0.25">
      <c r="Q1695" s="11"/>
      <c r="R1695" s="12"/>
    </row>
    <row r="1696" spans="17:18" x14ac:dyDescent="0.25">
      <c r="Q1696" s="13"/>
      <c r="R1696" s="6"/>
    </row>
    <row r="1697" spans="17:18" x14ac:dyDescent="0.25">
      <c r="Q1697" s="11"/>
      <c r="R1697" s="12"/>
    </row>
    <row r="1698" spans="17:18" x14ac:dyDescent="0.25">
      <c r="Q1698" s="13"/>
      <c r="R1698" s="6"/>
    </row>
    <row r="1699" spans="17:18" x14ac:dyDescent="0.25">
      <c r="Q1699" s="11"/>
      <c r="R1699" s="12"/>
    </row>
    <row r="1700" spans="17:18" x14ac:dyDescent="0.25">
      <c r="Q1700" s="13"/>
      <c r="R1700" s="6"/>
    </row>
    <row r="1701" spans="17:18" x14ac:dyDescent="0.25">
      <c r="Q1701" s="11"/>
      <c r="R1701" s="12"/>
    </row>
    <row r="1702" spans="17:18" x14ac:dyDescent="0.25">
      <c r="Q1702" s="13"/>
      <c r="R1702" s="6"/>
    </row>
    <row r="1703" spans="17:18" x14ac:dyDescent="0.25">
      <c r="Q1703" s="11"/>
      <c r="R1703" s="12"/>
    </row>
    <row r="1704" spans="17:18" x14ac:dyDescent="0.25">
      <c r="Q1704" s="13"/>
      <c r="R1704" s="6"/>
    </row>
    <row r="1705" spans="17:18" x14ac:dyDescent="0.25">
      <c r="Q1705" s="11"/>
      <c r="R1705" s="12"/>
    </row>
    <row r="1706" spans="17:18" x14ac:dyDescent="0.25">
      <c r="Q1706" s="13"/>
      <c r="R1706" s="6"/>
    </row>
    <row r="1707" spans="17:18" x14ac:dyDescent="0.25">
      <c r="Q1707" s="11"/>
      <c r="R1707" s="12"/>
    </row>
    <row r="1708" spans="17:18" x14ac:dyDescent="0.25">
      <c r="Q1708" s="13"/>
      <c r="R1708" s="6"/>
    </row>
    <row r="1709" spans="17:18" x14ac:dyDescent="0.25">
      <c r="Q1709" s="11"/>
      <c r="R1709" s="12"/>
    </row>
    <row r="1710" spans="17:18" x14ac:dyDescent="0.25">
      <c r="Q1710" s="13"/>
      <c r="R1710" s="6"/>
    </row>
    <row r="1711" spans="17:18" x14ac:dyDescent="0.25">
      <c r="Q1711" s="11"/>
      <c r="R1711" s="12"/>
    </row>
    <row r="1712" spans="17:18" x14ac:dyDescent="0.25">
      <c r="Q1712" s="13"/>
      <c r="R1712" s="6"/>
    </row>
    <row r="1713" spans="17:18" x14ac:dyDescent="0.25">
      <c r="Q1713" s="11"/>
      <c r="R1713" s="12"/>
    </row>
    <row r="1714" spans="17:18" x14ac:dyDescent="0.25">
      <c r="Q1714" s="13"/>
      <c r="R1714" s="6"/>
    </row>
    <row r="1715" spans="17:18" x14ac:dyDescent="0.25">
      <c r="Q1715" s="11"/>
      <c r="R1715" s="12"/>
    </row>
    <row r="1716" spans="17:18" x14ac:dyDescent="0.25">
      <c r="Q1716" s="13"/>
      <c r="R1716" s="6"/>
    </row>
    <row r="1717" spans="17:18" x14ac:dyDescent="0.25">
      <c r="Q1717" s="11"/>
      <c r="R1717" s="12"/>
    </row>
    <row r="1718" spans="17:18" x14ac:dyDescent="0.25">
      <c r="Q1718" s="13"/>
      <c r="R1718" s="6"/>
    </row>
    <row r="1719" spans="17:18" x14ac:dyDescent="0.25">
      <c r="Q1719" s="11"/>
      <c r="R1719" s="12"/>
    </row>
    <row r="1720" spans="17:18" x14ac:dyDescent="0.25">
      <c r="Q1720" s="13"/>
      <c r="R1720" s="6"/>
    </row>
    <row r="1721" spans="17:18" x14ac:dyDescent="0.25">
      <c r="Q1721" s="11"/>
      <c r="R1721" s="12"/>
    </row>
    <row r="1722" spans="17:18" x14ac:dyDescent="0.25">
      <c r="Q1722" s="13"/>
      <c r="R1722" s="6"/>
    </row>
    <row r="1723" spans="17:18" x14ac:dyDescent="0.25">
      <c r="Q1723" s="11"/>
      <c r="R1723" s="12"/>
    </row>
    <row r="1724" spans="17:18" x14ac:dyDescent="0.25">
      <c r="Q1724" s="13"/>
      <c r="R1724" s="6"/>
    </row>
    <row r="1725" spans="17:18" x14ac:dyDescent="0.25">
      <c r="Q1725" s="11"/>
      <c r="R1725" s="12"/>
    </row>
    <row r="1726" spans="17:18" x14ac:dyDescent="0.25">
      <c r="Q1726" s="13"/>
      <c r="R1726" s="6"/>
    </row>
    <row r="1727" spans="17:18" x14ac:dyDescent="0.25">
      <c r="Q1727" s="11"/>
      <c r="R1727" s="12"/>
    </row>
    <row r="1728" spans="17:18" x14ac:dyDescent="0.25">
      <c r="Q1728" s="13"/>
      <c r="R1728" s="6"/>
    </row>
    <row r="1729" spans="17:18" x14ac:dyDescent="0.25">
      <c r="Q1729" s="13"/>
      <c r="R1729" s="6"/>
    </row>
    <row r="1730" spans="17:18" x14ac:dyDescent="0.25">
      <c r="Q1730" s="13"/>
      <c r="R1730" s="6"/>
    </row>
    <row r="1731" spans="17:18" x14ac:dyDescent="0.25">
      <c r="Q1731" s="11"/>
      <c r="R1731" s="12"/>
    </row>
    <row r="1732" spans="17:18" x14ac:dyDescent="0.25">
      <c r="Q1732" s="13"/>
      <c r="R1732" s="6"/>
    </row>
    <row r="1733" spans="17:18" x14ac:dyDescent="0.25">
      <c r="Q1733" s="11"/>
      <c r="R1733" s="12"/>
    </row>
    <row r="1734" spans="17:18" x14ac:dyDescent="0.25">
      <c r="Q1734" s="13"/>
      <c r="R1734" s="6"/>
    </row>
    <row r="1735" spans="17:18" x14ac:dyDescent="0.25">
      <c r="Q1735" s="11"/>
      <c r="R1735" s="12"/>
    </row>
    <row r="1736" spans="17:18" x14ac:dyDescent="0.25">
      <c r="Q1736" s="13"/>
      <c r="R1736" s="6"/>
    </row>
    <row r="1737" spans="17:18" x14ac:dyDescent="0.25">
      <c r="Q1737" s="11"/>
      <c r="R1737" s="12"/>
    </row>
    <row r="1738" spans="17:18" x14ac:dyDescent="0.25">
      <c r="Q1738" s="13"/>
      <c r="R1738" s="6"/>
    </row>
    <row r="1739" spans="17:18" x14ac:dyDescent="0.25">
      <c r="Q1739" s="11"/>
      <c r="R1739" s="12"/>
    </row>
    <row r="1740" spans="17:18" x14ac:dyDescent="0.25">
      <c r="Q1740" s="13"/>
      <c r="R1740" s="6"/>
    </row>
    <row r="1741" spans="17:18" x14ac:dyDescent="0.25">
      <c r="Q1741" s="11"/>
      <c r="R1741" s="12"/>
    </row>
    <row r="1742" spans="17:18" x14ac:dyDescent="0.25">
      <c r="Q1742" s="13"/>
      <c r="R1742" s="6"/>
    </row>
    <row r="1743" spans="17:18" x14ac:dyDescent="0.25">
      <c r="Q1743" s="11"/>
      <c r="R1743" s="12"/>
    </row>
    <row r="1744" spans="17:18" x14ac:dyDescent="0.25">
      <c r="Q1744" s="13"/>
      <c r="R1744" s="6"/>
    </row>
    <row r="1745" spans="17:18" x14ac:dyDescent="0.25">
      <c r="Q1745" s="11"/>
      <c r="R1745" s="12"/>
    </row>
    <row r="1746" spans="17:18" x14ac:dyDescent="0.25">
      <c r="Q1746" s="13"/>
      <c r="R1746" s="6"/>
    </row>
    <row r="1747" spans="17:18" x14ac:dyDescent="0.25">
      <c r="Q1747" s="11"/>
      <c r="R1747" s="12"/>
    </row>
    <row r="1748" spans="17:18" x14ac:dyDescent="0.25">
      <c r="Q1748" s="13"/>
      <c r="R1748" s="6"/>
    </row>
    <row r="1749" spans="17:18" x14ac:dyDescent="0.25">
      <c r="Q1749" s="11"/>
      <c r="R1749" s="12"/>
    </row>
    <row r="1750" spans="17:18" x14ac:dyDescent="0.25">
      <c r="Q1750" s="13"/>
      <c r="R1750" s="6"/>
    </row>
    <row r="1751" spans="17:18" x14ac:dyDescent="0.25">
      <c r="Q1751" s="11"/>
      <c r="R1751" s="12"/>
    </row>
    <row r="1752" spans="17:18" x14ac:dyDescent="0.25">
      <c r="Q1752" s="13"/>
      <c r="R1752" s="6"/>
    </row>
    <row r="1753" spans="17:18" x14ac:dyDescent="0.25">
      <c r="Q1753" s="11"/>
      <c r="R1753" s="12"/>
    </row>
    <row r="1754" spans="17:18" x14ac:dyDescent="0.25">
      <c r="Q1754" s="13"/>
      <c r="R1754" s="6"/>
    </row>
    <row r="1755" spans="17:18" x14ac:dyDescent="0.25">
      <c r="Q1755" s="11"/>
      <c r="R1755" s="12"/>
    </row>
    <row r="1756" spans="17:18" x14ac:dyDescent="0.25">
      <c r="Q1756" s="13"/>
      <c r="R1756" s="6"/>
    </row>
    <row r="1757" spans="17:18" x14ac:dyDescent="0.25">
      <c r="Q1757" s="11"/>
      <c r="R1757" s="12"/>
    </row>
    <row r="1758" spans="17:18" x14ac:dyDescent="0.25">
      <c r="Q1758" s="13"/>
      <c r="R1758" s="6"/>
    </row>
    <row r="1759" spans="17:18" x14ac:dyDescent="0.25">
      <c r="Q1759" s="11"/>
      <c r="R1759" s="12"/>
    </row>
    <row r="1760" spans="17:18" x14ac:dyDescent="0.25">
      <c r="Q1760" s="13"/>
      <c r="R1760" s="6"/>
    </row>
    <row r="1761" spans="17:18" x14ac:dyDescent="0.25">
      <c r="Q1761" s="11"/>
      <c r="R1761" s="12"/>
    </row>
    <row r="1762" spans="17:18" x14ac:dyDescent="0.25">
      <c r="Q1762" s="13"/>
      <c r="R1762" s="6"/>
    </row>
    <row r="1763" spans="17:18" x14ac:dyDescent="0.25">
      <c r="Q1763" s="11"/>
      <c r="R1763" s="12"/>
    </row>
    <row r="1764" spans="17:18" x14ac:dyDescent="0.25">
      <c r="Q1764" s="13"/>
      <c r="R1764" s="6"/>
    </row>
    <row r="1765" spans="17:18" x14ac:dyDescent="0.25">
      <c r="Q1765" s="11"/>
      <c r="R1765" s="12"/>
    </row>
    <row r="1766" spans="17:18" x14ac:dyDescent="0.25">
      <c r="Q1766" s="13"/>
      <c r="R1766" s="6"/>
    </row>
    <row r="1767" spans="17:18" x14ac:dyDescent="0.25">
      <c r="Q1767" s="11"/>
      <c r="R1767" s="12"/>
    </row>
    <row r="1768" spans="17:18" x14ac:dyDescent="0.25">
      <c r="Q1768" s="13"/>
      <c r="R1768" s="6"/>
    </row>
    <row r="1769" spans="17:18" x14ac:dyDescent="0.25">
      <c r="Q1769" s="11"/>
      <c r="R1769" s="12"/>
    </row>
    <row r="1770" spans="17:18" x14ac:dyDescent="0.25">
      <c r="Q1770" s="13"/>
      <c r="R1770" s="6"/>
    </row>
    <row r="1771" spans="17:18" x14ac:dyDescent="0.25">
      <c r="Q1771" s="11"/>
      <c r="R1771" s="12"/>
    </row>
    <row r="1772" spans="17:18" x14ac:dyDescent="0.25">
      <c r="Q1772" s="13"/>
      <c r="R1772" s="6"/>
    </row>
    <row r="1773" spans="17:18" x14ac:dyDescent="0.25">
      <c r="Q1773" s="13"/>
      <c r="R1773" s="6"/>
    </row>
    <row r="1774" spans="17:18" x14ac:dyDescent="0.25">
      <c r="Q1774" s="11"/>
      <c r="R1774" s="12"/>
    </row>
    <row r="1775" spans="17:18" x14ac:dyDescent="0.25">
      <c r="Q1775" s="13"/>
      <c r="R1775" s="6"/>
    </row>
    <row r="1776" spans="17:18" x14ac:dyDescent="0.25">
      <c r="Q1776" s="11"/>
      <c r="R1776" s="12"/>
    </row>
    <row r="1777" spans="17:18" x14ac:dyDescent="0.25">
      <c r="Q1777" s="13"/>
      <c r="R1777" s="6"/>
    </row>
    <row r="1778" spans="17:18" x14ac:dyDescent="0.25">
      <c r="Q1778" s="11"/>
      <c r="R1778" s="12"/>
    </row>
    <row r="1779" spans="17:18" x14ac:dyDescent="0.25">
      <c r="Q1779" s="13"/>
      <c r="R1779" s="6"/>
    </row>
    <row r="1780" spans="17:18" x14ac:dyDescent="0.25">
      <c r="Q1780" s="11"/>
      <c r="R1780" s="12"/>
    </row>
    <row r="1781" spans="17:18" x14ac:dyDescent="0.25">
      <c r="Q1781" s="13"/>
      <c r="R1781" s="6"/>
    </row>
    <row r="1782" spans="17:18" x14ac:dyDescent="0.25">
      <c r="Q1782" s="11"/>
      <c r="R1782" s="12"/>
    </row>
    <row r="1783" spans="17:18" x14ac:dyDescent="0.25">
      <c r="Q1783" s="13"/>
      <c r="R1783" s="6"/>
    </row>
    <row r="1784" spans="17:18" x14ac:dyDescent="0.25">
      <c r="Q1784" s="11"/>
      <c r="R1784" s="12"/>
    </row>
    <row r="1785" spans="17:18" x14ac:dyDescent="0.25">
      <c r="Q1785" s="13"/>
      <c r="R1785" s="6"/>
    </row>
    <row r="1786" spans="17:18" x14ac:dyDescent="0.25">
      <c r="Q1786" s="11"/>
      <c r="R1786" s="12"/>
    </row>
    <row r="1787" spans="17:18" x14ac:dyDescent="0.25">
      <c r="Q1787" s="13"/>
      <c r="R1787" s="6"/>
    </row>
    <row r="1788" spans="17:18" x14ac:dyDescent="0.25">
      <c r="Q1788" s="11"/>
      <c r="R1788" s="12"/>
    </row>
    <row r="1789" spans="17:18" x14ac:dyDescent="0.25">
      <c r="Q1789" s="13"/>
      <c r="R1789" s="6"/>
    </row>
    <row r="1790" spans="17:18" x14ac:dyDescent="0.25">
      <c r="Q1790" s="11"/>
      <c r="R1790" s="12"/>
    </row>
    <row r="1791" spans="17:18" x14ac:dyDescent="0.25">
      <c r="Q1791" s="13"/>
      <c r="R1791" s="6"/>
    </row>
    <row r="1792" spans="17:18" x14ac:dyDescent="0.25">
      <c r="Q1792" s="11"/>
      <c r="R1792" s="12"/>
    </row>
    <row r="1793" spans="17:18" x14ac:dyDescent="0.25">
      <c r="Q1793" s="13"/>
      <c r="R1793" s="6"/>
    </row>
    <row r="1794" spans="17:18" x14ac:dyDescent="0.25">
      <c r="Q1794" s="11"/>
      <c r="R1794" s="12"/>
    </row>
    <row r="1795" spans="17:18" x14ac:dyDescent="0.25">
      <c r="Q1795" s="13"/>
      <c r="R1795" s="6"/>
    </row>
    <row r="1796" spans="17:18" x14ac:dyDescent="0.25">
      <c r="Q1796" s="11"/>
      <c r="R1796" s="12"/>
    </row>
    <row r="1797" spans="17:18" x14ac:dyDescent="0.25">
      <c r="Q1797" s="13"/>
      <c r="R1797" s="6"/>
    </row>
    <row r="1798" spans="17:18" x14ac:dyDescent="0.25">
      <c r="Q1798" s="11"/>
      <c r="R1798" s="12"/>
    </row>
    <row r="1799" spans="17:18" x14ac:dyDescent="0.25">
      <c r="Q1799" s="13"/>
      <c r="R1799" s="6"/>
    </row>
    <row r="1800" spans="17:18" x14ac:dyDescent="0.25">
      <c r="Q1800" s="11"/>
      <c r="R1800" s="12"/>
    </row>
    <row r="1801" spans="17:18" x14ac:dyDescent="0.25">
      <c r="Q1801" s="13"/>
      <c r="R1801" s="6"/>
    </row>
    <row r="1802" spans="17:18" x14ac:dyDescent="0.25">
      <c r="Q1802" s="11"/>
      <c r="R1802" s="12"/>
    </row>
    <row r="1803" spans="17:18" x14ac:dyDescent="0.25">
      <c r="Q1803" s="13"/>
      <c r="R1803" s="6"/>
    </row>
    <row r="1804" spans="17:18" x14ac:dyDescent="0.25">
      <c r="Q1804" s="11"/>
      <c r="R1804" s="12"/>
    </row>
    <row r="1805" spans="17:18" x14ac:dyDescent="0.25">
      <c r="Q1805" s="13"/>
      <c r="R1805" s="6"/>
    </row>
    <row r="1806" spans="17:18" x14ac:dyDescent="0.25">
      <c r="Q1806" s="11"/>
      <c r="R1806" s="12"/>
    </row>
    <row r="1807" spans="17:18" x14ac:dyDescent="0.25">
      <c r="Q1807" s="13"/>
      <c r="R1807" s="6"/>
    </row>
    <row r="1808" spans="17:18" x14ac:dyDescent="0.25">
      <c r="Q1808" s="11"/>
      <c r="R1808" s="12"/>
    </row>
    <row r="1809" spans="17:18" x14ac:dyDescent="0.25">
      <c r="Q1809" s="13"/>
      <c r="R1809" s="6"/>
    </row>
    <row r="1810" spans="17:18" x14ac:dyDescent="0.25">
      <c r="Q1810" s="11"/>
      <c r="R1810" s="12"/>
    </row>
    <row r="1811" spans="17:18" x14ac:dyDescent="0.25">
      <c r="Q1811" s="13"/>
      <c r="R1811" s="6"/>
    </row>
    <row r="1812" spans="17:18" x14ac:dyDescent="0.25">
      <c r="Q1812" s="11"/>
      <c r="R1812" s="12"/>
    </row>
    <row r="1813" spans="17:18" x14ac:dyDescent="0.25">
      <c r="Q1813" s="13"/>
      <c r="R1813" s="6"/>
    </row>
    <row r="1814" spans="17:18" x14ac:dyDescent="0.25">
      <c r="Q1814" s="11"/>
      <c r="R1814" s="12"/>
    </row>
    <row r="1815" spans="17:18" x14ac:dyDescent="0.25">
      <c r="Q1815" s="13"/>
      <c r="R1815" s="6"/>
    </row>
    <row r="1816" spans="17:18" x14ac:dyDescent="0.25">
      <c r="Q1816" s="11"/>
      <c r="R1816" s="12"/>
    </row>
    <row r="1817" spans="17:18" x14ac:dyDescent="0.25">
      <c r="Q1817" s="13"/>
      <c r="R1817" s="6"/>
    </row>
    <row r="1818" spans="17:18" x14ac:dyDescent="0.25">
      <c r="Q1818" s="11"/>
      <c r="R1818" s="12"/>
    </row>
    <row r="1819" spans="17:18" x14ac:dyDescent="0.25">
      <c r="Q1819" s="13"/>
      <c r="R1819" s="6"/>
    </row>
    <row r="1820" spans="17:18" x14ac:dyDescent="0.25">
      <c r="Q1820" s="11"/>
      <c r="R1820" s="12"/>
    </row>
    <row r="1821" spans="17:18" x14ac:dyDescent="0.25">
      <c r="Q1821" s="13"/>
      <c r="R1821" s="6"/>
    </row>
    <row r="1822" spans="17:18" x14ac:dyDescent="0.25">
      <c r="Q1822" s="11"/>
      <c r="R1822" s="12"/>
    </row>
    <row r="1823" spans="17:18" x14ac:dyDescent="0.25">
      <c r="Q1823" s="13"/>
      <c r="R1823" s="6"/>
    </row>
    <row r="1824" spans="17:18" x14ac:dyDescent="0.25">
      <c r="Q1824" s="11"/>
      <c r="R1824" s="12"/>
    </row>
    <row r="1825" spans="17:18" x14ac:dyDescent="0.25">
      <c r="Q1825" s="13"/>
      <c r="R1825" s="6"/>
    </row>
    <row r="1826" spans="17:18" x14ac:dyDescent="0.25">
      <c r="Q1826" s="11"/>
      <c r="R1826" s="12"/>
    </row>
    <row r="1827" spans="17:18" x14ac:dyDescent="0.25">
      <c r="Q1827" s="13"/>
      <c r="R1827" s="6"/>
    </row>
    <row r="1828" spans="17:18" x14ac:dyDescent="0.25">
      <c r="Q1828" s="11"/>
      <c r="R1828" s="12"/>
    </row>
    <row r="1829" spans="17:18" x14ac:dyDescent="0.25">
      <c r="Q1829" s="13"/>
      <c r="R1829" s="6"/>
    </row>
    <row r="1830" spans="17:18" x14ac:dyDescent="0.25">
      <c r="Q1830" s="11"/>
      <c r="R1830" s="12"/>
    </row>
    <row r="1831" spans="17:18" x14ac:dyDescent="0.25">
      <c r="Q1831" s="13"/>
      <c r="R1831" s="6"/>
    </row>
    <row r="1832" spans="17:18" x14ac:dyDescent="0.25">
      <c r="Q1832" s="11"/>
      <c r="R1832" s="12"/>
    </row>
    <row r="1833" spans="17:18" x14ac:dyDescent="0.25">
      <c r="Q1833" s="13"/>
      <c r="R1833" s="6"/>
    </row>
    <row r="1834" spans="17:18" x14ac:dyDescent="0.25">
      <c r="Q1834" s="11"/>
      <c r="R1834" s="12"/>
    </row>
    <row r="1835" spans="17:18" x14ac:dyDescent="0.25">
      <c r="Q1835" s="13"/>
      <c r="R1835" s="6"/>
    </row>
    <row r="1836" spans="17:18" x14ac:dyDescent="0.25">
      <c r="Q1836" s="11"/>
      <c r="R1836" s="12"/>
    </row>
    <row r="1837" spans="17:18" x14ac:dyDescent="0.25">
      <c r="Q1837" s="13"/>
      <c r="R1837" s="6"/>
    </row>
    <row r="1838" spans="17:18" x14ac:dyDescent="0.25">
      <c r="Q1838" s="11"/>
      <c r="R1838" s="12"/>
    </row>
    <row r="1839" spans="17:18" x14ac:dyDescent="0.25">
      <c r="Q1839" s="13"/>
      <c r="R1839" s="6"/>
    </row>
    <row r="1840" spans="17:18" x14ac:dyDescent="0.25">
      <c r="Q1840" s="13"/>
      <c r="R1840" s="6"/>
    </row>
    <row r="1841" spans="17:18" x14ac:dyDescent="0.25">
      <c r="Q1841" s="11"/>
      <c r="R1841" s="12"/>
    </row>
    <row r="1842" spans="17:18" x14ac:dyDescent="0.25">
      <c r="Q1842" s="13"/>
      <c r="R1842" s="6"/>
    </row>
    <row r="1843" spans="17:18" x14ac:dyDescent="0.25">
      <c r="Q1843" s="11"/>
      <c r="R1843" s="12"/>
    </row>
    <row r="1844" spans="17:18" x14ac:dyDescent="0.25">
      <c r="Q1844" s="13"/>
      <c r="R1844" s="6"/>
    </row>
    <row r="1845" spans="17:18" x14ac:dyDescent="0.25">
      <c r="Q1845" s="11"/>
      <c r="R1845" s="12"/>
    </row>
    <row r="1846" spans="17:18" x14ac:dyDescent="0.25">
      <c r="Q1846" s="13"/>
      <c r="R1846" s="6"/>
    </row>
    <row r="1847" spans="17:18" x14ac:dyDescent="0.25">
      <c r="Q1847" s="11"/>
      <c r="R1847" s="12"/>
    </row>
    <row r="1848" spans="17:18" x14ac:dyDescent="0.25">
      <c r="Q1848" s="13"/>
      <c r="R1848" s="6"/>
    </row>
    <row r="1849" spans="17:18" x14ac:dyDescent="0.25">
      <c r="Q1849" s="11"/>
      <c r="R1849" s="12"/>
    </row>
    <row r="1850" spans="17:18" x14ac:dyDescent="0.25">
      <c r="Q1850" s="13"/>
      <c r="R1850" s="6"/>
    </row>
    <row r="1851" spans="17:18" x14ac:dyDescent="0.25">
      <c r="Q1851" s="11"/>
      <c r="R1851" s="12"/>
    </row>
    <row r="1852" spans="17:18" x14ac:dyDescent="0.25">
      <c r="Q1852" s="13"/>
      <c r="R1852" s="6"/>
    </row>
    <row r="1853" spans="17:18" x14ac:dyDescent="0.25">
      <c r="Q1853" s="11"/>
      <c r="R1853" s="12"/>
    </row>
    <row r="1854" spans="17:18" x14ac:dyDescent="0.25">
      <c r="Q1854" s="13"/>
      <c r="R1854" s="6"/>
    </row>
    <row r="1855" spans="17:18" x14ac:dyDescent="0.25">
      <c r="Q1855" s="11"/>
      <c r="R1855" s="12"/>
    </row>
    <row r="1856" spans="17:18" x14ac:dyDescent="0.25">
      <c r="Q1856" s="13"/>
      <c r="R1856" s="6"/>
    </row>
    <row r="1857" spans="17:18" x14ac:dyDescent="0.25">
      <c r="Q1857" s="11"/>
      <c r="R1857" s="12"/>
    </row>
    <row r="1858" spans="17:18" x14ac:dyDescent="0.25">
      <c r="Q1858" s="13"/>
      <c r="R1858" s="6"/>
    </row>
    <row r="1859" spans="17:18" x14ac:dyDescent="0.25">
      <c r="Q1859" s="11"/>
      <c r="R1859" s="12"/>
    </row>
    <row r="1860" spans="17:18" x14ac:dyDescent="0.25">
      <c r="Q1860" s="13"/>
      <c r="R1860" s="6"/>
    </row>
    <row r="1861" spans="17:18" x14ac:dyDescent="0.25">
      <c r="Q1861" s="11"/>
      <c r="R1861" s="12"/>
    </row>
    <row r="1862" spans="17:18" x14ac:dyDescent="0.25">
      <c r="Q1862" s="13"/>
      <c r="R1862" s="6"/>
    </row>
    <row r="1863" spans="17:18" x14ac:dyDescent="0.25">
      <c r="Q1863" s="11"/>
      <c r="R1863" s="12"/>
    </row>
    <row r="1864" spans="17:18" x14ac:dyDescent="0.25">
      <c r="Q1864" s="13"/>
      <c r="R1864" s="6"/>
    </row>
    <row r="1865" spans="17:18" x14ac:dyDescent="0.25">
      <c r="Q1865" s="11"/>
      <c r="R1865" s="12"/>
    </row>
    <row r="1866" spans="17:18" x14ac:dyDescent="0.25">
      <c r="Q1866" s="13"/>
      <c r="R1866" s="6"/>
    </row>
    <row r="1867" spans="17:18" x14ac:dyDescent="0.25">
      <c r="Q1867" s="11"/>
      <c r="R1867" s="12"/>
    </row>
    <row r="1868" spans="17:18" x14ac:dyDescent="0.25">
      <c r="Q1868" s="13"/>
      <c r="R1868" s="6"/>
    </row>
    <row r="1869" spans="17:18" x14ac:dyDescent="0.25">
      <c r="Q1869" s="11"/>
      <c r="R1869" s="12"/>
    </row>
    <row r="1870" spans="17:18" x14ac:dyDescent="0.25">
      <c r="Q1870" s="13"/>
      <c r="R1870" s="6"/>
    </row>
    <row r="1871" spans="17:18" x14ac:dyDescent="0.25">
      <c r="Q1871" s="11"/>
      <c r="R1871" s="12"/>
    </row>
    <row r="1872" spans="17:18" x14ac:dyDescent="0.25">
      <c r="Q1872" s="13"/>
      <c r="R1872" s="6"/>
    </row>
    <row r="1873" spans="17:18" x14ac:dyDescent="0.25">
      <c r="Q1873" s="11"/>
      <c r="R1873" s="12"/>
    </row>
    <row r="1874" spans="17:18" x14ac:dyDescent="0.25">
      <c r="Q1874" s="13"/>
      <c r="R1874" s="6"/>
    </row>
    <row r="1875" spans="17:18" x14ac:dyDescent="0.25">
      <c r="Q1875" s="11"/>
      <c r="R1875" s="12"/>
    </row>
    <row r="1876" spans="17:18" x14ac:dyDescent="0.25">
      <c r="Q1876" s="13"/>
      <c r="R1876" s="6"/>
    </row>
    <row r="1877" spans="17:18" x14ac:dyDescent="0.25">
      <c r="Q1877" s="11"/>
      <c r="R1877" s="12"/>
    </row>
    <row r="1878" spans="17:18" x14ac:dyDescent="0.25">
      <c r="Q1878" s="13"/>
      <c r="R1878" s="6"/>
    </row>
    <row r="1879" spans="17:18" x14ac:dyDescent="0.25">
      <c r="Q1879" s="11"/>
      <c r="R1879" s="12"/>
    </row>
    <row r="1880" spans="17:18" x14ac:dyDescent="0.25">
      <c r="Q1880" s="13"/>
      <c r="R1880" s="6"/>
    </row>
    <row r="1881" spans="17:18" x14ac:dyDescent="0.25">
      <c r="Q1881" s="11"/>
      <c r="R1881" s="12"/>
    </row>
    <row r="1882" spans="17:18" x14ac:dyDescent="0.25">
      <c r="Q1882" s="13"/>
      <c r="R1882" s="6"/>
    </row>
    <row r="1883" spans="17:18" x14ac:dyDescent="0.25">
      <c r="Q1883" s="11"/>
      <c r="R1883" s="12"/>
    </row>
    <row r="1884" spans="17:18" x14ac:dyDescent="0.25">
      <c r="Q1884" s="13"/>
      <c r="R1884" s="6"/>
    </row>
    <row r="1885" spans="17:18" x14ac:dyDescent="0.25">
      <c r="Q1885" s="13"/>
      <c r="R1885" s="6"/>
    </row>
    <row r="1886" spans="17:18" x14ac:dyDescent="0.25">
      <c r="Q1886" s="11"/>
      <c r="R1886" s="12"/>
    </row>
    <row r="1887" spans="17:18" x14ac:dyDescent="0.25">
      <c r="Q1887" s="13"/>
      <c r="R1887" s="6"/>
    </row>
    <row r="1888" spans="17:18" x14ac:dyDescent="0.25">
      <c r="Q1888" s="11"/>
      <c r="R1888" s="12"/>
    </row>
    <row r="1889" spans="17:18" x14ac:dyDescent="0.25">
      <c r="Q1889" s="13"/>
      <c r="R1889" s="6"/>
    </row>
    <row r="1890" spans="17:18" x14ac:dyDescent="0.25">
      <c r="Q1890" s="11"/>
      <c r="R1890" s="12"/>
    </row>
    <row r="1891" spans="17:18" x14ac:dyDescent="0.25">
      <c r="Q1891" s="13"/>
      <c r="R1891" s="6"/>
    </row>
    <row r="1892" spans="17:18" x14ac:dyDescent="0.25">
      <c r="Q1892" s="11"/>
      <c r="R1892" s="12"/>
    </row>
    <row r="1893" spans="17:18" x14ac:dyDescent="0.25">
      <c r="Q1893" s="13"/>
      <c r="R1893" s="6"/>
    </row>
    <row r="1894" spans="17:18" x14ac:dyDescent="0.25">
      <c r="Q1894" s="11"/>
      <c r="R1894" s="12"/>
    </row>
    <row r="1895" spans="17:18" x14ac:dyDescent="0.25">
      <c r="Q1895" s="13"/>
      <c r="R1895" s="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AB795-6C55-42DE-86B9-AD813F49A770}">
  <dimension ref="A1:S166"/>
  <sheetViews>
    <sheetView showGridLines="0" tabSelected="1" topLeftCell="A132" zoomScaleNormal="100" workbookViewId="0">
      <selection activeCell="Z125" sqref="Z125"/>
    </sheetView>
  </sheetViews>
  <sheetFormatPr defaultRowHeight="15" x14ac:dyDescent="0.25"/>
  <sheetData>
    <row r="1" spans="1:19" x14ac:dyDescent="0.25">
      <c r="A1" s="27" t="s">
        <v>6211</v>
      </c>
      <c r="B1" s="28"/>
      <c r="C1" s="28"/>
      <c r="D1" s="28"/>
      <c r="E1" s="28"/>
      <c r="F1" s="28"/>
      <c r="G1" s="28"/>
      <c r="H1" s="28"/>
      <c r="I1" s="28"/>
      <c r="J1" s="28"/>
      <c r="K1" s="28"/>
      <c r="L1" s="28"/>
      <c r="M1" s="28"/>
      <c r="N1" s="28"/>
      <c r="O1" s="28"/>
      <c r="P1" s="28"/>
      <c r="Q1" s="28"/>
      <c r="R1" s="28"/>
      <c r="S1" s="28"/>
    </row>
    <row r="2" spans="1:19" x14ac:dyDescent="0.25">
      <c r="A2" s="28"/>
      <c r="B2" s="28"/>
      <c r="C2" s="28"/>
      <c r="D2" s="28"/>
      <c r="E2" s="28"/>
      <c r="F2" s="28"/>
      <c r="G2" s="28"/>
      <c r="H2" s="28"/>
      <c r="I2" s="28"/>
      <c r="J2" s="28"/>
      <c r="K2" s="28"/>
      <c r="L2" s="28"/>
      <c r="M2" s="28"/>
      <c r="N2" s="28"/>
      <c r="O2" s="28"/>
      <c r="P2" s="28"/>
      <c r="Q2" s="28"/>
      <c r="R2" s="28"/>
      <c r="S2" s="28"/>
    </row>
    <row r="3" spans="1:19" x14ac:dyDescent="0.25">
      <c r="A3" s="28"/>
      <c r="B3" s="28"/>
      <c r="C3" s="28"/>
      <c r="D3" s="28"/>
      <c r="E3" s="28"/>
      <c r="F3" s="28"/>
      <c r="G3" s="28"/>
      <c r="H3" s="28"/>
      <c r="I3" s="28"/>
      <c r="J3" s="28"/>
      <c r="K3" s="28"/>
      <c r="L3" s="28"/>
      <c r="M3" s="28"/>
      <c r="N3" s="28"/>
      <c r="O3" s="28"/>
      <c r="P3" s="28"/>
      <c r="Q3" s="28"/>
      <c r="R3" s="28"/>
      <c r="S3" s="28"/>
    </row>
    <row r="4" spans="1:19" ht="15.75" thickBot="1" x14ac:dyDescent="0.3">
      <c r="A4" s="29"/>
      <c r="B4" s="29"/>
      <c r="C4" s="29"/>
      <c r="D4" s="29"/>
      <c r="E4" s="29"/>
      <c r="F4" s="29"/>
      <c r="G4" s="29"/>
      <c r="H4" s="29"/>
      <c r="I4" s="29"/>
      <c r="J4" s="29"/>
      <c r="K4" s="29"/>
      <c r="L4" s="29"/>
      <c r="M4" s="29"/>
      <c r="N4" s="29"/>
      <c r="O4" s="29"/>
      <c r="P4" s="29"/>
      <c r="Q4" s="29"/>
      <c r="R4" s="29"/>
      <c r="S4" s="29"/>
    </row>
    <row r="5" spans="1:19" ht="47.25" thickTop="1" x14ac:dyDescent="0.7">
      <c r="A5" s="25" t="s">
        <v>6215</v>
      </c>
      <c r="B5" s="30"/>
      <c r="C5" s="30"/>
      <c r="D5" s="30"/>
      <c r="E5" s="30"/>
      <c r="F5" s="30"/>
      <c r="G5" s="30"/>
      <c r="H5" s="30"/>
      <c r="I5" s="30"/>
      <c r="J5" s="30"/>
      <c r="K5" s="30"/>
      <c r="L5" s="30"/>
      <c r="M5" s="30"/>
      <c r="N5" s="30"/>
      <c r="O5" s="30"/>
      <c r="P5" s="30"/>
      <c r="Q5" s="30"/>
      <c r="R5" s="30"/>
      <c r="S5" s="30"/>
    </row>
    <row r="40" spans="1:19" ht="47.25" thickBot="1" x14ac:dyDescent="0.75">
      <c r="A40" s="31" t="s">
        <v>6248</v>
      </c>
      <c r="B40" s="32"/>
      <c r="C40" s="32"/>
      <c r="D40" s="32"/>
      <c r="E40" s="32"/>
      <c r="F40" s="32"/>
      <c r="G40" s="32"/>
      <c r="H40" s="32"/>
      <c r="I40" s="32"/>
      <c r="J40" s="32"/>
      <c r="K40" s="32"/>
      <c r="L40" s="32"/>
      <c r="M40" s="32"/>
      <c r="N40" s="32"/>
      <c r="O40" s="32"/>
      <c r="P40" s="32"/>
      <c r="Q40" s="32"/>
      <c r="R40" s="32"/>
      <c r="S40" s="32"/>
    </row>
    <row r="41" spans="1:19" ht="15.75" thickTop="1" x14ac:dyDescent="0.25"/>
    <row r="44" spans="1:19" ht="9.4" customHeight="1" x14ac:dyDescent="0.25"/>
    <row r="88" spans="1:19" ht="15" customHeight="1" x14ac:dyDescent="0.25">
      <c r="A88" s="24" t="s">
        <v>6280</v>
      </c>
      <c r="B88" s="25"/>
      <c r="C88" s="25"/>
      <c r="D88" s="25"/>
      <c r="E88" s="25"/>
      <c r="F88" s="25"/>
      <c r="G88" s="25"/>
      <c r="H88" s="25"/>
      <c r="I88" s="25"/>
      <c r="J88" s="25"/>
      <c r="K88" s="25"/>
      <c r="L88" s="25"/>
      <c r="M88" s="25"/>
      <c r="N88" s="25"/>
      <c r="O88" s="25"/>
      <c r="P88" s="25"/>
      <c r="Q88" s="25"/>
      <c r="R88" s="25"/>
      <c r="S88" s="25"/>
    </row>
    <row r="89" spans="1:19" x14ac:dyDescent="0.25">
      <c r="A89" s="25"/>
      <c r="B89" s="25"/>
      <c r="C89" s="25"/>
      <c r="D89" s="25"/>
      <c r="E89" s="25"/>
      <c r="F89" s="25"/>
      <c r="G89" s="25"/>
      <c r="H89" s="25"/>
      <c r="I89" s="25"/>
      <c r="J89" s="25"/>
      <c r="K89" s="25"/>
      <c r="L89" s="25"/>
      <c r="M89" s="25"/>
      <c r="N89" s="25"/>
      <c r="O89" s="25"/>
      <c r="P89" s="25"/>
      <c r="Q89" s="25"/>
      <c r="R89" s="25"/>
      <c r="S89" s="25"/>
    </row>
    <row r="90" spans="1:19" x14ac:dyDescent="0.25">
      <c r="A90" s="25"/>
      <c r="B90" s="25"/>
      <c r="C90" s="25"/>
      <c r="D90" s="25"/>
      <c r="E90" s="25"/>
      <c r="F90" s="25"/>
      <c r="G90" s="25"/>
      <c r="H90" s="25"/>
      <c r="I90" s="25"/>
      <c r="J90" s="25"/>
      <c r="K90" s="25"/>
      <c r="L90" s="25"/>
      <c r="M90" s="25"/>
      <c r="N90" s="25"/>
      <c r="O90" s="25"/>
      <c r="P90" s="25"/>
      <c r="Q90" s="25"/>
      <c r="R90" s="25"/>
      <c r="S90" s="25"/>
    </row>
    <row r="91" spans="1:19" x14ac:dyDescent="0.25">
      <c r="A91" s="25"/>
      <c r="B91" s="25"/>
      <c r="C91" s="25"/>
      <c r="D91" s="25"/>
      <c r="E91" s="25"/>
      <c r="F91" s="25"/>
      <c r="G91" s="25"/>
      <c r="H91" s="25"/>
      <c r="I91" s="25"/>
      <c r="J91" s="25"/>
      <c r="K91" s="25"/>
      <c r="L91" s="25"/>
      <c r="M91" s="25"/>
      <c r="N91" s="25"/>
      <c r="O91" s="25"/>
      <c r="P91" s="25"/>
      <c r="Q91" s="25"/>
      <c r="R91" s="25"/>
      <c r="S91" s="25"/>
    </row>
    <row r="124" spans="1:19" x14ac:dyDescent="0.25">
      <c r="A124" s="25" t="s">
        <v>6247</v>
      </c>
      <c r="B124" s="26"/>
      <c r="C124" s="26"/>
      <c r="D124" s="26"/>
      <c r="E124" s="26"/>
      <c r="F124" s="26"/>
      <c r="G124" s="26"/>
      <c r="H124" s="26"/>
      <c r="I124" s="26"/>
      <c r="J124" s="26"/>
      <c r="K124" s="26"/>
      <c r="L124" s="26"/>
      <c r="M124" s="26"/>
      <c r="N124" s="26"/>
      <c r="O124" s="26"/>
      <c r="P124" s="26"/>
      <c r="Q124" s="26"/>
      <c r="R124" s="26"/>
      <c r="S124" s="26"/>
    </row>
    <row r="125" spans="1:19" x14ac:dyDescent="0.25">
      <c r="A125" s="26"/>
      <c r="B125" s="26"/>
      <c r="C125" s="26"/>
      <c r="D125" s="26"/>
      <c r="E125" s="26"/>
      <c r="F125" s="26"/>
      <c r="G125" s="26"/>
      <c r="H125" s="26"/>
      <c r="I125" s="26"/>
      <c r="J125" s="26"/>
      <c r="K125" s="26"/>
      <c r="L125" s="26"/>
      <c r="M125" s="26"/>
      <c r="N125" s="26"/>
      <c r="O125" s="26"/>
      <c r="P125" s="26"/>
      <c r="Q125" s="26"/>
      <c r="R125" s="26"/>
      <c r="S125" s="26"/>
    </row>
    <row r="126" spans="1:19" x14ac:dyDescent="0.25">
      <c r="A126" s="26"/>
      <c r="B126" s="26"/>
      <c r="C126" s="26"/>
      <c r="D126" s="26"/>
      <c r="E126" s="26"/>
      <c r="F126" s="26"/>
      <c r="G126" s="26"/>
      <c r="H126" s="26"/>
      <c r="I126" s="26"/>
      <c r="J126" s="26"/>
      <c r="K126" s="26"/>
      <c r="L126" s="26"/>
      <c r="M126" s="26"/>
      <c r="N126" s="26"/>
      <c r="O126" s="26"/>
      <c r="P126" s="26"/>
      <c r="Q126" s="26"/>
      <c r="R126" s="26"/>
      <c r="S126" s="26"/>
    </row>
    <row r="127" spans="1:19" x14ac:dyDescent="0.25">
      <c r="A127" s="26"/>
      <c r="B127" s="26"/>
      <c r="C127" s="26"/>
      <c r="D127" s="26"/>
      <c r="E127" s="26"/>
      <c r="F127" s="26"/>
      <c r="G127" s="26"/>
      <c r="H127" s="26"/>
      <c r="I127" s="26"/>
      <c r="J127" s="26"/>
      <c r="K127" s="26"/>
      <c r="L127" s="26"/>
      <c r="M127" s="26"/>
      <c r="N127" s="26"/>
      <c r="O127" s="26"/>
      <c r="P127" s="26"/>
      <c r="Q127" s="26"/>
      <c r="R127" s="26"/>
      <c r="S127" s="26"/>
    </row>
    <row r="163" spans="1:19" x14ac:dyDescent="0.25">
      <c r="A163" s="24" t="s">
        <v>6275</v>
      </c>
      <c r="B163" s="24"/>
      <c r="C163" s="24"/>
      <c r="D163" s="24"/>
      <c r="E163" s="24"/>
      <c r="F163" s="24"/>
      <c r="G163" s="24"/>
      <c r="H163" s="24"/>
      <c r="I163" s="24"/>
      <c r="J163" s="24"/>
      <c r="K163" s="24"/>
      <c r="L163" s="24"/>
      <c r="M163" s="24"/>
      <c r="N163" s="24"/>
      <c r="O163" s="24"/>
      <c r="P163" s="24"/>
      <c r="Q163" s="24"/>
      <c r="R163" s="24"/>
      <c r="S163" s="24"/>
    </row>
    <row r="164" spans="1:19" x14ac:dyDescent="0.25">
      <c r="A164" s="24"/>
      <c r="B164" s="24"/>
      <c r="C164" s="24"/>
      <c r="D164" s="24"/>
      <c r="E164" s="24"/>
      <c r="F164" s="24"/>
      <c r="G164" s="24"/>
      <c r="H164" s="24"/>
      <c r="I164" s="24"/>
      <c r="J164" s="24"/>
      <c r="K164" s="24"/>
      <c r="L164" s="24"/>
      <c r="M164" s="24"/>
      <c r="N164" s="24"/>
      <c r="O164" s="24"/>
      <c r="P164" s="24"/>
      <c r="Q164" s="24"/>
      <c r="R164" s="24"/>
      <c r="S164" s="24"/>
    </row>
    <row r="165" spans="1:19" x14ac:dyDescent="0.25">
      <c r="A165" s="24"/>
      <c r="B165" s="24"/>
      <c r="C165" s="24"/>
      <c r="D165" s="24"/>
      <c r="E165" s="24"/>
      <c r="F165" s="24"/>
      <c r="G165" s="24"/>
      <c r="H165" s="24"/>
      <c r="I165" s="24"/>
      <c r="J165" s="24"/>
      <c r="K165" s="24"/>
      <c r="L165" s="24"/>
      <c r="M165" s="24"/>
      <c r="N165" s="24"/>
      <c r="O165" s="24"/>
      <c r="P165" s="24"/>
      <c r="Q165" s="24"/>
      <c r="R165" s="24"/>
      <c r="S165" s="24"/>
    </row>
    <row r="166" spans="1:19" x14ac:dyDescent="0.25">
      <c r="A166" s="24"/>
      <c r="B166" s="24"/>
      <c r="C166" s="24"/>
      <c r="D166" s="24"/>
      <c r="E166" s="24"/>
      <c r="F166" s="24"/>
      <c r="G166" s="24"/>
      <c r="H166" s="24"/>
      <c r="I166" s="24"/>
      <c r="J166" s="24"/>
      <c r="K166" s="24"/>
      <c r="L166" s="24"/>
      <c r="M166" s="24"/>
      <c r="N166" s="24"/>
      <c r="O166" s="24"/>
      <c r="P166" s="24"/>
      <c r="Q166" s="24"/>
      <c r="R166" s="24"/>
      <c r="S166" s="24"/>
    </row>
  </sheetData>
  <mergeCells count="6">
    <mergeCell ref="A163:S166"/>
    <mergeCell ref="A124:S127"/>
    <mergeCell ref="A1:S4"/>
    <mergeCell ref="A5:S5"/>
    <mergeCell ref="A40:S40"/>
    <mergeCell ref="A88:S91"/>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6</vt:i4>
      </vt:variant>
    </vt:vector>
  </HeadingPairs>
  <TitlesOfParts>
    <vt:vector size="6" baseType="lpstr">
      <vt:lpstr>orders</vt:lpstr>
      <vt:lpstr>customers</vt:lpstr>
      <vt:lpstr>products</vt:lpstr>
      <vt:lpstr>Working Sheet</vt:lpstr>
      <vt:lpstr>Pivot Tables</vt:lpstr>
      <vt:lpstr>Business Interactive Dashboard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Hristo Petkov</cp:lastModifiedBy>
  <cp:revision/>
  <dcterms:created xsi:type="dcterms:W3CDTF">2022-11-26T09:51:45Z</dcterms:created>
  <dcterms:modified xsi:type="dcterms:W3CDTF">2026-02-03T14:17:04Z</dcterms:modified>
  <cp:category/>
  <cp:contentStatus/>
</cp:coreProperties>
</file>